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30"/>
  <workbookPr/>
  <xr:revisionPtr revIDLastSave="0" documentId="8_{5236045D-60D5-4312-ADA2-203EDE3A89D9}" xr6:coauthVersionLast="47" xr6:coauthVersionMax="47" xr10:uidLastSave="{00000000-0000-0000-0000-000000000000}"/>
  <bookViews>
    <workbookView xWindow="240" yWindow="105" windowWidth="14805" windowHeight="8010" firstSheet="5" xr2:uid="{00000000-000D-0000-FFFF-FFFF00000000}"/>
  </bookViews>
  <sheets>
    <sheet name="Lowe's FY2024" sheetId="1" r:id="rId1"/>
    <sheet name="Lowe's Fy2023" sheetId="2" r:id="rId2"/>
    <sheet name="RoIC Lowe FY24" sheetId="5" r:id="rId3"/>
    <sheet name="Home Depot FY2024" sheetId="3" r:id="rId4"/>
    <sheet name="Home Depot FY2023" sheetId="4" r:id="rId5"/>
    <sheet name="RoIC Home Depot FY24" sheetId="8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8" l="1"/>
  <c r="D7" i="8"/>
  <c r="K6" i="3"/>
  <c r="K8" i="3"/>
  <c r="K9" i="3"/>
  <c r="K11" i="3"/>
  <c r="K13" i="3"/>
  <c r="K4" i="3"/>
  <c r="D10" i="8"/>
  <c r="F8" i="8"/>
  <c r="D7" i="5"/>
  <c r="D9" i="8"/>
  <c r="F7" i="8"/>
  <c r="F8" i="5"/>
  <c r="D8" i="5"/>
  <c r="F7" i="5"/>
  <c r="H15" i="4"/>
  <c r="H13" i="4"/>
  <c r="F4" i="4"/>
  <c r="D15" i="4"/>
  <c r="H16" i="4"/>
  <c r="D11" i="4"/>
  <c r="E11" i="4" s="1"/>
  <c r="E9" i="4"/>
  <c r="H8" i="4"/>
  <c r="E8" i="4"/>
  <c r="D6" i="4"/>
  <c r="E4" i="4"/>
  <c r="H3" i="4"/>
  <c r="E3" i="4"/>
  <c r="H18" i="3"/>
  <c r="H17" i="3"/>
  <c r="H16" i="3"/>
  <c r="I4" i="3"/>
  <c r="I6" i="3"/>
  <c r="I8" i="3"/>
  <c r="I9" i="3"/>
  <c r="I11" i="3"/>
  <c r="I13" i="3"/>
  <c r="I3" i="3"/>
  <c r="H15" i="3"/>
  <c r="H13" i="3"/>
  <c r="H11" i="3"/>
  <c r="H9" i="3"/>
  <c r="H8" i="3"/>
  <c r="H6" i="3"/>
  <c r="H4" i="3"/>
  <c r="H3" i="3"/>
  <c r="F9" i="3"/>
  <c r="F4" i="3"/>
  <c r="E4" i="3"/>
  <c r="E6" i="3"/>
  <c r="E8" i="3"/>
  <c r="E9" i="3"/>
  <c r="E11" i="3"/>
  <c r="E13" i="3"/>
  <c r="E3" i="3"/>
  <c r="D18" i="3"/>
  <c r="D17" i="3"/>
  <c r="D11" i="3"/>
  <c r="D13" i="3" s="1"/>
  <c r="D15" i="3" s="1"/>
  <c r="D6" i="3"/>
  <c r="G16" i="2"/>
  <c r="H15" i="2"/>
  <c r="G8" i="2"/>
  <c r="F4" i="2"/>
  <c r="D15" i="2"/>
  <c r="D18" i="2"/>
  <c r="D17" i="2"/>
  <c r="H16" i="2"/>
  <c r="D11" i="2"/>
  <c r="E11" i="2" s="1"/>
  <c r="E9" i="2"/>
  <c r="H8" i="2"/>
  <c r="E8" i="2"/>
  <c r="D6" i="2"/>
  <c r="E4" i="2"/>
  <c r="H3" i="2"/>
  <c r="E3" i="2"/>
  <c r="G16" i="1"/>
  <c r="H16" i="1"/>
  <c r="H3" i="1"/>
  <c r="G8" i="1"/>
  <c r="H8" i="1" s="1"/>
  <c r="F4" i="1"/>
  <c r="E8" i="1"/>
  <c r="E9" i="1"/>
  <c r="E4" i="1"/>
  <c r="E3" i="1"/>
  <c r="D18" i="1"/>
  <c r="D17" i="1"/>
  <c r="D11" i="1"/>
  <c r="E11" i="1" s="1"/>
  <c r="D6" i="1"/>
  <c r="E6" i="1" l="1"/>
  <c r="D13" i="1"/>
  <c r="E13" i="1" s="1"/>
  <c r="H4" i="1"/>
  <c r="I4" i="1" s="1"/>
  <c r="F9" i="1"/>
  <c r="H9" i="1" s="1"/>
  <c r="I9" i="1" s="1"/>
  <c r="H11" i="1"/>
  <c r="I11" i="1" s="1"/>
  <c r="I8" i="1"/>
  <c r="D9" i="5"/>
  <c r="H6" i="1"/>
  <c r="I7" i="1"/>
  <c r="I10" i="1"/>
  <c r="I12" i="1"/>
  <c r="I3" i="1"/>
  <c r="D11" i="5"/>
  <c r="F11" i="5"/>
  <c r="D11" i="8"/>
  <c r="F11" i="8"/>
  <c r="D14" i="8"/>
  <c r="I3" i="4"/>
  <c r="F9" i="4"/>
  <c r="H9" i="4" s="1"/>
  <c r="I9" i="4" s="1"/>
  <c r="H4" i="4"/>
  <c r="D13" i="4"/>
  <c r="E6" i="4"/>
  <c r="H11" i="4"/>
  <c r="I11" i="4" s="1"/>
  <c r="I8" i="4"/>
  <c r="I12" i="2"/>
  <c r="I10" i="2"/>
  <c r="I7" i="2"/>
  <c r="I3" i="2"/>
  <c r="F9" i="2"/>
  <c r="H9" i="2" s="1"/>
  <c r="I9" i="2" s="1"/>
  <c r="H4" i="2"/>
  <c r="D13" i="2"/>
  <c r="E13" i="2" s="1"/>
  <c r="E6" i="2"/>
  <c r="H11" i="2"/>
  <c r="I11" i="2" s="1"/>
  <c r="I8" i="2"/>
  <c r="H13" i="1" l="1"/>
  <c r="I6" i="1"/>
  <c r="D12" i="5"/>
  <c r="D15" i="5" s="1"/>
  <c r="D12" i="8"/>
  <c r="D15" i="8" s="1"/>
  <c r="D17" i="8" s="1"/>
  <c r="E13" i="4"/>
  <c r="I4" i="4"/>
  <c r="H6" i="4"/>
  <c r="I4" i="2"/>
  <c r="H6" i="2"/>
  <c r="H15" i="1" l="1"/>
  <c r="I13" i="1"/>
  <c r="I6" i="4"/>
  <c r="D18" i="4"/>
  <c r="D17" i="4"/>
  <c r="H13" i="2"/>
  <c r="I6" i="2"/>
  <c r="H18" i="1" l="1"/>
  <c r="D10" i="5" s="1"/>
  <c r="D14" i="5" s="1"/>
  <c r="D17" i="5" s="1"/>
  <c r="H17" i="1"/>
  <c r="I13" i="4"/>
  <c r="I13" i="2"/>
  <c r="H17" i="4" l="1"/>
  <c r="H18" i="4"/>
  <c r="H17" i="2"/>
  <c r="H18" i="2"/>
</calcChain>
</file>

<file path=xl/sharedStrings.xml><?xml version="1.0" encoding="utf-8"?>
<sst xmlns="http://schemas.openxmlformats.org/spreadsheetml/2006/main" count="110" uniqueCount="43">
  <si>
    <t>Adjustments</t>
  </si>
  <si>
    <t>Reported ($)</t>
  </si>
  <si>
    <t>%</t>
  </si>
  <si>
    <t>Depriciation Expense</t>
  </si>
  <si>
    <t>Canadian Store Sales</t>
  </si>
  <si>
    <t>Normalized</t>
  </si>
  <si>
    <t xml:space="preserve">Name </t>
  </si>
  <si>
    <t>Email</t>
  </si>
  <si>
    <t>Revenue</t>
  </si>
  <si>
    <t>CoGS</t>
  </si>
  <si>
    <t xml:space="preserve">Sharang Mantri </t>
  </si>
  <si>
    <t xml:space="preserve">smantri3@illinois.edu </t>
  </si>
  <si>
    <t>Gross Margin</t>
  </si>
  <si>
    <t xml:space="preserve">Mike Feistel </t>
  </si>
  <si>
    <t xml:space="preserve">feistel2@illinois.edu </t>
  </si>
  <si>
    <t>SG&amp;A</t>
  </si>
  <si>
    <t xml:space="preserve">Shreya Ahuja </t>
  </si>
  <si>
    <t xml:space="preserve">shreyaa8@illinois.edu </t>
  </si>
  <si>
    <t>Depreciation &amp; Amortization</t>
  </si>
  <si>
    <t xml:space="preserve">Priyanka Chandramohan </t>
  </si>
  <si>
    <t xml:space="preserve">pc45@illinois.edu </t>
  </si>
  <si>
    <t>Total Operating Expenses</t>
  </si>
  <si>
    <t>Operating Income</t>
  </si>
  <si>
    <t>Pretax Income</t>
  </si>
  <si>
    <t>Income Taxes</t>
  </si>
  <si>
    <t>Adjusted Net Income</t>
  </si>
  <si>
    <t>Effective tax rate</t>
  </si>
  <si>
    <t>FY 24</t>
  </si>
  <si>
    <t>FY23</t>
  </si>
  <si>
    <t>Total Current Assets</t>
  </si>
  <si>
    <t>Total Current Liabilities</t>
  </si>
  <si>
    <t>Current Debt</t>
  </si>
  <si>
    <t>Total Assets</t>
  </si>
  <si>
    <t>Long Term Assets</t>
  </si>
  <si>
    <t>NWC</t>
  </si>
  <si>
    <t>Net Income Available to all Stakeholders</t>
  </si>
  <si>
    <t>Invested Capital</t>
  </si>
  <si>
    <t>Average Invested Capital</t>
  </si>
  <si>
    <t>Profit Margin</t>
  </si>
  <si>
    <t>Asset Turnover</t>
  </si>
  <si>
    <t>RoIC</t>
  </si>
  <si>
    <t>Intangible Amortization</t>
  </si>
  <si>
    <t>Debt Adjustments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</si>
</sst>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000%"/>
    <numFmt numFmtId="165" formatCode="0.000%"/>
  </numFmts>
  <fonts count="4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b/>
      <sz val="11"/>
      <color theme="1"/>
      <name val="Times New Roman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0" fontId="0" fillId="0" borderId="0" xfId="0" applyNumberFormat="1"/>
    <xf numFmtId="44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164" fontId="0" fillId="0" borderId="0" xfId="0" applyNumberFormat="1"/>
    <xf numFmtId="165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M18"/>
  <sheetViews>
    <sheetView tabSelected="1" workbookViewId="0">
      <selection activeCell="K20" sqref="K20"/>
    </sheetView>
  </sheetViews>
  <sheetFormatPr defaultRowHeight="15"/>
  <cols>
    <col min="3" max="3" width="25.7109375" customWidth="1"/>
    <col min="4" max="4" width="16" customWidth="1"/>
    <col min="6" max="6" width="18.85546875" bestFit="1" customWidth="1"/>
    <col min="7" max="7" width="19.140625" bestFit="1" customWidth="1"/>
    <col min="8" max="8" width="15.28515625" customWidth="1"/>
    <col min="11" max="11" width="13" customWidth="1"/>
    <col min="12" max="12" width="21" customWidth="1"/>
    <col min="13" max="13" width="19.5703125" customWidth="1"/>
  </cols>
  <sheetData>
    <row r="1" spans="3:13">
      <c r="F1" s="8" t="s">
        <v>0</v>
      </c>
      <c r="G1" s="8"/>
    </row>
    <row r="2" spans="3:13">
      <c r="D2" s="5" t="s">
        <v>1</v>
      </c>
      <c r="E2" s="5" t="s">
        <v>2</v>
      </c>
      <c r="F2" s="5" t="s">
        <v>3</v>
      </c>
      <c r="G2" s="5" t="s">
        <v>4</v>
      </c>
      <c r="H2" s="5" t="s">
        <v>5</v>
      </c>
      <c r="I2" s="5" t="s">
        <v>2</v>
      </c>
      <c r="L2" t="s">
        <v>6</v>
      </c>
      <c r="M2" t="s">
        <v>7</v>
      </c>
    </row>
    <row r="3" spans="3:13">
      <c r="C3" s="3" t="s">
        <v>8</v>
      </c>
      <c r="D3" s="2">
        <v>83674</v>
      </c>
      <c r="E3" s="1">
        <f>D3/$D$3</f>
        <v>1</v>
      </c>
      <c r="F3" s="1"/>
      <c r="H3" s="2">
        <f>D3+SUM(F3:G3)</f>
        <v>83674</v>
      </c>
      <c r="I3" s="1">
        <f>H3/$H$3</f>
        <v>1</v>
      </c>
    </row>
    <row r="4" spans="3:13">
      <c r="C4" s="3" t="s">
        <v>9</v>
      </c>
      <c r="D4" s="2">
        <v>55797</v>
      </c>
      <c r="E4" s="1">
        <f>D4/$D$3</f>
        <v>0.66683796639338389</v>
      </c>
      <c r="F4" s="2">
        <f>1729-1972</f>
        <v>-243</v>
      </c>
      <c r="H4" s="2">
        <f t="shared" ref="H4:H13" si="0">D4+SUM(F4:G4)</f>
        <v>55554</v>
      </c>
      <c r="I4" s="1">
        <f>H4/$H$3</f>
        <v>0.66393383846834142</v>
      </c>
      <c r="K4" s="1"/>
      <c r="L4" t="s">
        <v>10</v>
      </c>
      <c r="M4" t="s">
        <v>11</v>
      </c>
    </row>
    <row r="5" spans="3:13">
      <c r="C5" s="3"/>
      <c r="D5" s="2"/>
      <c r="E5" s="1"/>
      <c r="H5" s="2"/>
      <c r="I5" s="1"/>
      <c r="K5" s="1"/>
    </row>
    <row r="6" spans="3:13">
      <c r="C6" s="3" t="s">
        <v>12</v>
      </c>
      <c r="D6" s="2">
        <f>D3-D4</f>
        <v>27877</v>
      </c>
      <c r="E6" s="1">
        <f>D6/$D$3</f>
        <v>0.33316203360661617</v>
      </c>
      <c r="H6" s="2">
        <f>H3-H4</f>
        <v>28120</v>
      </c>
      <c r="I6" s="1">
        <f>H6/$H$3</f>
        <v>0.33606616153165858</v>
      </c>
      <c r="K6" s="6"/>
      <c r="L6" t="s">
        <v>13</v>
      </c>
      <c r="M6" t="s">
        <v>14</v>
      </c>
    </row>
    <row r="7" spans="3:13">
      <c r="C7" s="3"/>
      <c r="D7" s="2"/>
      <c r="E7" s="1"/>
      <c r="H7" s="2"/>
      <c r="I7" s="1">
        <f>H7/$H$3</f>
        <v>0</v>
      </c>
      <c r="K7" s="1"/>
    </row>
    <row r="8" spans="3:13">
      <c r="C8" s="3" t="s">
        <v>15</v>
      </c>
      <c r="D8" s="2">
        <v>15682</v>
      </c>
      <c r="E8" s="1">
        <f>D8/$D$3</f>
        <v>0.18741783588689437</v>
      </c>
      <c r="G8" s="2">
        <f>63+43+54+80</f>
        <v>240</v>
      </c>
      <c r="H8" s="2">
        <f t="shared" si="0"/>
        <v>15922</v>
      </c>
      <c r="I8" s="1">
        <f>H8/$H$3</f>
        <v>0.19028611038076343</v>
      </c>
      <c r="K8" s="1"/>
      <c r="L8" t="s">
        <v>16</v>
      </c>
      <c r="M8" t="s">
        <v>17</v>
      </c>
    </row>
    <row r="9" spans="3:13">
      <c r="C9" s="3" t="s">
        <v>18</v>
      </c>
      <c r="D9" s="2">
        <v>1729</v>
      </c>
      <c r="E9" s="1">
        <f>D9/$D$3</f>
        <v>2.066352749958171E-2</v>
      </c>
      <c r="F9" s="2">
        <f>-F4</f>
        <v>243</v>
      </c>
      <c r="H9" s="2">
        <f t="shared" si="0"/>
        <v>1972</v>
      </c>
      <c r="I9" s="1">
        <f>H9/$H$3</f>
        <v>2.3567655424624138E-2</v>
      </c>
      <c r="K9" s="1"/>
    </row>
    <row r="10" spans="3:13">
      <c r="C10" s="3"/>
      <c r="D10" s="2"/>
      <c r="E10" s="1"/>
      <c r="H10" s="2"/>
      <c r="I10" s="1">
        <f>H10/$H$3</f>
        <v>0</v>
      </c>
      <c r="K10" s="1"/>
      <c r="L10" t="s">
        <v>19</v>
      </c>
      <c r="M10" t="s">
        <v>20</v>
      </c>
    </row>
    <row r="11" spans="3:13">
      <c r="C11" s="3" t="s">
        <v>21</v>
      </c>
      <c r="D11" s="2">
        <f>SUM(D8:D9)</f>
        <v>17411</v>
      </c>
      <c r="E11" s="1">
        <f>D11/$D$3</f>
        <v>0.20808136338647609</v>
      </c>
      <c r="H11" s="2">
        <f>SUM(H8:H9)</f>
        <v>17894</v>
      </c>
      <c r="I11" s="1">
        <f>H11/$H$3</f>
        <v>0.21385376580538756</v>
      </c>
      <c r="K11" s="1"/>
    </row>
    <row r="12" spans="3:13">
      <c r="C12" s="3"/>
      <c r="D12" s="2"/>
      <c r="E12" s="1"/>
      <c r="H12" s="2"/>
      <c r="I12" s="1">
        <f>H12/$H$3</f>
        <v>0</v>
      </c>
      <c r="K12" s="1"/>
    </row>
    <row r="13" spans="3:13">
      <c r="C13" s="3" t="s">
        <v>22</v>
      </c>
      <c r="D13" s="2">
        <f>D6-D11</f>
        <v>10466</v>
      </c>
      <c r="E13" s="1">
        <f>D13/$D$3</f>
        <v>0.12508067022014008</v>
      </c>
      <c r="H13" s="2">
        <f>H6-H11</f>
        <v>10226</v>
      </c>
      <c r="I13" s="1">
        <f>H13/$H$3</f>
        <v>0.122212395726271</v>
      </c>
      <c r="K13" s="1"/>
    </row>
    <row r="14" spans="3:13">
      <c r="C14" s="3"/>
      <c r="E14" s="1"/>
    </row>
    <row r="15" spans="3:13">
      <c r="C15" s="3" t="s">
        <v>23</v>
      </c>
      <c r="D15">
        <v>9153</v>
      </c>
      <c r="E15" s="1"/>
      <c r="H15" s="2">
        <f>H13-1313</f>
        <v>8913</v>
      </c>
    </row>
    <row r="16" spans="3:13">
      <c r="C16" s="3" t="s">
        <v>24</v>
      </c>
      <c r="D16">
        <v>2196</v>
      </c>
      <c r="E16" s="1"/>
      <c r="G16" s="2">
        <f>1-43</f>
        <v>-42</v>
      </c>
      <c r="H16" s="2">
        <f>D16+G16</f>
        <v>2154</v>
      </c>
    </row>
    <row r="17" spans="3:11">
      <c r="C17" s="3" t="s">
        <v>25</v>
      </c>
      <c r="D17">
        <f>D15-D16</f>
        <v>6957</v>
      </c>
      <c r="E17" s="1"/>
      <c r="H17" s="2">
        <f>H15-H16</f>
        <v>6759</v>
      </c>
      <c r="K17" s="2"/>
    </row>
    <row r="18" spans="3:11">
      <c r="C18" s="4" t="s">
        <v>26</v>
      </c>
      <c r="D18" s="1">
        <f>D16/D15</f>
        <v>0.23992133726647</v>
      </c>
      <c r="E18" s="1"/>
      <c r="H18" s="1">
        <f>H16/H15</f>
        <v>0.24166947155839785</v>
      </c>
    </row>
  </sheetData>
  <mergeCells count="1">
    <mergeCell ref="F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9A049-962D-43E4-A767-57DCE1352C3E}">
  <dimension ref="C1:I19"/>
  <sheetViews>
    <sheetView workbookViewId="0">
      <selection activeCell="D22" sqref="D22"/>
    </sheetView>
  </sheetViews>
  <sheetFormatPr defaultRowHeight="15"/>
  <cols>
    <col min="3" max="3" width="25.85546875" customWidth="1"/>
    <col min="4" max="4" width="20.7109375" customWidth="1"/>
    <col min="6" max="6" width="18.85546875" customWidth="1"/>
    <col min="7" max="7" width="19.5703125" customWidth="1"/>
    <col min="8" max="8" width="22.5703125" customWidth="1"/>
    <col min="9" max="9" width="11.7109375" customWidth="1"/>
  </cols>
  <sheetData>
    <row r="1" spans="3:9">
      <c r="F1" s="8" t="s">
        <v>0</v>
      </c>
      <c r="G1" s="8"/>
    </row>
    <row r="2" spans="3:9">
      <c r="D2" s="5" t="s">
        <v>1</v>
      </c>
      <c r="E2" s="5" t="s">
        <v>2</v>
      </c>
      <c r="F2" s="5" t="s">
        <v>3</v>
      </c>
      <c r="G2" s="5" t="s">
        <v>4</v>
      </c>
      <c r="H2" s="5" t="s">
        <v>5</v>
      </c>
      <c r="I2" s="5" t="s">
        <v>2</v>
      </c>
    </row>
    <row r="3" spans="3:9">
      <c r="C3" s="3" t="s">
        <v>8</v>
      </c>
      <c r="D3" s="2">
        <v>86377</v>
      </c>
      <c r="E3" s="1">
        <f>D3/$D$3</f>
        <v>1</v>
      </c>
      <c r="F3" s="1"/>
      <c r="H3" s="2">
        <f>D3+SUM(F3:G3)</f>
        <v>86377</v>
      </c>
      <c r="I3" s="1">
        <f>H3/$H$3</f>
        <v>1</v>
      </c>
    </row>
    <row r="4" spans="3:9">
      <c r="C4" s="3" t="s">
        <v>9</v>
      </c>
      <c r="D4" s="2">
        <v>57533</v>
      </c>
      <c r="E4" s="1">
        <f>D4/$D$3</f>
        <v>0.66606851360894681</v>
      </c>
      <c r="F4" s="2">
        <f>1717-1923</f>
        <v>-206</v>
      </c>
      <c r="H4" s="2">
        <f t="shared" ref="H4:H9" si="0">D4+SUM(F4:G4)</f>
        <v>57327</v>
      </c>
      <c r="I4" s="1">
        <f t="shared" ref="I4:I13" si="1">H4/$H$3</f>
        <v>0.66368361948203802</v>
      </c>
    </row>
    <row r="5" spans="3:9">
      <c r="C5" s="3"/>
      <c r="D5" s="2"/>
      <c r="E5" s="1"/>
      <c r="H5" s="2"/>
      <c r="I5" s="1"/>
    </row>
    <row r="6" spans="3:9">
      <c r="C6" s="3" t="s">
        <v>12</v>
      </c>
      <c r="D6" s="2">
        <f>D3-D4</f>
        <v>28844</v>
      </c>
      <c r="E6" s="1">
        <f t="shared" ref="E6:E13" si="2">D6/$D$3</f>
        <v>0.33393148639105319</v>
      </c>
      <c r="H6" s="2">
        <f>H3-H4</f>
        <v>29050</v>
      </c>
      <c r="I6" s="1">
        <f t="shared" si="1"/>
        <v>0.33631638051796198</v>
      </c>
    </row>
    <row r="7" spans="3:9">
      <c r="C7" s="3"/>
      <c r="D7" s="2"/>
      <c r="E7" s="1"/>
      <c r="H7" s="2"/>
      <c r="I7" s="1">
        <f t="shared" si="1"/>
        <v>0</v>
      </c>
    </row>
    <row r="8" spans="3:9">
      <c r="C8" s="3" t="s">
        <v>15</v>
      </c>
      <c r="D8" s="2">
        <v>15570</v>
      </c>
      <c r="E8" s="1">
        <f t="shared" si="2"/>
        <v>0.18025631823286292</v>
      </c>
      <c r="G8" s="2">
        <f>63</f>
        <v>63</v>
      </c>
      <c r="H8" s="2">
        <f t="shared" si="0"/>
        <v>15633</v>
      </c>
      <c r="I8" s="1">
        <f t="shared" si="1"/>
        <v>0.1809856790580826</v>
      </c>
    </row>
    <row r="9" spans="3:9">
      <c r="C9" s="3" t="s">
        <v>18</v>
      </c>
      <c r="D9" s="2">
        <v>1717</v>
      </c>
      <c r="E9" s="1">
        <f t="shared" si="2"/>
        <v>1.9877976776225152E-2</v>
      </c>
      <c r="F9" s="2">
        <f>-F4</f>
        <v>206</v>
      </c>
      <c r="H9" s="2">
        <f t="shared" si="0"/>
        <v>1923</v>
      </c>
      <c r="I9" s="1">
        <f t="shared" si="1"/>
        <v>2.2262870903133936E-2</v>
      </c>
    </row>
    <row r="10" spans="3:9">
      <c r="C10" s="3"/>
      <c r="D10" s="2"/>
      <c r="E10" s="1"/>
      <c r="H10" s="2"/>
      <c r="I10" s="1">
        <f t="shared" si="1"/>
        <v>0</v>
      </c>
    </row>
    <row r="11" spans="3:9">
      <c r="C11" s="3" t="s">
        <v>21</v>
      </c>
      <c r="D11" s="2">
        <f>SUM(D8:D9)</f>
        <v>17287</v>
      </c>
      <c r="E11" s="1">
        <f t="shared" si="2"/>
        <v>0.20013429500908808</v>
      </c>
      <c r="H11" s="2">
        <f>SUM(H8:H9)</f>
        <v>17556</v>
      </c>
      <c r="I11" s="1">
        <f t="shared" si="1"/>
        <v>0.20324854996121652</v>
      </c>
    </row>
    <row r="12" spans="3:9">
      <c r="C12" s="3"/>
      <c r="D12" s="2"/>
      <c r="E12" s="1"/>
      <c r="H12" s="2"/>
      <c r="I12" s="1">
        <f t="shared" si="1"/>
        <v>0</v>
      </c>
    </row>
    <row r="13" spans="3:9">
      <c r="C13" s="3" t="s">
        <v>22</v>
      </c>
      <c r="D13" s="2">
        <f>D6-D11</f>
        <v>11557</v>
      </c>
      <c r="E13" s="1">
        <f t="shared" si="2"/>
        <v>0.13379719138196511</v>
      </c>
      <c r="H13" s="2">
        <f>H6-H11</f>
        <v>11494</v>
      </c>
      <c r="I13" s="1">
        <f t="shared" si="1"/>
        <v>0.13306783055674543</v>
      </c>
    </row>
    <row r="14" spans="3:9">
      <c r="C14" s="3"/>
      <c r="E14" s="1"/>
    </row>
    <row r="15" spans="3:9">
      <c r="C15" s="3" t="s">
        <v>23</v>
      </c>
      <c r="D15" s="2">
        <f>D13-1382</f>
        <v>10175</v>
      </c>
      <c r="E15" s="1"/>
      <c r="H15" s="2">
        <f>H13-1382</f>
        <v>10112</v>
      </c>
    </row>
    <row r="16" spans="3:9">
      <c r="C16" s="3" t="s">
        <v>24</v>
      </c>
      <c r="D16">
        <v>2449</v>
      </c>
      <c r="E16" s="1"/>
      <c r="G16" s="2">
        <f>1</f>
        <v>1</v>
      </c>
      <c r="H16" s="2">
        <f>D16+G16</f>
        <v>2450</v>
      </c>
    </row>
    <row r="17" spans="3:8">
      <c r="C17" s="3" t="s">
        <v>25</v>
      </c>
      <c r="D17">
        <f>D15-D16</f>
        <v>7726</v>
      </c>
      <c r="E17" s="1"/>
      <c r="H17" s="2">
        <f>H15-H16</f>
        <v>7662</v>
      </c>
    </row>
    <row r="18" spans="3:8">
      <c r="C18" s="4" t="s">
        <v>26</v>
      </c>
      <c r="D18" s="1">
        <f>D16/D15</f>
        <v>0.24068796068796069</v>
      </c>
      <c r="E18" s="1"/>
      <c r="H18" s="1">
        <f>H16/H15</f>
        <v>0.24228639240506328</v>
      </c>
    </row>
    <row r="19" spans="3:8">
      <c r="C19" s="4"/>
      <c r="D19" s="1"/>
      <c r="E19" s="1"/>
      <c r="H19" s="1"/>
    </row>
  </sheetData>
  <mergeCells count="1">
    <mergeCell ref="F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30C68-DAEC-4DD7-ABA8-2134C68531EA}">
  <dimension ref="B1:F17"/>
  <sheetViews>
    <sheetView workbookViewId="0">
      <selection activeCell="F19" sqref="F19"/>
    </sheetView>
  </sheetViews>
  <sheetFormatPr defaultRowHeight="15"/>
  <cols>
    <col min="2" max="2" width="35.140625" bestFit="1" customWidth="1"/>
    <col min="4" max="4" width="19" customWidth="1"/>
    <col min="6" max="6" width="19.42578125" customWidth="1"/>
    <col min="8" max="8" width="11" bestFit="1" customWidth="1"/>
  </cols>
  <sheetData>
    <row r="1" spans="2:6">
      <c r="D1" s="4" t="s">
        <v>27</v>
      </c>
      <c r="E1" s="4"/>
      <c r="F1" s="4" t="s">
        <v>28</v>
      </c>
    </row>
    <row r="2" spans="2:6">
      <c r="B2" s="4" t="s">
        <v>29</v>
      </c>
      <c r="D2" s="2">
        <v>20358</v>
      </c>
      <c r="E2" s="2"/>
      <c r="F2" s="2">
        <v>19071</v>
      </c>
    </row>
    <row r="3" spans="2:6">
      <c r="B3" s="4" t="s">
        <v>30</v>
      </c>
      <c r="D3" s="2">
        <v>18757</v>
      </c>
      <c r="E3" s="2"/>
      <c r="F3" s="2">
        <v>15568</v>
      </c>
    </row>
    <row r="4" spans="2:6">
      <c r="B4" s="4" t="s">
        <v>31</v>
      </c>
      <c r="D4" s="2">
        <v>2586</v>
      </c>
      <c r="E4" s="2"/>
      <c r="F4" s="2">
        <v>537</v>
      </c>
    </row>
    <row r="5" spans="2:6">
      <c r="B5" s="4" t="s">
        <v>32</v>
      </c>
      <c r="D5" s="2">
        <v>43102</v>
      </c>
      <c r="E5" s="2"/>
      <c r="F5" s="2">
        <v>41795</v>
      </c>
    </row>
    <row r="6" spans="2:6">
      <c r="B6" s="4"/>
    </row>
    <row r="7" spans="2:6">
      <c r="B7" s="4" t="s">
        <v>33</v>
      </c>
      <c r="D7">
        <f>D5-D2</f>
        <v>22744</v>
      </c>
      <c r="F7">
        <f>F5-F2</f>
        <v>22724</v>
      </c>
    </row>
    <row r="8" spans="2:6">
      <c r="B8" s="4" t="s">
        <v>34</v>
      </c>
      <c r="D8">
        <f>D2-(D3-D4)</f>
        <v>4187</v>
      </c>
      <c r="F8">
        <f>F2-(F3-F4)</f>
        <v>4040</v>
      </c>
    </row>
    <row r="9" spans="2:6">
      <c r="B9" s="4" t="s">
        <v>8</v>
      </c>
      <c r="D9" s="2">
        <f>'Lowe''s FY2024'!H3</f>
        <v>83674</v>
      </c>
    </row>
    <row r="10" spans="2:6">
      <c r="B10" s="4" t="s">
        <v>35</v>
      </c>
      <c r="D10" s="2">
        <f>'Lowe''s FY2024'!H13*(1-'Lowe''s FY2024'!H18)</f>
        <v>7754.6879838438244</v>
      </c>
    </row>
    <row r="11" spans="2:6">
      <c r="B11" s="4" t="s">
        <v>36</v>
      </c>
      <c r="D11" s="2">
        <f>D8+D7</f>
        <v>26931</v>
      </c>
      <c r="E11" s="2"/>
      <c r="F11" s="2">
        <f>F8+F7</f>
        <v>26764</v>
      </c>
    </row>
    <row r="12" spans="2:6">
      <c r="B12" s="4" t="s">
        <v>37</v>
      </c>
      <c r="D12" s="2">
        <f>AVERAGE(D11,F11)</f>
        <v>26847.5</v>
      </c>
      <c r="E12" s="2"/>
      <c r="F12" s="2"/>
    </row>
    <row r="13" spans="2:6">
      <c r="B13" s="4"/>
    </row>
    <row r="14" spans="2:6">
      <c r="B14" s="4" t="s">
        <v>38</v>
      </c>
      <c r="D14" s="7">
        <f>D10/D9</f>
        <v>9.2677390633217296E-2</v>
      </c>
    </row>
    <row r="15" spans="2:6">
      <c r="B15" s="4" t="s">
        <v>39</v>
      </c>
      <c r="D15" s="7">
        <f>D9/D12</f>
        <v>3.1166402830803612</v>
      </c>
      <c r="F15" s="1"/>
    </row>
    <row r="16" spans="2:6">
      <c r="B16" s="4"/>
    </row>
    <row r="17" spans="2:4">
      <c r="B17" s="4" t="s">
        <v>40</v>
      </c>
      <c r="D17" s="1">
        <f>D14*D15</f>
        <v>0.28884208897825958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5D763-BEBA-4FD6-A741-B899827FEE46}">
  <dimension ref="C2:K18"/>
  <sheetViews>
    <sheetView workbookViewId="0">
      <selection activeCell="K6" sqref="K6"/>
    </sheetView>
  </sheetViews>
  <sheetFormatPr defaultRowHeight="15"/>
  <cols>
    <col min="3" max="3" width="26" customWidth="1"/>
    <col min="4" max="4" width="15.85546875" customWidth="1"/>
    <col min="6" max="6" width="23" customWidth="1"/>
    <col min="7" max="7" width="20.5703125" bestFit="1" customWidth="1"/>
    <col min="8" max="8" width="15.140625" customWidth="1"/>
    <col min="10" max="10" width="12" customWidth="1"/>
    <col min="11" max="11" width="9.42578125" bestFit="1" customWidth="1"/>
  </cols>
  <sheetData>
    <row r="2" spans="3:11">
      <c r="D2" s="5" t="s">
        <v>1</v>
      </c>
      <c r="E2" s="5" t="s">
        <v>2</v>
      </c>
      <c r="F2" s="5" t="s">
        <v>3</v>
      </c>
      <c r="G2" s="5" t="s">
        <v>41</v>
      </c>
      <c r="H2" s="5" t="s">
        <v>5</v>
      </c>
      <c r="I2" s="5" t="s">
        <v>2</v>
      </c>
    </row>
    <row r="3" spans="3:11">
      <c r="C3" s="3" t="s">
        <v>8</v>
      </c>
      <c r="D3" s="2">
        <v>159514</v>
      </c>
      <c r="E3" s="1">
        <f>D3/$D$3</f>
        <v>1</v>
      </c>
      <c r="F3" s="2"/>
      <c r="H3" s="2">
        <f>D3+F3+G3</f>
        <v>159514</v>
      </c>
      <c r="I3" s="1">
        <f>H3/$H$3</f>
        <v>1</v>
      </c>
      <c r="K3" s="1"/>
    </row>
    <row r="4" spans="3:11">
      <c r="C4" s="3" t="s">
        <v>9</v>
      </c>
      <c r="D4" s="2">
        <v>106206</v>
      </c>
      <c r="E4" s="1">
        <f t="shared" ref="E4:E13" si="0">D4/$D$3</f>
        <v>0.66580989756385023</v>
      </c>
      <c r="F4" s="2">
        <f>3034-3336</f>
        <v>-302</v>
      </c>
      <c r="H4" s="2">
        <f>D4+F4+G4</f>
        <v>105904</v>
      </c>
      <c r="I4" s="1">
        <f t="shared" ref="I4:I13" si="1">H4/$H$3</f>
        <v>0.66391664681469964</v>
      </c>
      <c r="K4" s="1">
        <f>I4-'Home Depot FY2023'!I4</f>
        <v>1.4704396606605163E-3</v>
      </c>
    </row>
    <row r="5" spans="3:11">
      <c r="C5" s="3"/>
      <c r="D5" s="2"/>
      <c r="E5" s="1"/>
      <c r="F5" s="2"/>
      <c r="I5" s="1"/>
      <c r="K5" s="1"/>
    </row>
    <row r="6" spans="3:11">
      <c r="C6" s="3" t="s">
        <v>12</v>
      </c>
      <c r="D6" s="2">
        <f>D3-D4</f>
        <v>53308</v>
      </c>
      <c r="E6" s="1">
        <f t="shared" si="0"/>
        <v>0.33419010243614983</v>
      </c>
      <c r="F6" s="2"/>
      <c r="H6" s="2">
        <f>H3-H4</f>
        <v>53610</v>
      </c>
      <c r="I6" s="1">
        <f t="shared" si="1"/>
        <v>0.33608335318530036</v>
      </c>
      <c r="K6" s="6">
        <f>I6-'Home Depot FY2023'!I6</f>
        <v>-1.4704396606605163E-3</v>
      </c>
    </row>
    <row r="7" spans="3:11">
      <c r="C7" s="3"/>
      <c r="D7" s="2"/>
      <c r="E7" s="1"/>
      <c r="F7" s="2"/>
      <c r="I7" s="1"/>
      <c r="K7" s="1"/>
    </row>
    <row r="8" spans="3:11">
      <c r="C8" s="3" t="s">
        <v>15</v>
      </c>
      <c r="D8" s="2">
        <v>28748</v>
      </c>
      <c r="E8" s="1">
        <f t="shared" si="0"/>
        <v>0.1802224256178141</v>
      </c>
      <c r="F8" s="2"/>
      <c r="H8" s="2">
        <f>D8+SUM(F8:G8)</f>
        <v>28748</v>
      </c>
      <c r="I8" s="1">
        <f t="shared" si="1"/>
        <v>0.1802224256178141</v>
      </c>
      <c r="K8" s="1">
        <f>I8-'Home Depot FY2023'!I8</f>
        <v>6.0023809460077737E-3</v>
      </c>
    </row>
    <row r="9" spans="3:11">
      <c r="C9" s="3" t="s">
        <v>18</v>
      </c>
      <c r="D9" s="2">
        <v>3034</v>
      </c>
      <c r="E9" s="1">
        <f t="shared" si="0"/>
        <v>1.9020274082525671E-2</v>
      </c>
      <c r="F9" s="2">
        <f>-F4</f>
        <v>302</v>
      </c>
      <c r="H9" s="2">
        <f>D9+SUM(F9:G9)</f>
        <v>3336</v>
      </c>
      <c r="I9" s="1">
        <f t="shared" si="1"/>
        <v>2.0913524831676217E-2</v>
      </c>
      <c r="K9" s="1">
        <f>I9-'Home Depot FY2023'!I9</f>
        <v>-3.547090599455259E-4</v>
      </c>
    </row>
    <row r="10" spans="3:11">
      <c r="C10" s="3"/>
      <c r="D10" s="2"/>
      <c r="E10" s="1"/>
      <c r="F10" s="2"/>
      <c r="I10" s="1"/>
      <c r="K10" s="1"/>
    </row>
    <row r="11" spans="3:11">
      <c r="C11" s="3" t="s">
        <v>21</v>
      </c>
      <c r="D11" s="2">
        <f>D8+D9</f>
        <v>31782</v>
      </c>
      <c r="E11" s="1">
        <f t="shared" si="0"/>
        <v>0.19924269970033978</v>
      </c>
      <c r="F11" s="2"/>
      <c r="H11" s="2">
        <f>SUM(H8:H9)</f>
        <v>32084</v>
      </c>
      <c r="I11" s="1">
        <f t="shared" si="1"/>
        <v>0.20113595044949031</v>
      </c>
      <c r="K11" s="1">
        <f>I11-'Home Depot FY2023'!I11</f>
        <v>5.6476718860622444E-3</v>
      </c>
    </row>
    <row r="12" spans="3:11">
      <c r="C12" s="3"/>
      <c r="D12" s="2"/>
      <c r="E12" s="1"/>
      <c r="F12" s="2"/>
      <c r="I12" s="1"/>
      <c r="K12" s="1"/>
    </row>
    <row r="13" spans="3:11">
      <c r="C13" s="3" t="s">
        <v>22</v>
      </c>
      <c r="D13" s="2">
        <f>D6-D11</f>
        <v>21526</v>
      </c>
      <c r="E13" s="1">
        <f t="shared" si="0"/>
        <v>0.13494740273581002</v>
      </c>
      <c r="F13" s="2"/>
      <c r="G13" s="2">
        <v>425</v>
      </c>
      <c r="H13" s="2">
        <f>H6-H11+G13</f>
        <v>21951</v>
      </c>
      <c r="I13" s="1">
        <f t="shared" si="1"/>
        <v>0.1376117456774954</v>
      </c>
      <c r="J13" s="2"/>
      <c r="K13" s="1">
        <f>I13-'Home Depot FY2023'!I13</f>
        <v>-4.4537686050374059E-3</v>
      </c>
    </row>
    <row r="14" spans="3:11">
      <c r="C14" s="3"/>
      <c r="D14" s="2"/>
    </row>
    <row r="15" spans="3:11">
      <c r="C15" s="3" t="s">
        <v>23</v>
      </c>
      <c r="D15" s="2">
        <f>D13-2120</f>
        <v>19406</v>
      </c>
      <c r="H15" s="2">
        <f>H13-2120</f>
        <v>19831</v>
      </c>
    </row>
    <row r="16" spans="3:11">
      <c r="C16" s="3" t="s">
        <v>24</v>
      </c>
      <c r="D16" s="2">
        <v>4600</v>
      </c>
      <c r="G16" s="2">
        <v>-107</v>
      </c>
      <c r="H16" s="2">
        <f>D16+G16+F16</f>
        <v>4493</v>
      </c>
      <c r="J16" s="2"/>
    </row>
    <row r="17" spans="3:8">
      <c r="C17" s="3" t="s">
        <v>25</v>
      </c>
      <c r="D17" s="2">
        <f>D15-D16</f>
        <v>14806</v>
      </c>
      <c r="H17" s="2">
        <f>H15-H16</f>
        <v>15338</v>
      </c>
    </row>
    <row r="18" spans="3:8">
      <c r="C18" s="4" t="s">
        <v>26</v>
      </c>
      <c r="D18" s="1">
        <f>D16/D15</f>
        <v>0.23704009069359991</v>
      </c>
      <c r="H18" s="1">
        <f>H16/H15</f>
        <v>0.22656446976955272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F6E75-1A37-4CAF-88A3-D9BD58BC3B34}">
  <dimension ref="C2:K18"/>
  <sheetViews>
    <sheetView workbookViewId="0">
      <selection activeCell="K10" sqref="K10"/>
    </sheetView>
  </sheetViews>
  <sheetFormatPr defaultRowHeight="15"/>
  <cols>
    <col min="3" max="3" width="25.7109375" customWidth="1"/>
    <col min="4" max="4" width="14.7109375" customWidth="1"/>
    <col min="5" max="5" width="10.28515625" customWidth="1"/>
    <col min="6" max="6" width="20.42578125" customWidth="1"/>
    <col min="7" max="7" width="21.28515625" customWidth="1"/>
    <col min="8" max="8" width="20.85546875" customWidth="1"/>
    <col min="9" max="9" width="10.28515625" customWidth="1"/>
  </cols>
  <sheetData>
    <row r="2" spans="3:11">
      <c r="D2" s="5" t="s">
        <v>1</v>
      </c>
      <c r="E2" s="5" t="s">
        <v>2</v>
      </c>
      <c r="F2" s="5" t="s">
        <v>3</v>
      </c>
      <c r="G2" s="5" t="s">
        <v>42</v>
      </c>
      <c r="H2" s="5" t="s">
        <v>5</v>
      </c>
      <c r="I2" s="5" t="s">
        <v>2</v>
      </c>
    </row>
    <row r="3" spans="3:11">
      <c r="C3" s="3" t="s">
        <v>8</v>
      </c>
      <c r="D3" s="2">
        <v>152669</v>
      </c>
      <c r="E3" s="1">
        <f>D3/$D$3</f>
        <v>1</v>
      </c>
      <c r="F3" s="2"/>
      <c r="H3" s="2">
        <f>D3+F3+G3</f>
        <v>152669</v>
      </c>
      <c r="I3" s="1">
        <f>H3/$H$3</f>
        <v>1</v>
      </c>
    </row>
    <row r="4" spans="3:11">
      <c r="C4" s="3" t="s">
        <v>9</v>
      </c>
      <c r="D4" s="2">
        <v>101709</v>
      </c>
      <c r="E4" s="1">
        <f t="shared" ref="E4:E13" si="0">D4/$D$3</f>
        <v>0.66620597501784906</v>
      </c>
      <c r="F4" s="2">
        <f>2673-3247</f>
        <v>-574</v>
      </c>
      <c r="H4" s="2">
        <f>D4+F4+G4</f>
        <v>101135</v>
      </c>
      <c r="I4" s="1">
        <f t="shared" ref="I4:I13" si="1">H4/$H$3</f>
        <v>0.66244620715403912</v>
      </c>
      <c r="K4" s="1"/>
    </row>
    <row r="5" spans="3:11">
      <c r="C5" s="3"/>
      <c r="D5" s="2"/>
      <c r="E5" s="1"/>
      <c r="F5" s="2"/>
      <c r="I5" s="1"/>
    </row>
    <row r="6" spans="3:11">
      <c r="C6" s="3" t="s">
        <v>12</v>
      </c>
      <c r="D6" s="2">
        <f>D3-D4</f>
        <v>50960</v>
      </c>
      <c r="E6" s="1">
        <f t="shared" si="0"/>
        <v>0.33379402498215094</v>
      </c>
      <c r="F6" s="2"/>
      <c r="H6" s="2">
        <f>H3-H4</f>
        <v>51534</v>
      </c>
      <c r="I6" s="1">
        <f t="shared" si="1"/>
        <v>0.33755379284596088</v>
      </c>
    </row>
    <row r="7" spans="3:11">
      <c r="C7" s="3"/>
      <c r="D7" s="2"/>
      <c r="E7" s="1"/>
      <c r="F7" s="2"/>
      <c r="I7" s="1"/>
    </row>
    <row r="8" spans="3:11">
      <c r="C8" s="3" t="s">
        <v>15</v>
      </c>
      <c r="D8" s="2">
        <v>26598</v>
      </c>
      <c r="E8" s="1">
        <f t="shared" si="0"/>
        <v>0.17422004467180632</v>
      </c>
      <c r="F8" s="2"/>
      <c r="H8" s="2">
        <f>D8+SUM(F8:G8)</f>
        <v>26598</v>
      </c>
      <c r="I8" s="1">
        <f t="shared" si="1"/>
        <v>0.17422004467180632</v>
      </c>
    </row>
    <row r="9" spans="3:11">
      <c r="C9" s="3" t="s">
        <v>18</v>
      </c>
      <c r="D9" s="2">
        <v>2673</v>
      </c>
      <c r="E9" s="1">
        <f t="shared" si="0"/>
        <v>1.7508466027811802E-2</v>
      </c>
      <c r="F9" s="2">
        <f>-F4</f>
        <v>574</v>
      </c>
      <c r="H9" s="2">
        <f>D9+SUM(F9:G9)</f>
        <v>3247</v>
      </c>
      <c r="I9" s="1">
        <f t="shared" si="1"/>
        <v>2.1268233891621743E-2</v>
      </c>
    </row>
    <row r="10" spans="3:11">
      <c r="C10" s="3"/>
      <c r="D10" s="2"/>
      <c r="E10" s="1"/>
      <c r="F10" s="2"/>
      <c r="I10" s="1"/>
    </row>
    <row r="11" spans="3:11">
      <c r="C11" s="3" t="s">
        <v>21</v>
      </c>
      <c r="D11" s="2">
        <f>D8+D9</f>
        <v>29271</v>
      </c>
      <c r="E11" s="1">
        <f t="shared" si="0"/>
        <v>0.19172851069961813</v>
      </c>
      <c r="F11" s="2"/>
      <c r="H11" s="2">
        <f>SUM(H8:H9)</f>
        <v>29845</v>
      </c>
      <c r="I11" s="1">
        <f t="shared" si="1"/>
        <v>0.19548827856342807</v>
      </c>
    </row>
    <row r="12" spans="3:11">
      <c r="C12" s="3"/>
      <c r="D12" s="2"/>
      <c r="E12" s="1"/>
      <c r="F12" s="2"/>
      <c r="I12" s="1"/>
    </row>
    <row r="13" spans="3:11">
      <c r="C13" s="3" t="s">
        <v>22</v>
      </c>
      <c r="D13" s="2">
        <f>D6-D11</f>
        <v>21689</v>
      </c>
      <c r="E13" s="1">
        <f t="shared" si="0"/>
        <v>0.14206551428253281</v>
      </c>
      <c r="F13" s="2"/>
      <c r="G13" s="2"/>
      <c r="H13" s="2">
        <f>H6-H11</f>
        <v>21689</v>
      </c>
      <c r="I13" s="1">
        <f t="shared" si="1"/>
        <v>0.14206551428253281</v>
      </c>
    </row>
    <row r="14" spans="3:11">
      <c r="C14" s="3"/>
      <c r="D14" s="2"/>
    </row>
    <row r="15" spans="3:11">
      <c r="C15" s="3" t="s">
        <v>23</v>
      </c>
      <c r="D15" s="2">
        <f>D13-1765</f>
        <v>19924</v>
      </c>
      <c r="G15" s="2">
        <v>-58</v>
      </c>
      <c r="H15" s="2">
        <f>H13-2120-G15</f>
        <v>19627</v>
      </c>
    </row>
    <row r="16" spans="3:11">
      <c r="C16" s="3" t="s">
        <v>24</v>
      </c>
      <c r="D16" s="2">
        <v>4781</v>
      </c>
      <c r="G16" s="2">
        <v>14</v>
      </c>
      <c r="H16" s="2">
        <f>D16+G16+F16</f>
        <v>4795</v>
      </c>
    </row>
    <row r="17" spans="3:8">
      <c r="C17" s="3" t="s">
        <v>25</v>
      </c>
      <c r="D17" s="2">
        <f>D15-D16</f>
        <v>15143</v>
      </c>
      <c r="H17" s="2">
        <f>H15-H16</f>
        <v>14832</v>
      </c>
    </row>
    <row r="18" spans="3:8">
      <c r="C18" s="4" t="s">
        <v>26</v>
      </c>
      <c r="D18" s="1">
        <f>D16/D15</f>
        <v>0.23996185504918691</v>
      </c>
      <c r="H18" s="1">
        <f>H16/H15</f>
        <v>0.2443063127324604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C8DE6-C8C6-411E-99CF-1ECFF0057BBC}">
  <dimension ref="B1:F17"/>
  <sheetViews>
    <sheetView workbookViewId="0">
      <selection activeCell="F17" sqref="F17"/>
    </sheetView>
  </sheetViews>
  <sheetFormatPr defaultRowHeight="15"/>
  <cols>
    <col min="2" max="2" width="35.140625" bestFit="1" customWidth="1"/>
    <col min="4" max="4" width="19" customWidth="1"/>
    <col min="6" max="6" width="19.42578125" customWidth="1"/>
  </cols>
  <sheetData>
    <row r="1" spans="2:6">
      <c r="D1" s="4" t="s">
        <v>27</v>
      </c>
      <c r="E1" s="4"/>
      <c r="F1" s="4" t="s">
        <v>28</v>
      </c>
    </row>
    <row r="2" spans="2:6">
      <c r="B2" s="4" t="s">
        <v>29</v>
      </c>
      <c r="D2" s="2">
        <v>31683</v>
      </c>
      <c r="F2" s="2">
        <v>29775</v>
      </c>
    </row>
    <row r="3" spans="2:6">
      <c r="B3" s="4" t="s">
        <v>30</v>
      </c>
      <c r="D3" s="2">
        <v>28661</v>
      </c>
      <c r="F3" s="2">
        <v>22015</v>
      </c>
    </row>
    <row r="4" spans="2:6">
      <c r="B4" s="4" t="s">
        <v>31</v>
      </c>
      <c r="D4" s="2">
        <v>4898</v>
      </c>
      <c r="F4" s="2">
        <v>1368</v>
      </c>
    </row>
    <row r="5" spans="2:6">
      <c r="B5" s="4" t="s">
        <v>32</v>
      </c>
      <c r="D5" s="2">
        <v>96119</v>
      </c>
      <c r="F5" s="2">
        <v>76530</v>
      </c>
    </row>
    <row r="6" spans="2:6">
      <c r="B6" s="4"/>
    </row>
    <row r="7" spans="2:6">
      <c r="B7" s="4" t="s">
        <v>33</v>
      </c>
      <c r="D7" s="2">
        <f>D5-D2</f>
        <v>64436</v>
      </c>
      <c r="E7" s="2"/>
      <c r="F7" s="2">
        <f>F5-F2</f>
        <v>46755</v>
      </c>
    </row>
    <row r="8" spans="2:6">
      <c r="B8" s="4" t="s">
        <v>34</v>
      </c>
      <c r="D8" s="2">
        <f>D2-(D3-D4)</f>
        <v>7920</v>
      </c>
      <c r="E8" s="2"/>
      <c r="F8" s="2">
        <f>F2-(F3-F4)</f>
        <v>9128</v>
      </c>
    </row>
    <row r="9" spans="2:6">
      <c r="B9" s="4" t="s">
        <v>8</v>
      </c>
      <c r="D9" s="2">
        <f>'Home Depot FY2024'!H3</f>
        <v>159514</v>
      </c>
    </row>
    <row r="10" spans="2:6">
      <c r="B10" s="4" t="s">
        <v>35</v>
      </c>
      <c r="D10" s="2">
        <f>'Home Depot FY2024'!H13*(1-'Home Depot FY2024'!H18)</f>
        <v>16977.68332408855</v>
      </c>
    </row>
    <row r="11" spans="2:6">
      <c r="B11" s="4" t="s">
        <v>36</v>
      </c>
      <c r="D11" s="2">
        <f>D8+D7</f>
        <v>72356</v>
      </c>
      <c r="E11" s="2"/>
      <c r="F11" s="2">
        <f>F8+F7</f>
        <v>55883</v>
      </c>
    </row>
    <row r="12" spans="2:6">
      <c r="B12" s="4" t="s">
        <v>37</v>
      </c>
      <c r="D12" s="2">
        <f>AVERAGE(D11,F11)</f>
        <v>64119.5</v>
      </c>
      <c r="E12" s="2"/>
      <c r="F12" s="2"/>
    </row>
    <row r="13" spans="2:6">
      <c r="B13" s="4"/>
    </row>
    <row r="14" spans="2:6">
      <c r="B14" s="4" t="s">
        <v>38</v>
      </c>
      <c r="D14" s="7">
        <f>D10/D9</f>
        <v>0.10643381348401112</v>
      </c>
    </row>
    <row r="15" spans="2:6">
      <c r="B15" s="4" t="s">
        <v>39</v>
      </c>
      <c r="D15" s="7">
        <f>D9/D12</f>
        <v>2.4877611335085272</v>
      </c>
    </row>
    <row r="16" spans="2:6">
      <c r="B16" s="4"/>
    </row>
    <row r="17" spans="2:4">
      <c r="B17" s="4" t="s">
        <v>40</v>
      </c>
      <c r="D17" s="1">
        <f>D14*D15</f>
        <v>0.2647819044766187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2025-04-27T06:52:47Z</dcterms:created>
  <dcterms:modified xsi:type="dcterms:W3CDTF">2025-05-07T00:00:05Z</dcterms:modified>
  <cp:category/>
  <cp:contentStatus/>
</cp:coreProperties>
</file>