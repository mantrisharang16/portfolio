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mantri3_illinois_edu/Documents/"/>
    </mc:Choice>
  </mc:AlternateContent>
  <xr:revisionPtr revIDLastSave="0" documentId="8_{920A47D1-D753-4CC8-A180-4C159FAAF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" sheetId="3" r:id="rId1"/>
    <sheet name="DCF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F8" i="3"/>
  <c r="G8" i="3"/>
  <c r="H8" i="3"/>
  <c r="I8" i="3"/>
  <c r="J8" i="3"/>
  <c r="D8" i="3"/>
  <c r="K8" i="3"/>
  <c r="L8" i="3"/>
  <c r="M8" i="3"/>
  <c r="E57" i="1"/>
  <c r="F57" i="1"/>
  <c r="G57" i="1"/>
  <c r="H57" i="1"/>
  <c r="I57" i="1"/>
  <c r="J57" i="1"/>
  <c r="K57" i="1"/>
  <c r="L57" i="1"/>
  <c r="M57" i="1"/>
  <c r="D57" i="1"/>
  <c r="D8" i="1" s="1"/>
  <c r="E8" i="1" s="1"/>
  <c r="F8" i="1" s="1"/>
  <c r="G8" i="1" s="1"/>
  <c r="H8" i="1" s="1"/>
  <c r="I8" i="1" s="1"/>
  <c r="J8" i="1" s="1"/>
  <c r="K8" i="1" s="1"/>
  <c r="L8" i="1" s="1"/>
  <c r="M8" i="1" s="1"/>
  <c r="C64" i="1"/>
  <c r="B64" i="1"/>
  <c r="C63" i="1"/>
  <c r="B63" i="1"/>
  <c r="C80" i="1"/>
  <c r="B80" i="1"/>
  <c r="E14" i="3" a="1"/>
  <c r="E14" i="3"/>
  <c r="F14" i="3" a="1"/>
  <c r="F14" i="3"/>
  <c r="G14" i="3" a="1"/>
  <c r="G14" i="3"/>
  <c r="H14" i="3" a="1"/>
  <c r="H14" i="3"/>
  <c r="I14" i="3" a="1"/>
  <c r="I14" i="3"/>
  <c r="J14" i="3" a="1"/>
  <c r="J14" i="3"/>
  <c r="K14" i="3" a="1"/>
  <c r="K14" i="3"/>
  <c r="L14" i="3" a="1"/>
  <c r="L14" i="3"/>
  <c r="M14" i="3" a="1"/>
  <c r="M14" i="3"/>
  <c r="D14" i="3" a="1"/>
  <c r="D14" i="3"/>
  <c r="B88" i="1"/>
  <c r="B92" i="1"/>
  <c r="C29" i="1"/>
  <c r="B29" i="1"/>
  <c r="B55" i="1"/>
  <c r="B6" i="1"/>
  <c r="B100" i="1"/>
  <c r="E71" i="1"/>
  <c r="F38" i="3" a="1"/>
  <c r="F38" i="3" s="1"/>
  <c r="F71" i="1" s="1"/>
  <c r="G38" i="3" a="1"/>
  <c r="G38" i="3" s="1"/>
  <c r="G71" i="1" s="1"/>
  <c r="H38" i="3" a="1"/>
  <c r="H38" i="3" s="1"/>
  <c r="H71" i="1" s="1"/>
  <c r="I38" i="3" a="1"/>
  <c r="I38" i="3" s="1"/>
  <c r="I71" i="1" s="1"/>
  <c r="J38" i="3" a="1"/>
  <c r="J38" i="3" s="1"/>
  <c r="J71" i="1" s="1"/>
  <c r="K38" i="3" a="1"/>
  <c r="K38" i="3" s="1"/>
  <c r="K71" i="1" s="1"/>
  <c r="L38" i="3" a="1"/>
  <c r="L38" i="3" s="1"/>
  <c r="L71" i="1" s="1"/>
  <c r="M38" i="3" a="1"/>
  <c r="M38" i="3" s="1"/>
  <c r="M71" i="1" s="1"/>
  <c r="D38" i="3" a="1"/>
  <c r="D38" i="3" s="1"/>
  <c r="D71" i="1" s="1"/>
  <c r="D58" i="1" l="1"/>
  <c r="D13" i="3"/>
  <c r="M58" i="1"/>
  <c r="M13" i="3"/>
  <c r="L58" i="1"/>
  <c r="L13" i="3"/>
  <c r="K58" i="1"/>
  <c r="K13" i="3"/>
  <c r="J58" i="1"/>
  <c r="J13" i="3"/>
  <c r="I58" i="1"/>
  <c r="I13" i="3"/>
  <c r="H58" i="1"/>
  <c r="H13" i="3"/>
  <c r="G58" i="1"/>
  <c r="G13" i="3"/>
  <c r="F58" i="1"/>
  <c r="F13" i="3"/>
  <c r="E58" i="1"/>
  <c r="E13" i="3"/>
  <c r="E34" i="1"/>
  <c r="D34" i="1"/>
  <c r="E5" i="3"/>
  <c r="F5" i="3" s="1"/>
  <c r="G5" i="3" s="1"/>
  <c r="H5" i="3" s="1"/>
  <c r="I5" i="3" s="1"/>
  <c r="J5" i="3" s="1"/>
  <c r="K5" i="3" s="1"/>
  <c r="L5" i="3" s="1"/>
  <c r="M5" i="3" s="1"/>
  <c r="C57" i="1"/>
  <c r="C114" i="1"/>
  <c r="C58" i="1"/>
  <c r="B114" i="1"/>
  <c r="B58" i="1"/>
  <c r="F93" i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G93" i="1" l="1"/>
  <c r="F34" i="1"/>
  <c r="B22" i="1"/>
  <c r="B11" i="1"/>
  <c r="B60" i="1" s="1"/>
  <c r="H93" i="1" l="1"/>
  <c r="G34" i="1"/>
  <c r="B81" i="1"/>
  <c r="C22" i="1"/>
  <c r="C11" i="1"/>
  <c r="C60" i="1" s="1"/>
  <c r="C100" i="1"/>
  <c r="I93" i="1" l="1"/>
  <c r="H34" i="1"/>
  <c r="B65" i="1"/>
  <c r="C81" i="1"/>
  <c r="C18" i="1"/>
  <c r="B18" i="1"/>
  <c r="B79" i="1"/>
  <c r="D100" i="1"/>
  <c r="D102" i="1" s="1"/>
  <c r="J93" i="1" l="1"/>
  <c r="I34" i="1"/>
  <c r="C20" i="1"/>
  <c r="C67" i="1"/>
  <c r="C65" i="1"/>
  <c r="C79" i="1"/>
  <c r="B20" i="1"/>
  <c r="B67" i="1"/>
  <c r="E100" i="1"/>
  <c r="E102" i="1" s="1"/>
  <c r="K93" i="1" l="1"/>
  <c r="J34" i="1"/>
  <c r="B24" i="1"/>
  <c r="B69" i="1"/>
  <c r="C24" i="1"/>
  <c r="C69" i="1"/>
  <c r="F100" i="1"/>
  <c r="F102" i="1" s="1"/>
  <c r="L93" i="1" l="1"/>
  <c r="K34" i="1"/>
  <c r="C25" i="1"/>
  <c r="C27" i="1" s="1"/>
  <c r="C33" i="1" s="1"/>
  <c r="C73" i="1"/>
  <c r="B73" i="1"/>
  <c r="B25" i="1"/>
  <c r="B27" i="1" s="1"/>
  <c r="B33" i="1" s="1"/>
  <c r="G100" i="1"/>
  <c r="G102" i="1" s="1"/>
  <c r="M93" i="1" l="1"/>
  <c r="L34" i="1"/>
  <c r="B76" i="1"/>
  <c r="C76" i="1"/>
  <c r="H100" i="1"/>
  <c r="H102" i="1" s="1"/>
  <c r="N93" i="1" l="1"/>
  <c r="N34" i="1" s="1"/>
  <c r="M34" i="1"/>
  <c r="I100" i="1"/>
  <c r="I102" i="1" s="1"/>
  <c r="J100" i="1" l="1"/>
  <c r="J102" i="1" s="1"/>
  <c r="K100" i="1" l="1"/>
  <c r="K102" i="1" s="1"/>
  <c r="L100" i="1" l="1"/>
  <c r="L102" i="1" s="1"/>
  <c r="M100" i="1" l="1"/>
  <c r="M102" i="1" s="1"/>
  <c r="D60" i="1" l="1"/>
  <c r="M60" i="1"/>
  <c r="J60" i="1"/>
  <c r="L60" i="1"/>
  <c r="E60" i="1"/>
  <c r="F60" i="1"/>
  <c r="H60" i="1"/>
  <c r="I60" i="1"/>
  <c r="K60" i="1"/>
  <c r="G60" i="1"/>
  <c r="E65" i="1" l="1"/>
  <c r="E22" i="1"/>
  <c r="E9" i="1"/>
  <c r="E11" i="1" s="1"/>
  <c r="G65" i="1" l="1"/>
  <c r="H65" i="1" l="1"/>
  <c r="F65" i="1"/>
  <c r="F22" i="1"/>
  <c r="G31" i="1"/>
  <c r="F9" i="1"/>
  <c r="F11" i="1"/>
  <c r="F31" i="1"/>
  <c r="I65" i="1" l="1"/>
  <c r="G22" i="1"/>
  <c r="H31" i="1"/>
  <c r="G9" i="1"/>
  <c r="G11" i="1"/>
  <c r="J65" i="1" l="1"/>
  <c r="H22" i="1"/>
  <c r="I31" i="1"/>
  <c r="H9" i="1"/>
  <c r="H11" i="1"/>
  <c r="K65" i="1" l="1"/>
  <c r="I22" i="1"/>
  <c r="J31" i="1"/>
  <c r="I9" i="1"/>
  <c r="I11" i="1" s="1"/>
  <c r="L65" i="1" l="1"/>
  <c r="J22" i="1"/>
  <c r="K31" i="1"/>
  <c r="J9" i="1"/>
  <c r="J11" i="1" s="1"/>
  <c r="M65" i="1" l="1"/>
  <c r="K22" i="1"/>
  <c r="L31" i="1"/>
  <c r="K9" i="1"/>
  <c r="K11" i="1"/>
  <c r="M22" i="1" l="1"/>
  <c r="M9" i="1"/>
  <c r="M11" i="1"/>
  <c r="L22" i="1"/>
  <c r="M31" i="1"/>
  <c r="L9" i="1"/>
  <c r="L11" i="1"/>
  <c r="D22" i="3" a="1"/>
  <c r="D22" i="3" s="1"/>
  <c r="D63" i="1"/>
  <c r="E22" i="3" a="1"/>
  <c r="E22" i="3" s="1"/>
  <c r="E63" i="1"/>
  <c r="E14" i="1" s="1"/>
  <c r="F22" i="3" a="1"/>
  <c r="F22" i="3" s="1"/>
  <c r="F63" i="1"/>
  <c r="F14" i="1"/>
  <c r="G22" i="3" a="1"/>
  <c r="G22" i="3" s="1"/>
  <c r="G63" i="1"/>
  <c r="G14" i="1"/>
  <c r="H22" i="3" a="1"/>
  <c r="H22" i="3" s="1"/>
  <c r="H63" i="1"/>
  <c r="H14" i="1" s="1"/>
  <c r="I22" i="3" a="1"/>
  <c r="I22" i="3" s="1"/>
  <c r="I63" i="1"/>
  <c r="I14" i="1" s="1"/>
  <c r="J22" i="3" a="1"/>
  <c r="J22" i="3" s="1"/>
  <c r="J63" i="1"/>
  <c r="J14" i="1"/>
  <c r="K22" i="3" a="1"/>
  <c r="K22" i="3" s="1"/>
  <c r="K63" i="1"/>
  <c r="K14" i="1"/>
  <c r="L22" i="3" a="1"/>
  <c r="L22" i="3" s="1"/>
  <c r="L63" i="1"/>
  <c r="L14" i="1" s="1"/>
  <c r="M22" i="3" a="1"/>
  <c r="M22" i="3" s="1"/>
  <c r="M63" i="1"/>
  <c r="M14" i="1"/>
  <c r="D27" i="3" a="1"/>
  <c r="D27" i="3" s="1"/>
  <c r="D64" i="1"/>
  <c r="E27" i="3" l="1" a="1"/>
  <c r="E27" i="3" s="1"/>
  <c r="E64" i="1"/>
  <c r="E15" i="1"/>
  <c r="E18" i="1"/>
  <c r="E67" i="1" s="1"/>
  <c r="E20" i="1"/>
  <c r="E69" i="1" s="1"/>
  <c r="E24" i="1"/>
  <c r="E25" i="1" l="1"/>
  <c r="E27" i="1" s="1"/>
  <c r="E73" i="1"/>
  <c r="E76" i="1" l="1"/>
  <c r="F27" i="3" a="1"/>
  <c r="F27" i="3" s="1"/>
  <c r="F64" i="1"/>
  <c r="F15" i="1"/>
  <c r="F18" i="1"/>
  <c r="F67" i="1" s="1"/>
  <c r="F20" i="1"/>
  <c r="F69" i="1" s="1"/>
  <c r="F24" i="1"/>
  <c r="F73" i="1" l="1"/>
  <c r="F25" i="1"/>
  <c r="F27" i="1" s="1"/>
  <c r="F76" i="1" l="1"/>
  <c r="G27" i="3" a="1"/>
  <c r="G27" i="3" s="1"/>
  <c r="G64" i="1"/>
  <c r="G15" i="1"/>
  <c r="G18" i="1"/>
  <c r="G67" i="1" s="1"/>
  <c r="G20" i="1"/>
  <c r="G69" i="1" s="1"/>
  <c r="G24" i="1"/>
  <c r="G73" i="1" l="1"/>
  <c r="G25" i="1"/>
  <c r="G27" i="1" s="1"/>
  <c r="G76" i="1" l="1"/>
  <c r="H27" i="3" a="1"/>
  <c r="H27" i="3" s="1"/>
  <c r="H64" i="1"/>
  <c r="H15" i="1" s="1"/>
  <c r="H18" i="1" s="1"/>
  <c r="H67" i="1" s="1"/>
  <c r="H20" i="1" l="1"/>
  <c r="H24" i="1"/>
  <c r="H69" i="1"/>
  <c r="H25" i="1" l="1"/>
  <c r="H27" i="1" s="1"/>
  <c r="H73" i="1"/>
  <c r="H76" i="1" l="1"/>
  <c r="I27" i="3" a="1"/>
  <c r="I27" i="3" s="1"/>
  <c r="I64" i="1"/>
  <c r="I15" i="1" s="1"/>
  <c r="I18" i="1" s="1"/>
  <c r="I67" i="1" s="1"/>
  <c r="I20" i="1" l="1"/>
  <c r="I24" i="1"/>
  <c r="I69" i="1"/>
  <c r="I25" i="1" l="1"/>
  <c r="I27" i="1" s="1"/>
  <c r="I73" i="1"/>
  <c r="I76" i="1" l="1"/>
  <c r="J27" i="3" a="1"/>
  <c r="J27" i="3" s="1"/>
  <c r="J64" i="1"/>
  <c r="J15" i="1"/>
  <c r="J18" i="1"/>
  <c r="J67" i="1" s="1"/>
  <c r="J20" i="1"/>
  <c r="J69" i="1" s="1"/>
  <c r="J24" i="1"/>
  <c r="J73" i="1" l="1"/>
  <c r="J25" i="1"/>
  <c r="J27" i="1" s="1"/>
  <c r="J76" i="1" l="1"/>
  <c r="K27" i="3" a="1"/>
  <c r="K27" i="3" s="1"/>
  <c r="K64" i="1"/>
  <c r="K15" i="1"/>
  <c r="K18" i="1"/>
  <c r="K67" i="1" s="1"/>
  <c r="K20" i="1"/>
  <c r="K69" i="1" s="1"/>
  <c r="K24" i="1"/>
  <c r="K25" i="1" l="1"/>
  <c r="K27" i="1" s="1"/>
  <c r="K73" i="1"/>
  <c r="K76" i="1" l="1"/>
  <c r="L27" i="3" a="1"/>
  <c r="L27" i="3" s="1"/>
  <c r="L64" i="1"/>
  <c r="L15" i="1" s="1"/>
  <c r="L18" i="1" s="1"/>
  <c r="L67" i="1" s="1"/>
  <c r="L20" i="1" l="1"/>
  <c r="L24" i="1"/>
  <c r="L69" i="1"/>
  <c r="L25" i="1" l="1"/>
  <c r="L27" i="1" s="1"/>
  <c r="L73" i="1"/>
  <c r="L76" i="1" l="1"/>
  <c r="M27" i="3" a="1"/>
  <c r="M27" i="3" s="1"/>
  <c r="M64" i="1"/>
  <c r="M15" i="1"/>
  <c r="M18" i="1"/>
  <c r="M67" i="1" s="1"/>
  <c r="M20" i="1"/>
  <c r="M69" i="1" s="1"/>
  <c r="M24" i="1"/>
  <c r="M73" i="1" l="1"/>
  <c r="M25" i="1"/>
  <c r="M27" i="1" s="1"/>
  <c r="N33" i="1" s="1"/>
  <c r="N36" i="1" l="1"/>
  <c r="M76" i="1"/>
  <c r="D33" i="3" a="1"/>
  <c r="D33" i="3" s="1"/>
  <c r="D80" i="1"/>
  <c r="E33" i="3" l="1" a="1"/>
  <c r="E33" i="3" s="1"/>
  <c r="E80" i="1" s="1"/>
  <c r="E30" i="1" s="1"/>
  <c r="F104" i="1" l="1"/>
  <c r="G104" i="1"/>
  <c r="H104" i="1"/>
  <c r="I104" i="1"/>
  <c r="J104" i="1"/>
  <c r="K104" i="1"/>
  <c r="L104" i="1"/>
  <c r="M104" i="1"/>
  <c r="E104" i="1"/>
  <c r="F33" i="3" l="1" a="1"/>
  <c r="F33" i="3" s="1"/>
  <c r="F80" i="1" s="1"/>
  <c r="F30" i="1" s="1"/>
  <c r="G105" i="1" l="1"/>
  <c r="H105" i="1"/>
  <c r="I105" i="1"/>
  <c r="J105" i="1"/>
  <c r="K105" i="1"/>
  <c r="L105" i="1"/>
  <c r="M105" i="1"/>
  <c r="F105" i="1"/>
  <c r="G33" i="3" l="1" a="1"/>
  <c r="G33" i="3" s="1"/>
  <c r="G80" i="1" s="1"/>
  <c r="G30" i="1" s="1"/>
  <c r="H106" i="1" l="1"/>
  <c r="I106" i="1"/>
  <c r="J106" i="1"/>
  <c r="K106" i="1"/>
  <c r="L106" i="1"/>
  <c r="M106" i="1"/>
  <c r="G106" i="1"/>
  <c r="H33" i="3" l="1" a="1"/>
  <c r="H33" i="3" s="1"/>
  <c r="H80" i="1" s="1"/>
  <c r="H30" i="1" s="1"/>
  <c r="I107" i="1" l="1"/>
  <c r="J107" i="1"/>
  <c r="K107" i="1"/>
  <c r="L107" i="1"/>
  <c r="M107" i="1"/>
  <c r="H107" i="1"/>
  <c r="I33" i="3" l="1" a="1"/>
  <c r="I33" i="3" s="1"/>
  <c r="I80" i="1" s="1"/>
  <c r="I30" i="1" s="1"/>
  <c r="J108" i="1" l="1"/>
  <c r="K108" i="1"/>
  <c r="L108" i="1"/>
  <c r="M108" i="1"/>
  <c r="I108" i="1"/>
  <c r="J33" i="3" l="1" a="1"/>
  <c r="J33" i="3" s="1"/>
  <c r="J80" i="1" s="1"/>
  <c r="J30" i="1" s="1"/>
  <c r="K109" i="1" l="1"/>
  <c r="L109" i="1"/>
  <c r="M109" i="1"/>
  <c r="J109" i="1"/>
  <c r="K33" i="3" l="1" a="1"/>
  <c r="K33" i="3" s="1"/>
  <c r="K80" i="1" s="1"/>
  <c r="K30" i="1" s="1"/>
  <c r="L110" i="1" l="1"/>
  <c r="M110" i="1"/>
  <c r="K110" i="1"/>
  <c r="L33" i="3" l="1" a="1"/>
  <c r="L33" i="3" s="1"/>
  <c r="L80" i="1" s="1"/>
  <c r="L30" i="1" s="1"/>
  <c r="M111" i="1" l="1"/>
  <c r="L111" i="1"/>
  <c r="M33" i="3" l="1" a="1"/>
  <c r="M33" i="3" s="1"/>
  <c r="M80" i="1" s="1"/>
  <c r="M30" i="1" s="1"/>
  <c r="M112" i="1" s="1"/>
  <c r="D30" i="1"/>
  <c r="D103" i="1"/>
  <c r="D114" i="1"/>
  <c r="D117" i="1"/>
  <c r="D29" i="1" s="1"/>
  <c r="D65" i="1"/>
  <c r="D14" i="1"/>
  <c r="D15" i="1"/>
  <c r="E31" i="1"/>
  <c r="D9" i="1"/>
  <c r="D11" i="1" s="1"/>
  <c r="D31" i="1"/>
  <c r="D22" i="1"/>
  <c r="D18" i="1" l="1"/>
  <c r="D67" i="1" s="1"/>
  <c r="D78" i="1"/>
  <c r="D81" i="1"/>
  <c r="M103" i="1"/>
  <c r="M114" i="1" s="1"/>
  <c r="L103" i="1"/>
  <c r="L114" i="1" s="1"/>
  <c r="K103" i="1"/>
  <c r="K114" i="1" s="1"/>
  <c r="J103" i="1"/>
  <c r="J114" i="1" s="1"/>
  <c r="I103" i="1"/>
  <c r="I114" i="1" s="1"/>
  <c r="H103" i="1"/>
  <c r="H114" i="1" s="1"/>
  <c r="G103" i="1"/>
  <c r="G114" i="1" s="1"/>
  <c r="F103" i="1"/>
  <c r="F114" i="1" s="1"/>
  <c r="E103" i="1"/>
  <c r="E114" i="1" s="1"/>
  <c r="D20" i="1" l="1"/>
  <c r="E117" i="1"/>
  <c r="E29" i="1" s="1"/>
  <c r="E33" i="1" s="1"/>
  <c r="E36" i="1" s="1"/>
  <c r="E81" i="1"/>
  <c r="F81" i="1"/>
  <c r="F117" i="1"/>
  <c r="F29" i="1" s="1"/>
  <c r="F33" i="1" s="1"/>
  <c r="F36" i="1" s="1"/>
  <c r="G81" i="1"/>
  <c r="G117" i="1"/>
  <c r="G29" i="1" s="1"/>
  <c r="G33" i="1" s="1"/>
  <c r="G36" i="1" s="1"/>
  <c r="H117" i="1"/>
  <c r="H29" i="1" s="1"/>
  <c r="H33" i="1" s="1"/>
  <c r="H36" i="1" s="1"/>
  <c r="H81" i="1"/>
  <c r="I81" i="1"/>
  <c r="I117" i="1"/>
  <c r="I29" i="1" s="1"/>
  <c r="I33" i="1" s="1"/>
  <c r="I36" i="1" s="1"/>
  <c r="J117" i="1"/>
  <c r="J29" i="1" s="1"/>
  <c r="J33" i="1" s="1"/>
  <c r="J36" i="1" s="1"/>
  <c r="J81" i="1"/>
  <c r="K81" i="1"/>
  <c r="K117" i="1"/>
  <c r="K29" i="1" s="1"/>
  <c r="K33" i="1" s="1"/>
  <c r="K36" i="1" s="1"/>
  <c r="L117" i="1"/>
  <c r="L29" i="1" s="1"/>
  <c r="L33" i="1" s="1"/>
  <c r="L36" i="1" s="1"/>
  <c r="L81" i="1"/>
  <c r="M117" i="1"/>
  <c r="M29" i="1" s="1"/>
  <c r="M33" i="1" s="1"/>
  <c r="M36" i="1" s="1"/>
  <c r="M81" i="1"/>
  <c r="E78" i="1"/>
  <c r="D79" i="1"/>
  <c r="D24" i="1"/>
  <c r="D69" i="1"/>
  <c r="D73" i="1" l="1"/>
  <c r="D25" i="1"/>
  <c r="D27" i="1" s="1"/>
  <c r="F78" i="1"/>
  <c r="E79" i="1"/>
  <c r="G78" i="1" l="1"/>
  <c r="F79" i="1"/>
  <c r="D33" i="1"/>
  <c r="D36" i="1" s="1"/>
  <c r="D38" i="1" s="1"/>
  <c r="D42" i="1" s="1"/>
  <c r="D45" i="1" s="1"/>
  <c r="D76" i="1"/>
  <c r="H78" i="1" l="1"/>
  <c r="G79" i="1"/>
  <c r="I78" i="1" l="1"/>
  <c r="H79" i="1"/>
  <c r="J78" i="1" l="1"/>
  <c r="I79" i="1"/>
  <c r="K78" i="1" l="1"/>
  <c r="J79" i="1"/>
  <c r="L78" i="1" l="1"/>
  <c r="K79" i="1"/>
  <c r="M78" i="1" l="1"/>
  <c r="M79" i="1" s="1"/>
  <c r="L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<sst xmlns="http://schemas.openxmlformats.org/spreadsheetml/2006/main" count="330" uniqueCount="79">
  <si>
    <t>Option Selection</t>
  </si>
  <si>
    <t>Operating Scenario</t>
  </si>
  <si>
    <t>Projected</t>
  </si>
  <si>
    <t>Total Revenue Growth</t>
  </si>
  <si>
    <t xml:space="preserve">   Base</t>
  </si>
  <si>
    <t xml:space="preserve">   Bull</t>
  </si>
  <si>
    <t xml:space="preserve">   Bear</t>
  </si>
  <si>
    <t>Gross Margin</t>
  </si>
  <si>
    <t>COGS</t>
  </si>
  <si>
    <t>Operating Expense</t>
  </si>
  <si>
    <t>SG&amp;A</t>
  </si>
  <si>
    <t>R&amp;D</t>
  </si>
  <si>
    <t>Capex</t>
  </si>
  <si>
    <t>Other Income</t>
  </si>
  <si>
    <t>Eli Lilly</t>
  </si>
  <si>
    <t>Discounted Cash Flow Analysis</t>
  </si>
  <si>
    <t>For the Years Ended December 31</t>
  </si>
  <si>
    <t>Millions of Dollars</t>
  </si>
  <si>
    <t>Terminal</t>
  </si>
  <si>
    <t>Value</t>
  </si>
  <si>
    <t>--------------</t>
  </si>
  <si>
    <t>Revenue</t>
  </si>
  <si>
    <t>Cost of Goods Sold</t>
  </si>
  <si>
    <t>Operating Expenses:</t>
  </si>
  <si>
    <t>Lease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</si>
  <si>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</si>
  <si>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</si>
  <si>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</si>
  <si>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</si>
  <si>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</si>
  <si>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</si>
  <si>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</si>
  <si>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</si>
  <si>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</si>
  <si>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</si>
  <si>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</si>
  <si>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</si>
  <si>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</si>
  <si>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</si>
  <si>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</si>
  <si>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</si>
  <si>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</si>
  <si>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</si>
  <si>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========</t>
  </si>
  <si>
    <t>Share Price (2/12/25)</t>
  </si>
  <si>
    <t xml:space="preserve">For the Years Ended </t>
  </si>
  <si>
    <t>Assumptions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</si>
  <si>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</si>
  <si>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</si>
  <si>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</si>
  <si>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</si>
  <si>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</si>
  <si>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</si>
  <si>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</si>
  <si>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</si>
  <si>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</si>
  <si>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</si>
  <si>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</si>
  <si>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</si>
  <si>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</si>
  <si>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</si>
  <si>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</si>
  <si>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</si>
  <si>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Depreciation Schedule</t>
  </si>
  <si>
    <t>2024 Net PP&amp;E</t>
  </si>
  <si>
    <t>2025 Capital Expenditures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</si>
  <si>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</si>
  <si>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</si>
  <si>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</si>
  <si>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</si>
  <si>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</si>
  <si>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</si>
  <si>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</si>
  <si>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</si>
  <si>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</si>
  <si>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Total Depreciation Schedule</t>
  </si>
  <si>
    <t>Intangible Amortization</t>
  </si>
  <si>
    <t>Total Depreciation &amp; Amortization</t>
  </si>
  <si>
    <t>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</si>
</sst>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000"/>
    <numFmt numFmtId="167" formatCode="0.0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43" fontId="2" fillId="0" borderId="0" xfId="1" applyFont="1"/>
    <xf numFmtId="164" fontId="2" fillId="0" borderId="0" xfId="1" applyNumberFormat="1" applyFont="1"/>
    <xf numFmtId="165" fontId="2" fillId="0" borderId="0" xfId="3" applyNumberFormat="1" applyFont="1"/>
    <xf numFmtId="164" fontId="2" fillId="0" borderId="0" xfId="1" quotePrefix="1" applyNumberFormat="1" applyFont="1" applyAlignment="1">
      <alignment horizontal="right"/>
    </xf>
    <xf numFmtId="166" fontId="2" fillId="0" borderId="0" xfId="0" applyNumberFormat="1" applyFont="1"/>
    <xf numFmtId="44" fontId="2" fillId="0" borderId="0" xfId="2" applyFon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wrapText="1"/>
    </xf>
    <xf numFmtId="10" fontId="2" fillId="0" borderId="0" xfId="3" applyNumberFormat="1" applyFont="1"/>
    <xf numFmtId="10" fontId="2" fillId="0" borderId="0" xfId="0" quotePrefix="1" applyNumberFormat="1" applyFont="1" applyAlignment="1">
      <alignment horizontal="right"/>
    </xf>
    <xf numFmtId="10" fontId="0" fillId="2" borderId="0" xfId="3" applyNumberFormat="1" applyFont="1" applyFill="1"/>
    <xf numFmtId="10" fontId="0" fillId="2" borderId="0" xfId="0" applyNumberFormat="1" applyFill="1"/>
    <xf numFmtId="0" fontId="2" fillId="0" borderId="0" xfId="3" applyNumberFormat="1" applyFont="1"/>
    <xf numFmtId="9" fontId="0" fillId="0" borderId="0" xfId="0" applyNumberFormat="1"/>
    <xf numFmtId="10" fontId="0" fillId="0" borderId="0" xfId="0" applyNumberFormat="1"/>
    <xf numFmtId="167" fontId="0" fillId="0" borderId="0" xfId="0" applyNumberFormat="1"/>
    <xf numFmtId="10" fontId="2" fillId="0" borderId="0" xfId="0" applyNumberFormat="1" applyFont="1"/>
    <xf numFmtId="9" fontId="2" fillId="0" borderId="0" xfId="1" applyNumberFormat="1" applyFont="1"/>
    <xf numFmtId="1" fontId="1" fillId="0" borderId="0" xfId="1" applyNumberFormat="1" applyFont="1"/>
    <xf numFmtId="9" fontId="2" fillId="2" borderId="0" xfId="3" applyFont="1" applyFill="1"/>
    <xf numFmtId="10" fontId="2" fillId="2" borderId="0" xfId="3" applyNumberFormat="1" applyFont="1" applyFill="1"/>
    <xf numFmtId="165" fontId="2" fillId="0" borderId="0" xfId="0" applyNumberFormat="1" applyFont="1"/>
    <xf numFmtId="10" fontId="4" fillId="2" borderId="0" xfId="3" applyNumberFormat="1" applyFont="1" applyFill="1"/>
    <xf numFmtId="10" fontId="4" fillId="2" borderId="0" xfId="0" applyNumberFormat="1" applyFont="1" applyFill="1"/>
    <xf numFmtId="10" fontId="2" fillId="0" borderId="0" xfId="1" applyNumberFormat="1" applyFont="1"/>
    <xf numFmtId="165" fontId="2" fillId="0" borderId="0" xfId="1" applyNumberFormat="1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69"/>
  <sheetViews>
    <sheetView tabSelected="1" zoomScale="85" workbookViewId="0">
      <selection activeCell="C4" sqref="C4"/>
    </sheetView>
  </sheetViews>
  <sheetFormatPr defaultColWidth="8.85546875" defaultRowHeight="14.45"/>
  <cols>
    <col min="1" max="1" width="28.85546875" style="11" customWidth="1"/>
    <col min="2" max="16384" width="8.85546875" style="11"/>
  </cols>
  <sheetData>
    <row r="2" spans="1:13">
      <c r="A2" s="33" t="s">
        <v>0</v>
      </c>
      <c r="B2" s="33"/>
      <c r="C2" s="33"/>
      <c r="D2" s="33"/>
    </row>
    <row r="3" spans="1:13">
      <c r="A3" s="33" t="s">
        <v>1</v>
      </c>
      <c r="B3" s="33"/>
      <c r="C3" s="34">
        <v>1</v>
      </c>
      <c r="D3" s="34"/>
    </row>
    <row r="4" spans="1:13">
      <c r="D4" s="33" t="s">
        <v>2</v>
      </c>
      <c r="E4" s="33"/>
      <c r="F4" s="33"/>
      <c r="G4" s="33"/>
      <c r="H4" s="33"/>
      <c r="I4" s="33"/>
      <c r="J4" s="33"/>
      <c r="K4" s="33"/>
      <c r="L4" s="33"/>
      <c r="M4" s="33"/>
    </row>
    <row r="5" spans="1:13">
      <c r="D5" s="12">
        <v>2025</v>
      </c>
      <c r="E5" s="12">
        <f>D5+1</f>
        <v>2026</v>
      </c>
      <c r="F5" s="12">
        <f t="shared" ref="F5:M5" si="0">E5+1</f>
        <v>2027</v>
      </c>
      <c r="G5" s="12">
        <f t="shared" si="0"/>
        <v>2028</v>
      </c>
      <c r="H5" s="12">
        <f t="shared" si="0"/>
        <v>2029</v>
      </c>
      <c r="I5" s="12">
        <f t="shared" si="0"/>
        <v>2030</v>
      </c>
      <c r="J5" s="12">
        <f t="shared" si="0"/>
        <v>2031</v>
      </c>
      <c r="K5" s="12">
        <f t="shared" si="0"/>
        <v>2032</v>
      </c>
      <c r="L5" s="12">
        <f t="shared" si="0"/>
        <v>2033</v>
      </c>
      <c r="M5" s="12">
        <f t="shared" si="0"/>
        <v>2034</v>
      </c>
    </row>
    <row r="8" spans="1:13" ht="18.75">
      <c r="A8" s="14" t="s">
        <v>3</v>
      </c>
      <c r="D8" s="29">
        <f t="shared" ref="D8:M8" si="1">CHOOSE($C$3,D9,D10,D11)</f>
        <v>0.32</v>
      </c>
      <c r="E8" s="29">
        <f t="shared" si="1"/>
        <v>0.3</v>
      </c>
      <c r="F8" s="29">
        <f t="shared" si="1"/>
        <v>0.27</v>
      </c>
      <c r="G8" s="29">
        <f t="shared" si="1"/>
        <v>0.24</v>
      </c>
      <c r="H8" s="29">
        <f t="shared" si="1"/>
        <v>0.22</v>
      </c>
      <c r="I8" s="29">
        <f t="shared" si="1"/>
        <v>0.2</v>
      </c>
      <c r="J8" s="29">
        <f t="shared" si="1"/>
        <v>0.2</v>
      </c>
      <c r="K8" s="29">
        <f t="shared" si="1"/>
        <v>0.18</v>
      </c>
      <c r="L8" s="29">
        <f t="shared" si="1"/>
        <v>0.18</v>
      </c>
      <c r="M8" s="29">
        <f t="shared" si="1"/>
        <v>0.18</v>
      </c>
    </row>
    <row r="9" spans="1:13" ht="15">
      <c r="A9" s="11" t="s">
        <v>4</v>
      </c>
      <c r="D9" s="17">
        <v>0.32</v>
      </c>
      <c r="E9" s="17">
        <v>0.3</v>
      </c>
      <c r="F9" s="17">
        <v>0.27</v>
      </c>
      <c r="G9" s="17">
        <v>0.24</v>
      </c>
      <c r="H9" s="17">
        <v>0.22</v>
      </c>
      <c r="I9" s="17">
        <v>0.2</v>
      </c>
      <c r="J9" s="17">
        <v>0.2</v>
      </c>
      <c r="K9" s="17">
        <v>0.18</v>
      </c>
      <c r="L9" s="17">
        <v>0.18</v>
      </c>
      <c r="M9" s="17">
        <v>0.18</v>
      </c>
    </row>
    <row r="10" spans="1:13" ht="15">
      <c r="A10" s="11" t="s">
        <v>5</v>
      </c>
      <c r="D10" s="17">
        <v>0.32500000000000001</v>
      </c>
      <c r="E10" s="17">
        <v>0.3</v>
      </c>
      <c r="F10" s="17">
        <v>0.28000000000000003</v>
      </c>
      <c r="G10" s="17">
        <v>0.26</v>
      </c>
      <c r="H10" s="17">
        <v>0.25</v>
      </c>
      <c r="I10" s="17">
        <v>0.23</v>
      </c>
      <c r="J10" s="17">
        <v>0.22</v>
      </c>
      <c r="K10" s="17">
        <v>0.2</v>
      </c>
      <c r="L10" s="17">
        <v>0.18</v>
      </c>
      <c r="M10" s="17">
        <v>0.18</v>
      </c>
    </row>
    <row r="11" spans="1:13" ht="15">
      <c r="A11" s="11" t="s">
        <v>6</v>
      </c>
      <c r="D11" s="17">
        <v>0.28000000000000003</v>
      </c>
      <c r="E11" s="17">
        <v>0.26</v>
      </c>
      <c r="F11" s="17">
        <v>0.23</v>
      </c>
      <c r="G11" s="17">
        <v>0.2</v>
      </c>
      <c r="H11" s="17">
        <v>0.17</v>
      </c>
      <c r="I11" s="17">
        <v>0.16</v>
      </c>
      <c r="J11" s="17">
        <v>0.14000000000000001</v>
      </c>
      <c r="K11" s="17">
        <v>0.14000000000000001</v>
      </c>
      <c r="L11" s="17">
        <v>0.12</v>
      </c>
      <c r="M11" s="17">
        <v>0.12</v>
      </c>
    </row>
    <row r="12" spans="1:13">
      <c r="A12" s="12"/>
      <c r="D12" s="18"/>
    </row>
    <row r="13" spans="1:13" ht="15">
      <c r="A13" s="12" t="s">
        <v>7</v>
      </c>
      <c r="D13" s="29">
        <f>1-D14</f>
        <v>0.83250000000000002</v>
      </c>
      <c r="E13" s="29">
        <f t="shared" ref="E13:M13" si="2">1-E14</f>
        <v>0.83499999999999996</v>
      </c>
      <c r="F13" s="29">
        <f t="shared" si="2"/>
        <v>0.83499999999999996</v>
      </c>
      <c r="G13" s="29">
        <f t="shared" si="2"/>
        <v>0.83750000000000002</v>
      </c>
      <c r="H13" s="29">
        <f t="shared" si="2"/>
        <v>0.83750000000000002</v>
      </c>
      <c r="I13" s="29">
        <f t="shared" si="2"/>
        <v>0.83750000000000002</v>
      </c>
      <c r="J13" s="29">
        <f t="shared" si="2"/>
        <v>0.83750000000000002</v>
      </c>
      <c r="K13" s="29">
        <f t="shared" si="2"/>
        <v>0.83750000000000002</v>
      </c>
      <c r="L13" s="29">
        <f t="shared" si="2"/>
        <v>0.83750000000000002</v>
      </c>
      <c r="M13" s="29">
        <f t="shared" si="2"/>
        <v>0.83750000000000002</v>
      </c>
    </row>
    <row r="14" spans="1:13" ht="15">
      <c r="A14" s="12" t="s">
        <v>8</v>
      </c>
      <c r="D14" s="30" cm="1">
        <f t="array" ref="D14">INDEX(D15:D17,$C$3)</f>
        <v>0.16750000000000001</v>
      </c>
      <c r="E14" s="30" cm="1">
        <f t="array" ref="E14">INDEX(E15:E17,$C$3)</f>
        <v>0.16500000000000001</v>
      </c>
      <c r="F14" s="30" cm="1">
        <f t="array" ref="F14">INDEX(F15:F17,$C$3)</f>
        <v>0.16500000000000001</v>
      </c>
      <c r="G14" s="30" cm="1">
        <f t="array" ref="G14">INDEX(G15:G17,$C$3)</f>
        <v>0.16250000000000001</v>
      </c>
      <c r="H14" s="30" cm="1">
        <f t="array" ref="H14">INDEX(H15:H17,$C$3)</f>
        <v>0.16250000000000001</v>
      </c>
      <c r="I14" s="30" cm="1">
        <f t="array" ref="I14">INDEX(I15:I17,$C$3)</f>
        <v>0.16250000000000001</v>
      </c>
      <c r="J14" s="30" cm="1">
        <f t="array" ref="J14">INDEX(J15:J17,$C$3)</f>
        <v>0.16250000000000001</v>
      </c>
      <c r="K14" s="30" cm="1">
        <f t="array" ref="K14">INDEX(K15:K17,$C$3)</f>
        <v>0.16250000000000001</v>
      </c>
      <c r="L14" s="30" cm="1">
        <f t="array" ref="L14">INDEX(L15:L17,$C$3)</f>
        <v>0.16250000000000001</v>
      </c>
      <c r="M14" s="30" cm="1">
        <f t="array" ref="M14">INDEX(M15:M17,$C$3)</f>
        <v>0.16250000000000001</v>
      </c>
    </row>
    <row r="15" spans="1:13">
      <c r="A15" s="11" t="s">
        <v>4</v>
      </c>
      <c r="D15" s="17">
        <v>0.16750000000000001</v>
      </c>
      <c r="E15" s="17">
        <v>0.16500000000000001</v>
      </c>
      <c r="F15" s="17">
        <v>0.16500000000000001</v>
      </c>
      <c r="G15" s="17">
        <v>0.16250000000000001</v>
      </c>
      <c r="H15" s="17">
        <v>0.16250000000000001</v>
      </c>
      <c r="I15" s="17">
        <v>0.16250000000000001</v>
      </c>
      <c r="J15" s="17">
        <v>0.16250000000000001</v>
      </c>
      <c r="K15" s="17">
        <v>0.16250000000000001</v>
      </c>
      <c r="L15" s="17">
        <v>0.16250000000000001</v>
      </c>
      <c r="M15" s="17">
        <v>0.16250000000000001</v>
      </c>
    </row>
    <row r="16" spans="1:13">
      <c r="A16" s="11" t="s">
        <v>5</v>
      </c>
      <c r="D16" s="17">
        <v>0.16250000000000001</v>
      </c>
      <c r="E16" s="17">
        <v>0.16250000000000001</v>
      </c>
      <c r="F16" s="17">
        <v>0.16</v>
      </c>
      <c r="G16" s="17">
        <v>0.16</v>
      </c>
      <c r="H16" s="17">
        <v>0.16</v>
      </c>
      <c r="I16" s="17">
        <v>0.16</v>
      </c>
      <c r="J16" s="17">
        <v>0.16</v>
      </c>
      <c r="K16" s="17">
        <v>0.16</v>
      </c>
      <c r="L16" s="17">
        <v>0.16</v>
      </c>
      <c r="M16" s="17">
        <v>0.16</v>
      </c>
    </row>
    <row r="17" spans="1:13">
      <c r="A17" s="11" t="s">
        <v>6</v>
      </c>
      <c r="D17" s="17">
        <v>0.185</v>
      </c>
      <c r="E17" s="17">
        <v>0.18</v>
      </c>
      <c r="F17" s="17">
        <v>0.18</v>
      </c>
      <c r="G17" s="17">
        <v>0.17749999999999999</v>
      </c>
      <c r="H17" s="17">
        <v>0.17749999999999999</v>
      </c>
      <c r="I17" s="17">
        <v>0.17499999999999999</v>
      </c>
      <c r="J17" s="17">
        <v>0.17499999999999999</v>
      </c>
      <c r="K17" s="17">
        <v>0.17499999999999999</v>
      </c>
      <c r="L17" s="17">
        <v>0.17499999999999999</v>
      </c>
      <c r="M17" s="17">
        <v>0.17499999999999999</v>
      </c>
    </row>
    <row r="18" spans="1:13">
      <c r="A18" s="12"/>
      <c r="D18" s="18"/>
    </row>
    <row r="19" spans="1:13">
      <c r="A19" s="12"/>
      <c r="D19" s="18"/>
    </row>
    <row r="20" spans="1:13">
      <c r="A20" s="12" t="s">
        <v>9</v>
      </c>
      <c r="D20" s="18"/>
    </row>
    <row r="21" spans="1:13">
      <c r="A21" s="12"/>
      <c r="D21" s="18"/>
    </row>
    <row r="22" spans="1:13" ht="15">
      <c r="A22" s="12" t="s">
        <v>10</v>
      </c>
      <c r="D22" s="30" cm="1">
        <f t="array" ref="D22">INDEX(D23:D25,$C$3)</f>
        <v>0.20749999999999999</v>
      </c>
      <c r="E22" s="30" cm="1">
        <f t="array" ref="E22">INDEX(E23:E25,$C$3)</f>
        <v>0.20749999999999999</v>
      </c>
      <c r="F22" s="30" cm="1">
        <f t="array" ref="F22">INDEX(F23:F25,$C$3)</f>
        <v>0.20749999999999999</v>
      </c>
      <c r="G22" s="30" cm="1">
        <f t="array" ref="G22">INDEX(G23:G25,$C$3)</f>
        <v>0.20499999999999999</v>
      </c>
      <c r="H22" s="30" cm="1">
        <f t="array" ref="H22">INDEX(H23:H25,$C$3)</f>
        <v>0.20499999999999999</v>
      </c>
      <c r="I22" s="30" cm="1">
        <f t="array" ref="I22">INDEX(I23:I25,$C$3)</f>
        <v>0.20250000000000001</v>
      </c>
      <c r="J22" s="30" cm="1">
        <f t="array" ref="J22">INDEX(J23:J25,$C$3)</f>
        <v>0.20250000000000001</v>
      </c>
      <c r="K22" s="30" cm="1">
        <f t="array" ref="K22">INDEX(K23:K25,$C$3)</f>
        <v>0.20250000000000001</v>
      </c>
      <c r="L22" s="30" cm="1">
        <f t="array" ref="L22">INDEX(L23:L25,$C$3)</f>
        <v>0.20250000000000001</v>
      </c>
      <c r="M22" s="30" cm="1">
        <f t="array" ref="M22">INDEX(M23:M25,$C$3)</f>
        <v>0.20250000000000001</v>
      </c>
    </row>
    <row r="23" spans="1:13">
      <c r="A23" s="11" t="s">
        <v>4</v>
      </c>
      <c r="D23" s="17">
        <v>0.20749999999999999</v>
      </c>
      <c r="E23" s="17">
        <v>0.20749999999999999</v>
      </c>
      <c r="F23" s="17">
        <v>0.20749999999999999</v>
      </c>
      <c r="G23" s="17">
        <v>0.20499999999999999</v>
      </c>
      <c r="H23" s="17">
        <v>0.20499999999999999</v>
      </c>
      <c r="I23" s="17">
        <v>0.20250000000000001</v>
      </c>
      <c r="J23" s="17">
        <v>0.20250000000000001</v>
      </c>
      <c r="K23" s="17">
        <v>0.20250000000000001</v>
      </c>
      <c r="L23" s="17">
        <v>0.20250000000000001</v>
      </c>
      <c r="M23" s="17">
        <v>0.20250000000000001</v>
      </c>
    </row>
    <row r="24" spans="1:13">
      <c r="A24" s="11" t="s">
        <v>5</v>
      </c>
      <c r="D24" s="18">
        <v>0.20499999999999999</v>
      </c>
      <c r="E24" s="17">
        <v>0.20499999999999999</v>
      </c>
      <c r="F24" s="17">
        <v>0.20250000000000001</v>
      </c>
      <c r="G24" s="17">
        <v>0.2</v>
      </c>
      <c r="H24" s="17">
        <v>0.2</v>
      </c>
      <c r="I24" s="17">
        <v>0.2</v>
      </c>
      <c r="J24" s="17">
        <v>0.2</v>
      </c>
      <c r="K24" s="17">
        <v>0.2</v>
      </c>
      <c r="L24" s="17">
        <v>0.2</v>
      </c>
      <c r="M24" s="17">
        <v>0.2</v>
      </c>
    </row>
    <row r="25" spans="1:13">
      <c r="A25" s="11" t="s">
        <v>6</v>
      </c>
      <c r="D25" s="17">
        <v>0.2175</v>
      </c>
      <c r="E25" s="17">
        <v>0.215</v>
      </c>
      <c r="F25" s="17">
        <v>0.21249999999999999</v>
      </c>
      <c r="G25" s="17">
        <v>0.21</v>
      </c>
      <c r="H25" s="17">
        <v>0.20749999999999999</v>
      </c>
      <c r="I25" s="17">
        <v>0.20749999999999999</v>
      </c>
      <c r="J25" s="17">
        <v>0.20749999999999999</v>
      </c>
      <c r="K25" s="17">
        <v>0.20749999999999999</v>
      </c>
      <c r="L25" s="17">
        <v>0.20749999999999999</v>
      </c>
      <c r="M25" s="17">
        <v>0.20749999999999999</v>
      </c>
    </row>
    <row r="26" spans="1:13">
      <c r="A26" s="12"/>
      <c r="D26" s="18"/>
    </row>
    <row r="27" spans="1:13" ht="15">
      <c r="A27" s="13" t="s">
        <v>11</v>
      </c>
      <c r="D27" s="29" cm="1">
        <f t="array" ref="D27">INDEX(D28:D30,$C$3)</f>
        <v>0.26500000000000001</v>
      </c>
      <c r="E27" s="29" cm="1">
        <f t="array" ref="E27">INDEX(E28:E30,$C$3)</f>
        <v>0.26500000000000001</v>
      </c>
      <c r="F27" s="29" cm="1">
        <f t="array" ref="F27">INDEX(F28:F30,$C$3)</f>
        <v>0.26500000000000001</v>
      </c>
      <c r="G27" s="29" cm="1">
        <f t="array" ref="G27">INDEX(G28:G30,$C$3)</f>
        <v>0.26250000000000001</v>
      </c>
      <c r="H27" s="29" cm="1">
        <f t="array" ref="H27">INDEX(H28:H30,$C$3)</f>
        <v>0.26250000000000001</v>
      </c>
      <c r="I27" s="29" cm="1">
        <f t="array" ref="I27">INDEX(I28:I30,$C$3)</f>
        <v>0.26250000000000001</v>
      </c>
      <c r="J27" s="29" cm="1">
        <f t="array" ref="J27">INDEX(J28:J30,$C$3)</f>
        <v>0.26250000000000001</v>
      </c>
      <c r="K27" s="29" cm="1">
        <f t="array" ref="K27">INDEX(K28:K30,$C$3)</f>
        <v>0.26250000000000001</v>
      </c>
      <c r="L27" s="29" cm="1">
        <f t="array" ref="L27">INDEX(L28:L30,$C$3)</f>
        <v>0.26250000000000001</v>
      </c>
      <c r="M27" s="29" cm="1">
        <f t="array" ref="M27">INDEX(M28:M30,$C$3)</f>
        <v>0.26250000000000001</v>
      </c>
    </row>
    <row r="28" spans="1:13">
      <c r="A28" s="11" t="s">
        <v>4</v>
      </c>
      <c r="D28" s="17">
        <v>0.26500000000000001</v>
      </c>
      <c r="E28" s="17">
        <v>0.26500000000000001</v>
      </c>
      <c r="F28" s="17">
        <v>0.26500000000000001</v>
      </c>
      <c r="G28" s="17">
        <v>0.26250000000000001</v>
      </c>
      <c r="H28" s="17">
        <v>0.26250000000000001</v>
      </c>
      <c r="I28" s="17">
        <v>0.26250000000000001</v>
      </c>
      <c r="J28" s="17">
        <v>0.26250000000000001</v>
      </c>
      <c r="K28" s="17">
        <v>0.26250000000000001</v>
      </c>
      <c r="L28" s="17">
        <v>0.26250000000000001</v>
      </c>
      <c r="M28" s="17">
        <v>0.26250000000000001</v>
      </c>
    </row>
    <row r="29" spans="1:13">
      <c r="A29" s="11" t="s">
        <v>5</v>
      </c>
      <c r="D29" s="17">
        <v>0.26250000000000001</v>
      </c>
      <c r="E29" s="17">
        <v>0.26250000000000001</v>
      </c>
      <c r="F29" s="17">
        <v>0.26250000000000001</v>
      </c>
      <c r="G29" s="17">
        <v>0.26</v>
      </c>
      <c r="H29" s="17">
        <v>0.26</v>
      </c>
      <c r="I29" s="17">
        <v>0.26</v>
      </c>
      <c r="J29" s="17">
        <v>0.26</v>
      </c>
      <c r="K29" s="17">
        <v>0.26</v>
      </c>
      <c r="L29" s="17">
        <v>0.26</v>
      </c>
      <c r="M29" s="17">
        <v>0.26</v>
      </c>
    </row>
    <row r="30" spans="1:13">
      <c r="A30" s="11" t="s">
        <v>6</v>
      </c>
      <c r="D30" s="17">
        <v>0.27250000000000002</v>
      </c>
      <c r="E30" s="17">
        <v>0.27250000000000002</v>
      </c>
      <c r="F30" s="17">
        <v>0.26750000000000002</v>
      </c>
      <c r="G30" s="17">
        <v>0.26750000000000002</v>
      </c>
      <c r="H30" s="17">
        <v>0.26750000000000002</v>
      </c>
      <c r="I30" s="17">
        <v>0.26500000000000001</v>
      </c>
      <c r="J30" s="17">
        <v>0.26500000000000001</v>
      </c>
      <c r="K30" s="17">
        <v>0.26500000000000001</v>
      </c>
      <c r="L30" s="17">
        <v>0.26500000000000001</v>
      </c>
      <c r="M30" s="17">
        <v>0.26500000000000001</v>
      </c>
    </row>
    <row r="31" spans="1:13">
      <c r="A31" s="12"/>
      <c r="D31" s="18"/>
    </row>
    <row r="32" spans="1:13">
      <c r="D32" s="18"/>
    </row>
    <row r="33" spans="1:13" ht="15">
      <c r="A33" s="13" t="s">
        <v>12</v>
      </c>
      <c r="D33" s="29" cm="1">
        <f t="array" ref="D33">INDEX(D34:D36,$C$3)</f>
        <v>0.12</v>
      </c>
      <c r="E33" s="29" cm="1">
        <f t="array" ref="E33">INDEX(E34:E36,$C$3)</f>
        <v>0.12</v>
      </c>
      <c r="F33" s="29" cm="1">
        <f t="array" ref="F33">INDEX(F34:F36,$C$3)</f>
        <v>0.12</v>
      </c>
      <c r="G33" s="29" cm="1">
        <f t="array" ref="G33">INDEX(G34:G36,$C$3)</f>
        <v>0.11749999999999999</v>
      </c>
      <c r="H33" s="29" cm="1">
        <f t="array" ref="H33">INDEX(H34:H36,$C$3)</f>
        <v>0.11749999999999999</v>
      </c>
      <c r="I33" s="29" cm="1">
        <f t="array" ref="I33">INDEX(I34:I36,$C$3)</f>
        <v>0.115</v>
      </c>
      <c r="J33" s="29" cm="1">
        <f t="array" ref="J33">INDEX(J34:J36,$C$3)</f>
        <v>0.115</v>
      </c>
      <c r="K33" s="29" cm="1">
        <f t="array" ref="K33">INDEX(K34:K36,$C$3)</f>
        <v>0.115</v>
      </c>
      <c r="L33" s="29" cm="1">
        <f t="array" ref="L33">INDEX(L34:L36,$C$3)</f>
        <v>0.115</v>
      </c>
      <c r="M33" s="29" cm="1">
        <f t="array" ref="M33">INDEX(M34:M36,$C$3)</f>
        <v>0.115</v>
      </c>
    </row>
    <row r="34" spans="1:13">
      <c r="A34" s="11" t="s">
        <v>4</v>
      </c>
      <c r="D34" s="17">
        <v>0.12</v>
      </c>
      <c r="E34" s="17">
        <v>0.12</v>
      </c>
      <c r="F34" s="17">
        <v>0.12</v>
      </c>
      <c r="G34" s="17">
        <v>0.11749999999999999</v>
      </c>
      <c r="H34" s="17">
        <v>0.11749999999999999</v>
      </c>
      <c r="I34" s="17">
        <v>0.115</v>
      </c>
      <c r="J34" s="17">
        <v>0.115</v>
      </c>
      <c r="K34" s="17">
        <v>0.115</v>
      </c>
      <c r="L34" s="17">
        <v>0.115</v>
      </c>
      <c r="M34" s="17">
        <v>0.115</v>
      </c>
    </row>
    <row r="35" spans="1:13">
      <c r="A35" s="11" t="s">
        <v>5</v>
      </c>
      <c r="D35" s="17">
        <v>0.11749999999999999</v>
      </c>
      <c r="E35" s="17">
        <v>0.11749999999999999</v>
      </c>
      <c r="F35" s="17">
        <v>0.11749999999999999</v>
      </c>
      <c r="G35" s="17">
        <v>0.115</v>
      </c>
      <c r="H35" s="17">
        <v>0.115</v>
      </c>
      <c r="I35" s="17">
        <v>0.1125</v>
      </c>
      <c r="J35" s="17">
        <v>0.1125</v>
      </c>
      <c r="K35" s="17">
        <v>0.1125</v>
      </c>
      <c r="L35" s="17">
        <v>0.1125</v>
      </c>
      <c r="M35" s="17">
        <v>0.1125</v>
      </c>
    </row>
    <row r="36" spans="1:13">
      <c r="A36" s="11" t="s">
        <v>6</v>
      </c>
      <c r="D36" s="18">
        <v>0.125</v>
      </c>
      <c r="E36" s="18">
        <v>0.1225</v>
      </c>
      <c r="F36" s="18">
        <v>0.1225</v>
      </c>
      <c r="G36" s="18">
        <v>0.12</v>
      </c>
      <c r="H36" s="18">
        <v>0.12</v>
      </c>
      <c r="I36" s="18">
        <v>0.11749999999999999</v>
      </c>
      <c r="J36" s="18">
        <v>0.11749999999999999</v>
      </c>
      <c r="K36" s="18">
        <v>0.11749999999999999</v>
      </c>
      <c r="L36" s="18">
        <v>0.11749999999999999</v>
      </c>
      <c r="M36" s="18">
        <v>0.11749999999999999</v>
      </c>
    </row>
    <row r="37" spans="1:13">
      <c r="D37" s="18"/>
    </row>
    <row r="38" spans="1:13" ht="15">
      <c r="A38" s="13" t="s">
        <v>13</v>
      </c>
      <c r="D38" s="27" cm="1">
        <f t="array" ref="D38">INDEX(D39:D41,$C$3)</f>
        <v>0</v>
      </c>
      <c r="E38" s="26">
        <v>0</v>
      </c>
      <c r="F38" s="26" cm="1">
        <f t="array" ref="F38">INDEX(F39:F41,$C$3)</f>
        <v>0</v>
      </c>
      <c r="G38" s="26" cm="1">
        <f t="array" ref="G38">INDEX(G39:G41,$C$3)</f>
        <v>0</v>
      </c>
      <c r="H38" s="26" cm="1">
        <f t="array" ref="H38">INDEX(H39:H41,$C$3)</f>
        <v>0</v>
      </c>
      <c r="I38" s="26" cm="1">
        <f t="array" ref="I38">INDEX(I39:I41,$C$3)</f>
        <v>0</v>
      </c>
      <c r="J38" s="26" cm="1">
        <f t="array" ref="J38">INDEX(J39:J41,$C$3)</f>
        <v>0</v>
      </c>
      <c r="K38" s="26" cm="1">
        <f t="array" ref="K38">INDEX(K39:K41,$C$3)</f>
        <v>0</v>
      </c>
      <c r="L38" s="26" cm="1">
        <f t="array" ref="L38">INDEX(L39:L41,$C$3)</f>
        <v>0</v>
      </c>
      <c r="M38" s="26" cm="1">
        <f t="array" ref="M38">INDEX(M39:M41,$C$3)</f>
        <v>0</v>
      </c>
    </row>
    <row r="39" spans="1:13" ht="15">
      <c r="A39" s="11" t="s">
        <v>4</v>
      </c>
      <c r="D39" s="27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</row>
    <row r="40" spans="1:13" ht="15">
      <c r="A40" s="11" t="s">
        <v>5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</row>
    <row r="41" spans="1:13" ht="15">
      <c r="A41" s="11" t="s">
        <v>6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3" spans="1:13" ht="15"/>
    <row r="47" spans="1:13" ht="15"/>
    <row r="48" spans="1:13" ht="15"/>
    <row r="52" ht="15"/>
    <row r="53" ht="15"/>
    <row r="58" ht="15"/>
    <row r="63" ht="15"/>
    <row r="68" ht="15"/>
    <row r="69" ht="15"/>
  </sheetData>
  <mergeCells count="4">
    <mergeCell ref="A3:B3"/>
    <mergeCell ref="A2:D2"/>
    <mergeCell ref="C3:D3"/>
    <mergeCell ref="D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460"/>
  <sheetViews>
    <sheetView showGridLines="0" topLeftCell="A33" zoomScale="90" workbookViewId="0">
      <selection activeCell="A98" sqref="A98:M98"/>
    </sheetView>
  </sheetViews>
  <sheetFormatPr defaultRowHeight="14.45"/>
  <cols>
    <col min="1" max="1" width="34.28515625" customWidth="1"/>
    <col min="2" max="2" width="12.7109375" customWidth="1"/>
    <col min="3" max="101" width="10.7109375" customWidth="1"/>
  </cols>
  <sheetData>
    <row r="1" spans="1:107" ht="15.6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s="36" t="s">
        <v>15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>
      <c r="A3" s="36" t="s">
        <v>16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>
      <c r="A4" s="36" t="s">
        <v>17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>
      <c r="A5" s="1"/>
      <c r="B5" s="1"/>
      <c r="N5" s="2" t="s">
        <v>18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>
      <c r="A6" s="1"/>
      <c r="B6" s="1">
        <f>2023</f>
        <v>2023</v>
      </c>
      <c r="C6" s="1">
        <f t="shared" ref="C6:M6" si="0">+B6+1</f>
        <v>2024</v>
      </c>
      <c r="D6" s="1">
        <f t="shared" si="0"/>
        <v>2025</v>
      </c>
      <c r="E6" s="1">
        <f t="shared" si="0"/>
        <v>2026</v>
      </c>
      <c r="F6" s="1">
        <f t="shared" si="0"/>
        <v>2027</v>
      </c>
      <c r="G6" s="1">
        <f t="shared" si="0"/>
        <v>2028</v>
      </c>
      <c r="H6" s="1">
        <f t="shared" si="0"/>
        <v>2029</v>
      </c>
      <c r="I6" s="1">
        <f t="shared" si="0"/>
        <v>2030</v>
      </c>
      <c r="J6" s="1">
        <f t="shared" si="0"/>
        <v>2031</v>
      </c>
      <c r="K6" s="1">
        <f t="shared" si="0"/>
        <v>2032</v>
      </c>
      <c r="L6" s="1">
        <f t="shared" si="0"/>
        <v>2033</v>
      </c>
      <c r="M6" s="1">
        <f t="shared" si="0"/>
        <v>2034</v>
      </c>
      <c r="N6" s="2" t="s">
        <v>19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>
      <c r="A7" s="1"/>
      <c r="B7" s="4" t="s">
        <v>20</v>
      </c>
      <c r="C7" s="4" t="s">
        <v>20</v>
      </c>
      <c r="D7" s="4" t="s">
        <v>20</v>
      </c>
      <c r="E7" s="4" t="s">
        <v>20</v>
      </c>
      <c r="F7" s="4" t="s">
        <v>20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ht="15">
      <c r="A8" s="1" t="s">
        <v>21</v>
      </c>
      <c r="B8" s="6">
        <v>34124.199999999997</v>
      </c>
      <c r="C8" s="6">
        <v>45042.7</v>
      </c>
      <c r="D8" s="25">
        <f>C8*(1+D57)</f>
        <v>59456.364000000001</v>
      </c>
      <c r="E8" s="25">
        <f t="shared" ref="E8:M8" si="1">D8*(1+E57)</f>
        <v>77293.273200000011</v>
      </c>
      <c r="F8" s="25">
        <f t="shared" si="1"/>
        <v>98162.456964000012</v>
      </c>
      <c r="G8" s="25">
        <f t="shared" si="1"/>
        <v>121721.44663536001</v>
      </c>
      <c r="H8" s="25">
        <f t="shared" si="1"/>
        <v>148500.16489513923</v>
      </c>
      <c r="I8" s="25">
        <f t="shared" si="1"/>
        <v>178200.19787416706</v>
      </c>
      <c r="J8" s="25">
        <f t="shared" si="1"/>
        <v>213840.23744900047</v>
      </c>
      <c r="K8" s="25">
        <f t="shared" si="1"/>
        <v>252331.48018982055</v>
      </c>
      <c r="L8" s="25">
        <f t="shared" si="1"/>
        <v>297751.14662398823</v>
      </c>
      <c r="M8" s="25">
        <f t="shared" si="1"/>
        <v>351346.35301630606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>
      <c r="A9" s="1" t="s">
        <v>22</v>
      </c>
      <c r="B9" s="6">
        <v>6576</v>
      </c>
      <c r="C9" s="6">
        <v>7865.1</v>
      </c>
      <c r="D9" s="6">
        <f>D8*D58</f>
        <v>9958.9409700000015</v>
      </c>
      <c r="E9" s="6">
        <f>E8*E58</f>
        <v>12753.390078000002</v>
      </c>
      <c r="F9" s="6">
        <f>F8*F58</f>
        <v>16196.805399060002</v>
      </c>
      <c r="G9" s="6">
        <f>G8*G58</f>
        <v>19779.735078246002</v>
      </c>
      <c r="H9" s="6">
        <f>H8*H58</f>
        <v>24131.276795460126</v>
      </c>
      <c r="I9" s="6">
        <f>I8*I58</f>
        <v>28957.532154552147</v>
      </c>
      <c r="J9" s="6">
        <f>J8*J58</f>
        <v>34749.038585462578</v>
      </c>
      <c r="K9" s="6">
        <f>K8*K58</f>
        <v>41003.86553084584</v>
      </c>
      <c r="L9" s="6">
        <f>L8*L58</f>
        <v>48384.561326398092</v>
      </c>
      <c r="M9" s="6">
        <f>M8*M58</f>
        <v>57093.782365149738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>
      <c r="A10" s="1"/>
      <c r="B10" s="4" t="s">
        <v>20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>
      <c r="A11" s="1" t="s">
        <v>7</v>
      </c>
      <c r="B11" s="6">
        <f>+B8-B9</f>
        <v>27548.199999999997</v>
      </c>
      <c r="C11" s="6">
        <f>+C8-C9</f>
        <v>37177.599999999999</v>
      </c>
      <c r="D11" s="6">
        <f>D8-D9</f>
        <v>49497.423029999998</v>
      </c>
      <c r="E11" s="6">
        <f>E8-E9</f>
        <v>64539.883122000007</v>
      </c>
      <c r="F11" s="6">
        <f>F8-F9</f>
        <v>81965.65156494001</v>
      </c>
      <c r="G11" s="6">
        <f>G8-G9</f>
        <v>101941.71155711402</v>
      </c>
      <c r="H11" s="6">
        <f>H8-H9</f>
        <v>124368.8880996791</v>
      </c>
      <c r="I11" s="6">
        <f>I8-I9</f>
        <v>149242.66571961492</v>
      </c>
      <c r="J11" s="6">
        <f>J8-J9</f>
        <v>179091.19886353789</v>
      </c>
      <c r="K11" s="6">
        <f>K8-K9</f>
        <v>211327.61465897469</v>
      </c>
      <c r="L11" s="6">
        <f>L8-L9</f>
        <v>249366.58529759012</v>
      </c>
      <c r="M11" s="6">
        <f>M8-M9</f>
        <v>294252.5706511563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>
      <c r="A13" s="1" t="s">
        <v>23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ht="15">
      <c r="A14" s="1" t="s">
        <v>10</v>
      </c>
      <c r="B14">
        <v>7403.1</v>
      </c>
      <c r="C14" s="6">
        <v>8593.7999999999993</v>
      </c>
      <c r="D14" s="6">
        <f>D8*D63</f>
        <v>12337.195529999999</v>
      </c>
      <c r="E14" s="6">
        <f>E8*E63</f>
        <v>16038.354189000001</v>
      </c>
      <c r="F14" s="6">
        <f>F8*F63</f>
        <v>20368.709820030002</v>
      </c>
      <c r="G14" s="6">
        <f>G8*G63</f>
        <v>24952.896560248802</v>
      </c>
      <c r="H14" s="6">
        <f>H8*H63</f>
        <v>30442.533803503538</v>
      </c>
      <c r="I14" s="6">
        <f>I8*I63</f>
        <v>36085.540069518829</v>
      </c>
      <c r="J14" s="6">
        <f>J8*J63</f>
        <v>43302.648083422602</v>
      </c>
      <c r="K14" s="6">
        <f>K8*K63</f>
        <v>51097.124738438666</v>
      </c>
      <c r="L14" s="6">
        <f>L8*L63</f>
        <v>60294.607191357623</v>
      </c>
      <c r="M14" s="6">
        <f>M8*M63</f>
        <v>71147.636485801981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ht="15">
      <c r="A15" s="1" t="s">
        <v>11</v>
      </c>
      <c r="B15">
        <v>9313.4</v>
      </c>
      <c r="C15" s="6">
        <v>10990.6</v>
      </c>
      <c r="D15" s="6">
        <f>D8*D64</f>
        <v>15755.936460000001</v>
      </c>
      <c r="E15" s="6">
        <f>E8*E64</f>
        <v>20482.717398000004</v>
      </c>
      <c r="F15" s="6">
        <f>F8*F64</f>
        <v>26013.051095460003</v>
      </c>
      <c r="G15" s="6">
        <f>G8*G64</f>
        <v>31951.879741782006</v>
      </c>
      <c r="H15" s="6">
        <f>H8*H64</f>
        <v>38981.293284974046</v>
      </c>
      <c r="I15" s="6">
        <f>I8*I64</f>
        <v>46777.551941968857</v>
      </c>
      <c r="J15" s="6">
        <f>J8*J64</f>
        <v>56133.062330362627</v>
      </c>
      <c r="K15" s="6">
        <f>K8*K64</f>
        <v>66237.013549827898</v>
      </c>
      <c r="L15" s="6">
        <f>L8*L64</f>
        <v>78159.675988796909</v>
      </c>
      <c r="M15" s="6">
        <f>M8*M64</f>
        <v>92228.41766678034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ht="15">
      <c r="A16" s="1" t="s">
        <v>24</v>
      </c>
      <c r="B16">
        <v>171.2</v>
      </c>
      <c r="C16">
        <v>209.6</v>
      </c>
      <c r="D16" s="6">
        <v>221.2</v>
      </c>
      <c r="E16" s="6">
        <v>189.1</v>
      </c>
      <c r="F16" s="6">
        <v>172.2</v>
      </c>
      <c r="G16" s="6">
        <v>130.30000000000001</v>
      </c>
      <c r="H16" s="6">
        <v>108.6</v>
      </c>
      <c r="I16" s="6">
        <v>65.099999999999994</v>
      </c>
      <c r="J16" s="6">
        <v>65.099999999999994</v>
      </c>
      <c r="K16" s="6">
        <v>65.099999999999994</v>
      </c>
      <c r="L16" s="6">
        <v>65.099999999999994</v>
      </c>
      <c r="M16" s="6">
        <v>65.099999999999994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>
      <c r="A17" s="1"/>
      <c r="B17" s="4" t="s">
        <v>20</v>
      </c>
      <c r="C17" s="4" t="s">
        <v>20</v>
      </c>
      <c r="D17" s="4" t="s">
        <v>20</v>
      </c>
      <c r="E17" s="4" t="s">
        <v>20</v>
      </c>
      <c r="F17" s="4" t="s">
        <v>20</v>
      </c>
      <c r="G17" s="4" t="s">
        <v>20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4" t="s">
        <v>20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>
      <c r="A18" s="1" t="s">
        <v>25</v>
      </c>
      <c r="B18" s="6">
        <f t="shared" ref="B18" si="2">SUM(B14:B17)</f>
        <v>16887.7</v>
      </c>
      <c r="C18" s="6">
        <f>SUM(C14:C17)</f>
        <v>19794</v>
      </c>
      <c r="D18" s="6">
        <f>SUM(D14:D16)</f>
        <v>28314.331990000002</v>
      </c>
      <c r="E18" s="6">
        <f t="shared" ref="E18:M18" si="3">SUM(E14:E16)</f>
        <v>36710.171587000004</v>
      </c>
      <c r="F18" s="6">
        <f t="shared" si="3"/>
        <v>46553.960915490003</v>
      </c>
      <c r="G18" s="6">
        <f>SUM(G14:G16)</f>
        <v>57035.076302030808</v>
      </c>
      <c r="H18" s="6">
        <f>SUM(H14:H16)</f>
        <v>69532.427088477591</v>
      </c>
      <c r="I18" s="6">
        <f t="shared" si="3"/>
        <v>82928.192011487699</v>
      </c>
      <c r="J18" s="6">
        <f t="shared" si="3"/>
        <v>99500.810413785235</v>
      </c>
      <c r="K18" s="6">
        <f t="shared" si="3"/>
        <v>117399.23828826657</v>
      </c>
      <c r="L18" s="6">
        <f t="shared" si="3"/>
        <v>138519.38318015455</v>
      </c>
      <c r="M18" s="6">
        <f t="shared" si="3"/>
        <v>163441.15415258231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>
      <c r="A19" s="1"/>
      <c r="B19" s="4" t="s">
        <v>20</v>
      </c>
      <c r="C19" s="4" t="s">
        <v>20</v>
      </c>
      <c r="D19" s="4" t="s">
        <v>20</v>
      </c>
      <c r="E19" s="4" t="s">
        <v>20</v>
      </c>
      <c r="F19" s="4" t="s">
        <v>20</v>
      </c>
      <c r="G19" s="4" t="s">
        <v>20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>
      <c r="A20" s="1" t="s">
        <v>26</v>
      </c>
      <c r="B20" s="6">
        <f t="shared" ref="B20:C20" si="4">+B11-B18</f>
        <v>10660.499999999996</v>
      </c>
      <c r="C20" s="6">
        <f t="shared" si="4"/>
        <v>17383.599999999999</v>
      </c>
      <c r="D20" s="6">
        <f>D11-D18</f>
        <v>21183.091039999996</v>
      </c>
      <c r="E20" s="6">
        <f t="shared" ref="E20:M20" si="5">E11-E18</f>
        <v>27829.711535000002</v>
      </c>
      <c r="F20" s="6">
        <f t="shared" si="5"/>
        <v>35411.690649450007</v>
      </c>
      <c r="G20" s="6">
        <f t="shared" si="5"/>
        <v>44906.635255083209</v>
      </c>
      <c r="H20" s="6">
        <f t="shared" si="5"/>
        <v>54836.461011201507</v>
      </c>
      <c r="I20" s="6">
        <f t="shared" si="5"/>
        <v>66314.473708127218</v>
      </c>
      <c r="J20" s="6">
        <f t="shared" si="5"/>
        <v>79590.38844975266</v>
      </c>
      <c r="K20" s="6">
        <f t="shared" si="5"/>
        <v>93928.376370708123</v>
      </c>
      <c r="L20" s="6">
        <f t="shared" si="5"/>
        <v>110847.20211743558</v>
      </c>
      <c r="M20" s="6">
        <f t="shared" si="5"/>
        <v>130811.41649857399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>
      <c r="A22" s="1" t="s">
        <v>27</v>
      </c>
      <c r="B22" s="6">
        <f>+B8*B71</f>
        <v>0</v>
      </c>
      <c r="C22" s="6">
        <f>+C8*C71</f>
        <v>0</v>
      </c>
      <c r="D22" s="6">
        <f>D71*D8</f>
        <v>0</v>
      </c>
      <c r="E22" s="6">
        <f>E71*E8</f>
        <v>0</v>
      </c>
      <c r="F22" s="6">
        <f>F71*F8</f>
        <v>0</v>
      </c>
      <c r="G22" s="6">
        <f>G71*G8</f>
        <v>0</v>
      </c>
      <c r="H22" s="6">
        <f>H71*H8</f>
        <v>0</v>
      </c>
      <c r="I22" s="6">
        <f>I71*I8</f>
        <v>0</v>
      </c>
      <c r="J22" s="6">
        <f>J71*J8</f>
        <v>0</v>
      </c>
      <c r="K22" s="6">
        <f>K71*K8</f>
        <v>0</v>
      </c>
      <c r="L22" s="6">
        <f>L71*L8</f>
        <v>0</v>
      </c>
      <c r="M22" s="6">
        <f>M71*M8</f>
        <v>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>
      <c r="A23" s="1"/>
      <c r="B23" s="4" t="s">
        <v>20</v>
      </c>
      <c r="C23" s="4" t="s">
        <v>20</v>
      </c>
      <c r="D23" s="4" t="s">
        <v>20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4" t="s">
        <v>20</v>
      </c>
      <c r="N23" s="6"/>
      <c r="O23" s="6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>
      <c r="A24" s="1" t="s">
        <v>28</v>
      </c>
      <c r="B24" s="6">
        <f t="shared" ref="B24:C24" si="6">+B20+SUM(B22:B23)</f>
        <v>10660.499999999996</v>
      </c>
      <c r="C24" s="6">
        <f t="shared" si="6"/>
        <v>17383.599999999999</v>
      </c>
      <c r="D24" s="6">
        <f>SUM(D20:D22)</f>
        <v>21183.091039999996</v>
      </c>
      <c r="E24" s="6">
        <f t="shared" ref="E24:M24" si="7">SUM(E20:E22)</f>
        <v>27829.711535000002</v>
      </c>
      <c r="F24" s="6">
        <f t="shared" si="7"/>
        <v>35411.690649450007</v>
      </c>
      <c r="G24" s="6">
        <f t="shared" si="7"/>
        <v>44906.635255083209</v>
      </c>
      <c r="H24" s="6">
        <f t="shared" si="7"/>
        <v>54836.461011201507</v>
      </c>
      <c r="I24" s="6">
        <f t="shared" si="7"/>
        <v>66314.473708127218</v>
      </c>
      <c r="J24" s="6">
        <f t="shared" si="7"/>
        <v>79590.38844975266</v>
      </c>
      <c r="K24" s="6">
        <f t="shared" si="7"/>
        <v>93928.376370708123</v>
      </c>
      <c r="L24" s="6">
        <f t="shared" si="7"/>
        <v>110847.20211743558</v>
      </c>
      <c r="M24" s="6">
        <f t="shared" si="7"/>
        <v>130811.41649857399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>
      <c r="A25" s="1" t="s">
        <v>29</v>
      </c>
      <c r="B25" s="6">
        <f>+B24*B74</f>
        <v>1471.1489999999997</v>
      </c>
      <c r="C25" s="6">
        <f>+C24*C74</f>
        <v>2868.2939999999999</v>
      </c>
      <c r="D25" s="6">
        <f>D24*D74</f>
        <v>3389.2945663999994</v>
      </c>
      <c r="E25" s="6">
        <f>E24*E74</f>
        <v>4452.7538456000002</v>
      </c>
      <c r="F25" s="6">
        <f>F24*F74</f>
        <v>5665.8705039120014</v>
      </c>
      <c r="G25" s="6">
        <f>G24*G74</f>
        <v>7185.0616408133137</v>
      </c>
      <c r="H25" s="6">
        <f>H24*H74</f>
        <v>8773.8337617922407</v>
      </c>
      <c r="I25" s="6">
        <f>I24*I74</f>
        <v>10610.315793300355</v>
      </c>
      <c r="J25" s="6">
        <f>J24*J74</f>
        <v>12734.462151960426</v>
      </c>
      <c r="K25" s="6">
        <f>K24*K74</f>
        <v>15028.5402193133</v>
      </c>
      <c r="L25" s="6">
        <f>L24*L74</f>
        <v>17735.552338789694</v>
      </c>
      <c r="M25" s="6">
        <f>M24*M74</f>
        <v>20929.82663977184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>
      <c r="A26" s="1"/>
      <c r="B26" s="4" t="s">
        <v>20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4" t="s">
        <v>20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>
      <c r="A27" s="1" t="s">
        <v>30</v>
      </c>
      <c r="B27" s="6">
        <f t="shared" ref="B27:C27" si="8">+B24-B25</f>
        <v>9189.3509999999969</v>
      </c>
      <c r="C27" s="6">
        <f t="shared" si="8"/>
        <v>14515.305999999999</v>
      </c>
      <c r="D27" s="6">
        <f>D24-D25</f>
        <v>17793.796473599996</v>
      </c>
      <c r="E27" s="6">
        <f t="shared" ref="E27:M27" si="9">E24-E25</f>
        <v>23376.957689400002</v>
      </c>
      <c r="F27" s="6">
        <f t="shared" si="9"/>
        <v>29745.820145538004</v>
      </c>
      <c r="G27" s="6">
        <f t="shared" si="9"/>
        <v>37721.573614269895</v>
      </c>
      <c r="H27" s="6">
        <f t="shared" si="9"/>
        <v>46062.62724940927</v>
      </c>
      <c r="I27" s="6">
        <f t="shared" si="9"/>
        <v>55704.157914826865</v>
      </c>
      <c r="J27" s="6">
        <f t="shared" si="9"/>
        <v>66855.926297792234</v>
      </c>
      <c r="K27" s="6">
        <f t="shared" si="9"/>
        <v>78899.836151394818</v>
      </c>
      <c r="L27" s="6">
        <f t="shared" si="9"/>
        <v>93111.649778645879</v>
      </c>
      <c r="M27" s="6">
        <f t="shared" si="9"/>
        <v>109881.58985880215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>
      <c r="A29" s="3" t="s">
        <v>31</v>
      </c>
      <c r="B29" s="6">
        <f>B117</f>
        <v>1527.3</v>
      </c>
      <c r="C29" s="6">
        <f t="shared" ref="C29:M29" si="10">C117</f>
        <v>1766.6</v>
      </c>
      <c r="D29" s="6">
        <f t="shared" si="10"/>
        <v>2101.5597779692307</v>
      </c>
      <c r="E29" s="6">
        <f t="shared" si="10"/>
        <v>2409.3447200984615</v>
      </c>
      <c r="F29" s="6">
        <f t="shared" si="10"/>
        <v>2825.9017442948925</v>
      </c>
      <c r="G29" s="6">
        <f t="shared" si="10"/>
        <v>3338.6697742503156</v>
      </c>
      <c r="H29" s="6">
        <f t="shared" si="10"/>
        <v>3969.8977800267003</v>
      </c>
      <c r="I29" s="6">
        <f t="shared" si="10"/>
        <v>4767.7959210170993</v>
      </c>
      <c r="J29" s="6">
        <f t="shared" si="10"/>
        <v>5698.8382440517325</v>
      </c>
      <c r="K29" s="6">
        <f t="shared" si="10"/>
        <v>6806.9402836941381</v>
      </c>
      <c r="L29" s="6">
        <f t="shared" si="10"/>
        <v>8123.9727889337155</v>
      </c>
      <c r="M29" s="6">
        <f t="shared" si="10"/>
        <v>9687.5432435779549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>
      <c r="A30" s="3" t="s">
        <v>32</v>
      </c>
      <c r="B30" s="6">
        <v>-3450</v>
      </c>
      <c r="C30" s="6">
        <v>-5060</v>
      </c>
      <c r="D30" s="6">
        <f>-D8*D80</f>
        <v>-7134.76368</v>
      </c>
      <c r="E30" s="6">
        <f>-E8*E80</f>
        <v>-9275.1927840000008</v>
      </c>
      <c r="F30" s="6">
        <f>-F8*F80</f>
        <v>-11779.494835680001</v>
      </c>
      <c r="G30" s="6">
        <f>-G8*G80</f>
        <v>-14302.2699796548</v>
      </c>
      <c r="H30" s="6">
        <f>-H8*H80</f>
        <v>-17448.769375178857</v>
      </c>
      <c r="I30" s="6">
        <f>-I8*I80</f>
        <v>-20493.022755529211</v>
      </c>
      <c r="J30" s="6">
        <f>-J8*J80</f>
        <v>-24591.627306635055</v>
      </c>
      <c r="K30" s="6">
        <f>-K8*K80</f>
        <v>-29018.120221829366</v>
      </c>
      <c r="L30" s="6">
        <f>-L8*L80</f>
        <v>-34241.381861758651</v>
      </c>
      <c r="M30" s="6">
        <f>-M8*M80</f>
        <v>-40404.830596875196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>
      <c r="A31" s="3" t="s">
        <v>33</v>
      </c>
      <c r="B31" s="6">
        <v>-2228.9</v>
      </c>
      <c r="C31" s="6">
        <v>-4077.5</v>
      </c>
      <c r="D31" s="6">
        <f>(C8-D8)*$B$82</f>
        <v>-2738.596160000001</v>
      </c>
      <c r="E31" s="6">
        <f>(D8-E8)*$B$82</f>
        <v>-3389.0127480000019</v>
      </c>
      <c r="F31" s="6">
        <f>(E8-F8)*$B$82</f>
        <v>-3965.1449151600004</v>
      </c>
      <c r="G31" s="6">
        <f>(F8-G8)*$B$82</f>
        <v>-4476.208037558401</v>
      </c>
      <c r="H31" s="6">
        <f>(G8-H8)*$B$82</f>
        <v>-5087.9564693580505</v>
      </c>
      <c r="I31" s="6">
        <f>(H8-I8)*$B$82</f>
        <v>-5643.0062660152889</v>
      </c>
      <c r="J31" s="6">
        <f>(I8-J8)*$B$82</f>
        <v>-6771.607519218348</v>
      </c>
      <c r="K31" s="6">
        <f>(J8-K8)*$B$82</f>
        <v>-7313.3361207558146</v>
      </c>
      <c r="L31" s="6">
        <f>(K8-L8)*$B$82</f>
        <v>-8629.7366224918587</v>
      </c>
      <c r="M31" s="6">
        <f>(L8-M8)*$B$82</f>
        <v>-10183.089214540389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s="1"/>
      <c r="B32" s="4" t="s">
        <v>20</v>
      </c>
      <c r="C32" s="4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4" t="s">
        <v>20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>
      <c r="A33" s="1" t="s">
        <v>34</v>
      </c>
      <c r="B33" s="6">
        <f>+B27+SUM(B29:B32)</f>
        <v>5037.7509999999966</v>
      </c>
      <c r="C33" s="6">
        <f>+C27+SUM(C29:C32)</f>
        <v>7144.405999999999</v>
      </c>
      <c r="D33" s="6">
        <f>(D27+SUM(D29:D31))*0.75</f>
        <v>7516.4973086769187</v>
      </c>
      <c r="E33" s="6">
        <f t="shared" ref="E33:M33" si="11">E27+SUM(E29:E31)</f>
        <v>13122.096877498461</v>
      </c>
      <c r="F33" s="6">
        <f t="shared" si="11"/>
        <v>16827.082138992897</v>
      </c>
      <c r="G33" s="6">
        <f t="shared" si="11"/>
        <v>22281.76537130701</v>
      </c>
      <c r="H33" s="6">
        <f t="shared" si="11"/>
        <v>27495.799184899064</v>
      </c>
      <c r="I33" s="6">
        <f t="shared" si="11"/>
        <v>34335.924814299462</v>
      </c>
      <c r="J33" s="6">
        <f t="shared" si="11"/>
        <v>41191.52971599056</v>
      </c>
      <c r="K33" s="6">
        <f t="shared" si="11"/>
        <v>49375.320092503775</v>
      </c>
      <c r="L33" s="6">
        <f t="shared" si="11"/>
        <v>58364.504083329084</v>
      </c>
      <c r="M33" s="6">
        <f t="shared" si="11"/>
        <v>68981.213290964515</v>
      </c>
      <c r="N33" s="6">
        <f>M27*(1-0.01/0.1846)/(B92-0.01)</f>
        <v>1517169.9274983685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>
      <c r="A34" s="1" t="s">
        <v>35</v>
      </c>
      <c r="B34" s="9"/>
      <c r="C34" s="9"/>
      <c r="D34" s="9">
        <f>1/(1+$B$92)^(D93/12)</f>
        <v>0.99059784908174731</v>
      </c>
      <c r="E34" s="9">
        <f t="shared" ref="E34:N34" si="12">1/(1+$B$92)^(E93/12)</f>
        <v>0.94489659481232591</v>
      </c>
      <c r="F34" s="9">
        <f t="shared" si="12"/>
        <v>0.87611946460212953</v>
      </c>
      <c r="G34" s="9">
        <f t="shared" si="12"/>
        <v>0.81234848391762782</v>
      </c>
      <c r="H34" s="9">
        <f t="shared" si="12"/>
        <v>0.7532192651637436</v>
      </c>
      <c r="I34" s="9">
        <f t="shared" si="12"/>
        <v>0.69839394378846165</v>
      </c>
      <c r="J34" s="9">
        <f t="shared" si="12"/>
        <v>0.64755924772365892</v>
      </c>
      <c r="K34" s="9">
        <f t="shared" si="12"/>
        <v>0.600424707347468</v>
      </c>
      <c r="L34" s="9">
        <f t="shared" si="12"/>
        <v>0.55672099573989475</v>
      </c>
      <c r="M34" s="9">
        <f t="shared" si="12"/>
        <v>0.51619838974790466</v>
      </c>
      <c r="N34" s="9">
        <f t="shared" si="12"/>
        <v>0.49705696995763465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>
      <c r="A35" s="1"/>
      <c r="B35" s="4"/>
      <c r="C35" s="4"/>
      <c r="D35" s="4" t="s">
        <v>20</v>
      </c>
      <c r="E35" s="4" t="s">
        <v>20</v>
      </c>
      <c r="F35" s="4" t="s">
        <v>20</v>
      </c>
      <c r="G35" s="4" t="s">
        <v>20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4" t="s">
        <v>20</v>
      </c>
      <c r="N35" s="4" t="s">
        <v>20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>
      <c r="A36" s="1" t="s">
        <v>36</v>
      </c>
      <c r="B36" s="6"/>
      <c r="C36" s="6"/>
      <c r="D36" s="6">
        <f>D33*D34</f>
        <v>7445.8260666040978</v>
      </c>
      <c r="E36" s="6">
        <f>E33*E34</f>
        <v>12399.024656345751</v>
      </c>
      <c r="F36" s="6">
        <f t="shared" ref="F36:J36" si="13">+F33*F34</f>
        <v>14742.534194430513</v>
      </c>
      <c r="G36" s="6">
        <f t="shared" si="13"/>
        <v>18100.558318389551</v>
      </c>
      <c r="H36" s="6">
        <f t="shared" si="13"/>
        <v>20710.365657139533</v>
      </c>
      <c r="I36" s="6">
        <f t="shared" si="13"/>
        <v>23980.001944682703</v>
      </c>
      <c r="J36" s="6">
        <f t="shared" si="13"/>
        <v>26673.955995473589</v>
      </c>
      <c r="K36" s="6">
        <f t="shared" ref="K36:L36" si="14">+K33*K34</f>
        <v>29646.162116729134</v>
      </c>
      <c r="L36" s="6">
        <f t="shared" si="14"/>
        <v>32492.744829136122</v>
      </c>
      <c r="M36" s="6">
        <f t="shared" ref="M36" si="15">+M33*M34</f>
        <v>35607.991223652643</v>
      </c>
      <c r="N36" s="6">
        <f>+N33*N34</f>
        <v>754119.88707318332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s="1"/>
      <c r="D37" s="4" t="s">
        <v>20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>
      <c r="A38" s="1" t="s">
        <v>37</v>
      </c>
      <c r="D38" s="6">
        <f>SUM(D36:N36)</f>
        <v>975919.05207576696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>
      <c r="A39" s="1" t="s">
        <v>38</v>
      </c>
      <c r="D39" s="6">
        <v>-34910.6</v>
      </c>
      <c r="E39" s="6"/>
      <c r="F39" s="6"/>
      <c r="G39" s="6"/>
      <c r="H39" s="2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>
      <c r="A40" s="1" t="s">
        <v>39</v>
      </c>
      <c r="D40" s="6">
        <v>3433.5</v>
      </c>
      <c r="E40" s="6"/>
      <c r="F40" s="32"/>
      <c r="G40" s="6"/>
      <c r="H40" s="6"/>
      <c r="I40" s="3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>
      <c r="A41" s="1"/>
      <c r="D41" s="4" t="s">
        <v>20</v>
      </c>
      <c r="E41" s="6"/>
      <c r="F41" s="6"/>
      <c r="G41" s="6"/>
      <c r="H41" s="6"/>
      <c r="I41" s="3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>
      <c r="A42" s="1" t="s">
        <v>40</v>
      </c>
      <c r="D42" s="6">
        <f>SUM(D38:D40)</f>
        <v>944441.95207576698</v>
      </c>
      <c r="E42" s="6"/>
      <c r="F42" s="6"/>
      <c r="G42" s="6"/>
      <c r="H42" s="6"/>
      <c r="I42" s="3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>
      <c r="A43" s="1" t="s">
        <v>41</v>
      </c>
      <c r="D43" s="6">
        <v>902.5</v>
      </c>
      <c r="E43" s="6"/>
      <c r="F43" s="6"/>
      <c r="G43" s="6"/>
      <c r="H43" s="6"/>
      <c r="I43" s="3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>
      <c r="A44" s="1"/>
      <c r="D44" s="4" t="s">
        <v>20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>
      <c r="A45" s="1" t="s">
        <v>42</v>
      </c>
      <c r="D45" s="10">
        <f>D42/D43</f>
        <v>1046.4730770922627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>
      <c r="A46" s="1"/>
      <c r="D46" s="8" t="s">
        <v>43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>
      <c r="A47" s="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>
      <c r="A48" s="1" t="s">
        <v>44</v>
      </c>
      <c r="D48" s="10">
        <v>820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15.6">
      <c r="A50" s="35" t="s">
        <v>14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>
      <c r="A51" s="36" t="s">
        <v>15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>
      <c r="A52" s="36" t="s">
        <v>45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>
      <c r="A53" s="36" t="s">
        <v>46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>
      <c r="A55" s="1"/>
      <c r="B55" s="1">
        <f>2023</f>
        <v>2023</v>
      </c>
      <c r="C55" s="1">
        <f t="shared" ref="C55:M55" si="16">+B55+1</f>
        <v>2024</v>
      </c>
      <c r="D55" s="1">
        <f t="shared" si="16"/>
        <v>2025</v>
      </c>
      <c r="E55" s="1">
        <f t="shared" si="16"/>
        <v>2026</v>
      </c>
      <c r="F55" s="1">
        <f t="shared" si="16"/>
        <v>2027</v>
      </c>
      <c r="G55" s="1">
        <f t="shared" si="16"/>
        <v>2028</v>
      </c>
      <c r="H55" s="1">
        <f t="shared" si="16"/>
        <v>2029</v>
      </c>
      <c r="I55" s="1">
        <f t="shared" si="16"/>
        <v>2030</v>
      </c>
      <c r="J55" s="1">
        <f t="shared" si="16"/>
        <v>2031</v>
      </c>
      <c r="K55" s="1">
        <f t="shared" si="16"/>
        <v>2032</v>
      </c>
      <c r="L55" s="1">
        <f t="shared" si="16"/>
        <v>2033</v>
      </c>
      <c r="M55" s="1">
        <f t="shared" si="16"/>
        <v>2034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>
      <c r="A56" s="1"/>
      <c r="B56" s="4" t="s">
        <v>20</v>
      </c>
      <c r="C56" s="4" t="s">
        <v>20</v>
      </c>
      <c r="D56" s="4" t="s">
        <v>20</v>
      </c>
      <c r="E56" s="4" t="s">
        <v>20</v>
      </c>
      <c r="F56" s="4" t="s">
        <v>20</v>
      </c>
      <c r="G56" s="4" t="s">
        <v>20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4" t="s">
        <v>20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>
      <c r="A57" s="1" t="s">
        <v>47</v>
      </c>
      <c r="B57" s="15">
        <v>0.2</v>
      </c>
      <c r="C57" s="15">
        <f>+C8/B8-1</f>
        <v>0.31996354493292145</v>
      </c>
      <c r="D57" s="15">
        <f>Assumption!D8</f>
        <v>0.32</v>
      </c>
      <c r="E57" s="15">
        <f>Assumption!E8</f>
        <v>0.3</v>
      </c>
      <c r="F57" s="15">
        <f>Assumption!F8</f>
        <v>0.27</v>
      </c>
      <c r="G57" s="15">
        <f>Assumption!G8</f>
        <v>0.24</v>
      </c>
      <c r="H57" s="15">
        <f>Assumption!H8</f>
        <v>0.22</v>
      </c>
      <c r="I57" s="15">
        <f>Assumption!I8</f>
        <v>0.2</v>
      </c>
      <c r="J57" s="15">
        <f>Assumption!J8</f>
        <v>0.2</v>
      </c>
      <c r="K57" s="15">
        <f>Assumption!K8</f>
        <v>0.18</v>
      </c>
      <c r="L57" s="15">
        <f>Assumption!L8</f>
        <v>0.18</v>
      </c>
      <c r="M57" s="15">
        <f>Assumption!M8</f>
        <v>0.18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>
      <c r="A58" s="1" t="s">
        <v>22</v>
      </c>
      <c r="B58" s="15">
        <f>+B9/B8</f>
        <v>0.19270781439564885</v>
      </c>
      <c r="C58" s="15">
        <f>+C9/C8</f>
        <v>0.17461431042100053</v>
      </c>
      <c r="D58" s="15">
        <f>Assumption!D14</f>
        <v>0.16750000000000001</v>
      </c>
      <c r="E58" s="15">
        <f>Assumption!E14</f>
        <v>0.16500000000000001</v>
      </c>
      <c r="F58" s="15">
        <f>Assumption!F14</f>
        <v>0.16500000000000001</v>
      </c>
      <c r="G58" s="15">
        <f>Assumption!G14</f>
        <v>0.16250000000000001</v>
      </c>
      <c r="H58" s="15">
        <f>Assumption!H14</f>
        <v>0.16250000000000001</v>
      </c>
      <c r="I58" s="15">
        <f>Assumption!I14</f>
        <v>0.16250000000000001</v>
      </c>
      <c r="J58" s="15">
        <f>Assumption!J14</f>
        <v>0.16250000000000001</v>
      </c>
      <c r="K58" s="15">
        <f>Assumption!K14</f>
        <v>0.16250000000000001</v>
      </c>
      <c r="L58" s="15">
        <f>Assumption!L14</f>
        <v>0.16250000000000001</v>
      </c>
      <c r="M58" s="15">
        <f>Assumption!M14</f>
        <v>0.16250000000000001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>
      <c r="A59" s="1"/>
      <c r="B59" s="16" t="s">
        <v>20</v>
      </c>
      <c r="C59" s="16" t="s">
        <v>20</v>
      </c>
      <c r="D59" s="16" t="s">
        <v>20</v>
      </c>
      <c r="E59" s="16" t="s">
        <v>20</v>
      </c>
      <c r="F59" s="16" t="s">
        <v>20</v>
      </c>
      <c r="G59" s="16" t="s">
        <v>20</v>
      </c>
      <c r="H59" s="16" t="s">
        <v>20</v>
      </c>
      <c r="I59" s="16" t="s">
        <v>20</v>
      </c>
      <c r="J59" s="16" t="s">
        <v>20</v>
      </c>
      <c r="K59" s="16" t="s">
        <v>20</v>
      </c>
      <c r="L59" s="16" t="s">
        <v>20</v>
      </c>
      <c r="M59" s="16" t="s">
        <v>20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>
      <c r="A60" s="1" t="s">
        <v>7</v>
      </c>
      <c r="B60" s="15">
        <f>+B11/B8</f>
        <v>0.80729218560435112</v>
      </c>
      <c r="C60" s="15">
        <f>+C11/C8</f>
        <v>0.82538568957899949</v>
      </c>
      <c r="D60" s="15">
        <f>Assumption!D13</f>
        <v>0.83250000000000002</v>
      </c>
      <c r="E60" s="15">
        <f>Assumption!E13</f>
        <v>0.83499999999999996</v>
      </c>
      <c r="F60" s="15">
        <f>Assumption!F13</f>
        <v>0.83499999999999996</v>
      </c>
      <c r="G60" s="15">
        <f>Assumption!G13</f>
        <v>0.83750000000000002</v>
      </c>
      <c r="H60" s="15">
        <f>Assumption!H13</f>
        <v>0.83750000000000002</v>
      </c>
      <c r="I60" s="15">
        <f>Assumption!I13</f>
        <v>0.83750000000000002</v>
      </c>
      <c r="J60" s="15">
        <f>Assumption!J13</f>
        <v>0.83750000000000002</v>
      </c>
      <c r="K60" s="15">
        <f>Assumption!K13</f>
        <v>0.83750000000000002</v>
      </c>
      <c r="L60" s="15">
        <f>Assumption!L13</f>
        <v>0.83750000000000002</v>
      </c>
      <c r="M60" s="15">
        <f>Assumption!M13</f>
        <v>0.83750000000000002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>
      <c r="A62" s="1" t="s">
        <v>23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>
      <c r="A63" s="1" t="s">
        <v>10</v>
      </c>
      <c r="B63" s="15">
        <f>B14/B8</f>
        <v>0.21694574524824028</v>
      </c>
      <c r="C63" s="15">
        <f>C14/C8</f>
        <v>0.19079229264675518</v>
      </c>
      <c r="D63" s="15">
        <f>Assumption!D22</f>
        <v>0.20749999999999999</v>
      </c>
      <c r="E63" s="15">
        <f>Assumption!E22</f>
        <v>0.20749999999999999</v>
      </c>
      <c r="F63" s="15">
        <f>Assumption!F22</f>
        <v>0.20749999999999999</v>
      </c>
      <c r="G63" s="15">
        <f>Assumption!G22</f>
        <v>0.20499999999999999</v>
      </c>
      <c r="H63" s="15">
        <f>Assumption!H22</f>
        <v>0.20499999999999999</v>
      </c>
      <c r="I63" s="15">
        <f>Assumption!I22</f>
        <v>0.20250000000000001</v>
      </c>
      <c r="J63" s="15">
        <f>Assumption!J22</f>
        <v>0.20250000000000001</v>
      </c>
      <c r="K63" s="15">
        <f>Assumption!K22</f>
        <v>0.20250000000000001</v>
      </c>
      <c r="L63" s="15">
        <f>Assumption!L22</f>
        <v>0.20250000000000001</v>
      </c>
      <c r="M63" s="15">
        <f>Assumption!M22</f>
        <v>0.20250000000000001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>
      <c r="A64" s="1" t="s">
        <v>11</v>
      </c>
      <c r="B64" s="15">
        <f>B15/B8</f>
        <v>0.27292654479811984</v>
      </c>
      <c r="C64" s="15">
        <f>C15/C8</f>
        <v>0.24400402284942957</v>
      </c>
      <c r="D64" s="15">
        <f>Assumption!D27</f>
        <v>0.26500000000000001</v>
      </c>
      <c r="E64" s="15">
        <f>Assumption!E27</f>
        <v>0.26500000000000001</v>
      </c>
      <c r="F64" s="15">
        <f>Assumption!F27</f>
        <v>0.26500000000000001</v>
      </c>
      <c r="G64" s="15">
        <f>Assumption!G27</f>
        <v>0.26250000000000001</v>
      </c>
      <c r="H64" s="15">
        <f>Assumption!H27</f>
        <v>0.26250000000000001</v>
      </c>
      <c r="I64" s="15">
        <f>Assumption!I27</f>
        <v>0.26250000000000001</v>
      </c>
      <c r="J64" s="15">
        <f>Assumption!J27</f>
        <v>0.26250000000000001</v>
      </c>
      <c r="K64" s="15">
        <f>Assumption!K27</f>
        <v>0.26250000000000001</v>
      </c>
      <c r="L64" s="15">
        <f>Assumption!L27</f>
        <v>0.26250000000000001</v>
      </c>
      <c r="M64" s="15">
        <f>Assumption!M27</f>
        <v>0.26250000000000001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>
      <c r="A65" s="1" t="s">
        <v>24</v>
      </c>
      <c r="B65" s="15">
        <f>+D16/B8</f>
        <v>6.4822032457903774E-3</v>
      </c>
      <c r="C65" s="15">
        <f>+E16/C8</f>
        <v>4.1982385602994492E-3</v>
      </c>
      <c r="D65" s="15">
        <f>+F16/D8</f>
        <v>2.8962416874331568E-3</v>
      </c>
      <c r="E65" s="15">
        <f>+G16/E8</f>
        <v>1.6857870627737886E-3</v>
      </c>
      <c r="F65" s="15">
        <f>+H16/F8</f>
        <v>1.1063292765769691E-3</v>
      </c>
      <c r="G65" s="15">
        <f>+I16/G8</f>
        <v>5.3482768895295467E-4</v>
      </c>
      <c r="H65" s="15">
        <f>+J16/H8</f>
        <v>4.3838335160078249E-4</v>
      </c>
      <c r="I65" s="15">
        <f>+K16/I8</f>
        <v>3.6531945966731877E-4</v>
      </c>
      <c r="J65" s="15">
        <f>+L16/J8</f>
        <v>3.0443288305609894E-4</v>
      </c>
      <c r="K65" s="15">
        <f>+M16/K8</f>
        <v>2.5799396869160928E-4</v>
      </c>
      <c r="L65" s="15">
        <f>+N16/L8</f>
        <v>0</v>
      </c>
      <c r="M65" s="15">
        <f>+O16/M8</f>
        <v>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>
      <c r="A66" s="1"/>
      <c r="B66" s="16" t="s">
        <v>20</v>
      </c>
      <c r="C66" s="16" t="s">
        <v>20</v>
      </c>
      <c r="D66" s="16" t="s">
        <v>20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  <c r="J66" s="16" t="s">
        <v>20</v>
      </c>
      <c r="K66" s="16" t="s">
        <v>20</v>
      </c>
      <c r="L66" s="16" t="s">
        <v>20</v>
      </c>
      <c r="M66" s="16" t="s">
        <v>20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>
      <c r="A67" s="1" t="s">
        <v>25</v>
      </c>
      <c r="B67" s="15">
        <f>+B18/B8</f>
        <v>0.49488925747709844</v>
      </c>
      <c r="C67" s="15">
        <f>+C18/C8</f>
        <v>0.4394496777502237</v>
      </c>
      <c r="D67" s="15">
        <f t="shared" ref="D67:M67" si="17">+D18/D8</f>
        <v>0.47622037550093044</v>
      </c>
      <c r="E67" s="15">
        <f t="shared" si="17"/>
        <v>0.47494652596754044</v>
      </c>
      <c r="F67" s="15">
        <f t="shared" si="17"/>
        <v>0.47425423481976564</v>
      </c>
      <c r="G67" s="15">
        <f t="shared" si="17"/>
        <v>0.46857047692581522</v>
      </c>
      <c r="H67" s="15">
        <f t="shared" si="17"/>
        <v>0.4682313123192603</v>
      </c>
      <c r="I67" s="15">
        <f t="shared" si="17"/>
        <v>0.46536531945966741</v>
      </c>
      <c r="J67" s="15">
        <f t="shared" si="17"/>
        <v>0.46530443288305617</v>
      </c>
      <c r="K67" s="15">
        <f t="shared" si="17"/>
        <v>0.46525799396869166</v>
      </c>
      <c r="L67" s="15">
        <f t="shared" si="17"/>
        <v>0.46521863895651838</v>
      </c>
      <c r="M67" s="15">
        <f t="shared" si="17"/>
        <v>0.46518528725128666</v>
      </c>
      <c r="N67" s="15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>
      <c r="A68" s="1"/>
      <c r="B68" s="16" t="s">
        <v>20</v>
      </c>
      <c r="C68" s="16" t="s">
        <v>20</v>
      </c>
      <c r="D68" s="16" t="s">
        <v>20</v>
      </c>
      <c r="E68" s="16" t="s">
        <v>20</v>
      </c>
      <c r="F68" s="16" t="s">
        <v>20</v>
      </c>
      <c r="G68" s="16" t="s">
        <v>20</v>
      </c>
      <c r="H68" s="16" t="s">
        <v>20</v>
      </c>
      <c r="I68" s="16" t="s">
        <v>20</v>
      </c>
      <c r="J68" s="16" t="s">
        <v>20</v>
      </c>
      <c r="K68" s="16" t="s">
        <v>20</v>
      </c>
      <c r="L68" s="16" t="s">
        <v>20</v>
      </c>
      <c r="M68" s="16" t="s">
        <v>20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>
      <c r="A69" s="1" t="s">
        <v>26</v>
      </c>
      <c r="B69" s="15">
        <f>+B20/B8</f>
        <v>0.31240292812725273</v>
      </c>
      <c r="C69" s="15">
        <f>+C20/C8</f>
        <v>0.38593601182877579</v>
      </c>
      <c r="D69" s="15">
        <f t="shared" ref="D69:M69" si="18">D20/D11</f>
        <v>0.42796351291179524</v>
      </c>
      <c r="E69" s="15">
        <f t="shared" si="18"/>
        <v>0.43120176530833476</v>
      </c>
      <c r="F69" s="15">
        <f t="shared" si="18"/>
        <v>0.43203085650327466</v>
      </c>
      <c r="G69" s="15">
        <f t="shared" si="18"/>
        <v>0.44051286337216095</v>
      </c>
      <c r="H69" s="15">
        <f t="shared" si="18"/>
        <v>0.44091783603670409</v>
      </c>
      <c r="I69" s="15">
        <f t="shared" si="18"/>
        <v>0.44433991706308368</v>
      </c>
      <c r="J69" s="15">
        <f t="shared" si="18"/>
        <v>0.44441261745306726</v>
      </c>
      <c r="K69" s="15">
        <f t="shared" si="18"/>
        <v>0.44446806690305468</v>
      </c>
      <c r="L69" s="15">
        <f t="shared" si="18"/>
        <v>0.44451505796236607</v>
      </c>
      <c r="M69" s="15">
        <f t="shared" si="18"/>
        <v>0.44455488089398598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>
      <c r="A71" s="1" t="s">
        <v>27</v>
      </c>
      <c r="B71" s="15">
        <v>0</v>
      </c>
      <c r="C71" s="15">
        <v>0</v>
      </c>
      <c r="D71" s="15">
        <f>Assumption!D38</f>
        <v>0</v>
      </c>
      <c r="E71" s="15">
        <f>Assumption!E38</f>
        <v>0</v>
      </c>
      <c r="F71" s="15">
        <f>Assumption!F38</f>
        <v>0</v>
      </c>
      <c r="G71" s="15">
        <f>Assumption!G38</f>
        <v>0</v>
      </c>
      <c r="H71" s="15">
        <f>Assumption!H38</f>
        <v>0</v>
      </c>
      <c r="I71" s="15">
        <f>Assumption!I38</f>
        <v>0</v>
      </c>
      <c r="J71" s="15">
        <f>Assumption!J38</f>
        <v>0</v>
      </c>
      <c r="K71" s="15">
        <f>Assumption!K38</f>
        <v>0</v>
      </c>
      <c r="L71" s="15">
        <f>Assumption!L38</f>
        <v>0</v>
      </c>
      <c r="M71" s="15">
        <f>Assumption!M38</f>
        <v>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>
      <c r="A72" s="1"/>
      <c r="B72" s="16" t="s">
        <v>20</v>
      </c>
      <c r="C72" s="16" t="s">
        <v>20</v>
      </c>
      <c r="D72" s="16" t="s">
        <v>20</v>
      </c>
      <c r="E72" s="16" t="s">
        <v>20</v>
      </c>
      <c r="F72" s="16" t="s">
        <v>20</v>
      </c>
      <c r="G72" s="16" t="s">
        <v>20</v>
      </c>
      <c r="H72" s="16" t="s">
        <v>20</v>
      </c>
      <c r="I72" s="16" t="s">
        <v>20</v>
      </c>
      <c r="J72" s="16" t="s">
        <v>20</v>
      </c>
      <c r="K72" s="16" t="s">
        <v>20</v>
      </c>
      <c r="L72" s="16" t="s">
        <v>20</v>
      </c>
      <c r="M72" s="16" t="s">
        <v>20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>
      <c r="A73" s="1" t="s">
        <v>28</v>
      </c>
      <c r="B73" s="15">
        <f>+B24/B8</f>
        <v>0.31240292812725273</v>
      </c>
      <c r="C73" s="15">
        <f>+C24/C8</f>
        <v>0.38593601182877579</v>
      </c>
      <c r="D73" s="15">
        <f>D24/D8</f>
        <v>0.35627962449906952</v>
      </c>
      <c r="E73" s="15">
        <f>E24/E8</f>
        <v>0.36005347403245952</v>
      </c>
      <c r="F73" s="15">
        <f>F24/F8</f>
        <v>0.36074576518023432</v>
      </c>
      <c r="G73" s="15">
        <f>G24/G8</f>
        <v>0.36892952307418481</v>
      </c>
      <c r="H73" s="15">
        <f>H24/H8</f>
        <v>0.36926868768073967</v>
      </c>
      <c r="I73" s="15">
        <f>I24/I8</f>
        <v>0.37213468054033261</v>
      </c>
      <c r="J73" s="15">
        <f>J24/J8</f>
        <v>0.37219556711694385</v>
      </c>
      <c r="K73" s="15">
        <f>K24/K8</f>
        <v>0.37224200603130825</v>
      </c>
      <c r="L73" s="15">
        <f>L24/L8</f>
        <v>0.37228136104348153</v>
      </c>
      <c r="M73" s="15">
        <f>M24/M8</f>
        <v>0.37231471274871325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>
      <c r="A74" s="1" t="s">
        <v>48</v>
      </c>
      <c r="B74" s="15">
        <v>0.13800000000000001</v>
      </c>
      <c r="C74" s="15">
        <v>0.16500000000000001</v>
      </c>
      <c r="D74" s="15">
        <v>0.16</v>
      </c>
      <c r="E74" s="15">
        <v>0.16</v>
      </c>
      <c r="F74" s="15">
        <v>0.16</v>
      </c>
      <c r="G74" s="15">
        <v>0.16</v>
      </c>
      <c r="H74" s="15">
        <v>0.16</v>
      </c>
      <c r="I74" s="15">
        <v>0.16</v>
      </c>
      <c r="J74" s="15">
        <v>0.16</v>
      </c>
      <c r="K74" s="15">
        <v>0.16</v>
      </c>
      <c r="L74" s="15">
        <v>0.16</v>
      </c>
      <c r="M74" s="15">
        <v>0.16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>
      <c r="A75" s="1"/>
      <c r="B75" s="16" t="s">
        <v>20</v>
      </c>
      <c r="C75" s="16" t="s">
        <v>20</v>
      </c>
      <c r="D75" s="16" t="s">
        <v>20</v>
      </c>
      <c r="E75" s="16" t="s">
        <v>20</v>
      </c>
      <c r="F75" s="16" t="s">
        <v>20</v>
      </c>
      <c r="G75" s="16" t="s">
        <v>20</v>
      </c>
      <c r="H75" s="16" t="s">
        <v>20</v>
      </c>
      <c r="I75" s="16" t="s">
        <v>20</v>
      </c>
      <c r="J75" s="16" t="s">
        <v>20</v>
      </c>
      <c r="K75" s="16" t="s">
        <v>20</v>
      </c>
      <c r="L75" s="16" t="s">
        <v>20</v>
      </c>
      <c r="M75" s="16" t="s">
        <v>20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>
      <c r="A76" s="1" t="s">
        <v>30</v>
      </c>
      <c r="B76" s="15">
        <f>+B27/B8</f>
        <v>0.26929132404569184</v>
      </c>
      <c r="C76" s="15">
        <f>+C27/C8</f>
        <v>0.32225656987702778</v>
      </c>
      <c r="D76" s="15">
        <f>D27/D8</f>
        <v>0.29927488457921841</v>
      </c>
      <c r="E76" s="15">
        <f>E27/E8</f>
        <v>0.30244491818726599</v>
      </c>
      <c r="F76" s="15">
        <f>F27/F8</f>
        <v>0.30302644275139684</v>
      </c>
      <c r="G76" s="15">
        <f>G27/G8</f>
        <v>0.30990079938231524</v>
      </c>
      <c r="H76" s="15">
        <f>H27/H8</f>
        <v>0.31018569765182136</v>
      </c>
      <c r="I76" s="15">
        <f>I27/I8</f>
        <v>0.31259313165387942</v>
      </c>
      <c r="J76" s="15">
        <f>J27/J8</f>
        <v>0.31264427637823283</v>
      </c>
      <c r="K76" s="15">
        <f>K27/K8</f>
        <v>0.31268328506629894</v>
      </c>
      <c r="L76" s="15">
        <f>L27/L8</f>
        <v>0.31271634327652448</v>
      </c>
      <c r="M76" s="15">
        <f>M27/M8</f>
        <v>0.31274435870891915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>
      <c r="A78" s="1" t="s">
        <v>49</v>
      </c>
      <c r="B78" s="6">
        <v>12913.6</v>
      </c>
      <c r="C78" s="6">
        <v>17102.400000000001</v>
      </c>
      <c r="D78" s="6">
        <f>C78-D114-D30</f>
        <v>22636.203902030771</v>
      </c>
      <c r="E78" s="6">
        <f>D78-E114-E30</f>
        <v>29992.051965932311</v>
      </c>
      <c r="F78" s="6">
        <f>E78-F114-F30</f>
        <v>39433.645057317422</v>
      </c>
      <c r="G78" s="6">
        <f>F78-G114-G30</f>
        <v>50878.545262721906</v>
      </c>
      <c r="H78" s="6">
        <f>G78-H114-H30</f>
        <v>64824.616857874062</v>
      </c>
      <c r="I78" s="6">
        <f>H78-I114-I30</f>
        <v>81047.843692386174</v>
      </c>
      <c r="J78" s="6">
        <f>I78-J114-J30</f>
        <v>100438.6327549695</v>
      </c>
      <c r="K78" s="6">
        <f>J78-K114-K30</f>
        <v>123147.81269310472</v>
      </c>
      <c r="L78" s="6">
        <f>K78-L114-L30</f>
        <v>149763.22176592966</v>
      </c>
      <c r="M78" s="6">
        <f>L78-M114-M30</f>
        <v>180978.50911922689</v>
      </c>
      <c r="N78" s="6"/>
      <c r="O78" s="6"/>
      <c r="P78" s="6"/>
      <c r="Q78" s="6"/>
      <c r="R78" s="6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>
      <c r="A79" s="1" t="s">
        <v>50</v>
      </c>
      <c r="B79" s="5">
        <f>+B8/B78</f>
        <v>2.6425009292528805</v>
      </c>
      <c r="C79" s="5">
        <f>+C8/C78</f>
        <v>2.6337063803910556</v>
      </c>
      <c r="D79" s="5">
        <f>D8/D78</f>
        <v>2.6266048961798742</v>
      </c>
      <c r="E79" s="5">
        <f>E8/E78</f>
        <v>2.5771252092986741</v>
      </c>
      <c r="F79" s="5">
        <f>F8/F78</f>
        <v>2.4893072101582123</v>
      </c>
      <c r="G79" s="5">
        <f>G8/G78</f>
        <v>2.3923924319539034</v>
      </c>
      <c r="H79" s="5">
        <f>H8/H78</f>
        <v>2.2907989602271184</v>
      </c>
      <c r="I79" s="5">
        <f>I8/I78</f>
        <v>2.1987037502258384</v>
      </c>
      <c r="J79" s="5">
        <f>J8/J78</f>
        <v>2.1290636041480773</v>
      </c>
      <c r="K79" s="5">
        <f>K8/K78</f>
        <v>2.0490130898114529</v>
      </c>
      <c r="L79" s="5">
        <f>L8/L78</f>
        <v>1.988145975447525</v>
      </c>
      <c r="M79" s="5">
        <f>M8/M78</f>
        <v>1.9413705788947708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>
      <c r="A80" s="1" t="s">
        <v>51</v>
      </c>
      <c r="B80" s="15">
        <f>-B30/B8</f>
        <v>0.10110127123859315</v>
      </c>
      <c r="C80" s="15">
        <f>-C30/C8</f>
        <v>0.11233784830838295</v>
      </c>
      <c r="D80" s="15">
        <f>Assumption!D33</f>
        <v>0.12</v>
      </c>
      <c r="E80" s="15">
        <f>Assumption!E33</f>
        <v>0.12</v>
      </c>
      <c r="F80" s="15">
        <f>Assumption!F33</f>
        <v>0.12</v>
      </c>
      <c r="G80" s="15">
        <f>Assumption!G33</f>
        <v>0.11749999999999999</v>
      </c>
      <c r="H80" s="15">
        <f>Assumption!H33</f>
        <v>0.11749999999999999</v>
      </c>
      <c r="I80" s="15">
        <f>Assumption!I33</f>
        <v>0.115</v>
      </c>
      <c r="J80" s="15">
        <f>Assumption!J33</f>
        <v>0.115</v>
      </c>
      <c r="K80" s="15">
        <f>Assumption!K33</f>
        <v>0.115</v>
      </c>
      <c r="L80" s="15">
        <f>Assumption!L33</f>
        <v>0.115</v>
      </c>
      <c r="M80" s="15">
        <f>Assumption!M33</f>
        <v>0.115</v>
      </c>
      <c r="N80" s="7"/>
      <c r="O80" s="7"/>
      <c r="P80" s="1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>
      <c r="A81" s="1" t="s">
        <v>52</v>
      </c>
      <c r="B81" s="7">
        <f>+B114/B8</f>
        <v>2.9940628644774092E-2</v>
      </c>
      <c r="C81" s="7">
        <f>+C114/C8</f>
        <v>2.6945542784957383E-2</v>
      </c>
      <c r="D81" s="7">
        <f>D114/D8</f>
        <v>2.6926634430070946E-2</v>
      </c>
      <c r="E81" s="7">
        <f>E114/E8</f>
        <v>2.4831976194513924E-2</v>
      </c>
      <c r="F81" s="7">
        <f>F114/F8</f>
        <v>2.3816658798101315E-2</v>
      </c>
      <c r="G81" s="7">
        <f>G114/G8</f>
        <v>2.3474661641264549E-2</v>
      </c>
      <c r="H81" s="7">
        <f>H114/H8</f>
        <v>2.3587164246585645E-2</v>
      </c>
      <c r="I81" s="7">
        <f>I114/I8</f>
        <v>2.3960668798090452E-2</v>
      </c>
      <c r="J81" s="7">
        <f>J114/J8</f>
        <v>2.432113949224406E-2</v>
      </c>
      <c r="K81" s="7">
        <f>K114/K8</f>
        <v>2.5002588971253736E-2</v>
      </c>
      <c r="L81" s="7">
        <f>L114/L8</f>
        <v>2.5611900660668461E-2</v>
      </c>
      <c r="M81" s="7">
        <f>M114/M8</f>
        <v>2.6155225932148685E-2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>
      <c r="A82" s="1" t="s">
        <v>53</v>
      </c>
      <c r="B82" s="20">
        <v>0.19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>
      <c r="A84" s="1" t="s">
        <v>54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>
      <c r="A85" s="1" t="s">
        <v>55</v>
      </c>
      <c r="B85" s="21">
        <v>4.2999999999999997E-2</v>
      </c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>
      <c r="A86" s="1" t="s">
        <v>56</v>
      </c>
      <c r="B86" s="21">
        <v>4.7E-2</v>
      </c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>
      <c r="A87" s="1" t="s">
        <v>57</v>
      </c>
      <c r="B87">
        <v>0.8</v>
      </c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>
      <c r="A88" s="1" t="s">
        <v>58</v>
      </c>
      <c r="B88" s="22">
        <f>B85+B87*B86</f>
        <v>8.0600000000000005E-2</v>
      </c>
      <c r="C88" s="7"/>
      <c r="D88" s="2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>
      <c r="A89" s="1" t="s">
        <v>59</v>
      </c>
      <c r="B89" s="21">
        <v>4.5999999999999999E-2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>
      <c r="A90" s="1" t="s">
        <v>60</v>
      </c>
      <c r="B90" s="21">
        <v>0.16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>
      <c r="A91" s="1" t="s">
        <v>61</v>
      </c>
      <c r="B91" s="20">
        <v>0.05</v>
      </c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>
      <c r="A92" s="1" t="s">
        <v>62</v>
      </c>
      <c r="B92" s="23">
        <f>(B89*(1-B90)*B91+B88*(1-B91))</f>
        <v>7.8502000000000002E-2</v>
      </c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>
      <c r="A93" s="1"/>
      <c r="B93" s="1">
        <v>0</v>
      </c>
      <c r="C93" s="1">
        <v>0</v>
      </c>
      <c r="D93" s="1">
        <v>1.5</v>
      </c>
      <c r="E93" s="1">
        <v>9</v>
      </c>
      <c r="F93" s="1">
        <f t="shared" ref="F93:M93" si="19">+E93+12</f>
        <v>21</v>
      </c>
      <c r="G93" s="1">
        <f t="shared" si="19"/>
        <v>33</v>
      </c>
      <c r="H93" s="1">
        <f t="shared" si="19"/>
        <v>45</v>
      </c>
      <c r="I93" s="1">
        <f t="shared" si="19"/>
        <v>57</v>
      </c>
      <c r="J93" s="1">
        <f t="shared" si="19"/>
        <v>69</v>
      </c>
      <c r="K93" s="1">
        <f t="shared" si="19"/>
        <v>81</v>
      </c>
      <c r="L93" s="1">
        <f t="shared" si="19"/>
        <v>93</v>
      </c>
      <c r="M93" s="1">
        <f t="shared" si="19"/>
        <v>105</v>
      </c>
      <c r="N93" s="1">
        <f>+M93+6</f>
        <v>111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15.6" customHeight="1">
      <c r="A95" s="35" t="s">
        <v>14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15">
      <c r="A96" s="36" t="s">
        <v>15</v>
      </c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>
      <c r="A97" s="36" t="s">
        <v>45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>
      <c r="A98" s="36" t="s">
        <v>63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>
      <c r="A100" s="1"/>
      <c r="B100" s="1">
        <f>2023</f>
        <v>2023</v>
      </c>
      <c r="C100" s="1">
        <f t="shared" ref="C100:M100" si="20">+B100+1</f>
        <v>2024</v>
      </c>
      <c r="D100" s="1">
        <f t="shared" si="20"/>
        <v>2025</v>
      </c>
      <c r="E100" s="1">
        <f t="shared" si="20"/>
        <v>2026</v>
      </c>
      <c r="F100" s="1">
        <f t="shared" si="20"/>
        <v>2027</v>
      </c>
      <c r="G100" s="1">
        <f t="shared" si="20"/>
        <v>2028</v>
      </c>
      <c r="H100" s="1">
        <f t="shared" si="20"/>
        <v>2029</v>
      </c>
      <c r="I100" s="1">
        <f t="shared" si="20"/>
        <v>2030</v>
      </c>
      <c r="J100" s="1">
        <f t="shared" si="20"/>
        <v>2031</v>
      </c>
      <c r="K100" s="1">
        <f t="shared" si="20"/>
        <v>2032</v>
      </c>
      <c r="L100" s="1">
        <f t="shared" si="20"/>
        <v>2033</v>
      </c>
      <c r="M100" s="1">
        <f t="shared" si="20"/>
        <v>2034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>
      <c r="A101" s="1"/>
      <c r="B101" s="4" t="s">
        <v>20</v>
      </c>
      <c r="C101" s="4" t="s">
        <v>20</v>
      </c>
      <c r="D101" s="4" t="s">
        <v>20</v>
      </c>
      <c r="E101" s="4" t="s">
        <v>20</v>
      </c>
      <c r="F101" s="4" t="s">
        <v>20</v>
      </c>
      <c r="G101" s="4" t="s">
        <v>20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4" t="s">
        <v>20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>
      <c r="A102" s="3" t="s">
        <v>64</v>
      </c>
      <c r="B102" s="6"/>
      <c r="C102" s="6"/>
      <c r="D102" s="6">
        <f>$C$78*(2050-D100)/325</f>
        <v>1315.5692307692309</v>
      </c>
      <c r="E102" s="6">
        <f t="shared" ref="E102:M102" si="21">$C$78*(2050-E100)/325</f>
        <v>1262.9464615384616</v>
      </c>
      <c r="F102" s="6">
        <f t="shared" si="21"/>
        <v>1210.3236923076925</v>
      </c>
      <c r="G102" s="6">
        <f t="shared" si="21"/>
        <v>1157.7009230769231</v>
      </c>
      <c r="H102" s="6">
        <f t="shared" si="21"/>
        <v>1105.078153846154</v>
      </c>
      <c r="I102" s="6">
        <f t="shared" si="21"/>
        <v>1052.4553846153847</v>
      </c>
      <c r="J102" s="6">
        <f t="shared" si="21"/>
        <v>999.83261538461545</v>
      </c>
      <c r="K102" s="6">
        <f t="shared" si="21"/>
        <v>947.20984615384623</v>
      </c>
      <c r="L102" s="6">
        <f t="shared" si="21"/>
        <v>894.58707692307712</v>
      </c>
      <c r="M102" s="6">
        <f t="shared" si="21"/>
        <v>841.96430769230778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>
      <c r="A103" s="3" t="s">
        <v>65</v>
      </c>
      <c r="B103" s="6"/>
      <c r="C103" s="6"/>
      <c r="D103" s="6">
        <f>-$D$30/25</f>
        <v>285.39054720000001</v>
      </c>
      <c r="E103" s="6">
        <f t="shared" ref="E103:M103" si="22">-$D$30/25</f>
        <v>285.39054720000001</v>
      </c>
      <c r="F103" s="6">
        <f t="shared" si="22"/>
        <v>285.39054720000001</v>
      </c>
      <c r="G103" s="6">
        <f t="shared" si="22"/>
        <v>285.39054720000001</v>
      </c>
      <c r="H103" s="6">
        <f t="shared" si="22"/>
        <v>285.39054720000001</v>
      </c>
      <c r="I103" s="6">
        <f t="shared" si="22"/>
        <v>285.39054720000001</v>
      </c>
      <c r="J103" s="6">
        <f t="shared" si="22"/>
        <v>285.39054720000001</v>
      </c>
      <c r="K103" s="6">
        <f t="shared" si="22"/>
        <v>285.39054720000001</v>
      </c>
      <c r="L103" s="6">
        <f t="shared" si="22"/>
        <v>285.39054720000001</v>
      </c>
      <c r="M103" s="6">
        <f t="shared" si="22"/>
        <v>285.39054720000001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>
      <c r="A104" s="3" t="s">
        <v>66</v>
      </c>
      <c r="B104" s="6"/>
      <c r="C104" s="6"/>
      <c r="D104" s="6"/>
      <c r="E104" s="6">
        <f>-$E$30/25</f>
        <v>371.00771136000003</v>
      </c>
      <c r="F104" s="6">
        <f t="shared" ref="F104:M104" si="23">-$E$30/25</f>
        <v>371.00771136000003</v>
      </c>
      <c r="G104" s="6">
        <f t="shared" si="23"/>
        <v>371.00771136000003</v>
      </c>
      <c r="H104" s="6">
        <f t="shared" si="23"/>
        <v>371.00771136000003</v>
      </c>
      <c r="I104" s="6">
        <f t="shared" si="23"/>
        <v>371.00771136000003</v>
      </c>
      <c r="J104" s="6">
        <f t="shared" si="23"/>
        <v>371.00771136000003</v>
      </c>
      <c r="K104" s="6">
        <f t="shared" si="23"/>
        <v>371.00771136000003</v>
      </c>
      <c r="L104" s="6">
        <f t="shared" si="23"/>
        <v>371.00771136000003</v>
      </c>
      <c r="M104" s="6">
        <f t="shared" si="23"/>
        <v>371.00771136000003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>
      <c r="A105" s="3" t="s">
        <v>67</v>
      </c>
      <c r="B105" s="6"/>
      <c r="C105" s="6"/>
      <c r="D105" s="6"/>
      <c r="E105" s="6"/>
      <c r="F105" s="6">
        <f>-$F$30/25</f>
        <v>471.17979342720008</v>
      </c>
      <c r="G105" s="6">
        <f t="shared" ref="G105:M105" si="24">-$F$30/25</f>
        <v>471.17979342720008</v>
      </c>
      <c r="H105" s="6">
        <f t="shared" si="24"/>
        <v>471.17979342720008</v>
      </c>
      <c r="I105" s="6">
        <f t="shared" si="24"/>
        <v>471.17979342720008</v>
      </c>
      <c r="J105" s="6">
        <f t="shared" si="24"/>
        <v>471.17979342720008</v>
      </c>
      <c r="K105" s="6">
        <f t="shared" si="24"/>
        <v>471.17979342720008</v>
      </c>
      <c r="L105" s="6">
        <f t="shared" si="24"/>
        <v>471.17979342720008</v>
      </c>
      <c r="M105" s="6">
        <f t="shared" si="24"/>
        <v>471.17979342720008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>
      <c r="A106" s="3" t="s">
        <v>68</v>
      </c>
      <c r="B106" s="6"/>
      <c r="C106" s="6"/>
      <c r="D106" s="6"/>
      <c r="E106" s="6"/>
      <c r="F106" s="6"/>
      <c r="G106" s="6">
        <f>-$G$30/25</f>
        <v>572.09079918619204</v>
      </c>
      <c r="H106" s="6">
        <f t="shared" ref="H106:M106" si="25">-$G$30/25</f>
        <v>572.09079918619204</v>
      </c>
      <c r="I106" s="6">
        <f t="shared" si="25"/>
        <v>572.09079918619204</v>
      </c>
      <c r="J106" s="6">
        <f t="shared" si="25"/>
        <v>572.09079918619204</v>
      </c>
      <c r="K106" s="6">
        <f t="shared" si="25"/>
        <v>572.09079918619204</v>
      </c>
      <c r="L106" s="6">
        <f t="shared" si="25"/>
        <v>572.09079918619204</v>
      </c>
      <c r="M106" s="6">
        <f t="shared" si="25"/>
        <v>572.09079918619204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>
      <c r="A107" s="3" t="s">
        <v>69</v>
      </c>
      <c r="B107" s="6"/>
      <c r="C107" s="6"/>
      <c r="D107" s="6"/>
      <c r="E107" s="6"/>
      <c r="F107" s="6"/>
      <c r="G107" s="6"/>
      <c r="H107" s="6">
        <f>-$H$30/25</f>
        <v>697.95077500715433</v>
      </c>
      <c r="I107" s="6">
        <f t="shared" ref="I107:M107" si="26">-$H$30/25</f>
        <v>697.95077500715433</v>
      </c>
      <c r="J107" s="6">
        <f t="shared" si="26"/>
        <v>697.95077500715433</v>
      </c>
      <c r="K107" s="6">
        <f t="shared" si="26"/>
        <v>697.95077500715433</v>
      </c>
      <c r="L107" s="6">
        <f t="shared" si="26"/>
        <v>697.95077500715433</v>
      </c>
      <c r="M107" s="6">
        <f t="shared" si="26"/>
        <v>697.95077500715433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>
      <c r="A108" s="3" t="s">
        <v>70</v>
      </c>
      <c r="B108" s="6"/>
      <c r="C108" s="6"/>
      <c r="D108" s="6"/>
      <c r="E108" s="6"/>
      <c r="F108" s="6"/>
      <c r="G108" s="6"/>
      <c r="H108" s="6"/>
      <c r="I108" s="6">
        <f>-$I$30/25</f>
        <v>819.72091022116842</v>
      </c>
      <c r="J108" s="6">
        <f t="shared" ref="J108:M108" si="27">-$I$30/25</f>
        <v>819.72091022116842</v>
      </c>
      <c r="K108" s="6">
        <f t="shared" si="27"/>
        <v>819.72091022116842</v>
      </c>
      <c r="L108" s="6">
        <f t="shared" si="27"/>
        <v>819.72091022116842</v>
      </c>
      <c r="M108" s="6">
        <f t="shared" si="27"/>
        <v>819.72091022116842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>
      <c r="A109" s="3" t="s">
        <v>71</v>
      </c>
      <c r="B109" s="6"/>
      <c r="C109" s="6"/>
      <c r="D109" s="6"/>
      <c r="E109" s="6"/>
      <c r="F109" s="6"/>
      <c r="G109" s="6"/>
      <c r="H109" s="6"/>
      <c r="I109" s="6"/>
      <c r="J109" s="6">
        <f>-$J$30/25</f>
        <v>983.66509226540222</v>
      </c>
      <c r="K109" s="6">
        <f t="shared" ref="K109:M109" si="28">-$J$30/25</f>
        <v>983.66509226540222</v>
      </c>
      <c r="L109" s="6">
        <f t="shared" si="28"/>
        <v>983.66509226540222</v>
      </c>
      <c r="M109" s="6">
        <f t="shared" si="28"/>
        <v>983.66509226540222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>
      <c r="A110" s="3" t="s">
        <v>72</v>
      </c>
      <c r="B110" s="6"/>
      <c r="C110" s="6"/>
      <c r="D110" s="6"/>
      <c r="E110" s="6"/>
      <c r="F110" s="6"/>
      <c r="G110" s="6"/>
      <c r="H110" s="6"/>
      <c r="I110" s="6"/>
      <c r="J110" s="6"/>
      <c r="K110" s="6">
        <f>-$K$30/25</f>
        <v>1160.7248088731747</v>
      </c>
      <c r="L110" s="6">
        <f t="shared" ref="L110:M110" si="29">-$K$30/25</f>
        <v>1160.7248088731747</v>
      </c>
      <c r="M110" s="6">
        <f t="shared" si="29"/>
        <v>1160.7248088731747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>
      <c r="A111" s="3" t="s">
        <v>73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>
        <f>-$L$30/25</f>
        <v>1369.6552744703461</v>
      </c>
      <c r="M111" s="6">
        <f>-$L$30/25</f>
        <v>1369.6552744703461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>
      <c r="A112" s="3" t="s">
        <v>74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>
        <f>-$M$30/25</f>
        <v>1616.1932238750078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>
      <c r="A113" s="1"/>
      <c r="B113" s="4" t="s">
        <v>20</v>
      </c>
      <c r="C113" s="4" t="s">
        <v>20</v>
      </c>
      <c r="D113" s="4" t="s">
        <v>20</v>
      </c>
      <c r="E113" s="4" t="s">
        <v>20</v>
      </c>
      <c r="F113" s="4" t="s">
        <v>20</v>
      </c>
      <c r="G113" s="4" t="s">
        <v>20</v>
      </c>
      <c r="H113" s="4" t="s">
        <v>20</v>
      </c>
      <c r="I113" s="4" t="s">
        <v>20</v>
      </c>
      <c r="J113" s="4" t="s">
        <v>20</v>
      </c>
      <c r="K113" s="4" t="s">
        <v>20</v>
      </c>
      <c r="L113" s="4" t="s">
        <v>20</v>
      </c>
      <c r="M113" s="4" t="s">
        <v>20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>
      <c r="A114" s="1" t="s">
        <v>75</v>
      </c>
      <c r="B114" s="6">
        <f>+B117-B115</f>
        <v>1021.6999999999999</v>
      </c>
      <c r="C114" s="6">
        <f>+C117-C115</f>
        <v>1213.6999999999998</v>
      </c>
      <c r="D114" s="6">
        <f>SUM(D102:D112)</f>
        <v>1600.9597779692308</v>
      </c>
      <c r="E114" s="6">
        <f t="shared" ref="E114:M114" si="30">SUM(E102:E112)</f>
        <v>1919.3447200984615</v>
      </c>
      <c r="F114" s="6">
        <f t="shared" si="30"/>
        <v>2337.9017442948925</v>
      </c>
      <c r="G114" s="6">
        <f t="shared" si="30"/>
        <v>2857.3697742503155</v>
      </c>
      <c r="H114" s="6">
        <f t="shared" si="30"/>
        <v>3502.6977800267005</v>
      </c>
      <c r="I114" s="6">
        <f t="shared" si="30"/>
        <v>4269.7959210170993</v>
      </c>
      <c r="J114" s="6">
        <f t="shared" si="30"/>
        <v>5200.8382440517325</v>
      </c>
      <c r="K114" s="6">
        <f t="shared" si="30"/>
        <v>6308.9402836941381</v>
      </c>
      <c r="L114" s="6">
        <f t="shared" si="30"/>
        <v>7625.9727889337155</v>
      </c>
      <c r="M114" s="6">
        <f t="shared" si="30"/>
        <v>9189.5432435779549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>
      <c r="A115" s="1" t="s">
        <v>76</v>
      </c>
      <c r="B115" s="6">
        <v>505.6</v>
      </c>
      <c r="C115" s="6">
        <v>552.9</v>
      </c>
      <c r="D115" s="6">
        <v>500.6</v>
      </c>
      <c r="E115" s="6">
        <v>490</v>
      </c>
      <c r="F115" s="6">
        <v>488</v>
      </c>
      <c r="G115" s="6">
        <v>481.3</v>
      </c>
      <c r="H115" s="6">
        <v>467.2</v>
      </c>
      <c r="I115" s="6">
        <v>498</v>
      </c>
      <c r="J115" s="6">
        <v>498</v>
      </c>
      <c r="K115" s="6">
        <v>498</v>
      </c>
      <c r="L115" s="6">
        <v>498</v>
      </c>
      <c r="M115" s="6">
        <v>498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>
      <c r="A116" s="1"/>
      <c r="B116" s="4" t="s">
        <v>20</v>
      </c>
      <c r="C116" s="4" t="s">
        <v>20</v>
      </c>
      <c r="D116" s="4" t="s">
        <v>20</v>
      </c>
      <c r="E116" s="4" t="s">
        <v>20</v>
      </c>
      <c r="F116" s="4" t="s">
        <v>20</v>
      </c>
      <c r="G116" s="4" t="s">
        <v>20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4" t="s">
        <v>20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>
      <c r="A117" s="1" t="s">
        <v>77</v>
      </c>
      <c r="B117" s="6">
        <v>1527.3</v>
      </c>
      <c r="C117" s="6">
        <v>1766.6</v>
      </c>
      <c r="D117" s="6">
        <f>SUM(D114:D115)</f>
        <v>2101.5597779692307</v>
      </c>
      <c r="E117" s="6">
        <f t="shared" ref="E117:M117" si="31">SUM(E114:E115)</f>
        <v>2409.3447200984615</v>
      </c>
      <c r="F117" s="6">
        <f t="shared" si="31"/>
        <v>2825.9017442948925</v>
      </c>
      <c r="G117" s="6">
        <f t="shared" si="31"/>
        <v>3338.6697742503156</v>
      </c>
      <c r="H117" s="6">
        <f t="shared" si="31"/>
        <v>3969.8977800267003</v>
      </c>
      <c r="I117" s="6">
        <f t="shared" si="31"/>
        <v>4767.7959210170993</v>
      </c>
      <c r="J117" s="6">
        <f t="shared" si="31"/>
        <v>5698.8382440517325</v>
      </c>
      <c r="K117" s="6">
        <f t="shared" si="31"/>
        <v>6806.9402836941381</v>
      </c>
      <c r="L117" s="6">
        <f t="shared" si="31"/>
        <v>8123.9727889337155</v>
      </c>
      <c r="M117" s="6">
        <f t="shared" si="31"/>
        <v>9687.5432435779549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>
      <c r="A118" s="1"/>
      <c r="B118" s="8" t="s">
        <v>78</v>
      </c>
      <c r="C118" s="8" t="s">
        <v>78</v>
      </c>
      <c r="D118" s="8" t="s">
        <v>78</v>
      </c>
      <c r="E118" s="8" t="s">
        <v>78</v>
      </c>
      <c r="F118" s="8" t="s">
        <v>78</v>
      </c>
      <c r="G118" s="8" t="s">
        <v>78</v>
      </c>
      <c r="H118" s="8" t="s">
        <v>78</v>
      </c>
      <c r="I118" s="8" t="s">
        <v>78</v>
      </c>
      <c r="J118" s="8" t="s">
        <v>78</v>
      </c>
      <c r="K118" s="8" t="s">
        <v>78</v>
      </c>
      <c r="L118" s="8" t="s">
        <v>78</v>
      </c>
      <c r="M118" s="8" t="s">
        <v>78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 spans="1:10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 spans="1:10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 spans="1:10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 spans="1:10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 spans="1:10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 spans="1:10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 spans="1:1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 spans="1:10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 spans="1:10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  <row r="1010" spans="1:10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</row>
    <row r="1011" spans="1:10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</row>
    <row r="1012" spans="1:10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</row>
    <row r="1013" spans="1:10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</row>
    <row r="1014" spans="1:10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</row>
    <row r="1015" spans="1:10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</row>
    <row r="1016" spans="1:10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</row>
    <row r="1017" spans="1:10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</row>
    <row r="1018" spans="1:10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</row>
    <row r="1019" spans="1:10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</row>
    <row r="1020" spans="1:10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</row>
    <row r="1021" spans="1:10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</row>
    <row r="1022" spans="1:10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</row>
    <row r="1023" spans="1:10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</row>
    <row r="1024" spans="1:10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</row>
    <row r="1025" spans="1:10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</row>
    <row r="1026" spans="1:10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</row>
    <row r="1027" spans="1:10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</row>
    <row r="1028" spans="1:10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</row>
    <row r="1029" spans="1:10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</row>
    <row r="1030" spans="1:10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</row>
    <row r="1031" spans="1:10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</row>
    <row r="1032" spans="1:10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</row>
    <row r="1033" spans="1:10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</row>
    <row r="1034" spans="1:10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</row>
    <row r="1035" spans="1:10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</row>
    <row r="1036" spans="1:10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</row>
    <row r="1037" spans="1:10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</row>
    <row r="1038" spans="1:10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</row>
    <row r="1039" spans="1:10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</row>
    <row r="1040" spans="1:10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</row>
    <row r="1041" spans="1:10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</row>
    <row r="1042" spans="1:10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</row>
    <row r="1043" spans="1:10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</row>
    <row r="1044" spans="1:10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</row>
    <row r="1045" spans="1:10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</row>
    <row r="1046" spans="1:10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</row>
    <row r="1047" spans="1:10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</row>
    <row r="1048" spans="1:10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</row>
    <row r="1049" spans="1:10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</row>
    <row r="1050" spans="1:10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</row>
    <row r="1051" spans="1:10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</row>
    <row r="1052" spans="1:10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</row>
    <row r="1053" spans="1:10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</row>
    <row r="1054" spans="1:10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</row>
    <row r="1055" spans="1:10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</row>
    <row r="1056" spans="1:10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</row>
    <row r="1057" spans="1:10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</row>
    <row r="1058" spans="1:10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</row>
    <row r="1059" spans="1:10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</row>
    <row r="1060" spans="1:10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</row>
    <row r="1061" spans="1:10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</row>
    <row r="1062" spans="1:10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</row>
    <row r="1063" spans="1:10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</row>
    <row r="1064" spans="1:10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</row>
    <row r="1065" spans="1:10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</row>
    <row r="1066" spans="1:10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</row>
    <row r="1067" spans="1:10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</row>
    <row r="1068" spans="1:10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</row>
    <row r="1069" spans="1:10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</row>
    <row r="1070" spans="1:10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</row>
    <row r="1071" spans="1:10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</row>
    <row r="1072" spans="1:10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</row>
    <row r="1073" spans="1:10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</row>
    <row r="1074" spans="1:10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</row>
    <row r="1075" spans="1:10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</row>
    <row r="1076" spans="1:10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</row>
    <row r="1077" spans="1:10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</row>
    <row r="1078" spans="1:10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</row>
    <row r="1079" spans="1:10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</row>
    <row r="1080" spans="1:10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</row>
    <row r="1081" spans="1:10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</row>
    <row r="1082" spans="1:10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</row>
    <row r="1083" spans="1:10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</row>
    <row r="1084" spans="1:10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</row>
    <row r="1085" spans="1:10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</row>
    <row r="1086" spans="1:10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</row>
    <row r="1087" spans="1:10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</row>
    <row r="1088" spans="1:10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</row>
    <row r="1089" spans="1:10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</row>
    <row r="1090" spans="1:10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</row>
    <row r="1091" spans="1:10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</row>
    <row r="1092" spans="1:10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</row>
    <row r="1093" spans="1:10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</row>
    <row r="1094" spans="1:10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</row>
    <row r="1095" spans="1:10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</row>
    <row r="1096" spans="1:10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</row>
    <row r="1097" spans="1:10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</row>
    <row r="1098" spans="1:10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</row>
    <row r="1099" spans="1:10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</row>
    <row r="1100" spans="1:10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</row>
    <row r="1101" spans="1:10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</row>
    <row r="1102" spans="1:10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</row>
    <row r="1103" spans="1:10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</row>
    <row r="1104" spans="1:10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</row>
    <row r="1105" spans="1:10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</row>
    <row r="1106" spans="1:10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</row>
    <row r="1107" spans="1: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</row>
    <row r="1108" spans="1:10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</row>
    <row r="1109" spans="1:10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</row>
    <row r="1110" spans="1:10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</row>
    <row r="1111" spans="1:10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</row>
    <row r="1112" spans="1:10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</row>
    <row r="1113" spans="1:10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</row>
    <row r="1114" spans="1:10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</row>
    <row r="1115" spans="1:10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</row>
    <row r="1116" spans="1:10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</row>
    <row r="1117" spans="1:10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</row>
    <row r="1118" spans="1:10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</row>
    <row r="1119" spans="1:10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</row>
    <row r="1120" spans="1:10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</row>
    <row r="1121" spans="1:10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</row>
    <row r="1122" spans="1:10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</row>
    <row r="1123" spans="1:10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</row>
    <row r="1124" spans="1:10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</row>
    <row r="1125" spans="1:10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</row>
    <row r="1126" spans="1:10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</row>
    <row r="1127" spans="1:10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</row>
    <row r="1128" spans="1:10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</row>
    <row r="1129" spans="1:10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</row>
    <row r="1130" spans="1:10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</row>
    <row r="1131" spans="1:10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</row>
    <row r="1132" spans="1:10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</row>
    <row r="1133" spans="1:10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</row>
    <row r="1134" spans="1:10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</row>
    <row r="1135" spans="1:10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</row>
    <row r="1136" spans="1:10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</row>
    <row r="1137" spans="1:10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</row>
    <row r="1138" spans="1:10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</row>
    <row r="1139" spans="1:10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</row>
    <row r="1140" spans="1:10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</row>
    <row r="1141" spans="1:10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</row>
    <row r="1142" spans="1:10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</row>
    <row r="1143" spans="1:10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</row>
    <row r="1144" spans="1:10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</row>
    <row r="1145" spans="1:10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</row>
    <row r="1146" spans="1:10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</row>
    <row r="1147" spans="1:10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</row>
    <row r="1148" spans="1:10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</row>
    <row r="1149" spans="1:10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</row>
    <row r="1150" spans="1:10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</row>
    <row r="1151" spans="1:10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</row>
    <row r="1152" spans="1:10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</row>
    <row r="1153" spans="1:10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</row>
    <row r="1154" spans="1:10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</row>
    <row r="1155" spans="1:10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</row>
    <row r="1156" spans="1:10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</row>
    <row r="1157" spans="1:10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</row>
    <row r="1158" spans="1:10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</row>
    <row r="1159" spans="1:10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</row>
    <row r="1160" spans="1:10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</row>
    <row r="1161" spans="1:10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</row>
    <row r="1162" spans="1:10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</row>
    <row r="1163" spans="1:10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</row>
    <row r="1164" spans="1:10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</row>
    <row r="1165" spans="1:10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</row>
    <row r="1166" spans="1:10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</row>
    <row r="1167" spans="1:10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</row>
    <row r="1168" spans="1:10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</row>
    <row r="1169" spans="1:10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</row>
    <row r="1170" spans="1:10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</row>
    <row r="1171" spans="1:10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</row>
    <row r="1172" spans="1:10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</row>
    <row r="1173" spans="1:10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</row>
    <row r="1174" spans="1:10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</row>
    <row r="1175" spans="1:10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</row>
    <row r="1176" spans="1:10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</row>
    <row r="1177" spans="1:10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</row>
    <row r="1178" spans="1:10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</row>
    <row r="1179" spans="1:10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</row>
    <row r="1180" spans="1:10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</row>
    <row r="1181" spans="1:10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</row>
    <row r="1182" spans="1:10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</row>
    <row r="1183" spans="1:10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</row>
    <row r="1184" spans="1:10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</row>
    <row r="1185" spans="1:10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</row>
    <row r="1186" spans="1:10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</row>
    <row r="1187" spans="1:10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</row>
    <row r="1188" spans="1:10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</row>
    <row r="1189" spans="1:10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</row>
    <row r="1190" spans="1:10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</row>
    <row r="1191" spans="1:10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</row>
    <row r="1192" spans="1:10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</row>
    <row r="1193" spans="1:10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</row>
    <row r="1194" spans="1:10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</row>
    <row r="1195" spans="1:10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</row>
    <row r="1196" spans="1:10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</row>
    <row r="1197" spans="1:10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</row>
    <row r="1198" spans="1:10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</row>
    <row r="1199" spans="1:10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</row>
    <row r="1200" spans="1:10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</row>
    <row r="1201" spans="1:10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</row>
    <row r="1202" spans="1:10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</row>
    <row r="1203" spans="1:10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</row>
    <row r="1204" spans="1:10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</row>
    <row r="1205" spans="1:10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</row>
    <row r="1206" spans="1:10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</row>
    <row r="1207" spans="1:1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</row>
    <row r="1208" spans="1:10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</row>
    <row r="1209" spans="1:10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</row>
    <row r="1210" spans="1:10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</row>
    <row r="1211" spans="1:10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</row>
    <row r="1212" spans="1:10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</row>
    <row r="1213" spans="1:10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</row>
    <row r="1214" spans="1:10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</row>
    <row r="1215" spans="1:10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</row>
    <row r="1216" spans="1:10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</row>
    <row r="1217" spans="1:10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</row>
    <row r="1218" spans="1:10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</row>
    <row r="1219" spans="1:10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</row>
    <row r="1220" spans="1:10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</row>
    <row r="1221" spans="1:10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</row>
    <row r="1222" spans="1:10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</row>
    <row r="1223" spans="1:107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</row>
    <row r="1224" spans="1:107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</row>
    <row r="1225" spans="1:10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</row>
    <row r="1226" spans="1:10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</row>
    <row r="1227" spans="1:10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</row>
    <row r="1228" spans="1:10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</row>
    <row r="1229" spans="1:10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</row>
    <row r="1230" spans="1:10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</row>
    <row r="1231" spans="1:10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</row>
    <row r="1232" spans="1:10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</row>
    <row r="1233" spans="1:10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</row>
    <row r="1234" spans="1:10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</row>
    <row r="1235" spans="1:10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</row>
    <row r="1236" spans="1:10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</row>
    <row r="1237" spans="1:10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</row>
    <row r="1238" spans="1:10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</row>
    <row r="1239" spans="1:10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</row>
    <row r="1240" spans="1:10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</row>
    <row r="1241" spans="1:10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</row>
    <row r="1242" spans="1:10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</row>
    <row r="1243" spans="1:10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</row>
    <row r="1244" spans="1:10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</row>
    <row r="1245" spans="1:10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</row>
    <row r="1246" spans="1:10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</row>
    <row r="1247" spans="1:10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</row>
    <row r="1248" spans="1:10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</row>
    <row r="1249" spans="1:10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</row>
    <row r="1250" spans="1:10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</row>
    <row r="1251" spans="1:10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</row>
    <row r="1252" spans="1:10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</row>
    <row r="1253" spans="1:10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</row>
    <row r="1254" spans="1:10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</row>
    <row r="1255" spans="1:10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</row>
    <row r="1256" spans="1:10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</row>
    <row r="1257" spans="1:10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</row>
    <row r="1258" spans="1:10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</row>
    <row r="1259" spans="1:10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</row>
    <row r="1260" spans="1:10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</row>
    <row r="1261" spans="1:10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</row>
    <row r="1262" spans="1:10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</row>
    <row r="1263" spans="1:10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</row>
    <row r="1264" spans="1:10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</row>
    <row r="1265" spans="1:107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</row>
    <row r="1266" spans="1:107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</row>
    <row r="1267" spans="1:10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</row>
    <row r="1268" spans="1:107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</row>
    <row r="1269" spans="1:107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</row>
    <row r="1270" spans="1:107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</row>
    <row r="1271" spans="1:107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</row>
    <row r="1272" spans="1:107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</row>
    <row r="1273" spans="1:107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</row>
    <row r="1274" spans="1:107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</row>
    <row r="1275" spans="1:107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</row>
    <row r="1276" spans="1:107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</row>
    <row r="1277" spans="1:10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</row>
    <row r="1278" spans="1:107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</row>
    <row r="1279" spans="1:107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</row>
    <row r="1280" spans="1:107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</row>
    <row r="1281" spans="1:107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</row>
    <row r="1282" spans="1:107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</row>
    <row r="1283" spans="1:107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</row>
    <row r="1284" spans="1:107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</row>
    <row r="1285" spans="1:107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</row>
    <row r="1286" spans="1:107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</row>
    <row r="1287" spans="1:10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</row>
    <row r="1288" spans="1:107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</row>
    <row r="1289" spans="1:107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</row>
    <row r="1290" spans="1:107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</row>
    <row r="1291" spans="1:107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</row>
    <row r="1292" spans="1:107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</row>
    <row r="1293" spans="1:107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</row>
    <row r="1294" spans="1:107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</row>
    <row r="1295" spans="1:107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</row>
    <row r="1296" spans="1:107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</row>
    <row r="1297" spans="1:10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</row>
    <row r="1298" spans="1:107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</row>
    <row r="1299" spans="1:107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</row>
    <row r="1300" spans="1:107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</row>
    <row r="1301" spans="1:107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</row>
    <row r="1302" spans="1:107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</row>
    <row r="1303" spans="1:107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</row>
    <row r="1304" spans="1:107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</row>
    <row r="1305" spans="1:107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</row>
    <row r="1306" spans="1:107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</row>
    <row r="1307" spans="1:1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</row>
    <row r="1308" spans="1:107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</row>
    <row r="1309" spans="1:107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</row>
    <row r="1310" spans="1:107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</row>
    <row r="1311" spans="1:107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</row>
    <row r="1312" spans="1:107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</row>
    <row r="1313" spans="1:107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</row>
    <row r="1314" spans="1:107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</row>
    <row r="1315" spans="1:107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</row>
    <row r="1316" spans="1:107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</row>
    <row r="1317" spans="1:10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</row>
    <row r="1318" spans="1:107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</row>
    <row r="1319" spans="1:107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</row>
    <row r="1320" spans="1:107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</row>
    <row r="1321" spans="1:107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</row>
    <row r="1322" spans="1:107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</row>
    <row r="1323" spans="1:107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</row>
    <row r="1324" spans="1:107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</row>
    <row r="1325" spans="1:107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</row>
    <row r="1326" spans="1:107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</row>
    <row r="1327" spans="1:10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</row>
    <row r="1328" spans="1:107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</row>
    <row r="1329" spans="1:107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</row>
    <row r="1330" spans="1:107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</row>
    <row r="1331" spans="1:107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</row>
    <row r="1332" spans="1:107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</row>
    <row r="1333" spans="1:107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</row>
    <row r="1334" spans="1:107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</row>
    <row r="1335" spans="1:107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</row>
    <row r="1336" spans="1:107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</row>
    <row r="1337" spans="1:10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</row>
    <row r="1338" spans="1:107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</row>
    <row r="1339" spans="1:107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</row>
    <row r="1340" spans="1:107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</row>
    <row r="1341" spans="1:107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</row>
    <row r="1342" spans="1:107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</row>
    <row r="1343" spans="1:107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</row>
    <row r="1344" spans="1:107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</row>
    <row r="1345" spans="1:107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</row>
    <row r="1346" spans="1:107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</row>
    <row r="1347" spans="1:10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</row>
    <row r="1348" spans="1:107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</row>
    <row r="1349" spans="1:107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</row>
    <row r="1350" spans="1:107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</row>
    <row r="1351" spans="1:107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</row>
    <row r="1352" spans="1:107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</row>
    <row r="1353" spans="1:107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</row>
    <row r="1354" spans="1:107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</row>
    <row r="1355" spans="1:107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</row>
    <row r="1356" spans="1:107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</row>
    <row r="1357" spans="1:10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</row>
    <row r="1358" spans="1:107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</row>
    <row r="1359" spans="1:107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</row>
    <row r="1360" spans="1:107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</row>
    <row r="1361" spans="1:107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</row>
    <row r="1362" spans="1:107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</row>
    <row r="1363" spans="1:107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</row>
    <row r="1364" spans="1:107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</row>
    <row r="1365" spans="1:107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</row>
    <row r="1366" spans="1:107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</row>
    <row r="1367" spans="1:10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</row>
    <row r="1368" spans="1:107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</row>
    <row r="1369" spans="1:107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</row>
    <row r="1370" spans="1:107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</row>
    <row r="1371" spans="1:107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</row>
    <row r="1372" spans="1:107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</row>
    <row r="1373" spans="1:107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</row>
    <row r="1374" spans="1:107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</row>
    <row r="1375" spans="1:107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</row>
    <row r="1376" spans="1:107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</row>
    <row r="1377" spans="1:10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</row>
    <row r="1378" spans="1:107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</row>
    <row r="1379" spans="1:107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</row>
    <row r="1380" spans="1:107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</row>
    <row r="1381" spans="1:107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</row>
    <row r="1382" spans="1:107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</row>
    <row r="1383" spans="1:107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</row>
    <row r="1384" spans="1:107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</row>
    <row r="1385" spans="1:107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</row>
    <row r="1386" spans="1:107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</row>
    <row r="1387" spans="1:10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</row>
    <row r="1388" spans="1:107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</row>
    <row r="1389" spans="1:107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</row>
    <row r="1390" spans="1:107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</row>
    <row r="1391" spans="1:107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</row>
    <row r="1392" spans="1:107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</row>
    <row r="1393" spans="1:107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</row>
    <row r="1394" spans="1:107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</row>
    <row r="1395" spans="1:107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</row>
    <row r="1396" spans="1:107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</row>
    <row r="1397" spans="1:10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</row>
    <row r="1398" spans="1:107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</row>
    <row r="1399" spans="1:107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</row>
    <row r="1400" spans="1:107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</row>
    <row r="1401" spans="1:107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</row>
    <row r="1402" spans="1:107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</row>
    <row r="1403" spans="1:107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</row>
    <row r="1404" spans="1:107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</row>
    <row r="1405" spans="1:107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</row>
    <row r="1406" spans="1:107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</row>
    <row r="1407" spans="1:1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</row>
    <row r="1408" spans="1:107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</row>
    <row r="1409" spans="1:107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</row>
    <row r="1410" spans="1:107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</row>
    <row r="1411" spans="1:107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</row>
    <row r="1412" spans="1:107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</row>
    <row r="1413" spans="1:107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</row>
    <row r="1414" spans="1:107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</row>
    <row r="1415" spans="1:107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</row>
    <row r="1416" spans="1:107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</row>
    <row r="1417" spans="1:10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</row>
    <row r="1418" spans="1:107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</row>
    <row r="1419" spans="1:107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</row>
    <row r="1420" spans="1:107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</row>
    <row r="1421" spans="1:107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</row>
    <row r="1422" spans="1:107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</row>
    <row r="1423" spans="1:107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</row>
    <row r="1424" spans="1:107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</row>
    <row r="1425" spans="1:107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</row>
    <row r="1426" spans="1:107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</row>
    <row r="1427" spans="1:10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</row>
    <row r="1428" spans="1:107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</row>
    <row r="1429" spans="1:107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</row>
    <row r="1430" spans="1:107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</row>
    <row r="1431" spans="1:107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</row>
    <row r="1432" spans="1:107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</row>
    <row r="1433" spans="1:107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</row>
    <row r="1434" spans="1:107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</row>
    <row r="1435" spans="1:107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</row>
    <row r="1436" spans="1:107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</row>
    <row r="1437" spans="1:10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</row>
    <row r="1438" spans="1:107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</row>
    <row r="1439" spans="1:107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</row>
    <row r="1440" spans="1:107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</row>
    <row r="1441" spans="1:107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</row>
    <row r="1442" spans="1:107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</row>
    <row r="1443" spans="1:107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</row>
    <row r="1444" spans="1:107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</row>
    <row r="1445" spans="1:107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</row>
    <row r="1446" spans="1:107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</row>
    <row r="1447" spans="1:10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</row>
    <row r="1448" spans="1:107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</row>
    <row r="1449" spans="1:107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</row>
    <row r="1450" spans="1:107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</row>
    <row r="1451" spans="1:107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</row>
    <row r="1452" spans="1:107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</row>
    <row r="1453" spans="1:107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</row>
    <row r="1454" spans="1:107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</row>
    <row r="1455" spans="1:107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</row>
    <row r="1456" spans="1:107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</row>
    <row r="1457" spans="1:10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</row>
    <row r="1458" spans="1:107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</row>
    <row r="1459" spans="1:107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</row>
    <row r="1460" spans="1:107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</row>
    <row r="1461" spans="1:107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</row>
    <row r="1462" spans="1:107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</row>
    <row r="1463" spans="1:107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</row>
    <row r="1464" spans="1:107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</row>
    <row r="1465" spans="1:107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</row>
    <row r="1466" spans="1:107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</row>
    <row r="1467" spans="1:10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</row>
    <row r="1468" spans="1:107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</row>
    <row r="1469" spans="1:107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</row>
    <row r="1470" spans="1:107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</row>
    <row r="1471" spans="1:107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</row>
    <row r="1472" spans="1:107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</row>
    <row r="1473" spans="1:107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</row>
    <row r="1474" spans="1:107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</row>
    <row r="1475" spans="1:107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</row>
    <row r="1476" spans="1:107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</row>
    <row r="1477" spans="1:10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</row>
    <row r="1478" spans="1:107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</row>
    <row r="1479" spans="1:107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</row>
    <row r="1480" spans="1:107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</row>
    <row r="1481" spans="1:107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</row>
    <row r="1482" spans="1:107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</row>
    <row r="1483" spans="1:107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</row>
    <row r="1484" spans="1:107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</row>
    <row r="1485" spans="1:107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</row>
    <row r="1486" spans="1:107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</row>
    <row r="1487" spans="1:10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</row>
    <row r="1488" spans="1:107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</row>
    <row r="1489" spans="1:107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</row>
    <row r="1490" spans="1:107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</row>
    <row r="1491" spans="1:107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</row>
    <row r="1492" spans="1:107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</row>
    <row r="1493" spans="1:107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</row>
    <row r="1494" spans="1:107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</row>
    <row r="1495" spans="1:107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</row>
    <row r="1496" spans="1:107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</row>
    <row r="1497" spans="1:10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</row>
    <row r="1498" spans="1:107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</row>
    <row r="1499" spans="1:107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</row>
    <row r="1500" spans="1:107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</row>
    <row r="1501" spans="1:107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</row>
    <row r="1502" spans="1:107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</row>
    <row r="1503" spans="1:107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</row>
    <row r="1504" spans="1:107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</row>
    <row r="1505" spans="1:107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</row>
    <row r="1506" spans="1:107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</row>
    <row r="1507" spans="1:1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</row>
    <row r="1508" spans="1:107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</row>
    <row r="1509" spans="1:107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</row>
    <row r="1510" spans="1:107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</row>
    <row r="1511" spans="1:107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</row>
    <row r="1512" spans="1:107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</row>
    <row r="1513" spans="1:107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</row>
    <row r="1514" spans="1:107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</row>
    <row r="1515" spans="1:107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</row>
    <row r="1516" spans="1:107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</row>
    <row r="1517" spans="1:10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</row>
    <row r="1518" spans="1:107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</row>
    <row r="1519" spans="1:107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</row>
    <row r="1520" spans="1:107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</row>
    <row r="1521" spans="1:107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</row>
    <row r="1522" spans="1:107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</row>
    <row r="1523" spans="1:107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</row>
    <row r="1524" spans="1:107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</row>
    <row r="1525" spans="1:107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</row>
    <row r="1526" spans="1:107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</row>
    <row r="1527" spans="1:10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</row>
    <row r="1528" spans="1:107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</row>
    <row r="1529" spans="1:107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</row>
    <row r="1530" spans="1:107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</row>
    <row r="1531" spans="1:107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</row>
    <row r="1532" spans="1:107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</row>
    <row r="1533" spans="1:107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</row>
    <row r="1534" spans="1:107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</row>
    <row r="1535" spans="1:107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</row>
    <row r="1536" spans="1:107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</row>
    <row r="1537" spans="1:10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</row>
    <row r="1538" spans="1:107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</row>
    <row r="1539" spans="1:107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</row>
    <row r="1540" spans="1:107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</row>
    <row r="1541" spans="1:107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</row>
    <row r="1542" spans="1:107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</row>
    <row r="1543" spans="1:107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</row>
    <row r="1544" spans="1:107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</row>
    <row r="1545" spans="1:107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</row>
    <row r="1546" spans="1:107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</row>
    <row r="1547" spans="1:10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</row>
    <row r="1548" spans="1:107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</row>
    <row r="1549" spans="1:107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</row>
    <row r="1550" spans="1:107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</row>
    <row r="1551" spans="1:107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</row>
    <row r="1552" spans="1:107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</row>
    <row r="1553" spans="1:107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</row>
    <row r="1554" spans="1:107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</row>
    <row r="1555" spans="1:107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</row>
    <row r="1556" spans="1:107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</row>
    <row r="1557" spans="1:10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</row>
    <row r="1558" spans="1:107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</row>
    <row r="1559" spans="1:107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</row>
    <row r="1560" spans="1:107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</row>
    <row r="1561" spans="1:107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</row>
    <row r="1562" spans="1:107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</row>
    <row r="1563" spans="1:107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</row>
    <row r="1564" spans="1:107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</row>
    <row r="1565" spans="1:107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</row>
    <row r="1566" spans="1:107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</row>
    <row r="1567" spans="1:10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</row>
    <row r="1568" spans="1:107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</row>
    <row r="1569" spans="1:107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</row>
    <row r="1570" spans="1:107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</row>
    <row r="1571" spans="1:107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</row>
    <row r="1572" spans="1:107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</row>
    <row r="1573" spans="1:107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</row>
    <row r="1574" spans="1:107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</row>
    <row r="1575" spans="1:107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</row>
    <row r="1576" spans="1:107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</row>
    <row r="1577" spans="1:10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</row>
    <row r="1578" spans="1:107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</row>
    <row r="1579" spans="1:107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</row>
    <row r="1580" spans="1:107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</row>
    <row r="1581" spans="1:107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</row>
    <row r="1582" spans="1:107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</row>
    <row r="1583" spans="1:107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</row>
    <row r="1584" spans="1:107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</row>
    <row r="1585" spans="1:107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</row>
    <row r="1586" spans="1:107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</row>
    <row r="1587" spans="1:10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</row>
    <row r="1588" spans="1:107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</row>
    <row r="1589" spans="1:107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</row>
    <row r="1590" spans="1:107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</row>
    <row r="1591" spans="1:107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</row>
    <row r="1592" spans="1:107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</row>
    <row r="1593" spans="1:107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</row>
    <row r="1594" spans="1:107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</row>
    <row r="1595" spans="1:107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</row>
    <row r="1596" spans="1:107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</row>
    <row r="1597" spans="1:10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</row>
    <row r="1598" spans="1:107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</row>
    <row r="1599" spans="1:107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</row>
    <row r="1600" spans="1:107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</row>
    <row r="1601" spans="1:107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</row>
    <row r="1602" spans="1:107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</row>
    <row r="1603" spans="1:107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</row>
    <row r="1604" spans="1:107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</row>
    <row r="1605" spans="1:107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</row>
    <row r="1606" spans="1:107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</row>
    <row r="1607" spans="1:1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</row>
    <row r="1608" spans="1:107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</row>
    <row r="1609" spans="1:107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</row>
    <row r="1610" spans="1:107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</row>
    <row r="1611" spans="1:107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</row>
    <row r="1612" spans="1:107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</row>
    <row r="1613" spans="1:107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</row>
    <row r="1614" spans="1:107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</row>
    <row r="1615" spans="1:107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</row>
    <row r="1616" spans="1:107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</row>
    <row r="1617" spans="1:10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</row>
    <row r="1618" spans="1:107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</row>
    <row r="1619" spans="1:107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</row>
    <row r="1620" spans="1:107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</row>
    <row r="1621" spans="1:107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</row>
    <row r="1622" spans="1:107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</row>
    <row r="1623" spans="1:107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</row>
    <row r="1624" spans="1:107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</row>
    <row r="1625" spans="1:107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</row>
    <row r="1626" spans="1:107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</row>
    <row r="1627" spans="1:10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</row>
    <row r="1628" spans="1:107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</row>
    <row r="1629" spans="1:107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</row>
    <row r="1630" spans="1:107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</row>
    <row r="1631" spans="1:107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</row>
    <row r="1632" spans="1:107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</row>
    <row r="1633" spans="1:107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</row>
    <row r="1634" spans="1:107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</row>
    <row r="1635" spans="1:107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</row>
    <row r="1636" spans="1:107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</row>
    <row r="1637" spans="1:10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</row>
    <row r="1638" spans="1:107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</row>
    <row r="1639" spans="1:107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</row>
    <row r="1640" spans="1:107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</row>
    <row r="1641" spans="1:107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</row>
    <row r="1642" spans="1:107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</row>
    <row r="1643" spans="1:107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</row>
    <row r="1644" spans="1:107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</row>
    <row r="1645" spans="1:107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</row>
    <row r="1646" spans="1:107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</row>
    <row r="1647" spans="1:10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</row>
    <row r="1648" spans="1:107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</row>
    <row r="1649" spans="1:107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</row>
    <row r="1650" spans="1:107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</row>
    <row r="1651" spans="1:107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</row>
    <row r="1652" spans="1:107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</row>
    <row r="1653" spans="1:107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</row>
    <row r="1654" spans="1:107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</row>
    <row r="1655" spans="1:107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</row>
    <row r="1656" spans="1:107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</row>
    <row r="1657" spans="1:10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</row>
    <row r="1658" spans="1:107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</row>
    <row r="1659" spans="1:107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</row>
    <row r="1660" spans="1:107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</row>
    <row r="1661" spans="1:107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</row>
    <row r="1662" spans="1:107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</row>
    <row r="1663" spans="1:107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</row>
    <row r="1664" spans="1:107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</row>
    <row r="1665" spans="1:107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</row>
    <row r="1666" spans="1:107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</row>
    <row r="1667" spans="1:10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</row>
    <row r="1668" spans="1:107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</row>
    <row r="1669" spans="1:107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</row>
    <row r="1670" spans="1:107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</row>
    <row r="1671" spans="1:107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</row>
    <row r="1672" spans="1:107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</row>
    <row r="1673" spans="1:107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</row>
    <row r="1674" spans="1:107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</row>
    <row r="1675" spans="1:107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</row>
    <row r="1676" spans="1:107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</row>
    <row r="1677" spans="1:10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</row>
    <row r="1678" spans="1:107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</row>
    <row r="1679" spans="1:107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</row>
    <row r="1680" spans="1:107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</row>
    <row r="1681" spans="1:107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</row>
    <row r="1682" spans="1:10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</row>
    <row r="1683" spans="1:107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</row>
    <row r="1684" spans="1:107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</row>
    <row r="1685" spans="1:107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</row>
    <row r="1686" spans="1:107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</row>
    <row r="1687" spans="1:10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</row>
    <row r="1688" spans="1:107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</row>
    <row r="1689" spans="1:107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</row>
    <row r="1690" spans="1:107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</row>
    <row r="1691" spans="1:107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</row>
    <row r="1692" spans="1:107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</row>
    <row r="1693" spans="1:107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</row>
    <row r="1694" spans="1:107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</row>
    <row r="1695" spans="1:107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</row>
    <row r="1696" spans="1:107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</row>
    <row r="1697" spans="1:10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</row>
    <row r="1698" spans="1:107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</row>
    <row r="1699" spans="1:107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</row>
    <row r="1700" spans="1:107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</row>
    <row r="1701" spans="1:107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</row>
    <row r="1702" spans="1:107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</row>
    <row r="1703" spans="1:107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</row>
    <row r="1704" spans="1:107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</row>
    <row r="1705" spans="1:107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</row>
    <row r="1706" spans="1:107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</row>
    <row r="1707" spans="1:1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</row>
    <row r="1708" spans="1:107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</row>
    <row r="1709" spans="1:107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</row>
    <row r="1710" spans="1:107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</row>
    <row r="1711" spans="1:107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</row>
    <row r="1712" spans="1:107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</row>
    <row r="1713" spans="1:107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</row>
    <row r="1714" spans="1:107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</row>
    <row r="1715" spans="1:107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</row>
    <row r="1716" spans="1:107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</row>
    <row r="1717" spans="1:10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</row>
    <row r="1718" spans="1:107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</row>
    <row r="1719" spans="1:107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</row>
    <row r="1720" spans="1:107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</row>
    <row r="1721" spans="1:107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</row>
    <row r="1722" spans="1:107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</row>
    <row r="1723" spans="1:107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</row>
    <row r="1724" spans="1:107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</row>
    <row r="1725" spans="1:107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</row>
    <row r="1726" spans="1:107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</row>
    <row r="1727" spans="1:10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</row>
    <row r="1728" spans="1:107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</row>
    <row r="1729" spans="1:107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</row>
    <row r="1730" spans="1:107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</row>
    <row r="1731" spans="1:107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</row>
    <row r="1732" spans="1:107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</row>
    <row r="1733" spans="1:107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</row>
    <row r="1734" spans="1:107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</row>
    <row r="1735" spans="1:107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</row>
    <row r="1736" spans="1:107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</row>
    <row r="1737" spans="1:10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</row>
    <row r="1738" spans="1:107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</row>
    <row r="1739" spans="1:107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</row>
    <row r="1740" spans="1:107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</row>
    <row r="1741" spans="1:107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</row>
    <row r="1742" spans="1:107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</row>
    <row r="1743" spans="1:107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</row>
    <row r="1744" spans="1:107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</row>
    <row r="1745" spans="1:107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</row>
    <row r="1746" spans="1:107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</row>
    <row r="1747" spans="1:10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</row>
    <row r="1748" spans="1:107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</row>
    <row r="1749" spans="1:107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</row>
    <row r="1750" spans="1:107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</row>
    <row r="1751" spans="1:107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</row>
    <row r="1752" spans="1:107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</row>
    <row r="1753" spans="1:107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</row>
    <row r="1754" spans="1:107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</row>
    <row r="1755" spans="1:107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</row>
    <row r="1756" spans="1:107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</row>
    <row r="1757" spans="1:10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</row>
    <row r="1758" spans="1:107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</row>
    <row r="1759" spans="1:107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</row>
    <row r="1760" spans="1:107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</row>
    <row r="1761" spans="1:107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</row>
    <row r="1762" spans="1:107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</row>
    <row r="1763" spans="1:107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</row>
    <row r="1764" spans="1:107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</row>
    <row r="1765" spans="1:107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</row>
    <row r="1766" spans="1:107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</row>
    <row r="1767" spans="1:10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</row>
    <row r="1768" spans="1:107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</row>
    <row r="1769" spans="1:107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</row>
    <row r="1770" spans="1:107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</row>
    <row r="1771" spans="1:107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</row>
    <row r="1772" spans="1:107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</row>
    <row r="1773" spans="1:107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</row>
    <row r="1774" spans="1:107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</row>
    <row r="1775" spans="1:107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</row>
    <row r="1776" spans="1:107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</row>
    <row r="1777" spans="1:10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</row>
    <row r="1778" spans="1:107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</row>
    <row r="1779" spans="1:107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</row>
    <row r="1780" spans="1:107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</row>
    <row r="1781" spans="1:107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</row>
    <row r="1782" spans="1:107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</row>
    <row r="1783" spans="1:107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</row>
    <row r="1784" spans="1:107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</row>
    <row r="1785" spans="1:107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</row>
    <row r="1786" spans="1:107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</row>
    <row r="1787" spans="1:10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</row>
    <row r="1788" spans="1:107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</row>
    <row r="1789" spans="1:10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</row>
    <row r="1790" spans="1:107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</row>
    <row r="1791" spans="1:107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</row>
    <row r="1792" spans="1:107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</row>
    <row r="1793" spans="1:107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</row>
    <row r="1794" spans="1:107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</row>
    <row r="1795" spans="1:107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</row>
    <row r="1796" spans="1:107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</row>
    <row r="1797" spans="1:10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</row>
    <row r="1798" spans="1:107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</row>
    <row r="1799" spans="1:107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</row>
    <row r="1800" spans="1:107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</row>
    <row r="1801" spans="1:107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</row>
    <row r="1802" spans="1:107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</row>
    <row r="1803" spans="1:107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</row>
    <row r="1804" spans="1:107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</row>
    <row r="1805" spans="1:107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</row>
    <row r="1806" spans="1:107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</row>
    <row r="1807" spans="1:1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</row>
    <row r="1808" spans="1:107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</row>
    <row r="1809" spans="1:107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</row>
    <row r="1810" spans="1:107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</row>
    <row r="1811" spans="1:10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</row>
    <row r="1812" spans="1:107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</row>
    <row r="1813" spans="1:107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</row>
    <row r="1814" spans="1:107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</row>
    <row r="1815" spans="1:107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</row>
    <row r="1816" spans="1:107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</row>
    <row r="1817" spans="1:10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</row>
    <row r="1818" spans="1:107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</row>
    <row r="1819" spans="1:107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</row>
    <row r="1820" spans="1:107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</row>
    <row r="1821" spans="1:107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</row>
    <row r="1822" spans="1:107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</row>
    <row r="1823" spans="1:107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</row>
    <row r="1824" spans="1:107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</row>
    <row r="1825" spans="1:10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</row>
    <row r="1826" spans="1:107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</row>
    <row r="1827" spans="1:10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</row>
    <row r="1828" spans="1:107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</row>
    <row r="1829" spans="1:107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</row>
    <row r="1830" spans="1:107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</row>
    <row r="1831" spans="1:107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</row>
    <row r="1832" spans="1:107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</row>
    <row r="1833" spans="1:107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</row>
    <row r="1834" spans="1:107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</row>
    <row r="1835" spans="1:107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</row>
    <row r="1836" spans="1:107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</row>
    <row r="1837" spans="1:10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</row>
    <row r="1838" spans="1:10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</row>
    <row r="1839" spans="1:107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</row>
    <row r="1840" spans="1:107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</row>
    <row r="1841" spans="1:107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</row>
    <row r="1842" spans="1:107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</row>
    <row r="1843" spans="1:107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</row>
    <row r="1844" spans="1:107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</row>
    <row r="1845" spans="1:107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</row>
    <row r="1846" spans="1:107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</row>
    <row r="1847" spans="1:10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</row>
    <row r="1848" spans="1:10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</row>
    <row r="1849" spans="1:107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</row>
    <row r="1850" spans="1:107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</row>
    <row r="1851" spans="1:107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</row>
    <row r="1852" spans="1:107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</row>
    <row r="1853" spans="1:107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</row>
    <row r="1854" spans="1:107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</row>
    <row r="1855" spans="1:107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</row>
    <row r="1856" spans="1:107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</row>
    <row r="1857" spans="1:10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</row>
    <row r="1858" spans="1:107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</row>
    <row r="1859" spans="1:107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</row>
    <row r="1860" spans="1:107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</row>
    <row r="1861" spans="1:107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</row>
    <row r="1862" spans="1:107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</row>
    <row r="1863" spans="1:107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</row>
    <row r="1864" spans="1:107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</row>
    <row r="1865" spans="1:107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</row>
    <row r="1866" spans="1:107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</row>
    <row r="1867" spans="1:10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</row>
    <row r="1868" spans="1:107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</row>
    <row r="1869" spans="1:107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</row>
    <row r="1870" spans="1:107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</row>
    <row r="1871" spans="1:107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</row>
    <row r="1872" spans="1:107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</row>
    <row r="1873" spans="1:107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</row>
    <row r="1874" spans="1:107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</row>
    <row r="1875" spans="1:107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</row>
    <row r="1876" spans="1:107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</row>
    <row r="1877" spans="1:10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</row>
    <row r="1878" spans="1:107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</row>
    <row r="1879" spans="1:107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</row>
    <row r="1880" spans="1:107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</row>
    <row r="1881" spans="1:107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</row>
    <row r="1882" spans="1:107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</row>
    <row r="1883" spans="1:107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</row>
    <row r="1884" spans="1:107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</row>
    <row r="1885" spans="1:107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</row>
    <row r="1886" spans="1:107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</row>
    <row r="1887" spans="1:10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</row>
    <row r="1888" spans="1:107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</row>
    <row r="1889" spans="1:107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</row>
    <row r="1890" spans="1:107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</row>
    <row r="1891" spans="1:107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</row>
    <row r="1892" spans="1:107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</row>
    <row r="1893" spans="1:107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</row>
    <row r="1894" spans="1:107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</row>
    <row r="1895" spans="1:107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</row>
    <row r="1896" spans="1:107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</row>
    <row r="1897" spans="1:10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</row>
    <row r="1898" spans="1:107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</row>
    <row r="1899" spans="1:107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</row>
    <row r="1900" spans="1:107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</row>
    <row r="1901" spans="1:107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</row>
    <row r="1902" spans="1:107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</row>
    <row r="1903" spans="1:107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</row>
    <row r="1904" spans="1:107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</row>
    <row r="1905" spans="1:107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</row>
    <row r="1906" spans="1:107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</row>
    <row r="1907" spans="1:1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</row>
    <row r="1908" spans="1:107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</row>
    <row r="1909" spans="1:107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</row>
    <row r="1910" spans="1:107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</row>
    <row r="1911" spans="1:107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</row>
    <row r="1912" spans="1:107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</row>
    <row r="1913" spans="1:107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</row>
    <row r="1914" spans="1:107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</row>
    <row r="1915" spans="1:107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</row>
    <row r="1916" spans="1:107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</row>
    <row r="1917" spans="1:10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</row>
    <row r="1918" spans="1:107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</row>
    <row r="1919" spans="1:107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</row>
    <row r="1920" spans="1:107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</row>
    <row r="1921" spans="1:107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</row>
    <row r="1922" spans="1:107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</row>
    <row r="1923" spans="1:107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</row>
    <row r="1924" spans="1:107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</row>
    <row r="1925" spans="1:107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</row>
    <row r="1926" spans="1:107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</row>
    <row r="1927" spans="1:10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</row>
    <row r="1928" spans="1:107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</row>
    <row r="1929" spans="1:107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</row>
    <row r="1930" spans="1:107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</row>
    <row r="1931" spans="1:107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</row>
    <row r="1932" spans="1:107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</row>
    <row r="1933" spans="1:107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</row>
    <row r="1934" spans="1:107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</row>
    <row r="1935" spans="1:107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</row>
    <row r="1936" spans="1:107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</row>
    <row r="1937" spans="1:10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</row>
    <row r="1938" spans="1:107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</row>
    <row r="1939" spans="1:107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</row>
    <row r="1940" spans="1:107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</row>
    <row r="1941" spans="1:107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</row>
    <row r="1942" spans="1:107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</row>
    <row r="1943" spans="1:107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</row>
    <row r="1944" spans="1:107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</row>
    <row r="1945" spans="1:107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</row>
    <row r="1946" spans="1:107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</row>
    <row r="1947" spans="1:10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</row>
    <row r="1948" spans="1:107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</row>
    <row r="1949" spans="1:107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</row>
    <row r="1950" spans="1:107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</row>
    <row r="1951" spans="1:107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</row>
    <row r="1952" spans="1:107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</row>
    <row r="1953" spans="1:107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</row>
    <row r="1954" spans="1:107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</row>
    <row r="1955" spans="1:107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</row>
    <row r="1956" spans="1:107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</row>
    <row r="1957" spans="1:10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</row>
    <row r="1958" spans="1:107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</row>
    <row r="1959" spans="1:107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</row>
    <row r="1960" spans="1:107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</row>
    <row r="1961" spans="1:107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</row>
    <row r="1962" spans="1:107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</row>
    <row r="1963" spans="1:107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</row>
    <row r="1964" spans="1:107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</row>
    <row r="1965" spans="1:107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</row>
    <row r="1966" spans="1:107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</row>
    <row r="1967" spans="1:10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</row>
    <row r="1968" spans="1:107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</row>
    <row r="1969" spans="1:107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</row>
    <row r="1970" spans="1:107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</row>
    <row r="1971" spans="1:107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</row>
    <row r="1972" spans="1:107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</row>
    <row r="1973" spans="1:107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</row>
    <row r="1974" spans="1:107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</row>
    <row r="1975" spans="1:107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</row>
    <row r="1976" spans="1:107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</row>
    <row r="1977" spans="1:10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</row>
    <row r="1978" spans="1:107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</row>
    <row r="1979" spans="1:107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</row>
    <row r="1980" spans="1:107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</row>
    <row r="1981" spans="1:107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</row>
    <row r="1982" spans="1:107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</row>
    <row r="1983" spans="1:107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</row>
    <row r="1984" spans="1:107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</row>
    <row r="1985" spans="1:107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</row>
    <row r="1986" spans="1:107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</row>
    <row r="1987" spans="1:10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</row>
    <row r="1988" spans="1:107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</row>
    <row r="1989" spans="1:107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</row>
    <row r="1990" spans="1:107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</row>
    <row r="1991" spans="1:107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</row>
    <row r="1992" spans="1:107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</row>
    <row r="1993" spans="1:107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</row>
    <row r="1994" spans="1:107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</row>
    <row r="1995" spans="1:107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</row>
    <row r="1996" spans="1:107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</row>
    <row r="1997" spans="1:10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</row>
    <row r="1998" spans="1:107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</row>
    <row r="1999" spans="1:107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</row>
    <row r="2000" spans="1:107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</row>
    <row r="2001" spans="1:107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</row>
    <row r="2002" spans="1:107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</row>
    <row r="2003" spans="1:107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</row>
    <row r="2004" spans="1:107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</row>
    <row r="2005" spans="1:107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</row>
    <row r="2006" spans="1:107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</row>
    <row r="2007" spans="1:1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</row>
    <row r="2008" spans="1:107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</row>
    <row r="2009" spans="1:107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</row>
    <row r="2010" spans="1:107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</row>
    <row r="2011" spans="1:107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</row>
    <row r="2012" spans="1:107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</row>
    <row r="2013" spans="1:107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</row>
    <row r="2014" spans="1:107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</row>
    <row r="2015" spans="1:107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</row>
    <row r="2016" spans="1:107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</row>
    <row r="2017" spans="1:10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</row>
    <row r="2018" spans="1:107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</row>
    <row r="2019" spans="1:107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</row>
    <row r="2020" spans="1:107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</row>
    <row r="2021" spans="1:107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</row>
    <row r="2022" spans="1:107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</row>
    <row r="2023" spans="1:107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</row>
    <row r="2024" spans="1:107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</row>
    <row r="2025" spans="1:107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</row>
    <row r="2026" spans="1:107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</row>
    <row r="2027" spans="1:10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</row>
    <row r="2028" spans="1:107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</row>
    <row r="2029" spans="1:107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</row>
    <row r="2030" spans="1:107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</row>
    <row r="2031" spans="1:107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</row>
    <row r="2032" spans="1:107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</row>
    <row r="2033" spans="1:107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</row>
    <row r="2034" spans="1:107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</row>
    <row r="2035" spans="1:107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</row>
    <row r="2036" spans="1:107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</row>
    <row r="2037" spans="1:10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</row>
    <row r="2038" spans="1:107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</row>
    <row r="2039" spans="1:107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</row>
    <row r="2040" spans="1:107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</row>
    <row r="2041" spans="1:107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</row>
    <row r="2042" spans="1:107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</row>
    <row r="2043" spans="1:107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</row>
    <row r="2044" spans="1:107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</row>
    <row r="2045" spans="1:107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</row>
    <row r="2046" spans="1:107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</row>
    <row r="2047" spans="1:10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</row>
    <row r="2048" spans="1:107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</row>
    <row r="2049" spans="1:107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</row>
    <row r="2050" spans="1:107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</row>
    <row r="2051" spans="1:107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</row>
    <row r="2052" spans="1:107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</row>
    <row r="2053" spans="1:107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</row>
    <row r="2054" spans="1:107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</row>
    <row r="2055" spans="1:107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</row>
    <row r="2056" spans="1:107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</row>
    <row r="2057" spans="1:10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</row>
    <row r="2058" spans="1:107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</row>
    <row r="2059" spans="1:107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</row>
    <row r="2060" spans="1:107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</row>
    <row r="2061" spans="1:107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</row>
    <row r="2062" spans="1:107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</row>
    <row r="2063" spans="1:107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</row>
    <row r="2064" spans="1:107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</row>
    <row r="2065" spans="1:107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</row>
    <row r="2066" spans="1:107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</row>
    <row r="2067" spans="1:10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</row>
    <row r="2068" spans="1:107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</row>
    <row r="2069" spans="1:107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</row>
    <row r="2070" spans="1:107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</row>
    <row r="2071" spans="1:107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</row>
    <row r="2072" spans="1:107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</row>
    <row r="2073" spans="1:107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</row>
    <row r="2074" spans="1:107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</row>
    <row r="2075" spans="1:107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</row>
    <row r="2076" spans="1:107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</row>
    <row r="2077" spans="1:10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</row>
    <row r="2078" spans="1:107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</row>
    <row r="2079" spans="1:107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</row>
    <row r="2080" spans="1:107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</row>
    <row r="2081" spans="1:107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</row>
    <row r="2082" spans="1:107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</row>
    <row r="2083" spans="1:107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</row>
    <row r="2084" spans="1:107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</row>
    <row r="2085" spans="1:107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</row>
    <row r="2086" spans="1:107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</row>
    <row r="2087" spans="1:10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</row>
    <row r="2088" spans="1:107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</row>
    <row r="2089" spans="1:107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</row>
    <row r="2090" spans="1:107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</row>
    <row r="2091" spans="1:107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</row>
    <row r="2092" spans="1:107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</row>
    <row r="2093" spans="1:107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</row>
    <row r="2094" spans="1:10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</row>
    <row r="2095" spans="1:107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</row>
    <row r="2096" spans="1:107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</row>
    <row r="2097" spans="1:10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</row>
    <row r="2098" spans="1:10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</row>
    <row r="2099" spans="1:107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</row>
    <row r="2100" spans="1:107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</row>
    <row r="2101" spans="1:107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</row>
    <row r="2102" spans="1:107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</row>
    <row r="2103" spans="1:107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</row>
    <row r="2104" spans="1:107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</row>
    <row r="2105" spans="1:107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</row>
    <row r="2106" spans="1:107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</row>
    <row r="2107" spans="1: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</row>
    <row r="2108" spans="1:107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</row>
    <row r="2109" spans="1:107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</row>
    <row r="2110" spans="1:107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</row>
    <row r="2111" spans="1:107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</row>
    <row r="2112" spans="1:107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</row>
    <row r="2113" spans="1:107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</row>
    <row r="2114" spans="1:107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</row>
    <row r="2115" spans="1:107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</row>
    <row r="2116" spans="1:107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</row>
    <row r="2117" spans="1:10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</row>
    <row r="2118" spans="1:107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</row>
    <row r="2119" spans="1:107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</row>
    <row r="2120" spans="1:107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</row>
    <row r="2121" spans="1:107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</row>
    <row r="2122" spans="1:107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</row>
    <row r="2123" spans="1:107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</row>
    <row r="2124" spans="1:107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</row>
    <row r="2125" spans="1:10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</row>
    <row r="2126" spans="1:107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</row>
    <row r="2127" spans="1:10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</row>
    <row r="2128" spans="1:107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</row>
    <row r="2129" spans="1:107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</row>
    <row r="2130" spans="1:107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</row>
    <row r="2131" spans="1:107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</row>
    <row r="2132" spans="1:107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</row>
    <row r="2133" spans="1:107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</row>
    <row r="2134" spans="1:107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</row>
    <row r="2135" spans="1:107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</row>
    <row r="2136" spans="1:107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</row>
    <row r="2137" spans="1:10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</row>
    <row r="2138" spans="1:107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</row>
    <row r="2139" spans="1:107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</row>
    <row r="2140" spans="1:107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</row>
    <row r="2141" spans="1:107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</row>
    <row r="2142" spans="1:107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</row>
    <row r="2143" spans="1:107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</row>
    <row r="2144" spans="1:107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</row>
    <row r="2145" spans="1:107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</row>
    <row r="2146" spans="1:107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</row>
    <row r="2147" spans="1:10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</row>
    <row r="2148" spans="1:107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</row>
    <row r="2149" spans="1:107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</row>
    <row r="2150" spans="1:107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</row>
    <row r="2151" spans="1:107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</row>
    <row r="2152" spans="1:107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</row>
    <row r="2153" spans="1:107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</row>
    <row r="2154" spans="1:107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</row>
    <row r="2155" spans="1:107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</row>
    <row r="2156" spans="1:107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</row>
    <row r="2157" spans="1:10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</row>
    <row r="2158" spans="1:107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</row>
    <row r="2159" spans="1:107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</row>
    <row r="2160" spans="1:107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</row>
    <row r="2161" spans="1:107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</row>
    <row r="2162" spans="1:107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</row>
    <row r="2163" spans="1:107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</row>
    <row r="2164" spans="1:107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</row>
    <row r="2165" spans="1:107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</row>
    <row r="2166" spans="1:107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</row>
    <row r="2167" spans="1:10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</row>
    <row r="2168" spans="1:107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</row>
    <row r="2169" spans="1:107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</row>
    <row r="2170" spans="1:107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</row>
    <row r="2171" spans="1:107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</row>
    <row r="2172" spans="1:107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</row>
    <row r="2173" spans="1:107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</row>
    <row r="2174" spans="1:107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</row>
    <row r="2175" spans="1:107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</row>
    <row r="2176" spans="1:107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</row>
    <row r="2177" spans="1:10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</row>
    <row r="2178" spans="1:107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</row>
    <row r="2179" spans="1:107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</row>
    <row r="2180" spans="1:107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</row>
    <row r="2181" spans="1:107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</row>
    <row r="2182" spans="1:107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</row>
    <row r="2183" spans="1:107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</row>
    <row r="2184" spans="1:107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</row>
    <row r="2185" spans="1:107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</row>
    <row r="2186" spans="1:107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</row>
    <row r="2187" spans="1:10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</row>
    <row r="2188" spans="1:107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</row>
    <row r="2189" spans="1:107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</row>
    <row r="2190" spans="1:107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</row>
    <row r="2191" spans="1:107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</row>
    <row r="2192" spans="1:107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</row>
    <row r="2193" spans="1:107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</row>
    <row r="2194" spans="1:107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</row>
    <row r="2195" spans="1:107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</row>
    <row r="2196" spans="1:107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</row>
    <row r="2197" spans="1:10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</row>
    <row r="2198" spans="1:107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</row>
    <row r="2199" spans="1:10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</row>
    <row r="2200" spans="1:107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</row>
    <row r="2201" spans="1:107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</row>
    <row r="2202" spans="1:107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</row>
    <row r="2203" spans="1:107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</row>
    <row r="2204" spans="1:107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</row>
    <row r="2205" spans="1:107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</row>
    <row r="2206" spans="1:107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</row>
    <row r="2207" spans="1:1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</row>
    <row r="2208" spans="1:10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</row>
    <row r="2209" spans="1:107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</row>
    <row r="2210" spans="1:107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</row>
    <row r="2211" spans="1:107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</row>
    <row r="2212" spans="1:107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</row>
    <row r="2213" spans="1:10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</row>
    <row r="2214" spans="1:107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</row>
    <row r="2215" spans="1:107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</row>
    <row r="2216" spans="1:107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</row>
    <row r="2217" spans="1:10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</row>
    <row r="2218" spans="1:107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</row>
    <row r="2219" spans="1:107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</row>
    <row r="2220" spans="1:107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</row>
    <row r="2221" spans="1:107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</row>
    <row r="2222" spans="1:107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</row>
    <row r="2223" spans="1:107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</row>
    <row r="2224" spans="1:107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</row>
    <row r="2225" spans="1:107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</row>
    <row r="2226" spans="1:107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</row>
    <row r="2227" spans="1:10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</row>
    <row r="2228" spans="1:107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</row>
    <row r="2229" spans="1:107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</row>
    <row r="2230" spans="1:107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</row>
    <row r="2231" spans="1:107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</row>
    <row r="2232" spans="1:107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</row>
    <row r="2233" spans="1:107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</row>
    <row r="2234" spans="1:107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</row>
    <row r="2235" spans="1:107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</row>
    <row r="2236" spans="1:107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</row>
    <row r="2237" spans="1:10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</row>
    <row r="2238" spans="1:107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</row>
    <row r="2239" spans="1:107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</row>
    <row r="2240" spans="1:107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</row>
    <row r="2241" spans="1:107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</row>
    <row r="2242" spans="1:107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</row>
    <row r="2243" spans="1:107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</row>
    <row r="2244" spans="1:107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</row>
    <row r="2245" spans="1:107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</row>
    <row r="2246" spans="1:107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</row>
    <row r="2247" spans="1:10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</row>
    <row r="2248" spans="1:107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</row>
    <row r="2249" spans="1:107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</row>
    <row r="2250" spans="1:107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</row>
    <row r="2251" spans="1:107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</row>
    <row r="2252" spans="1:107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</row>
    <row r="2253" spans="1:107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</row>
    <row r="2254" spans="1:107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</row>
    <row r="2255" spans="1:107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</row>
    <row r="2256" spans="1:107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</row>
    <row r="2257" spans="1:10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</row>
    <row r="2258" spans="1:107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</row>
    <row r="2259" spans="1:107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</row>
    <row r="2260" spans="1:107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</row>
    <row r="2261" spans="1:107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</row>
    <row r="2262" spans="1:107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</row>
    <row r="2263" spans="1:107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</row>
    <row r="2264" spans="1:107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</row>
    <row r="2265" spans="1:107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</row>
    <row r="2266" spans="1:107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</row>
    <row r="2267" spans="1:10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</row>
    <row r="2268" spans="1:107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</row>
    <row r="2269" spans="1:107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</row>
    <row r="2270" spans="1:107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</row>
    <row r="2271" spans="1:107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</row>
    <row r="2272" spans="1:107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</row>
    <row r="2273" spans="1:107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</row>
    <row r="2274" spans="1:107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</row>
    <row r="2275" spans="1:107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</row>
    <row r="2276" spans="1:107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</row>
    <row r="2277" spans="1:10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</row>
    <row r="2278" spans="1:107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</row>
    <row r="2279" spans="1:107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</row>
    <row r="2280" spans="1:107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</row>
    <row r="2281" spans="1:107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</row>
    <row r="2282" spans="1:107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</row>
    <row r="2283" spans="1:107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</row>
    <row r="2284" spans="1:107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</row>
    <row r="2285" spans="1:107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</row>
    <row r="2286" spans="1:107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</row>
    <row r="2287" spans="1:10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</row>
    <row r="2288" spans="1:107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</row>
    <row r="2289" spans="1:107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</row>
    <row r="2290" spans="1:107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</row>
    <row r="2291" spans="1:107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</row>
    <row r="2292" spans="1:107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</row>
    <row r="2293" spans="1:107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</row>
    <row r="2294" spans="1:107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</row>
    <row r="2295" spans="1:107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</row>
    <row r="2296" spans="1:107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</row>
    <row r="2297" spans="1:10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</row>
    <row r="2298" spans="1:107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</row>
    <row r="2299" spans="1:107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</row>
    <row r="2300" spans="1:107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</row>
    <row r="2301" spans="1:107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</row>
    <row r="2302" spans="1:107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</row>
    <row r="2303" spans="1:107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</row>
    <row r="2304" spans="1:107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</row>
    <row r="2305" spans="1:107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</row>
    <row r="2306" spans="1:107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</row>
    <row r="2307" spans="1:1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</row>
    <row r="2308" spans="1:107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</row>
    <row r="2309" spans="1:107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</row>
    <row r="2310" spans="1:107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</row>
    <row r="2311" spans="1:107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</row>
    <row r="2312" spans="1:107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</row>
    <row r="2313" spans="1:107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</row>
    <row r="2314" spans="1:107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</row>
    <row r="2315" spans="1:107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</row>
    <row r="2316" spans="1:107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</row>
    <row r="2317" spans="1:10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</row>
    <row r="2318" spans="1:107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</row>
    <row r="2319" spans="1:107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</row>
    <row r="2320" spans="1:107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</row>
    <row r="2321" spans="1:107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</row>
    <row r="2322" spans="1:107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</row>
    <row r="2323" spans="1:107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</row>
    <row r="2324" spans="1:107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</row>
    <row r="2325" spans="1:107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</row>
    <row r="2326" spans="1:107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</row>
    <row r="2327" spans="1:10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</row>
    <row r="2328" spans="1:107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</row>
    <row r="2329" spans="1:107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</row>
    <row r="2330" spans="1:107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</row>
    <row r="2331" spans="1:107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</row>
    <row r="2332" spans="1:107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</row>
    <row r="2333" spans="1:107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</row>
    <row r="2334" spans="1:107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</row>
    <row r="2335" spans="1:107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</row>
    <row r="2336" spans="1:107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</row>
    <row r="2337" spans="1:10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</row>
    <row r="2338" spans="1:107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</row>
    <row r="2339" spans="1:107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</row>
    <row r="2340" spans="1:107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</row>
    <row r="2341" spans="1:107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</row>
    <row r="2342" spans="1:107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</row>
    <row r="2343" spans="1:107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</row>
    <row r="2344" spans="1:107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</row>
    <row r="2345" spans="1:107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</row>
    <row r="2346" spans="1:107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</row>
    <row r="2347" spans="1:10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</row>
    <row r="2348" spans="1:107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</row>
    <row r="2349" spans="1:107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</row>
    <row r="2350" spans="1:107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</row>
    <row r="2351" spans="1:107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</row>
    <row r="2352" spans="1:107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</row>
    <row r="2353" spans="1:107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</row>
    <row r="2354" spans="1:107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</row>
    <row r="2355" spans="1:107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</row>
    <row r="2356" spans="1:107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</row>
    <row r="2357" spans="1:10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</row>
    <row r="2358" spans="1:107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</row>
    <row r="2359" spans="1:107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</row>
    <row r="2360" spans="1:107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</row>
    <row r="2361" spans="1:107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</row>
    <row r="2362" spans="1:107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</row>
    <row r="2363" spans="1:107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</row>
    <row r="2364" spans="1:107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</row>
    <row r="2365" spans="1:107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</row>
    <row r="2366" spans="1:107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</row>
    <row r="2367" spans="1:10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</row>
    <row r="2368" spans="1:107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</row>
    <row r="2369" spans="1:107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</row>
    <row r="2370" spans="1:107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</row>
    <row r="2371" spans="1:107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</row>
    <row r="2372" spans="1:107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</row>
    <row r="2373" spans="1:107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</row>
    <row r="2374" spans="1:107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</row>
    <row r="2375" spans="1:107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</row>
    <row r="2376" spans="1:107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</row>
    <row r="2377" spans="1:10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</row>
    <row r="2378" spans="1:107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</row>
    <row r="2379" spans="1:107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</row>
    <row r="2380" spans="1:107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</row>
    <row r="2381" spans="1:107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</row>
    <row r="2382" spans="1:107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</row>
    <row r="2383" spans="1:107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</row>
    <row r="2384" spans="1:107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</row>
    <row r="2385" spans="1:107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</row>
    <row r="2386" spans="1:107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</row>
    <row r="2387" spans="1:10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</row>
    <row r="2388" spans="1:107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</row>
    <row r="2389" spans="1:107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</row>
    <row r="2390" spans="1:107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</row>
    <row r="2391" spans="1:107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</row>
    <row r="2392" spans="1:107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</row>
    <row r="2393" spans="1:107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</row>
    <row r="2394" spans="1:107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</row>
    <row r="2395" spans="1:107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</row>
    <row r="2396" spans="1:107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</row>
    <row r="2397" spans="1:10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</row>
    <row r="2398" spans="1:107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</row>
    <row r="2399" spans="1:107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</row>
    <row r="2400" spans="1:107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</row>
    <row r="2401" spans="1:107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</row>
    <row r="2402" spans="1:107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</row>
    <row r="2403" spans="1:107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</row>
    <row r="2404" spans="1:107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</row>
    <row r="2405" spans="1:107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</row>
    <row r="2406" spans="1:107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</row>
    <row r="2407" spans="1:1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</row>
    <row r="2408" spans="1:107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</row>
    <row r="2409" spans="1:107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</row>
    <row r="2410" spans="1:107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</row>
    <row r="2411" spans="1:107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</row>
    <row r="2412" spans="1:107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</row>
    <row r="2413" spans="1:107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</row>
    <row r="2414" spans="1:107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</row>
    <row r="2415" spans="1:107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</row>
    <row r="2416" spans="1:107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</row>
    <row r="2417" spans="1:10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</row>
    <row r="2418" spans="1:107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</row>
    <row r="2419" spans="1:107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</row>
    <row r="2420" spans="1:107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</row>
    <row r="2421" spans="1:107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</row>
    <row r="2422" spans="1:107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</row>
    <row r="2423" spans="1:107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</row>
    <row r="2424" spans="1:107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</row>
    <row r="2425" spans="1:107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</row>
    <row r="2426" spans="1:107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</row>
    <row r="2427" spans="1:10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</row>
    <row r="2428" spans="1:107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</row>
    <row r="2429" spans="1:107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</row>
    <row r="2430" spans="1:107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</row>
    <row r="2431" spans="1:107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</row>
    <row r="2432" spans="1:107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</row>
    <row r="2433" spans="1:107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</row>
    <row r="2434" spans="1:107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</row>
    <row r="2435" spans="1:107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</row>
    <row r="2436" spans="1:107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</row>
    <row r="2437" spans="1:10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</row>
    <row r="2438" spans="1:107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</row>
    <row r="2439" spans="1:107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</row>
    <row r="2440" spans="1:107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</row>
    <row r="2441" spans="1:107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</row>
    <row r="2442" spans="1:107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  <c r="DC2442" s="1"/>
    </row>
    <row r="2443" spans="1:107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</row>
    <row r="2444" spans="1:107" ht="15"/>
    <row r="2445" spans="1:107" ht="15"/>
    <row r="2446" spans="1:107" ht="15"/>
    <row r="2447" spans="1:107" ht="15"/>
    <row r="2448" spans="1:107" ht="15"/>
    <row r="2449" ht="15"/>
    <row r="2450" ht="15"/>
    <row r="2454" ht="15"/>
    <row r="2455" ht="15"/>
    <row r="2456" ht="15"/>
    <row r="2460" ht="15"/>
  </sheetData>
  <mergeCells count="12">
    <mergeCell ref="A97:M97"/>
    <mergeCell ref="A98:M98"/>
    <mergeCell ref="A50:M50"/>
    <mergeCell ref="A51:M51"/>
    <mergeCell ref="A52:M52"/>
    <mergeCell ref="A53:M53"/>
    <mergeCell ref="A95:M95"/>
    <mergeCell ref="A1:N1"/>
    <mergeCell ref="A2:N2"/>
    <mergeCell ref="A3:N3"/>
    <mergeCell ref="A4:N4"/>
    <mergeCell ref="A96:M96"/>
  </mergeCells>
  <pageMargins left="0.57999999999999996" right="0.5" top="0.37" bottom="0.33" header="0.3" footer="0.3"/>
  <pageSetup scale="78" orientation="landscape" r:id="rId1"/>
  <rowBreaks count="2" manualBreakCount="2">
    <brk id="48" max="16383" man="1"/>
    <brk id="9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77A6D35106D44AB98F176B8951452" ma:contentTypeVersion="6" ma:contentTypeDescription="Create a new document." ma:contentTypeScope="" ma:versionID="1aa1baf4e5bbd94cc1941707dce568fd">
  <xsd:schema xmlns:xsd="http://www.w3.org/2001/XMLSchema" xmlns:xs="http://www.w3.org/2001/XMLSchema" xmlns:p="http://schemas.microsoft.com/office/2006/metadata/properties" xmlns:ns3="be81bc5b-f67a-486f-9089-d5de9a01d01f" targetNamespace="http://schemas.microsoft.com/office/2006/metadata/properties" ma:root="true" ma:fieldsID="5c16504c5175c129ee9b66249064bb3d" ns3:_="">
    <xsd:import namespace="be81bc5b-f67a-486f-9089-d5de9a01d0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1bc5b-f67a-486f-9089-d5de9a01d0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81bc5b-f67a-486f-9089-d5de9a01d01f" xsi:nil="true"/>
  </documentManagement>
</p:properties>
</file>

<file path=customXml/itemProps1.xml><?xml version="1.0" encoding="utf-8"?>
<ds:datastoreItem xmlns:ds="http://schemas.openxmlformats.org/officeDocument/2006/customXml" ds:itemID="{827306CD-CDC1-4355-A199-F4BF0E528A05}"/>
</file>

<file path=customXml/itemProps2.xml><?xml version="1.0" encoding="utf-8"?>
<ds:datastoreItem xmlns:ds="http://schemas.openxmlformats.org/officeDocument/2006/customXml" ds:itemID="{67DE8C79-B1E8-409B-AF16-896EA155F787}"/>
</file>

<file path=customXml/itemProps3.xml><?xml version="1.0" encoding="utf-8"?>
<ds:datastoreItem xmlns:ds="http://schemas.openxmlformats.org/officeDocument/2006/customXml" ds:itemID="{01F8D0FF-3393-40ED-AEB7-53F798225B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A. Vitek</dc:creator>
  <cp:keywords/>
  <dc:description/>
  <cp:lastModifiedBy/>
  <cp:revision/>
  <dcterms:created xsi:type="dcterms:W3CDTF">2013-08-15T15:13:53Z</dcterms:created>
  <dcterms:modified xsi:type="dcterms:W3CDTF">2025-04-28T02:55:04Z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0x010100DC777A6D35106D44AB98F176B8951452</vt:lpwstr>
  </property>
</Properties>
</file>