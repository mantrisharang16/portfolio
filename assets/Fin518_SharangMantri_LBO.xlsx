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mantr\Downloads\UIUC\Sem 1\Fin 518\Assignment 2\"/>
    </mc:Choice>
  </mc:AlternateContent>
  <xr:revisionPtr revIDLastSave="0" documentId="13_ncr:1_{D8CE08E0-0789-4AA8-BBAC-7C73B9D48BBB}" xr6:coauthVersionLast="47" xr6:coauthVersionMax="47" xr10:uidLastSave="{00000000-0000-0000-0000-000000000000}"/>
  <bookViews>
    <workbookView xWindow="-108" yWindow="-108" windowWidth="23256" windowHeight="12456" activeTab="4" xr2:uid="{B1F2AE23-7BFE-4B62-89D5-F15FE2924BFC}"/>
  </bookViews>
  <sheets>
    <sheet name="Summary" sheetId="7" r:id="rId1"/>
    <sheet name="IncStmt" sheetId="8" r:id="rId2"/>
    <sheet name="BalSheet" sheetId="9" r:id="rId3"/>
    <sheet name="CFStmt" sheetId="10" r:id="rId4"/>
    <sheet name="RetAnalysis" sheetId="12" r:id="rId5"/>
    <sheet name="DebtSched" sheetId="11" r:id="rId6"/>
    <sheet name="Financing" sheetId="4" r:id="rId7"/>
    <sheet name="Assumptions1" sheetId="5" r:id="rId8"/>
    <sheet name="Assumptions2" sheetId="13" r:id="rId9"/>
    <sheet name="Grading" sheetId="15" r:id="rId10"/>
    <sheet name="Sheet1" sheetId="1" state="hidden" r:id="rId11"/>
  </sheets>
  <externalReferences>
    <externalReference r:id="rId12"/>
  </externalReferences>
  <definedNames>
    <definedName name="CashBalRepay">Summary!$R$17</definedName>
    <definedName name="CashSweep">Summary!$R$18</definedName>
    <definedName name="CIQWBGuid" localSheetId="9" hidden="1">"af5d6061-8fd6-4696-8f9f-7d364e836056"</definedName>
    <definedName name="CIQWBGuid" hidden="1">"4aba0387-fc63-448d-a6bc-a34615113cac"</definedName>
    <definedName name="Cost_of_Sales">'[1]Naming &amp; Data Tables'!$C$9</definedName>
    <definedName name="Current_Sales">'[1]Naming &amp; Data Tables'!$C$4</definedName>
    <definedName name="EntryMultiple">RetAnalysis!$E$6</definedName>
    <definedName name="FinStructure">Summary!$R$15</definedName>
    <definedName name="Forecast_Sales">'[1]Naming &amp; Data Tables'!$C$8</definedName>
    <definedName name="Gross_Margin">'[1]Naming &amp; Data Tables'!$C$6</definedName>
    <definedName name="Gross_Profit">'[1]Naming &amp; Data Tables'!$C$10</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localSheetId="9" hidden="1">44471.6540509259</definedName>
    <definedName name="IQ_NAMES_REVISION_DATE_" hidden="1">44973.9275231482</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OpScenario">Summary!$R$16</definedName>
    <definedName name="Sales_Growth_Rate">'[1]Naming &amp; Data Tables'!$C$5</definedName>
  </definedNames>
  <calcPr calcId="191029" iterate="1" iterateCount="500"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3" i="11" l="1"/>
  <c r="N13" i="4"/>
  <c r="R16" i="7"/>
  <c r="H31" i="12"/>
  <c r="I31" i="12"/>
  <c r="J31" i="12"/>
  <c r="K31" i="12"/>
  <c r="L31" i="12"/>
  <c r="M31" i="12"/>
  <c r="N31" i="12"/>
  <c r="O31" i="12"/>
  <c r="P31" i="12"/>
  <c r="I32" i="12"/>
  <c r="J32" i="12"/>
  <c r="K32" i="12"/>
  <c r="L32" i="12"/>
  <c r="M32" i="12"/>
  <c r="N32" i="12"/>
  <c r="O32" i="12"/>
  <c r="P32" i="12"/>
  <c r="H33" i="12"/>
  <c r="J33" i="12"/>
  <c r="K33" i="12"/>
  <c r="L33" i="12"/>
  <c r="M33" i="12"/>
  <c r="N33" i="12"/>
  <c r="O33" i="12"/>
  <c r="P33" i="12"/>
  <c r="G32" i="12"/>
  <c r="G33" i="12"/>
  <c r="H16" i="12"/>
  <c r="I16" i="12"/>
  <c r="J16" i="12"/>
  <c r="K16" i="12"/>
  <c r="L16" i="12"/>
  <c r="M16" i="12"/>
  <c r="N16" i="12"/>
  <c r="O16" i="12"/>
  <c r="P16" i="12"/>
  <c r="H17" i="12"/>
  <c r="I17" i="12"/>
  <c r="J17" i="12"/>
  <c r="K17" i="12"/>
  <c r="L17" i="12"/>
  <c r="M17" i="12"/>
  <c r="N17" i="12"/>
  <c r="O17" i="12"/>
  <c r="P17" i="12"/>
  <c r="H18" i="12"/>
  <c r="I18" i="12"/>
  <c r="J18" i="12"/>
  <c r="K18" i="12"/>
  <c r="L18" i="12"/>
  <c r="M18" i="12"/>
  <c r="N18" i="12"/>
  <c r="O18" i="12"/>
  <c r="P18" i="12"/>
  <c r="H19" i="12"/>
  <c r="I19" i="12"/>
  <c r="J19" i="12"/>
  <c r="K19" i="12"/>
  <c r="L19" i="12"/>
  <c r="M19" i="12"/>
  <c r="N19" i="12"/>
  <c r="O19" i="12"/>
  <c r="P19" i="12"/>
  <c r="G19" i="12"/>
  <c r="G18" i="12"/>
  <c r="G17" i="12"/>
  <c r="G16" i="12"/>
  <c r="G38" i="9"/>
  <c r="K35" i="8"/>
  <c r="L35" i="8"/>
  <c r="M35" i="8"/>
  <c r="N35" i="8"/>
  <c r="O35" i="8"/>
  <c r="P35" i="8"/>
  <c r="Q35" i="8"/>
  <c r="R35" i="8"/>
  <c r="S35" i="8"/>
  <c r="K29" i="8"/>
  <c r="L29" i="8"/>
  <c r="M29" i="8"/>
  <c r="N29" i="8"/>
  <c r="O29" i="8"/>
  <c r="P29" i="8"/>
  <c r="Q29" i="8"/>
  <c r="R29" i="8"/>
  <c r="S29" i="8"/>
  <c r="K30" i="8"/>
  <c r="L30" i="8"/>
  <c r="M30" i="8"/>
  <c r="N30" i="8"/>
  <c r="O30" i="8"/>
  <c r="P30" i="8"/>
  <c r="Q30" i="8"/>
  <c r="R30" i="8"/>
  <c r="S30" i="8"/>
  <c r="K31" i="8"/>
  <c r="L31" i="8"/>
  <c r="M31" i="8"/>
  <c r="N31" i="8"/>
  <c r="O31" i="8"/>
  <c r="P31" i="8"/>
  <c r="Q31" i="8"/>
  <c r="R31" i="8"/>
  <c r="S31" i="8"/>
  <c r="K33" i="8"/>
  <c r="L33" i="8"/>
  <c r="M33" i="8"/>
  <c r="N33" i="8"/>
  <c r="O33" i="8"/>
  <c r="P33" i="8"/>
  <c r="Q33" i="8"/>
  <c r="R33" i="8"/>
  <c r="S33" i="8"/>
  <c r="J35" i="8"/>
  <c r="J33" i="8"/>
  <c r="J31" i="8"/>
  <c r="J30" i="8"/>
  <c r="J29" i="8"/>
  <c r="G96" i="11" l="1"/>
  <c r="H96" i="11"/>
  <c r="I96" i="11"/>
  <c r="J96" i="11"/>
  <c r="K96" i="11"/>
  <c r="L96" i="11"/>
  <c r="M96" i="11"/>
  <c r="N96" i="11"/>
  <c r="O96" i="11"/>
  <c r="F96" i="11"/>
  <c r="G85" i="11"/>
  <c r="H85" i="11"/>
  <c r="I85" i="11"/>
  <c r="J85" i="11"/>
  <c r="K85" i="11"/>
  <c r="L85" i="11"/>
  <c r="M85" i="11"/>
  <c r="N85" i="11"/>
  <c r="O85" i="11"/>
  <c r="F85" i="11"/>
  <c r="G32" i="10"/>
  <c r="H32" i="10"/>
  <c r="I32" i="10"/>
  <c r="J32" i="10"/>
  <c r="K32" i="10"/>
  <c r="L32" i="10"/>
  <c r="M32" i="10"/>
  <c r="N32" i="10"/>
  <c r="O32" i="10"/>
  <c r="G33" i="10"/>
  <c r="H33" i="10"/>
  <c r="I33" i="10"/>
  <c r="J33" i="10"/>
  <c r="K33" i="10"/>
  <c r="L33" i="10"/>
  <c r="M33" i="10"/>
  <c r="N33" i="10"/>
  <c r="O33" i="10"/>
  <c r="G34" i="10"/>
  <c r="H34" i="10"/>
  <c r="I34" i="10"/>
  <c r="J34" i="10"/>
  <c r="K34" i="10"/>
  <c r="L34" i="10"/>
  <c r="M34" i="10"/>
  <c r="N34" i="10"/>
  <c r="O34" i="10"/>
  <c r="F34" i="10"/>
  <c r="F33" i="10"/>
  <c r="F32" i="10"/>
  <c r="F12" i="11" l="1"/>
  <c r="G59" i="11"/>
  <c r="H59" i="11"/>
  <c r="I59" i="11"/>
  <c r="J59" i="11"/>
  <c r="K59" i="11"/>
  <c r="L59" i="11"/>
  <c r="M59" i="11"/>
  <c r="N59" i="11"/>
  <c r="O59" i="11"/>
  <c r="G44" i="11"/>
  <c r="H44" i="11"/>
  <c r="I44" i="11"/>
  <c r="J44" i="11"/>
  <c r="K44" i="11"/>
  <c r="L44" i="11"/>
  <c r="M44" i="11"/>
  <c r="N44" i="11"/>
  <c r="O44" i="11"/>
  <c r="F44" i="11"/>
  <c r="F59" i="11"/>
  <c r="G93" i="11"/>
  <c r="H93" i="11"/>
  <c r="I93" i="11"/>
  <c r="J93" i="11"/>
  <c r="K93" i="11"/>
  <c r="L93" i="11"/>
  <c r="M93" i="11"/>
  <c r="N93" i="11"/>
  <c r="O93" i="11"/>
  <c r="F93" i="11"/>
  <c r="G82" i="11"/>
  <c r="H82" i="11"/>
  <c r="I82" i="11"/>
  <c r="J82" i="11"/>
  <c r="K82" i="11"/>
  <c r="L82" i="11"/>
  <c r="M82" i="11"/>
  <c r="N82" i="11"/>
  <c r="O82" i="11"/>
  <c r="F82" i="11"/>
  <c r="G70" i="11" l="1"/>
  <c r="H70" i="11"/>
  <c r="I70" i="11"/>
  <c r="F70" i="11"/>
  <c r="F55" i="11"/>
  <c r="F40" i="11"/>
  <c r="F54" i="11"/>
  <c r="F39" i="11"/>
  <c r="D9" i="7" a="1"/>
  <c r="D9" i="7" s="1"/>
  <c r="F24" i="9" s="1"/>
  <c r="H24" i="9" s="1"/>
  <c r="J30" i="9"/>
  <c r="K30" i="9"/>
  <c r="L30" i="9"/>
  <c r="M30" i="9"/>
  <c r="N30" i="9"/>
  <c r="O30" i="9"/>
  <c r="P30" i="9"/>
  <c r="Q30" i="9"/>
  <c r="R30" i="9"/>
  <c r="I30" i="9"/>
  <c r="J27" i="9"/>
  <c r="K27" i="9"/>
  <c r="L27" i="9"/>
  <c r="M27" i="9"/>
  <c r="N27" i="9"/>
  <c r="O27" i="9"/>
  <c r="P27" i="9"/>
  <c r="Q27" i="9"/>
  <c r="R27" i="9"/>
  <c r="I27" i="9"/>
  <c r="H25" i="9"/>
  <c r="H26" i="9"/>
  <c r="H27" i="9"/>
  <c r="H28" i="9"/>
  <c r="H29" i="9"/>
  <c r="H30" i="9"/>
  <c r="H31" i="9"/>
  <c r="F31" i="9"/>
  <c r="F29" i="9"/>
  <c r="F28" i="9"/>
  <c r="F26" i="9"/>
  <c r="F25" i="9"/>
  <c r="F16" i="9"/>
  <c r="G30" i="9"/>
  <c r="G27" i="9"/>
  <c r="G13" i="9"/>
  <c r="G6" i="9"/>
  <c r="K10" i="7" l="1" a="1"/>
  <c r="K10" i="7" s="1"/>
  <c r="K11" i="7" a="1"/>
  <c r="K11" i="7" s="1"/>
  <c r="K12" i="7" a="1"/>
  <c r="K12" i="7" s="1"/>
  <c r="K13" i="7" a="1"/>
  <c r="K13" i="7" s="1"/>
  <c r="K14" i="7" a="1"/>
  <c r="K14" i="7" s="1"/>
  <c r="D11" i="7" a="1"/>
  <c r="D11" i="7" s="1"/>
  <c r="D12" i="7" a="1"/>
  <c r="D12" i="7" s="1"/>
  <c r="D13" i="7" a="1"/>
  <c r="D13" i="7" s="1"/>
  <c r="D14" i="7" a="1"/>
  <c r="D14" i="7" s="1"/>
  <c r="D16" i="7" a="1"/>
  <c r="D16" i="7" s="1"/>
  <c r="D10" i="7" a="1"/>
  <c r="D10" i="7" s="1"/>
  <c r="M56" i="4" l="1"/>
  <c r="N56" i="4"/>
  <c r="M54" i="4"/>
  <c r="N54" i="4"/>
  <c r="H52" i="4"/>
  <c r="I52" i="4"/>
  <c r="J52" i="4"/>
  <c r="K52" i="4"/>
  <c r="L52" i="4"/>
  <c r="M52" i="4"/>
  <c r="N52" i="4"/>
  <c r="L51" i="4"/>
  <c r="M51" i="4"/>
  <c r="N51" i="4"/>
  <c r="K50" i="4"/>
  <c r="L50" i="4"/>
  <c r="M50" i="4"/>
  <c r="N50" i="4"/>
  <c r="L49" i="4"/>
  <c r="M49" i="4"/>
  <c r="N49" i="4"/>
  <c r="H26" i="7"/>
  <c r="I5" i="8"/>
  <c r="H5" i="8"/>
  <c r="I6" i="8"/>
  <c r="G4" i="13" l="1"/>
  <c r="H4" i="13" s="1"/>
  <c r="I4" i="13" s="1"/>
  <c r="J4" i="13" s="1"/>
  <c r="K4" i="13" s="1"/>
  <c r="L4" i="13" s="1"/>
  <c r="M4" i="13" s="1"/>
  <c r="N4" i="13"/>
  <c r="O4" i="13"/>
  <c r="K9" i="13"/>
  <c r="L9" i="13"/>
  <c r="M9" i="13" s="1"/>
  <c r="N9" i="13" s="1"/>
  <c r="O9" i="13" s="1"/>
  <c r="E10" i="13"/>
  <c r="E11" i="13" s="1"/>
  <c r="E12" i="13" s="1"/>
  <c r="K10" i="13"/>
  <c r="L10" i="13"/>
  <c r="M10" i="13"/>
  <c r="N10" i="13" s="1"/>
  <c r="O10" i="13" s="1"/>
  <c r="K11" i="13"/>
  <c r="L11" i="13" s="1"/>
  <c r="M11" i="13" s="1"/>
  <c r="N11" i="13" s="1"/>
  <c r="O11" i="13"/>
  <c r="K12" i="13"/>
  <c r="L12" i="13"/>
  <c r="M12" i="13"/>
  <c r="N12" i="13" s="1"/>
  <c r="O12" i="13" s="1"/>
  <c r="K15" i="13"/>
  <c r="L15" i="13"/>
  <c r="M15" i="13"/>
  <c r="N15" i="13"/>
  <c r="O15" i="13" s="1"/>
  <c r="E16" i="13"/>
  <c r="K16" i="13"/>
  <c r="L16" i="13" s="1"/>
  <c r="M16" i="13" s="1"/>
  <c r="N16" i="13" s="1"/>
  <c r="O16" i="13" s="1"/>
  <c r="E17" i="13"/>
  <c r="E18" i="13" s="1"/>
  <c r="K17" i="13"/>
  <c r="L17" i="13"/>
  <c r="M17" i="13" s="1"/>
  <c r="N17" i="13" s="1"/>
  <c r="O17" i="13" s="1"/>
  <c r="K18" i="13"/>
  <c r="L18" i="13" s="1"/>
  <c r="M18" i="13" s="1"/>
  <c r="N18" i="13"/>
  <c r="O18" i="13" s="1"/>
  <c r="K21" i="13"/>
  <c r="L21" i="13" s="1"/>
  <c r="M21" i="13" s="1"/>
  <c r="N21" i="13" s="1"/>
  <c r="O21" i="13"/>
  <c r="E22" i="13"/>
  <c r="E23" i="13" s="1"/>
  <c r="E24" i="13" s="1"/>
  <c r="K22" i="13"/>
  <c r="L22" i="13" s="1"/>
  <c r="M22" i="13" s="1"/>
  <c r="N22" i="13" s="1"/>
  <c r="O22" i="13" s="1"/>
  <c r="K23" i="13"/>
  <c r="L23" i="13"/>
  <c r="M23" i="13"/>
  <c r="N23" i="13" s="1"/>
  <c r="O23" i="13" s="1"/>
  <c r="K24" i="13"/>
  <c r="L24" i="13" s="1"/>
  <c r="M24" i="13" s="1"/>
  <c r="N24" i="13" s="1"/>
  <c r="O24" i="13" s="1"/>
  <c r="K28" i="13"/>
  <c r="L28" i="13" s="1"/>
  <c r="M28" i="13"/>
  <c r="N28" i="13" s="1"/>
  <c r="O28" i="13" s="1"/>
  <c r="E29" i="13"/>
  <c r="K29" i="13"/>
  <c r="L29" i="13"/>
  <c r="M29" i="13"/>
  <c r="N29" i="13" s="1"/>
  <c r="O29" i="13" s="1"/>
  <c r="E30" i="13"/>
  <c r="E31" i="13" s="1"/>
  <c r="K30" i="13"/>
  <c r="L30" i="13" s="1"/>
  <c r="M30" i="13" s="1"/>
  <c r="N30" i="13" s="1"/>
  <c r="O30" i="13" s="1"/>
  <c r="K31" i="13"/>
  <c r="L31" i="13"/>
  <c r="M31" i="13"/>
  <c r="N31" i="13" s="1"/>
  <c r="O31" i="13" s="1"/>
  <c r="K34" i="13"/>
  <c r="L34" i="13" s="1"/>
  <c r="M34" i="13" s="1"/>
  <c r="N34" i="13" s="1"/>
  <c r="O34" i="13" s="1"/>
  <c r="E35" i="13"/>
  <c r="K35" i="13"/>
  <c r="L35" i="13" s="1"/>
  <c r="M35" i="13" s="1"/>
  <c r="N35" i="13" s="1"/>
  <c r="O35" i="13" s="1"/>
  <c r="E36" i="13"/>
  <c r="E37" i="13" s="1"/>
  <c r="K36" i="13"/>
  <c r="L36" i="13" s="1"/>
  <c r="M36" i="13" s="1"/>
  <c r="N36" i="13" s="1"/>
  <c r="O36" i="13" s="1"/>
  <c r="K37" i="13"/>
  <c r="L37" i="13" s="1"/>
  <c r="M37" i="13" s="1"/>
  <c r="N37" i="13" s="1"/>
  <c r="O37" i="13" s="1"/>
  <c r="K40" i="13"/>
  <c r="L40" i="13"/>
  <c r="M40" i="13" s="1"/>
  <c r="N40" i="13" s="1"/>
  <c r="O40" i="13" s="1"/>
  <c r="E41" i="13"/>
  <c r="E42" i="13" s="1"/>
  <c r="K41" i="13"/>
  <c r="L41" i="13" s="1"/>
  <c r="M41" i="13" s="1"/>
  <c r="N41" i="13" s="1"/>
  <c r="O41" i="13" s="1"/>
  <c r="K42" i="13"/>
  <c r="L42" i="13"/>
  <c r="M42" i="13" s="1"/>
  <c r="N42" i="13" s="1"/>
  <c r="O42" i="13" s="1"/>
  <c r="E43" i="13"/>
  <c r="K43" i="13"/>
  <c r="L43" i="13" s="1"/>
  <c r="M43" i="13" s="1"/>
  <c r="N43" i="13" s="1"/>
  <c r="O43" i="13" s="1"/>
  <c r="G4" i="5"/>
  <c r="H4" i="5"/>
  <c r="I4" i="5" s="1"/>
  <c r="J4" i="5" s="1"/>
  <c r="K4" i="5" s="1"/>
  <c r="L4" i="5" s="1"/>
  <c r="M4" i="5"/>
  <c r="N4" i="5"/>
  <c r="O4" i="5" s="1"/>
  <c r="K9" i="5"/>
  <c r="L9" i="5"/>
  <c r="M9" i="5" s="1"/>
  <c r="N9" i="5" s="1"/>
  <c r="O9" i="5" s="1"/>
  <c r="E10" i="5"/>
  <c r="E11" i="5" s="1"/>
  <c r="E12" i="5" s="1"/>
  <c r="K10" i="5"/>
  <c r="L10" i="5"/>
  <c r="M10" i="5"/>
  <c r="N10" i="5" s="1"/>
  <c r="O10" i="5" s="1"/>
  <c r="K11" i="5"/>
  <c r="L11" i="5" s="1"/>
  <c r="M11" i="5" s="1"/>
  <c r="N11" i="5" s="1"/>
  <c r="O11" i="5"/>
  <c r="F12" i="5"/>
  <c r="G12" i="5"/>
  <c r="H12" i="5"/>
  <c r="I12" i="5"/>
  <c r="J12" i="5"/>
  <c r="K12" i="5"/>
  <c r="L12" i="5" s="1"/>
  <c r="M12" i="5" s="1"/>
  <c r="N12" i="5" s="1"/>
  <c r="O12" i="5" s="1"/>
  <c r="K15" i="5"/>
  <c r="L15" i="5"/>
  <c r="M15" i="5" s="1"/>
  <c r="N15" i="5" s="1"/>
  <c r="O15" i="5" s="1"/>
  <c r="E16" i="5"/>
  <c r="E17" i="5" s="1"/>
  <c r="K16" i="5"/>
  <c r="L16" i="5"/>
  <c r="M16" i="5"/>
  <c r="N16" i="5" s="1"/>
  <c r="O16" i="5" s="1"/>
  <c r="K17" i="5"/>
  <c r="L17" i="5" s="1"/>
  <c r="M17" i="5" s="1"/>
  <c r="N17" i="5" s="1"/>
  <c r="O17" i="5"/>
  <c r="E18" i="5"/>
  <c r="K18" i="5"/>
  <c r="L18" i="5"/>
  <c r="M18" i="5"/>
  <c r="N18" i="5" s="1"/>
  <c r="O18" i="5" s="1"/>
  <c r="K21" i="5"/>
  <c r="L21" i="5"/>
  <c r="M21" i="5"/>
  <c r="N21" i="5" s="1"/>
  <c r="O21" i="5" s="1"/>
  <c r="E22" i="5"/>
  <c r="E23" i="5" s="1"/>
  <c r="E24" i="5" s="1"/>
  <c r="K22" i="5"/>
  <c r="L22" i="5" s="1"/>
  <c r="M22" i="5" s="1"/>
  <c r="N22" i="5" s="1"/>
  <c r="O22" i="5" s="1"/>
  <c r="K23" i="5"/>
  <c r="L23" i="5"/>
  <c r="M23" i="5" s="1"/>
  <c r="N23" i="5" s="1"/>
  <c r="O23" i="5" s="1"/>
  <c r="K24" i="5"/>
  <c r="L24" i="5" s="1"/>
  <c r="M24" i="5" s="1"/>
  <c r="N24" i="5" s="1"/>
  <c r="O24" i="5" s="1"/>
  <c r="K27" i="5"/>
  <c r="L27" i="5" s="1"/>
  <c r="M27" i="5" s="1"/>
  <c r="N27" i="5" s="1"/>
  <c r="O27" i="5" s="1"/>
  <c r="E28" i="5"/>
  <c r="K28" i="5"/>
  <c r="L28" i="5" s="1"/>
  <c r="M28" i="5" s="1"/>
  <c r="N28" i="5" s="1"/>
  <c r="O28" i="5" s="1"/>
  <c r="E29" i="5"/>
  <c r="E30" i="5" s="1"/>
  <c r="K29" i="5"/>
  <c r="L29" i="5"/>
  <c r="M29" i="5"/>
  <c r="N29" i="5" s="1"/>
  <c r="O29" i="5" s="1"/>
  <c r="K30" i="5"/>
  <c r="L30" i="5" s="1"/>
  <c r="M30" i="5" s="1"/>
  <c r="N30" i="5" s="1"/>
  <c r="O30" i="5" s="1"/>
  <c r="K33" i="5"/>
  <c r="L33" i="5" s="1"/>
  <c r="M33" i="5"/>
  <c r="N33" i="5" s="1"/>
  <c r="O33" i="5" s="1"/>
  <c r="E34" i="5"/>
  <c r="K34" i="5"/>
  <c r="L34" i="5"/>
  <c r="M34" i="5"/>
  <c r="N34" i="5" s="1"/>
  <c r="O34" i="5" s="1"/>
  <c r="E35" i="5"/>
  <c r="E36" i="5" s="1"/>
  <c r="K35" i="5"/>
  <c r="L35" i="5" s="1"/>
  <c r="M35" i="5" s="1"/>
  <c r="N35" i="5" s="1"/>
  <c r="O35" i="5" s="1"/>
  <c r="K36" i="5"/>
  <c r="L36" i="5"/>
  <c r="M36" i="5"/>
  <c r="N36" i="5" s="1"/>
  <c r="O36" i="5" s="1"/>
  <c r="K39" i="5"/>
  <c r="L39" i="5"/>
  <c r="M39" i="5"/>
  <c r="N39" i="5" s="1"/>
  <c r="O39" i="5" s="1"/>
  <c r="E40" i="5"/>
  <c r="K40" i="5"/>
  <c r="L40" i="5"/>
  <c r="M40" i="5"/>
  <c r="N40" i="5" s="1"/>
  <c r="O40" i="5" s="1"/>
  <c r="E41" i="5"/>
  <c r="E42" i="5" s="1"/>
  <c r="K41" i="5"/>
  <c r="L41" i="5"/>
  <c r="M41" i="5" s="1"/>
  <c r="N41" i="5" s="1"/>
  <c r="O41" i="5" s="1"/>
  <c r="K42" i="5"/>
  <c r="L42" i="5"/>
  <c r="M42" i="5"/>
  <c r="N42" i="5" s="1"/>
  <c r="O42" i="5" s="1"/>
  <c r="K46" i="5"/>
  <c r="L46" i="5"/>
  <c r="M46" i="5" s="1"/>
  <c r="N46" i="5" s="1"/>
  <c r="O46" i="5" s="1"/>
  <c r="E47" i="5"/>
  <c r="E48" i="5" s="1"/>
  <c r="E49" i="5" s="1"/>
  <c r="K47" i="5"/>
  <c r="L47" i="5" s="1"/>
  <c r="M47" i="5" s="1"/>
  <c r="N47" i="5" s="1"/>
  <c r="O47" i="5" s="1"/>
  <c r="K48" i="5"/>
  <c r="L48" i="5" s="1"/>
  <c r="M48" i="5" s="1"/>
  <c r="N48" i="5" s="1"/>
  <c r="O48" i="5" s="1"/>
  <c r="K49" i="5"/>
  <c r="L49" i="5" s="1"/>
  <c r="M49" i="5" s="1"/>
  <c r="N49" i="5" s="1"/>
  <c r="O49" i="5" s="1"/>
  <c r="B1" i="4"/>
  <c r="E6" i="4"/>
  <c r="F6" i="4" s="1"/>
  <c r="N6" i="4"/>
  <c r="D7" i="4"/>
  <c r="E7" i="4"/>
  <c r="N19" i="4"/>
  <c r="N10" i="4" s="1"/>
  <c r="N20" i="4"/>
  <c r="D24" i="4" s="1"/>
  <c r="E24" i="4" s="1"/>
  <c r="F24" i="4" s="1"/>
  <c r="G24" i="4" s="1"/>
  <c r="N12" i="4"/>
  <c r="F35" i="4" a="1"/>
  <c r="F35" i="4" s="1"/>
  <c r="H35" i="4" s="1"/>
  <c r="F36" i="4" a="1"/>
  <c r="F36" i="4" s="1"/>
  <c r="H36" i="4" s="1"/>
  <c r="F37" i="4" a="1"/>
  <c r="F37" i="4" s="1"/>
  <c r="H37" i="4" s="1"/>
  <c r="F38" i="4" a="1"/>
  <c r="F38" i="4" s="1"/>
  <c r="H38" i="4" s="1"/>
  <c r="F39" i="4" a="1"/>
  <c r="F39" i="4" s="1"/>
  <c r="F40" i="4" a="1"/>
  <c r="F40" i="4" s="1"/>
  <c r="H40" i="4" s="1"/>
  <c r="D16" i="4"/>
  <c r="E25" i="4"/>
  <c r="F25" i="4" s="1"/>
  <c r="G25" i="4" s="1"/>
  <c r="E27" i="4"/>
  <c r="F27" i="4" s="1"/>
  <c r="G27" i="4" s="1"/>
  <c r="E16" i="4"/>
  <c r="F16" i="4"/>
  <c r="G16" i="4"/>
  <c r="H15" i="4"/>
  <c r="H17" i="4" s="1"/>
  <c r="H29" i="4"/>
  <c r="B36" i="4"/>
  <c r="B37" i="4"/>
  <c r="B51" i="4" s="1"/>
  <c r="B38" i="4"/>
  <c r="B52" i="4" s="1"/>
  <c r="B39" i="4"/>
  <c r="B40" i="4"/>
  <c r="F47" i="4"/>
  <c r="G47" i="4" s="1"/>
  <c r="B49" i="4"/>
  <c r="D49" i="4"/>
  <c r="B50" i="4"/>
  <c r="D50" i="4"/>
  <c r="D51" i="4"/>
  <c r="D52" i="4"/>
  <c r="B53" i="4"/>
  <c r="D53" i="4"/>
  <c r="B54" i="4"/>
  <c r="D54" i="4"/>
  <c r="D56" i="4" s="1"/>
  <c r="B55" i="4"/>
  <c r="B56" i="4"/>
  <c r="B57" i="4"/>
  <c r="B1" i="12"/>
  <c r="F4" i="12"/>
  <c r="H4" i="12"/>
  <c r="I4" i="12" s="1"/>
  <c r="G28" i="12"/>
  <c r="E32" i="12"/>
  <c r="E33" i="12" s="1"/>
  <c r="E34" i="12" s="1"/>
  <c r="K44" i="12"/>
  <c r="E46" i="12"/>
  <c r="D46" i="12" s="1"/>
  <c r="G46" i="12"/>
  <c r="H46" i="12" s="1"/>
  <c r="C49" i="12"/>
  <c r="C48" i="12" s="1"/>
  <c r="C47" i="12" s="1"/>
  <c r="K49" i="12"/>
  <c r="K48" i="12" s="1"/>
  <c r="C51" i="12"/>
  <c r="C52" i="12" s="1"/>
  <c r="K51" i="12"/>
  <c r="K52" i="12" s="1"/>
  <c r="C56" i="12"/>
  <c r="B1" i="11"/>
  <c r="E4" i="11"/>
  <c r="G4" i="11"/>
  <c r="H4" i="11"/>
  <c r="I4" i="11" s="1"/>
  <c r="J4" i="11"/>
  <c r="K4" i="11" s="1"/>
  <c r="F52" i="11"/>
  <c r="G52" i="11" s="1"/>
  <c r="K37" i="11"/>
  <c r="E17" i="11" a="1"/>
  <c r="E17" i="11" s="1"/>
  <c r="F27" i="11"/>
  <c r="G27" i="11"/>
  <c r="H27" i="11"/>
  <c r="I27" i="11"/>
  <c r="J27" i="11"/>
  <c r="K27" i="11"/>
  <c r="L27" i="11"/>
  <c r="M27" i="11"/>
  <c r="N27" i="11"/>
  <c r="O27" i="11"/>
  <c r="B33" i="11"/>
  <c r="B48" i="11"/>
  <c r="B63" i="11"/>
  <c r="F73" i="11"/>
  <c r="G73" i="11"/>
  <c r="H73" i="11"/>
  <c r="I73" i="11"/>
  <c r="J73" i="11"/>
  <c r="K73" i="11"/>
  <c r="L73" i="11"/>
  <c r="M73" i="11"/>
  <c r="N73" i="11"/>
  <c r="O73" i="11"/>
  <c r="B77" i="11"/>
  <c r="B88" i="11"/>
  <c r="B1" i="10"/>
  <c r="G4" i="10"/>
  <c r="H4" i="10" s="1"/>
  <c r="I4" i="10"/>
  <c r="J4" i="10" s="1"/>
  <c r="K4" i="10" s="1"/>
  <c r="L4" i="10" s="1"/>
  <c r="M4" i="10" s="1"/>
  <c r="N4" i="10" s="1"/>
  <c r="O4" i="10" s="1"/>
  <c r="B1" i="9"/>
  <c r="J4" i="9"/>
  <c r="K4" i="9" s="1"/>
  <c r="L4" i="9" s="1"/>
  <c r="M4" i="9" s="1"/>
  <c r="N4" i="9"/>
  <c r="O4" i="9" s="1"/>
  <c r="P4" i="9" s="1"/>
  <c r="Q4" i="9" s="1"/>
  <c r="R4" i="9" s="1"/>
  <c r="H7" i="9"/>
  <c r="H8" i="9"/>
  <c r="H9" i="9"/>
  <c r="E10" i="9"/>
  <c r="H12" i="9"/>
  <c r="H14" i="9"/>
  <c r="H15" i="9"/>
  <c r="I15" i="9"/>
  <c r="J15" i="9" s="1"/>
  <c r="K15" i="9" s="1"/>
  <c r="L15" i="9" s="1"/>
  <c r="M15" i="9" s="1"/>
  <c r="N15" i="9" s="1"/>
  <c r="O15" i="9" s="1"/>
  <c r="P15" i="9" s="1"/>
  <c r="Q15" i="9" s="1"/>
  <c r="R15" i="9" s="1"/>
  <c r="E17" i="9"/>
  <c r="H19" i="9"/>
  <c r="H22" i="9" s="1"/>
  <c r="H20" i="9"/>
  <c r="H21" i="9"/>
  <c r="E22" i="9"/>
  <c r="B24" i="9"/>
  <c r="B25" i="9"/>
  <c r="B26" i="9"/>
  <c r="B28" i="9"/>
  <c r="B29" i="9"/>
  <c r="B31" i="9"/>
  <c r="H32" i="9"/>
  <c r="I32" i="9" s="1"/>
  <c r="J32" i="9"/>
  <c r="H33" i="9"/>
  <c r="I33" i="9" s="1"/>
  <c r="J33" i="9" s="1"/>
  <c r="K33" i="9" s="1"/>
  <c r="L33" i="9" s="1"/>
  <c r="M33" i="9" s="1"/>
  <c r="N33" i="9" s="1"/>
  <c r="O33" i="9" s="1"/>
  <c r="P33" i="9" s="1"/>
  <c r="Q33" i="9" s="1"/>
  <c r="R33" i="9" s="1"/>
  <c r="H34" i="9"/>
  <c r="I34" i="9" s="1"/>
  <c r="J34" i="9" s="1"/>
  <c r="K34" i="9" s="1"/>
  <c r="L34" i="9" s="1"/>
  <c r="M34" i="9" s="1"/>
  <c r="N34" i="9" s="1"/>
  <c r="O34" i="9" s="1"/>
  <c r="P34" i="9" s="1"/>
  <c r="Q34" i="9" s="1"/>
  <c r="R34" i="9" s="1"/>
  <c r="E35" i="9"/>
  <c r="H37" i="9"/>
  <c r="I37" i="9" s="1"/>
  <c r="J37" i="9" s="1"/>
  <c r="E39" i="9"/>
  <c r="E41" i="9"/>
  <c r="E43" i="9"/>
  <c r="E45" i="9"/>
  <c r="B1" i="8"/>
  <c r="K4" i="8"/>
  <c r="L4" i="8" s="1"/>
  <c r="M4" i="8" s="1"/>
  <c r="N4" i="8" s="1"/>
  <c r="O4" i="8" s="1"/>
  <c r="P4" i="8" s="1"/>
  <c r="G5" i="8"/>
  <c r="F5" i="8" s="1"/>
  <c r="E5" i="8" s="1"/>
  <c r="E50" i="9"/>
  <c r="F7" i="8"/>
  <c r="G7" i="8"/>
  <c r="I9" i="8"/>
  <c r="E51" i="9" s="1"/>
  <c r="E10" i="8"/>
  <c r="F10" i="8"/>
  <c r="F11" i="8" s="1"/>
  <c r="E31" i="7" s="1"/>
  <c r="G10" i="8"/>
  <c r="G11" i="8" s="1"/>
  <c r="H10" i="8"/>
  <c r="H11" i="8" s="1"/>
  <c r="E11" i="8"/>
  <c r="I13" i="8"/>
  <c r="E14" i="8"/>
  <c r="F14" i="8"/>
  <c r="G14" i="8"/>
  <c r="H14" i="8"/>
  <c r="I16" i="8"/>
  <c r="E17" i="8"/>
  <c r="E18" i="8" s="1"/>
  <c r="I20" i="8"/>
  <c r="I50" i="8" s="1"/>
  <c r="I21" i="8"/>
  <c r="J52" i="8"/>
  <c r="K52" i="8"/>
  <c r="L52" i="8"/>
  <c r="M52" i="8"/>
  <c r="J53" i="8"/>
  <c r="K53" i="8" s="1"/>
  <c r="L53" i="8" s="1"/>
  <c r="M53" i="8" s="1"/>
  <c r="N53" i="8" s="1"/>
  <c r="O53" i="8" s="1"/>
  <c r="P53" i="8" s="1"/>
  <c r="Q53" i="8" s="1"/>
  <c r="R53" i="8" s="1"/>
  <c r="S53" i="8" s="1"/>
  <c r="F46" i="8"/>
  <c r="G46" i="8"/>
  <c r="H46" i="8"/>
  <c r="E47" i="8"/>
  <c r="F47" i="8"/>
  <c r="G47" i="8"/>
  <c r="H47" i="8"/>
  <c r="E48" i="8"/>
  <c r="F48" i="8"/>
  <c r="G48" i="8"/>
  <c r="H48" i="8"/>
  <c r="E49" i="8"/>
  <c r="F49" i="8"/>
  <c r="G49" i="8"/>
  <c r="H49" i="8"/>
  <c r="E50" i="8"/>
  <c r="F50" i="8"/>
  <c r="G50" i="8"/>
  <c r="H50" i="8"/>
  <c r="E51" i="8"/>
  <c r="F51" i="8"/>
  <c r="G51" i="8"/>
  <c r="H51" i="8"/>
  <c r="J7" i="4"/>
  <c r="O8" i="7"/>
  <c r="R8" i="7"/>
  <c r="H9" i="7"/>
  <c r="O9" i="7"/>
  <c r="R9" i="7"/>
  <c r="H10" i="7"/>
  <c r="O10" i="7"/>
  <c r="H11" i="7"/>
  <c r="O11" i="7"/>
  <c r="H12" i="7"/>
  <c r="H13" i="7"/>
  <c r="H14" i="7"/>
  <c r="G27" i="7"/>
  <c r="G37" i="7" s="1"/>
  <c r="N16" i="7"/>
  <c r="J25" i="7"/>
  <c r="K25" i="7" s="1"/>
  <c r="L25" i="7" s="1"/>
  <c r="M25" i="7" s="1"/>
  <c r="N25" i="7" s="1"/>
  <c r="O25" i="7" s="1"/>
  <c r="P25" i="7" s="1"/>
  <c r="Q25" i="7" s="1"/>
  <c r="R25" i="7" s="1"/>
  <c r="D27" i="7"/>
  <c r="E27" i="7"/>
  <c r="F27" i="7"/>
  <c r="D28" i="7"/>
  <c r="E28" i="7"/>
  <c r="F28" i="7"/>
  <c r="G28" i="7"/>
  <c r="D30" i="7"/>
  <c r="F30" i="7"/>
  <c r="G30" i="7"/>
  <c r="D31" i="7"/>
  <c r="F31" i="7"/>
  <c r="G31" i="7"/>
  <c r="D33" i="7"/>
  <c r="D34" i="7"/>
  <c r="D37" i="7"/>
  <c r="E37" i="7"/>
  <c r="F37" i="7"/>
  <c r="E35" i="12" l="1"/>
  <c r="H34" i="12"/>
  <c r="I34" i="12"/>
  <c r="K34" i="12"/>
  <c r="M34" i="12"/>
  <c r="N34" i="12"/>
  <c r="L34" i="12"/>
  <c r="O34" i="12"/>
  <c r="P34" i="12"/>
  <c r="G34" i="12"/>
  <c r="E50" i="4"/>
  <c r="G50" i="4"/>
  <c r="H50" i="4"/>
  <c r="I50" i="4"/>
  <c r="J50" i="4"/>
  <c r="F50" i="4"/>
  <c r="J49" i="4"/>
  <c r="K49" i="4"/>
  <c r="F49" i="4"/>
  <c r="E49" i="4"/>
  <c r="H49" i="4"/>
  <c r="G49" i="4"/>
  <c r="I49" i="4"/>
  <c r="F42" i="4"/>
  <c r="H42" i="4" s="1"/>
  <c r="E52" i="4"/>
  <c r="F52" i="4"/>
  <c r="G52" i="4"/>
  <c r="G54" i="4"/>
  <c r="E54" i="4"/>
  <c r="H54" i="4"/>
  <c r="L54" i="4"/>
  <c r="I54" i="4"/>
  <c r="J54" i="4"/>
  <c r="K54" i="4"/>
  <c r="F54" i="4"/>
  <c r="I51" i="4"/>
  <c r="E51" i="4"/>
  <c r="G51" i="4"/>
  <c r="F51" i="4"/>
  <c r="H51" i="4"/>
  <c r="J51" i="4"/>
  <c r="K51" i="4"/>
  <c r="I28" i="12"/>
  <c r="J4" i="12"/>
  <c r="J28" i="12" s="1"/>
  <c r="H28" i="12"/>
  <c r="L5" i="8"/>
  <c r="I47" i="8"/>
  <c r="I10" i="8"/>
  <c r="H30" i="7" s="1"/>
  <c r="H27" i="7"/>
  <c r="I49" i="8"/>
  <c r="H57" i="9"/>
  <c r="E57" i="9"/>
  <c r="I14" i="8"/>
  <c r="I51" i="8"/>
  <c r="H56" i="9"/>
  <c r="I7" i="8"/>
  <c r="E56" i="9"/>
  <c r="I48" i="8"/>
  <c r="E52" i="9"/>
  <c r="E48" i="11"/>
  <c r="Q4" i="8"/>
  <c r="R4" i="8" s="1"/>
  <c r="P5" i="8"/>
  <c r="E33" i="11"/>
  <c r="E88" i="11"/>
  <c r="F92" i="11"/>
  <c r="E77" i="11"/>
  <c r="F81" i="11"/>
  <c r="E63" i="11"/>
  <c r="F8" i="7"/>
  <c r="I11" i="8"/>
  <c r="H31" i="7" s="1"/>
  <c r="I17" i="8"/>
  <c r="H45" i="9"/>
  <c r="H51" i="9"/>
  <c r="M8" i="13" a="1"/>
  <c r="M8" i="13" s="1"/>
  <c r="P50" i="9" s="1"/>
  <c r="J27" i="13" a="1"/>
  <c r="J27" i="13" s="1"/>
  <c r="M55" i="9" s="1"/>
  <c r="N27" i="13" a="1"/>
  <c r="N27" i="13" s="1"/>
  <c r="Q55" i="9" s="1"/>
  <c r="I39" i="13" a="1"/>
  <c r="I39" i="13" s="1"/>
  <c r="L57" i="9" s="1"/>
  <c r="M8" i="5" a="1"/>
  <c r="M8" i="5" s="1"/>
  <c r="Q46" i="8" s="1"/>
  <c r="M14" i="5" a="1"/>
  <c r="M14" i="5" s="1"/>
  <c r="Q47" i="8" s="1"/>
  <c r="J32" i="5" a="1"/>
  <c r="J32" i="5" s="1"/>
  <c r="N50" i="8" s="1"/>
  <c r="N32" i="5" a="1"/>
  <c r="N32" i="5" s="1"/>
  <c r="R50" i="8" s="1"/>
  <c r="I45" i="5" a="1"/>
  <c r="I45" i="5" s="1"/>
  <c r="I48" i="10" s="1"/>
  <c r="I8" i="13" a="1"/>
  <c r="I8" i="13" s="1"/>
  <c r="L50" i="9" s="1"/>
  <c r="K14" i="13" a="1"/>
  <c r="K14" i="13" s="1"/>
  <c r="N51" i="9" s="1"/>
  <c r="O14" i="13" a="1"/>
  <c r="O14" i="13" s="1"/>
  <c r="R51" i="9" s="1"/>
  <c r="H20" i="13" a="1"/>
  <c r="H20" i="13" s="1"/>
  <c r="K52" i="9" s="1"/>
  <c r="G33" i="13" a="1"/>
  <c r="G33" i="13" s="1"/>
  <c r="J56" i="9" s="1"/>
  <c r="L33" i="13" a="1"/>
  <c r="L33" i="13" s="1"/>
  <c r="O56" i="9" s="1"/>
  <c r="I8" i="5" a="1"/>
  <c r="I8" i="5" s="1"/>
  <c r="M46" i="8" s="1"/>
  <c r="I14" i="5" a="1"/>
  <c r="I14" i="5" s="1"/>
  <c r="M47" i="8" s="1"/>
  <c r="K20" i="5" a="1"/>
  <c r="K20" i="5" s="1"/>
  <c r="O48" i="8" s="1"/>
  <c r="O20" i="5" a="1"/>
  <c r="O20" i="5" s="1"/>
  <c r="S48" i="8" s="1"/>
  <c r="H26" i="5" a="1"/>
  <c r="H26" i="5" s="1"/>
  <c r="L49" i="8" s="1"/>
  <c r="G38" i="5" a="1"/>
  <c r="G38" i="5" s="1"/>
  <c r="K51" i="8" s="1"/>
  <c r="L38" i="5" a="1"/>
  <c r="L38" i="5" s="1"/>
  <c r="P51" i="8" s="1"/>
  <c r="F14" i="13" a="1"/>
  <c r="F14" i="13" s="1"/>
  <c r="I51" i="9" s="1"/>
  <c r="M20" i="13" a="1"/>
  <c r="M20" i="13" s="1"/>
  <c r="P52" i="9" s="1"/>
  <c r="J39" i="13" a="1"/>
  <c r="J39" i="13" s="1"/>
  <c r="M57" i="9" s="1"/>
  <c r="N39" i="13" a="1"/>
  <c r="N39" i="13" s="1"/>
  <c r="Q57" i="9" s="1"/>
  <c r="F20" i="5" a="1"/>
  <c r="F20" i="5" s="1"/>
  <c r="J48" i="8" s="1"/>
  <c r="M26" i="5" a="1"/>
  <c r="M26" i="5" s="1"/>
  <c r="Q49" i="8" s="1"/>
  <c r="J45" i="5" a="1"/>
  <c r="J45" i="5" s="1"/>
  <c r="J48" i="10" s="1"/>
  <c r="N45" i="5" a="1"/>
  <c r="N45" i="5" s="1"/>
  <c r="N48" i="10" s="1"/>
  <c r="J8" i="13" a="1"/>
  <c r="J8" i="13" s="1"/>
  <c r="M50" i="9" s="1"/>
  <c r="N8" i="13" a="1"/>
  <c r="N8" i="13" s="1"/>
  <c r="Q50" i="9" s="1"/>
  <c r="I20" i="13" a="1"/>
  <c r="I20" i="13" s="1"/>
  <c r="L52" i="9" s="1"/>
  <c r="K27" i="13" a="1"/>
  <c r="K27" i="13" s="1"/>
  <c r="N55" i="9" s="1"/>
  <c r="O27" i="13" a="1"/>
  <c r="O27" i="13" s="1"/>
  <c r="R55" i="9" s="1"/>
  <c r="H33" i="13" a="1"/>
  <c r="H33" i="13" s="1"/>
  <c r="K56" i="9" s="1"/>
  <c r="J8" i="5" a="1"/>
  <c r="J8" i="5" s="1"/>
  <c r="N46" i="8" s="1"/>
  <c r="N8" i="5" a="1"/>
  <c r="N8" i="5" s="1"/>
  <c r="R46" i="8" s="1"/>
  <c r="J14" i="5" a="1"/>
  <c r="J14" i="5" s="1"/>
  <c r="N47" i="8" s="1"/>
  <c r="N14" i="5" a="1"/>
  <c r="N14" i="5" s="1"/>
  <c r="R47" i="8" s="1"/>
  <c r="I26" i="5" a="1"/>
  <c r="I26" i="5" s="1"/>
  <c r="M49" i="8" s="1"/>
  <c r="K32" i="5" a="1"/>
  <c r="K32" i="5" s="1"/>
  <c r="O50" i="8" s="1"/>
  <c r="O32" i="5" a="1"/>
  <c r="O32" i="5" s="1"/>
  <c r="S50" i="8" s="1"/>
  <c r="H38" i="5" a="1"/>
  <c r="H38" i="5" s="1"/>
  <c r="L51" i="8" s="1"/>
  <c r="G14" i="13" a="1"/>
  <c r="G14" i="13" s="1"/>
  <c r="J51" i="9" s="1"/>
  <c r="L14" i="13" a="1"/>
  <c r="L14" i="13" s="1"/>
  <c r="O51" i="9" s="1"/>
  <c r="F27" i="13" a="1"/>
  <c r="F27" i="13" s="1"/>
  <c r="I55" i="9" s="1"/>
  <c r="M33" i="13" a="1"/>
  <c r="M33" i="13" s="1"/>
  <c r="P56" i="9" s="1"/>
  <c r="G20" i="5" a="1"/>
  <c r="G20" i="5" s="1"/>
  <c r="K48" i="8" s="1"/>
  <c r="L20" i="5" a="1"/>
  <c r="L20" i="5" s="1"/>
  <c r="P48" i="8" s="1"/>
  <c r="F32" i="5" a="1"/>
  <c r="F32" i="5" s="1"/>
  <c r="J50" i="8" s="1"/>
  <c r="M38" i="5" a="1"/>
  <c r="M38" i="5" s="1"/>
  <c r="Q51" i="8" s="1"/>
  <c r="J20" i="13" a="1"/>
  <c r="J20" i="13" s="1"/>
  <c r="M52" i="9" s="1"/>
  <c r="N20" i="13" a="1"/>
  <c r="N20" i="13" s="1"/>
  <c r="Q52" i="9" s="1"/>
  <c r="I33" i="13" a="1"/>
  <c r="I33" i="13" s="1"/>
  <c r="L56" i="9" s="1"/>
  <c r="K39" i="13" a="1"/>
  <c r="K39" i="13" s="1"/>
  <c r="N57" i="9" s="1"/>
  <c r="O39" i="13" a="1"/>
  <c r="O39" i="13" s="1"/>
  <c r="R57" i="9" s="1"/>
  <c r="J26" i="5" a="1"/>
  <c r="J26" i="5" s="1"/>
  <c r="N49" i="8" s="1"/>
  <c r="N26" i="5" a="1"/>
  <c r="N26" i="5" s="1"/>
  <c r="R49" i="8" s="1"/>
  <c r="I38" i="5" a="1"/>
  <c r="I38" i="5" s="1"/>
  <c r="M51" i="8" s="1"/>
  <c r="K45" i="5" a="1"/>
  <c r="K45" i="5" s="1"/>
  <c r="K48" i="10" s="1"/>
  <c r="O45" i="5" a="1"/>
  <c r="O45" i="5" s="1"/>
  <c r="O48" i="10" s="1"/>
  <c r="K8" i="13" a="1"/>
  <c r="K8" i="13" s="1"/>
  <c r="N50" i="9" s="1"/>
  <c r="O8" i="13" a="1"/>
  <c r="O8" i="13" s="1"/>
  <c r="R50" i="9" s="1"/>
  <c r="H14" i="13" a="1"/>
  <c r="H14" i="13" s="1"/>
  <c r="K51" i="9" s="1"/>
  <c r="G27" i="13" a="1"/>
  <c r="G27" i="13" s="1"/>
  <c r="J55" i="9" s="1"/>
  <c r="L27" i="13" a="1"/>
  <c r="L27" i="13" s="1"/>
  <c r="O55" i="9" s="1"/>
  <c r="F39" i="13" a="1"/>
  <c r="F39" i="13" s="1"/>
  <c r="I57" i="9" s="1"/>
  <c r="K8" i="5" a="1"/>
  <c r="K8" i="5" s="1"/>
  <c r="O46" i="8" s="1"/>
  <c r="O8" i="5" a="1"/>
  <c r="O8" i="5" s="1"/>
  <c r="S46" i="8" s="1"/>
  <c r="K14" i="5" a="1"/>
  <c r="K14" i="5" s="1"/>
  <c r="O47" i="8" s="1"/>
  <c r="O14" i="5" a="1"/>
  <c r="O14" i="5" s="1"/>
  <c r="S47" i="8" s="1"/>
  <c r="H20" i="5" a="1"/>
  <c r="H20" i="5" s="1"/>
  <c r="L48" i="8" s="1"/>
  <c r="G32" i="5" a="1"/>
  <c r="G32" i="5" s="1"/>
  <c r="K50" i="8" s="1"/>
  <c r="L32" i="5" a="1"/>
  <c r="L32" i="5" s="1"/>
  <c r="P50" i="8" s="1"/>
  <c r="F45" i="5" a="1"/>
  <c r="F45" i="5" s="1"/>
  <c r="F48" i="10" s="1"/>
  <c r="G8" i="13" a="1"/>
  <c r="G8" i="13" s="1"/>
  <c r="J50" i="9" s="1"/>
  <c r="L8" i="13" a="1"/>
  <c r="L8" i="13" s="1"/>
  <c r="O50" i="9" s="1"/>
  <c r="F20" i="13" a="1"/>
  <c r="F20" i="13" s="1"/>
  <c r="I52" i="9" s="1"/>
  <c r="M27" i="13" a="1"/>
  <c r="M27" i="13" s="1"/>
  <c r="P55" i="9" s="1"/>
  <c r="G8" i="5" a="1"/>
  <c r="G8" i="5" s="1"/>
  <c r="K46" i="8" s="1"/>
  <c r="L8" i="5" a="1"/>
  <c r="L8" i="5" s="1"/>
  <c r="P46" i="8" s="1"/>
  <c r="G14" i="5" a="1"/>
  <c r="G14" i="5" s="1"/>
  <c r="K47" i="8" s="1"/>
  <c r="L14" i="5" a="1"/>
  <c r="L14" i="5" s="1"/>
  <c r="P47" i="8" s="1"/>
  <c r="F26" i="5" a="1"/>
  <c r="F26" i="5" s="1"/>
  <c r="J49" i="8" s="1"/>
  <c r="M32" i="5" a="1"/>
  <c r="M32" i="5" s="1"/>
  <c r="Q50" i="8" s="1"/>
  <c r="J14" i="13" a="1"/>
  <c r="J14" i="13" s="1"/>
  <c r="M51" i="9" s="1"/>
  <c r="N14" i="13" a="1"/>
  <c r="N14" i="13" s="1"/>
  <c r="Q51" i="9" s="1"/>
  <c r="I27" i="13" a="1"/>
  <c r="I27" i="13" s="1"/>
  <c r="L55" i="9" s="1"/>
  <c r="K33" i="13" a="1"/>
  <c r="K33" i="13" s="1"/>
  <c r="N56" i="9" s="1"/>
  <c r="O33" i="13" a="1"/>
  <c r="O33" i="13" s="1"/>
  <c r="R56" i="9" s="1"/>
  <c r="H39" i="13" a="1"/>
  <c r="H39" i="13" s="1"/>
  <c r="K57" i="9" s="1"/>
  <c r="J20" i="5" a="1"/>
  <c r="J20" i="5" s="1"/>
  <c r="N48" i="8" s="1"/>
  <c r="N20" i="5" a="1"/>
  <c r="N20" i="5" s="1"/>
  <c r="R48" i="8" s="1"/>
  <c r="I32" i="5" a="1"/>
  <c r="I32" i="5" s="1"/>
  <c r="M50" i="8" s="1"/>
  <c r="K38" i="5" a="1"/>
  <c r="K38" i="5" s="1"/>
  <c r="O51" i="8" s="1"/>
  <c r="O38" i="5" a="1"/>
  <c r="O38" i="5" s="1"/>
  <c r="S51" i="8" s="1"/>
  <c r="H45" i="5" a="1"/>
  <c r="H45" i="5" s="1"/>
  <c r="H48" i="10" s="1"/>
  <c r="H8" i="13" a="1"/>
  <c r="H8" i="13" s="1"/>
  <c r="K50" i="9" s="1"/>
  <c r="G20" i="13" a="1"/>
  <c r="G20" i="13" s="1"/>
  <c r="J52" i="9" s="1"/>
  <c r="L20" i="13" a="1"/>
  <c r="L20" i="13" s="1"/>
  <c r="O52" i="9" s="1"/>
  <c r="F33" i="13" a="1"/>
  <c r="F33" i="13" s="1"/>
  <c r="I56" i="9" s="1"/>
  <c r="M39" i="13" a="1"/>
  <c r="M39" i="13" s="1"/>
  <c r="P57" i="9" s="1"/>
  <c r="H8" i="5" a="1"/>
  <c r="H8" i="5" s="1"/>
  <c r="L46" i="8" s="1"/>
  <c r="H14" i="5" a="1"/>
  <c r="H14" i="5" s="1"/>
  <c r="L47" i="8" s="1"/>
  <c r="G26" i="5" a="1"/>
  <c r="G26" i="5" s="1"/>
  <c r="K49" i="8" s="1"/>
  <c r="L26" i="5" a="1"/>
  <c r="L26" i="5" s="1"/>
  <c r="P49" i="8" s="1"/>
  <c r="F38" i="5" a="1"/>
  <c r="F38" i="5" s="1"/>
  <c r="J51" i="8" s="1"/>
  <c r="M45" i="5" a="1"/>
  <c r="M45" i="5" s="1"/>
  <c r="M48" i="10" s="1"/>
  <c r="M14" i="13" a="1"/>
  <c r="M14" i="13" s="1"/>
  <c r="P51" i="9" s="1"/>
  <c r="H27" i="13" a="1"/>
  <c r="H27" i="13" s="1"/>
  <c r="K55" i="9" s="1"/>
  <c r="K20" i="13" a="1"/>
  <c r="K20" i="13" s="1"/>
  <c r="N52" i="9" s="1"/>
  <c r="J33" i="13" a="1"/>
  <c r="J33" i="13" s="1"/>
  <c r="M56" i="9" s="1"/>
  <c r="G39" i="13" a="1"/>
  <c r="G39" i="13" s="1"/>
  <c r="J57" i="9" s="1"/>
  <c r="N38" i="5" a="1"/>
  <c r="N38" i="5" s="1"/>
  <c r="R51" i="8" s="1"/>
  <c r="F8" i="13" a="1"/>
  <c r="F8" i="13" s="1"/>
  <c r="I50" i="9" s="1"/>
  <c r="G45" i="5" a="1"/>
  <c r="G45" i="5" s="1"/>
  <c r="G48" i="10" s="1"/>
  <c r="O20" i="13" a="1"/>
  <c r="O20" i="13" s="1"/>
  <c r="R52" i="9" s="1"/>
  <c r="I20" i="5" a="1"/>
  <c r="I20" i="5" s="1"/>
  <c r="M48" i="8" s="1"/>
  <c r="N33" i="13" a="1"/>
  <c r="N33" i="13" s="1"/>
  <c r="Q56" i="9" s="1"/>
  <c r="L39" i="13" a="1"/>
  <c r="L39" i="13" s="1"/>
  <c r="O57" i="9" s="1"/>
  <c r="F8" i="5"/>
  <c r="J46" i="8" s="1"/>
  <c r="J6" i="8" s="1"/>
  <c r="L45" i="5" a="1"/>
  <c r="L45" i="5" s="1"/>
  <c r="L48" i="10" s="1"/>
  <c r="J38" i="5" a="1"/>
  <c r="J38" i="5" s="1"/>
  <c r="N51" i="8" s="1"/>
  <c r="O26" i="5" a="1"/>
  <c r="O26" i="5" s="1"/>
  <c r="S49" i="8" s="1"/>
  <c r="F14" i="5" a="1"/>
  <c r="F14" i="5" s="1"/>
  <c r="J47" i="8" s="1"/>
  <c r="H32" i="5" a="1"/>
  <c r="H32" i="5" s="1"/>
  <c r="L50" i="8" s="1"/>
  <c r="I14" i="13" a="1"/>
  <c r="I14" i="13" s="1"/>
  <c r="L51" i="9" s="1"/>
  <c r="K26" i="5" a="1"/>
  <c r="K26" i="5" s="1"/>
  <c r="O49" i="8" s="1"/>
  <c r="M20" i="5" a="1"/>
  <c r="M20" i="5" s="1"/>
  <c r="Q48" i="8" s="1"/>
  <c r="N52" i="8"/>
  <c r="I26" i="8"/>
  <c r="E30" i="7"/>
  <c r="M16" i="7"/>
  <c r="M19" i="7" s="1"/>
  <c r="E22" i="8"/>
  <c r="E23" i="8" s="1"/>
  <c r="F17" i="8"/>
  <c r="K32" i="9"/>
  <c r="K37" i="9"/>
  <c r="H52" i="9"/>
  <c r="F30" i="11"/>
  <c r="I33" i="8" s="1"/>
  <c r="G30" i="11"/>
  <c r="H30" i="11"/>
  <c r="I30" i="11"/>
  <c r="J30" i="11"/>
  <c r="K30" i="11"/>
  <c r="L30" i="11"/>
  <c r="O30" i="11"/>
  <c r="I5" i="11"/>
  <c r="J5" i="11"/>
  <c r="F5" i="12"/>
  <c r="G5" i="12"/>
  <c r="G29" i="12" s="1"/>
  <c r="H5" i="12"/>
  <c r="H29" i="12" s="1"/>
  <c r="I5" i="12"/>
  <c r="I29" i="12" s="1"/>
  <c r="H5" i="11"/>
  <c r="K5" i="11"/>
  <c r="F5" i="10"/>
  <c r="G5" i="10"/>
  <c r="E48" i="4"/>
  <c r="F48" i="4" s="1"/>
  <c r="G48" i="4" s="1"/>
  <c r="H48" i="4" s="1"/>
  <c r="I48" i="4" s="1"/>
  <c r="J48" i="4" s="1"/>
  <c r="K48" i="4" s="1"/>
  <c r="L48" i="4" s="1"/>
  <c r="M48" i="4" s="1"/>
  <c r="N48" i="4" s="1"/>
  <c r="I5" i="10"/>
  <c r="J5" i="10"/>
  <c r="E5" i="11"/>
  <c r="N5" i="10"/>
  <c r="F5" i="11"/>
  <c r="O5" i="10"/>
  <c r="G5" i="11"/>
  <c r="Q5" i="8"/>
  <c r="L52" i="11"/>
  <c r="H52" i="11"/>
  <c r="I52" i="11" s="1"/>
  <c r="J52" i="11" s="1"/>
  <c r="K52" i="11" s="1"/>
  <c r="O5" i="8"/>
  <c r="H55" i="9"/>
  <c r="N30" i="11"/>
  <c r="N5" i="8"/>
  <c r="E55" i="9"/>
  <c r="M30" i="11"/>
  <c r="M5" i="8"/>
  <c r="M5" i="10"/>
  <c r="L5" i="10"/>
  <c r="K5" i="8"/>
  <c r="H5" i="9"/>
  <c r="K5" i="10"/>
  <c r="J5" i="8"/>
  <c r="H5" i="10"/>
  <c r="H17" i="8"/>
  <c r="H50" i="9"/>
  <c r="L4" i="11"/>
  <c r="G17" i="8"/>
  <c r="D55" i="4"/>
  <c r="H39" i="4"/>
  <c r="F41" i="4"/>
  <c r="H41" i="4" s="1"/>
  <c r="H47" i="4"/>
  <c r="G6" i="4"/>
  <c r="F7" i="4"/>
  <c r="D34" i="4" s="1"/>
  <c r="D23" i="4"/>
  <c r="E23" i="4" s="1"/>
  <c r="F23" i="4" s="1"/>
  <c r="E36" i="12" l="1"/>
  <c r="M35" i="12"/>
  <c r="N35" i="12"/>
  <c r="O35" i="12"/>
  <c r="P35" i="12"/>
  <c r="I35" i="12"/>
  <c r="J35" i="12"/>
  <c r="L35" i="12"/>
  <c r="G35" i="12"/>
  <c r="H35" i="12"/>
  <c r="K4" i="12"/>
  <c r="K5" i="12" s="1"/>
  <c r="J5" i="12"/>
  <c r="J29" i="12" s="1"/>
  <c r="L55" i="4"/>
  <c r="M55" i="4"/>
  <c r="N55" i="4"/>
  <c r="H55" i="4"/>
  <c r="E55" i="4"/>
  <c r="G55" i="4"/>
  <c r="J55" i="4"/>
  <c r="F55" i="4"/>
  <c r="I55" i="4"/>
  <c r="K55" i="4"/>
  <c r="F53" i="4"/>
  <c r="H53" i="4"/>
  <c r="G53" i="4"/>
  <c r="I53" i="4"/>
  <c r="E53" i="4"/>
  <c r="J53" i="4"/>
  <c r="K53" i="4"/>
  <c r="N53" i="4"/>
  <c r="L53" i="4"/>
  <c r="M53" i="4"/>
  <c r="I56" i="4"/>
  <c r="J56" i="4"/>
  <c r="K56" i="4"/>
  <c r="L56" i="4"/>
  <c r="G56" i="4"/>
  <c r="E56" i="4"/>
  <c r="F56" i="4"/>
  <c r="H56" i="4"/>
  <c r="H28" i="7"/>
  <c r="I46" i="8"/>
  <c r="H37" i="7"/>
  <c r="N17" i="7"/>
  <c r="I7" i="9"/>
  <c r="I9" i="9"/>
  <c r="J7" i="8"/>
  <c r="I28" i="7" s="1"/>
  <c r="J9" i="8"/>
  <c r="J10" i="8" s="1"/>
  <c r="I20" i="9"/>
  <c r="F18" i="10" s="1"/>
  <c r="J13" i="8"/>
  <c r="J14" i="8" s="1"/>
  <c r="J16" i="8"/>
  <c r="J21" i="8"/>
  <c r="I27" i="7"/>
  <c r="K6" i="8"/>
  <c r="G24" i="10" s="1"/>
  <c r="I21" i="9"/>
  <c r="F19" i="10" s="1"/>
  <c r="J20" i="8"/>
  <c r="F8" i="10" s="1"/>
  <c r="M4" i="11"/>
  <c r="L4" i="12"/>
  <c r="K28" i="12"/>
  <c r="N7" i="4"/>
  <c r="N8" i="4" s="1"/>
  <c r="N14" i="4" s="1"/>
  <c r="H22" i="8"/>
  <c r="H23" i="8" s="1"/>
  <c r="G33" i="7"/>
  <c r="H18" i="8"/>
  <c r="G34" i="7" s="1"/>
  <c r="I27" i="8"/>
  <c r="I22" i="8"/>
  <c r="I23" i="8" s="1"/>
  <c r="I18" i="8"/>
  <c r="H34" i="7" s="1"/>
  <c r="H33" i="7"/>
  <c r="N20" i="7" s="1"/>
  <c r="L5" i="9"/>
  <c r="M5" i="9"/>
  <c r="Q5" i="9"/>
  <c r="I5" i="9"/>
  <c r="J5" i="9"/>
  <c r="E5" i="9"/>
  <c r="K5" i="9"/>
  <c r="N5" i="9"/>
  <c r="O5" i="9"/>
  <c r="R5" i="9"/>
  <c r="P5" i="9"/>
  <c r="G22" i="8"/>
  <c r="G23" i="8" s="1"/>
  <c r="G18" i="8"/>
  <c r="F34" i="7" s="1"/>
  <c r="F33" i="7"/>
  <c r="F18" i="8"/>
  <c r="E34" i="7" s="1"/>
  <c r="F22" i="8"/>
  <c r="F23" i="8" s="1"/>
  <c r="E33" i="7"/>
  <c r="I31" i="8"/>
  <c r="F94" i="11"/>
  <c r="I31" i="9" s="1"/>
  <c r="E58" i="12"/>
  <c r="M46" i="12"/>
  <c r="S4" i="8"/>
  <c r="S5" i="8" s="1"/>
  <c r="R5" i="8"/>
  <c r="F24" i="10"/>
  <c r="D58" i="12"/>
  <c r="L46" i="12"/>
  <c r="L37" i="9"/>
  <c r="I47" i="4"/>
  <c r="F69" i="11"/>
  <c r="I29" i="8"/>
  <c r="I28" i="8"/>
  <c r="I5" i="13"/>
  <c r="H5" i="5"/>
  <c r="J5" i="13"/>
  <c r="I5" i="5"/>
  <c r="K5" i="13"/>
  <c r="J5" i="5"/>
  <c r="L5" i="13"/>
  <c r="K5" i="5"/>
  <c r="M5" i="13"/>
  <c r="L5" i="5"/>
  <c r="N5" i="13"/>
  <c r="M5" i="5"/>
  <c r="O5" i="13"/>
  <c r="N5" i="5"/>
  <c r="F5" i="13"/>
  <c r="G5" i="13"/>
  <c r="F5" i="5"/>
  <c r="H5" i="13"/>
  <c r="G5" i="5"/>
  <c r="O5" i="5"/>
  <c r="M17" i="7"/>
  <c r="M20" i="7" s="1"/>
  <c r="I26" i="7"/>
  <c r="J26" i="7"/>
  <c r="K26" i="7"/>
  <c r="L26" i="7"/>
  <c r="M26" i="7"/>
  <c r="N26" i="7"/>
  <c r="O26" i="7"/>
  <c r="Q26" i="7"/>
  <c r="F26" i="7"/>
  <c r="E26" i="7" s="1"/>
  <c r="D26" i="7" s="1"/>
  <c r="R26" i="7"/>
  <c r="P26" i="7"/>
  <c r="H6" i="4"/>
  <c r="G7" i="4"/>
  <c r="L5" i="11"/>
  <c r="G23" i="4"/>
  <c r="L32" i="9"/>
  <c r="O52" i="8"/>
  <c r="F83" i="11"/>
  <c r="I29" i="9" s="1"/>
  <c r="I30" i="8"/>
  <c r="E37" i="12" l="1"/>
  <c r="G36" i="12"/>
  <c r="H36" i="12"/>
  <c r="I36" i="12"/>
  <c r="J36" i="12"/>
  <c r="K36" i="12"/>
  <c r="N36" i="12"/>
  <c r="O36" i="12"/>
  <c r="P36" i="12"/>
  <c r="M36" i="12"/>
  <c r="I12" i="9"/>
  <c r="G26" i="10"/>
  <c r="G10" i="11" s="1"/>
  <c r="J36" i="7"/>
  <c r="J11" i="8"/>
  <c r="I31" i="7" s="1"/>
  <c r="J17" i="8"/>
  <c r="G8" i="12" s="1"/>
  <c r="G10" i="12" s="1"/>
  <c r="I30" i="7"/>
  <c r="K29" i="12"/>
  <c r="R7" i="7"/>
  <c r="J9" i="9"/>
  <c r="G15" i="10" s="1"/>
  <c r="K7" i="8"/>
  <c r="J28" i="7" s="1"/>
  <c r="K9" i="8"/>
  <c r="J20" i="9"/>
  <c r="G18" i="10" s="1"/>
  <c r="K13" i="8"/>
  <c r="K14" i="8" s="1"/>
  <c r="K16" i="8"/>
  <c r="K21" i="8"/>
  <c r="G9" i="10" s="1"/>
  <c r="L6" i="8"/>
  <c r="J7" i="9"/>
  <c r="G13" i="10" s="1"/>
  <c r="J21" i="9"/>
  <c r="G19" i="10" s="1"/>
  <c r="J27" i="7"/>
  <c r="K20" i="8"/>
  <c r="G8" i="10" s="1"/>
  <c r="F71" i="11"/>
  <c r="N19" i="7"/>
  <c r="F20" i="7"/>
  <c r="F18" i="7"/>
  <c r="F19" i="7"/>
  <c r="F17" i="7"/>
  <c r="F10" i="7"/>
  <c r="F9" i="7"/>
  <c r="F13" i="7"/>
  <c r="F11" i="7"/>
  <c r="F16" i="7"/>
  <c r="F12" i="7"/>
  <c r="F14" i="7"/>
  <c r="F9" i="10"/>
  <c r="I14" i="9"/>
  <c r="J47" i="4"/>
  <c r="G81" i="11"/>
  <c r="D22" i="4"/>
  <c r="O7" i="7"/>
  <c r="O12" i="7" s="1"/>
  <c r="M37" i="9"/>
  <c r="P52" i="8"/>
  <c r="G92" i="11"/>
  <c r="M4" i="12"/>
  <c r="L28" i="12"/>
  <c r="L5" i="12"/>
  <c r="L29" i="12" s="1"/>
  <c r="N4" i="11"/>
  <c r="M5" i="11"/>
  <c r="I19" i="9"/>
  <c r="I8" i="9"/>
  <c r="M32" i="9"/>
  <c r="F26" i="10"/>
  <c r="F10" i="11" s="1"/>
  <c r="I36" i="7"/>
  <c r="I37" i="7" s="1"/>
  <c r="F15" i="10"/>
  <c r="F13" i="10"/>
  <c r="E38" i="12" l="1"/>
  <c r="H37" i="12"/>
  <c r="I37" i="12"/>
  <c r="G37" i="12"/>
  <c r="J37" i="12"/>
  <c r="K37" i="12"/>
  <c r="L37" i="12"/>
  <c r="N37" i="12"/>
  <c r="O37" i="12"/>
  <c r="P37" i="12"/>
  <c r="F74" i="11"/>
  <c r="I28" i="9"/>
  <c r="G69" i="11" s="1"/>
  <c r="J12" i="9"/>
  <c r="J14" i="9"/>
  <c r="I45" i="9"/>
  <c r="I46" i="9" s="1"/>
  <c r="F17" i="10"/>
  <c r="I22" i="9"/>
  <c r="O19" i="7"/>
  <c r="O17" i="7"/>
  <c r="O16" i="7"/>
  <c r="O20" i="7"/>
  <c r="N32" i="9"/>
  <c r="G9" i="7"/>
  <c r="G10" i="7" s="1"/>
  <c r="G11" i="7" s="1"/>
  <c r="G12" i="7" s="1"/>
  <c r="G13" i="7" s="1"/>
  <c r="G14" i="7" s="1"/>
  <c r="H35" i="9"/>
  <c r="O4" i="11"/>
  <c r="N5" i="11"/>
  <c r="E22" i="4"/>
  <c r="O46" i="12"/>
  <c r="G58" i="12"/>
  <c r="K20" i="9"/>
  <c r="H18" i="10" s="1"/>
  <c r="K7" i="9"/>
  <c r="K21" i="9"/>
  <c r="H19" i="10" s="1"/>
  <c r="L7" i="8"/>
  <c r="K28" i="7" s="1"/>
  <c r="K9" i="9"/>
  <c r="H15" i="10" s="1"/>
  <c r="L13" i="8"/>
  <c r="L14" i="8" s="1"/>
  <c r="L16" i="8"/>
  <c r="L21" i="8"/>
  <c r="H9" i="10" s="1"/>
  <c r="L9" i="8"/>
  <c r="M6" i="8"/>
  <c r="K27" i="7"/>
  <c r="L20" i="8"/>
  <c r="H8" i="10" s="1"/>
  <c r="H24" i="10"/>
  <c r="F58" i="12"/>
  <c r="N46" i="12"/>
  <c r="G83" i="11"/>
  <c r="J29" i="9" s="1"/>
  <c r="N37" i="9"/>
  <c r="M28" i="12"/>
  <c r="N4" i="12"/>
  <c r="M5" i="12"/>
  <c r="M29" i="12" s="1"/>
  <c r="G94" i="11"/>
  <c r="J31" i="9" s="1"/>
  <c r="J22" i="8"/>
  <c r="J18" i="8"/>
  <c r="I34" i="7" s="1"/>
  <c r="I33" i="7"/>
  <c r="F14" i="10"/>
  <c r="K47" i="4"/>
  <c r="Q52" i="8"/>
  <c r="J19" i="9"/>
  <c r="J8" i="9"/>
  <c r="J37" i="7"/>
  <c r="K10" i="8"/>
  <c r="E39" i="12" l="1"/>
  <c r="L38" i="12"/>
  <c r="M38" i="12"/>
  <c r="O38" i="12"/>
  <c r="G38" i="12"/>
  <c r="P38" i="12"/>
  <c r="H38" i="12"/>
  <c r="I38" i="12"/>
  <c r="J38" i="12"/>
  <c r="K38" i="12"/>
  <c r="K12" i="9"/>
  <c r="F20" i="10"/>
  <c r="J45" i="9"/>
  <c r="J46" i="9" s="1"/>
  <c r="H13" i="10"/>
  <c r="K14" i="9"/>
  <c r="L9" i="9"/>
  <c r="I15" i="10" s="1"/>
  <c r="M20" i="8"/>
  <c r="I8" i="10" s="1"/>
  <c r="L21" i="9"/>
  <c r="I19" i="10" s="1"/>
  <c r="M7" i="8"/>
  <c r="L28" i="7" s="1"/>
  <c r="L20" i="9"/>
  <c r="I18" i="10" s="1"/>
  <c r="M9" i="8"/>
  <c r="N6" i="8"/>
  <c r="L7" i="9"/>
  <c r="M16" i="8"/>
  <c r="L27" i="7"/>
  <c r="M21" i="8"/>
  <c r="I9" i="10" s="1"/>
  <c r="M13" i="8"/>
  <c r="M14" i="8" s="1"/>
  <c r="I24" i="10"/>
  <c r="O5" i="11"/>
  <c r="J23" i="8"/>
  <c r="H26" i="10"/>
  <c r="H10" i="11" s="1"/>
  <c r="K36" i="7"/>
  <c r="K37" i="7" s="1"/>
  <c r="O37" i="9"/>
  <c r="K8" i="9"/>
  <c r="K19" i="9"/>
  <c r="H81" i="11"/>
  <c r="F22" i="4"/>
  <c r="K9" i="7" s="1" a="1"/>
  <c r="K9" i="7" s="1"/>
  <c r="F13" i="9" s="1"/>
  <c r="K11" i="8"/>
  <c r="J31" i="7" s="1"/>
  <c r="K17" i="8"/>
  <c r="H8" i="12" s="1"/>
  <c r="H10" i="12" s="1"/>
  <c r="J30" i="7"/>
  <c r="G17" i="10"/>
  <c r="J22" i="9"/>
  <c r="R52" i="8"/>
  <c r="P46" i="12"/>
  <c r="H58" i="12"/>
  <c r="G71" i="11"/>
  <c r="J28" i="9" s="1"/>
  <c r="H92" i="11"/>
  <c r="L47" i="4"/>
  <c r="G14" i="10"/>
  <c r="O4" i="12"/>
  <c r="N28" i="12"/>
  <c r="N5" i="12"/>
  <c r="N29" i="12" s="1"/>
  <c r="L10" i="8"/>
  <c r="O32" i="9"/>
  <c r="E40" i="12" l="1"/>
  <c r="H39" i="12"/>
  <c r="L39" i="12"/>
  <c r="G39" i="12"/>
  <c r="I39" i="12"/>
  <c r="J39" i="12"/>
  <c r="K39" i="12"/>
  <c r="M39" i="12"/>
  <c r="N39" i="12"/>
  <c r="P39" i="12"/>
  <c r="G20" i="10"/>
  <c r="L12" i="9"/>
  <c r="H94" i="11"/>
  <c r="K31" i="9" s="1"/>
  <c r="L14" i="9"/>
  <c r="P37" i="9"/>
  <c r="H69" i="11"/>
  <c r="G22" i="4"/>
  <c r="H14" i="10"/>
  <c r="G74" i="11"/>
  <c r="I13" i="10"/>
  <c r="P32" i="9"/>
  <c r="M7" i="9"/>
  <c r="J13" i="10" s="1"/>
  <c r="O6" i="8"/>
  <c r="N20" i="8"/>
  <c r="J8" i="10" s="1"/>
  <c r="M21" i="9"/>
  <c r="J19" i="10" s="1"/>
  <c r="M9" i="9"/>
  <c r="N13" i="8"/>
  <c r="N14" i="8" s="1"/>
  <c r="N9" i="8"/>
  <c r="M20" i="9"/>
  <c r="J18" i="10" s="1"/>
  <c r="M27" i="7"/>
  <c r="N16" i="8"/>
  <c r="N7" i="8"/>
  <c r="M28" i="7" s="1"/>
  <c r="N21" i="8"/>
  <c r="J9" i="10" s="1"/>
  <c r="J24" i="10"/>
  <c r="K45" i="9"/>
  <c r="P4" i="12"/>
  <c r="O28" i="12"/>
  <c r="O5" i="12"/>
  <c r="O29" i="12" s="1"/>
  <c r="I26" i="10"/>
  <c r="I10" i="11" s="1"/>
  <c r="L36" i="7"/>
  <c r="L37" i="7" s="1"/>
  <c r="H17" i="10"/>
  <c r="K22" i="9"/>
  <c r="K18" i="8"/>
  <c r="J34" i="7" s="1"/>
  <c r="J33" i="7"/>
  <c r="K22" i="8"/>
  <c r="H83" i="11"/>
  <c r="K29" i="9" s="1"/>
  <c r="L8" i="9"/>
  <c r="L19" i="9"/>
  <c r="M47" i="4"/>
  <c r="L11" i="8"/>
  <c r="K31" i="7" s="1"/>
  <c r="L17" i="8"/>
  <c r="I8" i="12" s="1"/>
  <c r="I10" i="12" s="1"/>
  <c r="K30" i="7"/>
  <c r="S52" i="8"/>
  <c r="M10" i="8"/>
  <c r="H40" i="12" l="1"/>
  <c r="I40" i="12"/>
  <c r="J40" i="12"/>
  <c r="K40" i="12"/>
  <c r="L40" i="12"/>
  <c r="G40" i="12"/>
  <c r="O40" i="12"/>
  <c r="M40" i="12"/>
  <c r="N40" i="12"/>
  <c r="H20" i="10"/>
  <c r="L45" i="9"/>
  <c r="L46" i="9" s="1"/>
  <c r="M12" i="9"/>
  <c r="H71" i="11"/>
  <c r="M19" i="9"/>
  <c r="M8" i="9"/>
  <c r="L22" i="8"/>
  <c r="L18" i="8"/>
  <c r="K34" i="7" s="1"/>
  <c r="K33" i="7"/>
  <c r="I17" i="10"/>
  <c r="L22" i="9"/>
  <c r="N10" i="8"/>
  <c r="M14" i="9"/>
  <c r="Q37" i="9"/>
  <c r="I81" i="11"/>
  <c r="I14" i="10"/>
  <c r="K46" i="9"/>
  <c r="J15" i="10"/>
  <c r="K23" i="8"/>
  <c r="J26" i="10"/>
  <c r="J10" i="11" s="1"/>
  <c r="M36" i="7"/>
  <c r="M37" i="7" s="1"/>
  <c r="N9" i="9"/>
  <c r="O13" i="8"/>
  <c r="O14" i="8" s="1"/>
  <c r="O16" i="8"/>
  <c r="O21" i="8"/>
  <c r="K9" i="10" s="1"/>
  <c r="N7" i="9"/>
  <c r="K13" i="10" s="1"/>
  <c r="P6" i="8"/>
  <c r="N21" i="9"/>
  <c r="K19" i="10" s="1"/>
  <c r="O7" i="8"/>
  <c r="N28" i="7" s="1"/>
  <c r="N20" i="9"/>
  <c r="K18" i="10" s="1"/>
  <c r="O9" i="8"/>
  <c r="N27" i="7"/>
  <c r="O20" i="8"/>
  <c r="K8" i="10" s="1"/>
  <c r="K24" i="10"/>
  <c r="N47" i="4"/>
  <c r="P28" i="12"/>
  <c r="P5" i="12"/>
  <c r="P29" i="12" s="1"/>
  <c r="I92" i="11"/>
  <c r="Q32" i="9"/>
  <c r="M11" i="8"/>
  <c r="L31" i="7" s="1"/>
  <c r="M17" i="8"/>
  <c r="J8" i="12" s="1"/>
  <c r="J10" i="12" s="1"/>
  <c r="L30" i="7"/>
  <c r="H74" i="11" l="1"/>
  <c r="K28" i="9"/>
  <c r="I69" i="11" s="1"/>
  <c r="M45" i="9"/>
  <c r="M46" i="9" s="1"/>
  <c r="I20" i="10"/>
  <c r="N12" i="9"/>
  <c r="H13" i="9"/>
  <c r="I13" i="9" s="1"/>
  <c r="J13" i="9" s="1"/>
  <c r="K13" i="9" s="1"/>
  <c r="L13" i="9" s="1"/>
  <c r="M13" i="9" s="1"/>
  <c r="N13" i="9" s="1"/>
  <c r="O13" i="9" s="1"/>
  <c r="P13" i="9" s="1"/>
  <c r="Q13" i="9" s="1"/>
  <c r="R13" i="9" s="1"/>
  <c r="I83" i="11"/>
  <c r="L29" i="9" s="1"/>
  <c r="K26" i="10"/>
  <c r="K10" i="11" s="1"/>
  <c r="N36" i="7"/>
  <c r="N37" i="7" s="1"/>
  <c r="L23" i="8"/>
  <c r="R37" i="9"/>
  <c r="N19" i="9"/>
  <c r="N8" i="9"/>
  <c r="M18" i="8"/>
  <c r="L34" i="7" s="1"/>
  <c r="L33" i="7"/>
  <c r="M22" i="8"/>
  <c r="N14" i="9"/>
  <c r="J17" i="10"/>
  <c r="M22" i="9"/>
  <c r="K15" i="10"/>
  <c r="J14" i="10"/>
  <c r="O10" i="8"/>
  <c r="N11" i="8"/>
  <c r="M31" i="7" s="1"/>
  <c r="N17" i="8"/>
  <c r="K8" i="12" s="1"/>
  <c r="K10" i="12" s="1"/>
  <c r="M30" i="7"/>
  <c r="O7" i="9"/>
  <c r="L13" i="10" s="1"/>
  <c r="O20" i="9"/>
  <c r="L18" i="10" s="1"/>
  <c r="P9" i="8"/>
  <c r="P10" i="8" s="1"/>
  <c r="P13" i="8"/>
  <c r="P14" i="8" s="1"/>
  <c r="P16" i="8"/>
  <c r="P21" i="8"/>
  <c r="L9" i="10" s="1"/>
  <c r="P7" i="8"/>
  <c r="O28" i="7" s="1"/>
  <c r="O21" i="9"/>
  <c r="L19" i="10" s="1"/>
  <c r="P20" i="8"/>
  <c r="L8" i="10" s="1"/>
  <c r="O9" i="9"/>
  <c r="Q6" i="8"/>
  <c r="O27" i="7"/>
  <c r="L24" i="10"/>
  <c r="R32" i="9"/>
  <c r="I94" i="11"/>
  <c r="L31" i="9" s="1"/>
  <c r="N45" i="9" l="1"/>
  <c r="N46" i="9" s="1"/>
  <c r="O12" i="9"/>
  <c r="J20" i="10"/>
  <c r="I71" i="11"/>
  <c r="L28" i="9" s="1"/>
  <c r="K14" i="10"/>
  <c r="N22" i="8"/>
  <c r="N18" i="8"/>
  <c r="M34" i="7" s="1"/>
  <c r="M33" i="7"/>
  <c r="P11" i="8"/>
  <c r="O31" i="7" s="1"/>
  <c r="O30" i="7"/>
  <c r="P17" i="8"/>
  <c r="M8" i="12" s="1"/>
  <c r="M10" i="12" s="1"/>
  <c r="K17" i="10"/>
  <c r="N22" i="9"/>
  <c r="P9" i="9"/>
  <c r="M15" i="10" s="1"/>
  <c r="P20" i="9"/>
  <c r="M18" i="10" s="1"/>
  <c r="Q9" i="8"/>
  <c r="Q10" i="8" s="1"/>
  <c r="P7" i="9"/>
  <c r="M13" i="10" s="1"/>
  <c r="Q13" i="8"/>
  <c r="Q14" i="8" s="1"/>
  <c r="Q16" i="8"/>
  <c r="Q21" i="8"/>
  <c r="M9" i="10" s="1"/>
  <c r="R6" i="8"/>
  <c r="Q7" i="8"/>
  <c r="P28" i="7" s="1"/>
  <c r="P21" i="9"/>
  <c r="M19" i="10" s="1"/>
  <c r="Q20" i="8"/>
  <c r="M8" i="10" s="1"/>
  <c r="P27" i="7"/>
  <c r="M24" i="10"/>
  <c r="N30" i="7"/>
  <c r="O11" i="8"/>
  <c r="N31" i="7" s="1"/>
  <c r="O17" i="8"/>
  <c r="L8" i="12" s="1"/>
  <c r="L10" i="12" s="1"/>
  <c r="L15" i="10"/>
  <c r="J81" i="11"/>
  <c r="L26" i="10"/>
  <c r="L10" i="11" s="1"/>
  <c r="O36" i="7"/>
  <c r="O37" i="7" s="1"/>
  <c r="O14" i="9"/>
  <c r="J92" i="11"/>
  <c r="O8" i="9"/>
  <c r="L14" i="10" s="1"/>
  <c r="O19" i="9"/>
  <c r="M23" i="8"/>
  <c r="O45" i="9" l="1"/>
  <c r="O46" i="9" s="1"/>
  <c r="K20" i="10"/>
  <c r="P12" i="9"/>
  <c r="P18" i="8"/>
  <c r="O34" i="7" s="1"/>
  <c r="O33" i="7"/>
  <c r="P22" i="8"/>
  <c r="P30" i="7"/>
  <c r="Q11" i="8"/>
  <c r="P31" i="7" s="1"/>
  <c r="Q17" i="8"/>
  <c r="N8" i="12" s="1"/>
  <c r="N10" i="12" s="1"/>
  <c r="J83" i="11"/>
  <c r="M29" i="9" s="1"/>
  <c r="Q20" i="9"/>
  <c r="N18" i="10" s="1"/>
  <c r="Q7" i="9"/>
  <c r="N13" i="10" s="1"/>
  <c r="R13" i="8"/>
  <c r="R14" i="8" s="1"/>
  <c r="R16" i="8"/>
  <c r="R21" i="8"/>
  <c r="N9" i="10" s="1"/>
  <c r="Q9" i="9"/>
  <c r="N15" i="10" s="1"/>
  <c r="Q21" i="9"/>
  <c r="N19" i="10" s="1"/>
  <c r="R7" i="8"/>
  <c r="Q28" i="7" s="1"/>
  <c r="R20" i="8"/>
  <c r="N8" i="10" s="1"/>
  <c r="R9" i="8"/>
  <c r="S6" i="8"/>
  <c r="Q27" i="7"/>
  <c r="N24" i="10"/>
  <c r="J69" i="11"/>
  <c r="I74" i="11"/>
  <c r="P19" i="9"/>
  <c r="P8" i="9"/>
  <c r="M14" i="10" s="1"/>
  <c r="L17" i="10"/>
  <c r="L20" i="10" s="1"/>
  <c r="O22" i="9"/>
  <c r="J94" i="11"/>
  <c r="M31" i="9" s="1"/>
  <c r="N23" i="8"/>
  <c r="O22" i="8"/>
  <c r="O18" i="8"/>
  <c r="N34" i="7" s="1"/>
  <c r="N33" i="7"/>
  <c r="M26" i="10"/>
  <c r="M10" i="11" s="1"/>
  <c r="P36" i="7"/>
  <c r="P37" i="7" s="1"/>
  <c r="P14" i="9"/>
  <c r="Q12" i="9" l="1"/>
  <c r="Q14" i="9"/>
  <c r="Q18" i="8"/>
  <c r="P34" i="7" s="1"/>
  <c r="P33" i="7"/>
  <c r="Q22" i="8"/>
  <c r="P23" i="8"/>
  <c r="N26" i="10"/>
  <c r="N10" i="11" s="1"/>
  <c r="Q36" i="7"/>
  <c r="Q37" i="7" s="1"/>
  <c r="M17" i="10"/>
  <c r="M20" i="10" s="1"/>
  <c r="P22" i="9"/>
  <c r="R9" i="9"/>
  <c r="O15" i="10" s="1"/>
  <c r="S20" i="8"/>
  <c r="O8" i="10" s="1"/>
  <c r="R21" i="9"/>
  <c r="O19" i="10" s="1"/>
  <c r="R20" i="9"/>
  <c r="O18" i="10" s="1"/>
  <c r="S9" i="8"/>
  <c r="R7" i="9"/>
  <c r="S7" i="8"/>
  <c r="R28" i="7" s="1"/>
  <c r="S16" i="8"/>
  <c r="S21" i="8"/>
  <c r="O9" i="10" s="1"/>
  <c r="S13" i="8"/>
  <c r="S14" i="8" s="1"/>
  <c r="R27" i="7"/>
  <c r="O24" i="10"/>
  <c r="J71" i="11"/>
  <c r="M28" i="9" s="1"/>
  <c r="O23" i="8"/>
  <c r="P45" i="9"/>
  <c r="Q8" i="9"/>
  <c r="N14" i="10" s="1"/>
  <c r="Q19" i="9"/>
  <c r="K81" i="11"/>
  <c r="R10" i="8"/>
  <c r="K92" i="11"/>
  <c r="Q45" i="9" l="1"/>
  <c r="Q46" i="9" s="1"/>
  <c r="R12" i="9"/>
  <c r="R14" i="9"/>
  <c r="R8" i="9"/>
  <c r="O14" i="10" s="1"/>
  <c r="R19" i="9"/>
  <c r="K94" i="11"/>
  <c r="N31" i="9" s="1"/>
  <c r="P46" i="9"/>
  <c r="Q23" i="8"/>
  <c r="O26" i="10"/>
  <c r="O10" i="11" s="1"/>
  <c r="R36" i="7"/>
  <c r="R37" i="7" s="1"/>
  <c r="K83" i="11"/>
  <c r="N29" i="9" s="1"/>
  <c r="J74" i="11"/>
  <c r="Q30" i="7"/>
  <c r="R11" i="8"/>
  <c r="Q31" i="7" s="1"/>
  <c r="R17" i="8"/>
  <c r="O8" i="12" s="1"/>
  <c r="O10" i="12" s="1"/>
  <c r="N17" i="10"/>
  <c r="N20" i="10" s="1"/>
  <c r="Q22" i="9"/>
  <c r="K69" i="11"/>
  <c r="S10" i="8"/>
  <c r="O13" i="10"/>
  <c r="R45" i="9" l="1"/>
  <c r="R46" i="9" s="1"/>
  <c r="K71" i="11"/>
  <c r="N28" i="9" s="1"/>
  <c r="R18" i="8"/>
  <c r="Q34" i="7" s="1"/>
  <c r="R22" i="8"/>
  <c r="Q33" i="7"/>
  <c r="L92" i="11"/>
  <c r="S11" i="8"/>
  <c r="R31" i="7" s="1"/>
  <c r="S17" i="8"/>
  <c r="P8" i="12" s="1"/>
  <c r="P10" i="12" s="1"/>
  <c r="R30" i="7"/>
  <c r="R22" i="9"/>
  <c r="O17" i="10"/>
  <c r="O20" i="10" s="1"/>
  <c r="L81" i="11"/>
  <c r="K74" i="11" l="1"/>
  <c r="R23" i="8"/>
  <c r="S22" i="8"/>
  <c r="S18" i="8"/>
  <c r="R34" i="7" s="1"/>
  <c r="R33" i="7"/>
  <c r="L94" i="11"/>
  <c r="O31" i="9" s="1"/>
  <c r="L83" i="11"/>
  <c r="O29" i="9" s="1"/>
  <c r="L69" i="11"/>
  <c r="M81" i="11" l="1"/>
  <c r="S23" i="8"/>
  <c r="M92" i="11"/>
  <c r="L71" i="11"/>
  <c r="O28" i="9" s="1"/>
  <c r="L74" i="11"/>
  <c r="M94" i="11" l="1"/>
  <c r="P31" i="9" s="1"/>
  <c r="M69" i="11"/>
  <c r="M83" i="11"/>
  <c r="P29" i="9" s="1"/>
  <c r="M71" i="11" l="1"/>
  <c r="P28" i="9" s="1"/>
  <c r="N92" i="11"/>
  <c r="N81" i="11"/>
  <c r="M74" i="11" l="1"/>
  <c r="N83" i="11"/>
  <c r="Q29" i="9" s="1"/>
  <c r="N94" i="11"/>
  <c r="Q31" i="9" s="1"/>
  <c r="N69" i="11"/>
  <c r="N71" i="11" l="1"/>
  <c r="Q28" i="9" s="1"/>
  <c r="O92" i="11"/>
  <c r="O81" i="11"/>
  <c r="N74" i="11" l="1"/>
  <c r="O83" i="11"/>
  <c r="R29" i="9" s="1"/>
  <c r="O94" i="11"/>
  <c r="R31" i="9" s="1"/>
  <c r="O69" i="11"/>
  <c r="O71" i="11" l="1"/>
  <c r="R28" i="9" s="1"/>
  <c r="O74" i="11" l="1"/>
  <c r="D15" i="4"/>
  <c r="D17" i="4" s="1"/>
  <c r="E15" i="4"/>
  <c r="E17" i="4" s="1"/>
  <c r="F15" i="4"/>
  <c r="G15" i="4"/>
  <c r="D29" i="4"/>
  <c r="E29" i="4"/>
  <c r="F29" i="4"/>
  <c r="G29" i="4"/>
  <c r="H43" i="4"/>
  <c r="F57" i="4" l="1"/>
  <c r="G57" i="4"/>
  <c r="H57" i="4"/>
  <c r="H58" i="4" s="1"/>
  <c r="I10" i="10" s="1"/>
  <c r="I57" i="4"/>
  <c r="I58" i="4" s="1"/>
  <c r="J10" i="10" s="1"/>
  <c r="J57" i="4"/>
  <c r="J58" i="4" s="1"/>
  <c r="K10" i="10" s="1"/>
  <c r="K57" i="4"/>
  <c r="K58" i="4" s="1"/>
  <c r="L10" i="10" s="1"/>
  <c r="E57" i="4"/>
  <c r="E58" i="4" s="1"/>
  <c r="L57" i="4"/>
  <c r="L58" i="4" s="1"/>
  <c r="M10" i="10" s="1"/>
  <c r="M57" i="4"/>
  <c r="M58" i="4" s="1"/>
  <c r="N10" i="10" s="1"/>
  <c r="N57" i="4"/>
  <c r="N58" i="4" s="1"/>
  <c r="O10" i="10" s="1"/>
  <c r="H44" i="4"/>
  <c r="F17" i="4"/>
  <c r="F19" i="4" s="1"/>
  <c r="D15" i="7" a="1"/>
  <c r="D15" i="7" s="1"/>
  <c r="E19" i="4"/>
  <c r="K21" i="7"/>
  <c r="L13" i="7" s="1"/>
  <c r="H16" i="9"/>
  <c r="F10" i="10"/>
  <c r="I35" i="8"/>
  <c r="G58" i="4"/>
  <c r="H10" i="10" s="1"/>
  <c r="D19" i="4"/>
  <c r="F58" i="4"/>
  <c r="G10" i="10" s="1"/>
  <c r="G17" i="4"/>
  <c r="G19" i="4" s="1"/>
  <c r="D21" i="7" l="1"/>
  <c r="E15" i="7" s="1"/>
  <c r="F38" i="9"/>
  <c r="H38" i="9" s="1"/>
  <c r="H39" i="9" s="1"/>
  <c r="H41" i="9" s="1"/>
  <c r="F15" i="7"/>
  <c r="F21" i="7" s="1"/>
  <c r="F7" i="12"/>
  <c r="I16" i="9"/>
  <c r="J16" i="9" s="1"/>
  <c r="K16" i="9" s="1"/>
  <c r="L16" i="9" s="1"/>
  <c r="M16" i="9" s="1"/>
  <c r="N16" i="9" s="1"/>
  <c r="O16" i="9" s="1"/>
  <c r="P16" i="9" s="1"/>
  <c r="Q16" i="9" s="1"/>
  <c r="R16" i="9" s="1"/>
  <c r="L11" i="7"/>
  <c r="L12" i="7"/>
  <c r="L9" i="7"/>
  <c r="L10" i="7"/>
  <c r="L14" i="7"/>
  <c r="E19" i="7" l="1"/>
  <c r="E9" i="7"/>
  <c r="E20" i="7"/>
  <c r="E11" i="7"/>
  <c r="E17" i="7"/>
  <c r="E13" i="7"/>
  <c r="E18" i="7"/>
  <c r="G21" i="7"/>
  <c r="E16" i="7"/>
  <c r="E14" i="7"/>
  <c r="E10" i="7"/>
  <c r="N30" i="12"/>
  <c r="H30" i="12"/>
  <c r="I30" i="12"/>
  <c r="J30" i="12"/>
  <c r="K30" i="12"/>
  <c r="L30" i="12"/>
  <c r="M30" i="12"/>
  <c r="O30" i="12"/>
  <c r="P30" i="12"/>
  <c r="G30" i="12"/>
  <c r="E12" i="7"/>
  <c r="G15" i="7"/>
  <c r="G16" i="7" s="1"/>
  <c r="G17" i="7" s="1"/>
  <c r="G18" i="7" s="1"/>
  <c r="G19" i="7" s="1"/>
  <c r="G20" i="7" s="1"/>
  <c r="L21" i="7"/>
  <c r="E21" i="7" l="1"/>
  <c r="H6" i="9"/>
  <c r="H10" i="9" s="1"/>
  <c r="H17" i="9" s="1"/>
  <c r="H43" i="9" s="1"/>
  <c r="F13" i="11"/>
  <c r="F41" i="10" l="1"/>
  <c r="I6" i="9" l="1"/>
  <c r="J6" i="9"/>
  <c r="K6" i="9"/>
  <c r="L6" i="9"/>
  <c r="M6" i="9"/>
  <c r="N6" i="9"/>
  <c r="O6" i="9"/>
  <c r="P6" i="9"/>
  <c r="Q6" i="9"/>
  <c r="R6" i="9"/>
  <c r="I10" i="9"/>
  <c r="J10" i="9"/>
  <c r="K10" i="9"/>
  <c r="L10" i="9"/>
  <c r="M10" i="9"/>
  <c r="N10" i="9"/>
  <c r="O10" i="9"/>
  <c r="P10" i="9"/>
  <c r="Q10" i="9"/>
  <c r="R10" i="9"/>
  <c r="I17" i="9"/>
  <c r="J17" i="9"/>
  <c r="K17" i="9"/>
  <c r="L17" i="9"/>
  <c r="M17" i="9"/>
  <c r="N17" i="9"/>
  <c r="O17" i="9"/>
  <c r="P17" i="9"/>
  <c r="Q17" i="9"/>
  <c r="R17" i="9"/>
  <c r="I24" i="9"/>
  <c r="J24" i="9"/>
  <c r="K24" i="9"/>
  <c r="L24" i="9"/>
  <c r="M24" i="9"/>
  <c r="N24" i="9"/>
  <c r="O24" i="9"/>
  <c r="P24" i="9"/>
  <c r="Q24" i="9"/>
  <c r="R24" i="9"/>
  <c r="I25" i="9"/>
  <c r="J25" i="9"/>
  <c r="K25" i="9"/>
  <c r="L25" i="9"/>
  <c r="M25" i="9"/>
  <c r="N25" i="9"/>
  <c r="O25" i="9"/>
  <c r="P25" i="9"/>
  <c r="Q25" i="9"/>
  <c r="R25" i="9"/>
  <c r="I26" i="9"/>
  <c r="J26" i="9"/>
  <c r="K26" i="9"/>
  <c r="L26" i="9"/>
  <c r="M26" i="9"/>
  <c r="N26" i="9"/>
  <c r="O26" i="9"/>
  <c r="P26" i="9"/>
  <c r="Q26" i="9"/>
  <c r="R26" i="9"/>
  <c r="I35" i="9"/>
  <c r="J35" i="9"/>
  <c r="K35" i="9"/>
  <c r="L35" i="9"/>
  <c r="M35" i="9"/>
  <c r="N35" i="9"/>
  <c r="O35" i="9"/>
  <c r="P35" i="9"/>
  <c r="Q35" i="9"/>
  <c r="R35" i="9"/>
  <c r="I38" i="9"/>
  <c r="J38" i="9"/>
  <c r="K38" i="9"/>
  <c r="L38" i="9"/>
  <c r="M38" i="9"/>
  <c r="N38" i="9"/>
  <c r="O38" i="9"/>
  <c r="P38" i="9"/>
  <c r="Q38" i="9"/>
  <c r="R38" i="9"/>
  <c r="I39" i="9"/>
  <c r="J39" i="9"/>
  <c r="K39" i="9"/>
  <c r="L39" i="9"/>
  <c r="M39" i="9"/>
  <c r="N39" i="9"/>
  <c r="O39" i="9"/>
  <c r="P39" i="9"/>
  <c r="Q39" i="9"/>
  <c r="R39" i="9"/>
  <c r="I41" i="9"/>
  <c r="J41" i="9"/>
  <c r="K41" i="9"/>
  <c r="L41" i="9"/>
  <c r="M41" i="9"/>
  <c r="N41" i="9"/>
  <c r="O41" i="9"/>
  <c r="P41" i="9"/>
  <c r="Q41" i="9"/>
  <c r="R41" i="9"/>
  <c r="I43" i="9"/>
  <c r="J43" i="9"/>
  <c r="K43" i="9"/>
  <c r="L43" i="9"/>
  <c r="M43" i="9"/>
  <c r="N43" i="9"/>
  <c r="O43" i="9"/>
  <c r="P43" i="9"/>
  <c r="Q43" i="9"/>
  <c r="R43" i="9"/>
  <c r="F7" i="10"/>
  <c r="G7" i="10"/>
  <c r="H7" i="10"/>
  <c r="I7" i="10"/>
  <c r="J7" i="10"/>
  <c r="K7" i="10"/>
  <c r="L7" i="10"/>
  <c r="M7" i="10"/>
  <c r="N7" i="10"/>
  <c r="O7" i="10"/>
  <c r="F21" i="10"/>
  <c r="G21" i="10"/>
  <c r="H21" i="10"/>
  <c r="I21" i="10"/>
  <c r="J21" i="10"/>
  <c r="K21" i="10"/>
  <c r="L21" i="10"/>
  <c r="M21" i="10"/>
  <c r="N21" i="10"/>
  <c r="O21" i="10"/>
  <c r="F29" i="10"/>
  <c r="G29" i="10"/>
  <c r="H29" i="10"/>
  <c r="I29" i="10"/>
  <c r="J29" i="10"/>
  <c r="K29" i="10"/>
  <c r="L29" i="10"/>
  <c r="M29" i="10"/>
  <c r="N29" i="10"/>
  <c r="O29" i="10"/>
  <c r="F30" i="10"/>
  <c r="G30" i="10"/>
  <c r="H30" i="10"/>
  <c r="I30" i="10"/>
  <c r="J30" i="10"/>
  <c r="K30" i="10"/>
  <c r="L30" i="10"/>
  <c r="M30" i="10"/>
  <c r="N30" i="10"/>
  <c r="O30" i="10"/>
  <c r="F31" i="10"/>
  <c r="G31" i="10"/>
  <c r="H31" i="10"/>
  <c r="I31" i="10"/>
  <c r="J31" i="10"/>
  <c r="K31" i="10"/>
  <c r="L31" i="10"/>
  <c r="M31" i="10"/>
  <c r="N31" i="10"/>
  <c r="O31" i="10"/>
  <c r="F38" i="10"/>
  <c r="G38" i="10"/>
  <c r="H38" i="10"/>
  <c r="I38" i="10"/>
  <c r="J38" i="10"/>
  <c r="K38" i="10"/>
  <c r="L38" i="10"/>
  <c r="M38" i="10"/>
  <c r="N38" i="10"/>
  <c r="O38" i="10"/>
  <c r="F40" i="10"/>
  <c r="G40" i="10"/>
  <c r="H40" i="10"/>
  <c r="I40" i="10"/>
  <c r="J40" i="10"/>
  <c r="K40" i="10"/>
  <c r="L40" i="10"/>
  <c r="M40" i="10"/>
  <c r="N40" i="10"/>
  <c r="O40" i="10"/>
  <c r="G41" i="10"/>
  <c r="H41" i="10"/>
  <c r="I41" i="10"/>
  <c r="J41" i="10"/>
  <c r="K41" i="10"/>
  <c r="L41" i="10"/>
  <c r="M41" i="10"/>
  <c r="N41" i="10"/>
  <c r="O41" i="10"/>
  <c r="F42" i="10"/>
  <c r="G42" i="10"/>
  <c r="H42" i="10"/>
  <c r="I42" i="10"/>
  <c r="J42" i="10"/>
  <c r="K42" i="10"/>
  <c r="L42" i="10"/>
  <c r="M42" i="10"/>
  <c r="N42" i="10"/>
  <c r="O42" i="10"/>
  <c r="F9" i="11"/>
  <c r="G9" i="11"/>
  <c r="H9" i="11"/>
  <c r="I9" i="11"/>
  <c r="J9" i="11"/>
  <c r="K9" i="11"/>
  <c r="L9" i="11"/>
  <c r="M9" i="11"/>
  <c r="N9" i="11"/>
  <c r="O9" i="11"/>
  <c r="F11" i="11"/>
  <c r="G11" i="11"/>
  <c r="H11" i="11"/>
  <c r="I11" i="11"/>
  <c r="J11" i="11"/>
  <c r="K11" i="11"/>
  <c r="L11" i="11"/>
  <c r="M11" i="11"/>
  <c r="N11" i="11"/>
  <c r="O11" i="11"/>
  <c r="G12" i="11"/>
  <c r="H12" i="11"/>
  <c r="I12" i="11"/>
  <c r="J12" i="11"/>
  <c r="K12" i="11"/>
  <c r="L12" i="11"/>
  <c r="M12" i="11"/>
  <c r="N12" i="11"/>
  <c r="O12" i="11"/>
  <c r="G13" i="11"/>
  <c r="H13" i="11"/>
  <c r="I13" i="11"/>
  <c r="J13" i="11"/>
  <c r="K13" i="11"/>
  <c r="L13" i="11"/>
  <c r="M13" i="11"/>
  <c r="N13" i="11"/>
  <c r="O13" i="11"/>
  <c r="F14" i="11"/>
  <c r="G14" i="11"/>
  <c r="H14" i="11"/>
  <c r="I14" i="11"/>
  <c r="J14" i="11"/>
  <c r="K14" i="11"/>
  <c r="L14" i="11"/>
  <c r="M14" i="11"/>
  <c r="N14" i="11"/>
  <c r="O14" i="11"/>
  <c r="G23" i="11"/>
  <c r="H23" i="11"/>
  <c r="I23" i="11"/>
  <c r="J23" i="11"/>
  <c r="K23" i="11"/>
  <c r="L23" i="11"/>
  <c r="M23" i="11"/>
  <c r="N23" i="11"/>
  <c r="O23" i="11"/>
  <c r="F24" i="11"/>
  <c r="G24" i="11"/>
  <c r="H24" i="11"/>
  <c r="I24" i="11"/>
  <c r="J24" i="11"/>
  <c r="K24" i="11"/>
  <c r="L24" i="11"/>
  <c r="M24" i="11"/>
  <c r="N24" i="11"/>
  <c r="O24" i="11"/>
  <c r="F25" i="11"/>
  <c r="G25" i="11"/>
  <c r="H25" i="11"/>
  <c r="I25" i="11"/>
  <c r="J25" i="11"/>
  <c r="K25" i="11"/>
  <c r="L25" i="11"/>
  <c r="M25" i="11"/>
  <c r="N25" i="11"/>
  <c r="O25" i="11"/>
  <c r="F28" i="11"/>
  <c r="G28" i="11"/>
  <c r="H28" i="11"/>
  <c r="I28" i="11"/>
  <c r="J28" i="11"/>
  <c r="K28" i="11"/>
  <c r="L28" i="11"/>
  <c r="M28" i="11"/>
  <c r="N28" i="11"/>
  <c r="O28" i="11"/>
  <c r="F29" i="11"/>
  <c r="G29" i="11"/>
  <c r="H29" i="11"/>
  <c r="I29" i="11"/>
  <c r="J29" i="11"/>
  <c r="K29" i="11"/>
  <c r="L29" i="11"/>
  <c r="M29" i="11"/>
  <c r="N29" i="11"/>
  <c r="O29" i="11"/>
  <c r="G39" i="11"/>
  <c r="H39" i="11"/>
  <c r="I39" i="11"/>
  <c r="J39" i="11"/>
  <c r="K39" i="11"/>
  <c r="L39" i="11"/>
  <c r="M39" i="11"/>
  <c r="N39" i="11"/>
  <c r="O39" i="11"/>
  <c r="G40" i="11"/>
  <c r="H40" i="11"/>
  <c r="I40" i="11"/>
  <c r="J40" i="11"/>
  <c r="K40" i="11"/>
  <c r="L40" i="11"/>
  <c r="M40" i="11"/>
  <c r="N40" i="11"/>
  <c r="O40" i="11"/>
  <c r="F41" i="11"/>
  <c r="G41" i="11"/>
  <c r="H41" i="11"/>
  <c r="I41" i="11"/>
  <c r="J41" i="11"/>
  <c r="K41" i="11"/>
  <c r="L41" i="11"/>
  <c r="M41" i="11"/>
  <c r="N41" i="11"/>
  <c r="O41" i="11"/>
  <c r="F42" i="11"/>
  <c r="G42" i="11"/>
  <c r="H42" i="11"/>
  <c r="I42" i="11"/>
  <c r="J42" i="11"/>
  <c r="K42" i="11"/>
  <c r="L42" i="11"/>
  <c r="M42" i="11"/>
  <c r="N42" i="11"/>
  <c r="O42" i="11"/>
  <c r="F45" i="11"/>
  <c r="G45" i="11"/>
  <c r="H45" i="11"/>
  <c r="I45" i="11"/>
  <c r="J45" i="11"/>
  <c r="K45" i="11"/>
  <c r="L45" i="11"/>
  <c r="M45" i="11"/>
  <c r="N45" i="11"/>
  <c r="O45" i="11"/>
  <c r="G54" i="11"/>
  <c r="H54" i="11"/>
  <c r="I54" i="11"/>
  <c r="J54" i="11"/>
  <c r="K54" i="11"/>
  <c r="L54" i="11"/>
  <c r="M54" i="11"/>
  <c r="N54" i="11"/>
  <c r="O54" i="11"/>
  <c r="G55" i="11"/>
  <c r="H55" i="11"/>
  <c r="I55" i="11"/>
  <c r="J55" i="11"/>
  <c r="K55" i="11"/>
  <c r="L55" i="11"/>
  <c r="M55" i="11"/>
  <c r="N55" i="11"/>
  <c r="O55" i="11"/>
  <c r="F56" i="11"/>
  <c r="G56" i="11"/>
  <c r="H56" i="11"/>
  <c r="I56" i="11"/>
  <c r="J56" i="11"/>
  <c r="K56" i="11"/>
  <c r="L56" i="11"/>
  <c r="M56" i="11"/>
  <c r="N56" i="11"/>
  <c r="O56" i="11"/>
  <c r="F57" i="11"/>
  <c r="G57" i="11"/>
  <c r="H57" i="11"/>
  <c r="I57" i="11"/>
  <c r="J57" i="11"/>
  <c r="K57" i="11"/>
  <c r="L57" i="11"/>
  <c r="M57" i="11"/>
  <c r="N57" i="11"/>
  <c r="O57" i="11"/>
  <c r="F60" i="11"/>
  <c r="G60" i="11"/>
  <c r="H60" i="11"/>
  <c r="I60" i="11"/>
  <c r="J60" i="11"/>
  <c r="K60" i="11"/>
  <c r="L60" i="11"/>
  <c r="M60" i="11"/>
  <c r="N60" i="11"/>
  <c r="O60" i="11"/>
  <c r="J26" i="8"/>
  <c r="K26" i="8"/>
  <c r="L26" i="8"/>
  <c r="M26" i="8"/>
  <c r="N26" i="8"/>
  <c r="O26" i="8"/>
  <c r="P26" i="8"/>
  <c r="Q26" i="8"/>
  <c r="R26" i="8"/>
  <c r="S26" i="8"/>
  <c r="J27" i="8"/>
  <c r="K27" i="8"/>
  <c r="L27" i="8"/>
  <c r="M27" i="8"/>
  <c r="N27" i="8"/>
  <c r="O27" i="8"/>
  <c r="P27" i="8"/>
  <c r="Q27" i="8"/>
  <c r="R27" i="8"/>
  <c r="S27" i="8"/>
  <c r="J28" i="8"/>
  <c r="K28" i="8"/>
  <c r="L28" i="8"/>
  <c r="M28" i="8"/>
  <c r="N28" i="8"/>
  <c r="O28" i="8"/>
  <c r="P28" i="8"/>
  <c r="Q28" i="8"/>
  <c r="R28" i="8"/>
  <c r="S28" i="8"/>
  <c r="I32" i="8"/>
  <c r="J32" i="8"/>
  <c r="K32" i="8"/>
  <c r="L32" i="8"/>
  <c r="M32" i="8"/>
  <c r="N32" i="8"/>
  <c r="O32" i="8"/>
  <c r="P32" i="8"/>
  <c r="Q32" i="8"/>
  <c r="R32" i="8"/>
  <c r="S32" i="8"/>
  <c r="I34" i="8"/>
  <c r="J34" i="8"/>
  <c r="K34" i="8"/>
  <c r="L34" i="8"/>
  <c r="M34" i="8"/>
  <c r="N34" i="8"/>
  <c r="O34" i="8"/>
  <c r="P34" i="8"/>
  <c r="Q34" i="8"/>
  <c r="R34" i="8"/>
  <c r="S34" i="8"/>
  <c r="I36" i="8"/>
  <c r="J36" i="8"/>
  <c r="K36" i="8"/>
  <c r="L36" i="8"/>
  <c r="M36" i="8"/>
  <c r="N36" i="8"/>
  <c r="O36" i="8"/>
  <c r="P36" i="8"/>
  <c r="Q36" i="8"/>
  <c r="R36" i="8"/>
  <c r="S36" i="8"/>
  <c r="J37" i="8"/>
  <c r="K37" i="8"/>
  <c r="L37" i="8"/>
  <c r="M37" i="8"/>
  <c r="N37" i="8"/>
  <c r="O37" i="8"/>
  <c r="P37" i="8"/>
  <c r="Q37" i="8"/>
  <c r="R37" i="8"/>
  <c r="S37" i="8"/>
  <c r="J38" i="8"/>
  <c r="K38" i="8"/>
  <c r="L38" i="8"/>
  <c r="M38" i="8"/>
  <c r="N38" i="8"/>
  <c r="O38" i="8"/>
  <c r="P38" i="8"/>
  <c r="Q38" i="8"/>
  <c r="R38" i="8"/>
  <c r="S38" i="8"/>
  <c r="J40" i="8"/>
  <c r="K40" i="8"/>
  <c r="L40" i="8"/>
  <c r="M40" i="8"/>
  <c r="N40" i="8"/>
  <c r="O40" i="8"/>
  <c r="P40" i="8"/>
  <c r="Q40" i="8"/>
  <c r="R40" i="8"/>
  <c r="S40" i="8"/>
  <c r="J41" i="8"/>
  <c r="K41" i="8"/>
  <c r="L41" i="8"/>
  <c r="M41" i="8"/>
  <c r="N41" i="8"/>
  <c r="O41" i="8"/>
  <c r="P41" i="8"/>
  <c r="Q41" i="8"/>
  <c r="R41" i="8"/>
  <c r="S41" i="8"/>
  <c r="J42" i="8"/>
  <c r="K42" i="8"/>
  <c r="L42" i="8"/>
  <c r="M42" i="8"/>
  <c r="N42" i="8"/>
  <c r="O42" i="8"/>
  <c r="P42" i="8"/>
  <c r="Q42" i="8"/>
  <c r="R42" i="8"/>
  <c r="S42" i="8"/>
  <c r="J43" i="8"/>
  <c r="K43" i="8"/>
  <c r="L43" i="8"/>
  <c r="M43" i="8"/>
  <c r="N43" i="8"/>
  <c r="O43" i="8"/>
  <c r="P43" i="8"/>
  <c r="Q43" i="8"/>
  <c r="R43" i="8"/>
  <c r="S43" i="8"/>
  <c r="G13" i="12"/>
  <c r="H13" i="12"/>
  <c r="I13" i="12"/>
  <c r="J13" i="12"/>
  <c r="K13" i="12"/>
  <c r="L13" i="12"/>
  <c r="M13" i="12"/>
  <c r="N13" i="12"/>
  <c r="O13" i="12"/>
  <c r="P13" i="12"/>
  <c r="G14" i="12"/>
  <c r="H14" i="12"/>
  <c r="I14" i="12"/>
  <c r="J14" i="12"/>
  <c r="K14" i="12"/>
  <c r="L14" i="12"/>
  <c r="M14" i="12"/>
  <c r="N14" i="12"/>
  <c r="O14" i="12"/>
  <c r="P14" i="12"/>
  <c r="G15" i="12"/>
  <c r="H15" i="12"/>
  <c r="I15" i="12"/>
  <c r="J15" i="12"/>
  <c r="K15" i="12"/>
  <c r="L15" i="12"/>
  <c r="M15" i="12"/>
  <c r="N15" i="12"/>
  <c r="O15" i="12"/>
  <c r="P15" i="12"/>
  <c r="G20" i="12"/>
  <c r="H20" i="12"/>
  <c r="I20" i="12"/>
  <c r="J20" i="12"/>
  <c r="K20" i="12"/>
  <c r="L20" i="12"/>
  <c r="M20" i="12"/>
  <c r="N20" i="12"/>
  <c r="O20" i="12"/>
  <c r="P20" i="12"/>
  <c r="G21" i="12"/>
  <c r="H21" i="12"/>
  <c r="I21" i="12"/>
  <c r="J21" i="12"/>
  <c r="K21" i="12"/>
  <c r="L21" i="12"/>
  <c r="M21" i="12"/>
  <c r="N21" i="12"/>
  <c r="O21" i="12"/>
  <c r="P21" i="12"/>
  <c r="G22" i="12"/>
  <c r="H22" i="12"/>
  <c r="I22" i="12"/>
  <c r="J22" i="12"/>
  <c r="K22" i="12"/>
  <c r="L22" i="12"/>
  <c r="M22" i="12"/>
  <c r="N22" i="12"/>
  <c r="O22" i="12"/>
  <c r="P22" i="12"/>
  <c r="G24" i="12"/>
  <c r="H24" i="12"/>
  <c r="I24" i="12"/>
  <c r="J24" i="12"/>
  <c r="K24" i="12"/>
  <c r="L24" i="12"/>
  <c r="M24" i="12"/>
  <c r="N24" i="12"/>
  <c r="O24" i="12"/>
  <c r="P24" i="12"/>
  <c r="G26" i="12"/>
  <c r="H26" i="12"/>
  <c r="I26" i="12"/>
  <c r="J26" i="12"/>
  <c r="K26" i="12"/>
  <c r="L26" i="12"/>
  <c r="M26" i="12"/>
  <c r="N26" i="12"/>
  <c r="O26" i="12"/>
  <c r="P26" i="12"/>
  <c r="G31" i="12"/>
  <c r="H32" i="12"/>
  <c r="I33" i="12"/>
  <c r="J34" i="12"/>
  <c r="K35" i="12"/>
  <c r="L36" i="12"/>
  <c r="M37" i="12"/>
  <c r="N38" i="12"/>
  <c r="O39" i="12"/>
  <c r="P40" i="12"/>
  <c r="G41" i="12"/>
  <c r="H41" i="12"/>
  <c r="I41" i="12"/>
  <c r="J41" i="12"/>
  <c r="K41" i="12"/>
  <c r="L41" i="12"/>
  <c r="M41" i="12"/>
  <c r="N41" i="12"/>
  <c r="O41" i="12"/>
  <c r="P41" i="12"/>
  <c r="C46" i="12"/>
  <c r="L47" i="12"/>
  <c r="M47" i="12"/>
  <c r="N47" i="12"/>
  <c r="O47" i="12"/>
  <c r="P47" i="12"/>
  <c r="D59" i="12"/>
  <c r="E59" i="12"/>
  <c r="F59" i="12"/>
  <c r="G59" i="12"/>
  <c r="H59" i="12"/>
  <c r="R10" i="7"/>
  <c r="R11" i="7"/>
  <c r="H39" i="7"/>
  <c r="I39" i="7"/>
  <c r="J39" i="7"/>
  <c r="K39" i="7"/>
  <c r="L39" i="7"/>
  <c r="M39" i="7"/>
  <c r="N39" i="7"/>
  <c r="O39" i="7"/>
  <c r="P39" i="7"/>
  <c r="Q39" i="7"/>
  <c r="R39" i="7"/>
  <c r="H40" i="7"/>
  <c r="I40" i="7"/>
  <c r="J40" i="7"/>
  <c r="K40" i="7"/>
  <c r="L40" i="7"/>
  <c r="M40" i="7"/>
  <c r="N40" i="7"/>
  <c r="O40" i="7"/>
  <c r="P40" i="7"/>
  <c r="Q40" i="7"/>
  <c r="R40"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Chuck Brobst</author>
  </authors>
  <commentList>
    <comment ref="D8" authorId="0" shapeId="0" xr:uid="{EAA8F2C9-A389-4668-81E2-CF2FA31D2270}">
      <text>
        <r>
          <rPr>
            <b/>
            <sz val="9"/>
            <color indexed="81"/>
            <rFont val="Tahoma"/>
            <family val="2"/>
          </rPr>
          <t>Each row of D9:D16 is worth 1 point</t>
        </r>
      </text>
    </comment>
    <comment ref="K8" authorId="0" shapeId="0" xr:uid="{3FD337E9-478F-4B75-B069-086CDD75800A}">
      <text>
        <r>
          <rPr>
            <b/>
            <sz val="9"/>
            <color indexed="81"/>
            <rFont val="Tahoma"/>
            <family val="2"/>
          </rPr>
          <t>Each row of K9:K14 is worth 1 point</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Chuck Brobst</author>
  </authors>
  <commentList>
    <comment ref="G6" authorId="0" shapeId="0" xr:uid="{30F08D3B-6787-4EC1-8386-2AE3DB53A4B5}">
      <text>
        <r>
          <rPr>
            <b/>
            <sz val="9"/>
            <color indexed="81"/>
            <rFont val="Tahoma"/>
            <family val="2"/>
          </rPr>
          <t>1 point</t>
        </r>
      </text>
    </comment>
    <comment ref="F13" authorId="0" shapeId="0" xr:uid="{CE170073-AE4B-48C4-9555-712A250B1475}">
      <text>
        <r>
          <rPr>
            <b/>
            <sz val="9"/>
            <color indexed="81"/>
            <rFont val="Tahoma"/>
            <family val="2"/>
          </rPr>
          <t>1 point</t>
        </r>
      </text>
    </comment>
    <comment ref="G13" authorId="0" shapeId="0" xr:uid="{DBD3AECB-3442-4F22-93BE-1C5451C9CB22}">
      <text>
        <r>
          <rPr>
            <b/>
            <sz val="9"/>
            <color indexed="81"/>
            <rFont val="Tahoma"/>
            <family val="2"/>
          </rPr>
          <t>1 point</t>
        </r>
      </text>
    </comment>
    <comment ref="F16" authorId="0" shapeId="0" xr:uid="{5456C450-86F5-4396-A53C-D79BB688B50B}">
      <text>
        <r>
          <rPr>
            <b/>
            <sz val="9"/>
            <color indexed="81"/>
            <rFont val="Tahoma"/>
            <family val="2"/>
          </rPr>
          <t>1 point</t>
        </r>
        <r>
          <rPr>
            <sz val="9"/>
            <color indexed="81"/>
            <rFont val="Tahoma"/>
            <family val="2"/>
          </rPr>
          <t xml:space="preserve">
</t>
        </r>
      </text>
    </comment>
    <comment ref="F24" authorId="0" shapeId="0" xr:uid="{7FE50E16-EC7A-4E07-B746-C2BA150E7D2B}">
      <text>
        <r>
          <rPr>
            <b/>
            <sz val="9"/>
            <color indexed="81"/>
            <rFont val="Tahoma"/>
            <family val="2"/>
          </rPr>
          <t>1 point</t>
        </r>
        <r>
          <rPr>
            <sz val="9"/>
            <color indexed="81"/>
            <rFont val="Tahoma"/>
            <family val="2"/>
          </rPr>
          <t xml:space="preserve">
</t>
        </r>
      </text>
    </comment>
    <comment ref="H24" authorId="0" shapeId="0" xr:uid="{CC295B6A-E4B6-4071-BCCA-69D3D16BF0C3}">
      <text>
        <r>
          <rPr>
            <b/>
            <sz val="9"/>
            <color indexed="81"/>
            <rFont val="Tahoma"/>
            <family val="2"/>
          </rPr>
          <t>H24:H31 is worth 2 points (total)</t>
        </r>
      </text>
    </comment>
    <comment ref="F25" authorId="0" shapeId="0" xr:uid="{23E13110-E601-4559-853F-7BF89986829C}">
      <text>
        <r>
          <rPr>
            <b/>
            <sz val="9"/>
            <color indexed="81"/>
            <rFont val="Tahoma"/>
            <family val="2"/>
          </rPr>
          <t>1 point</t>
        </r>
      </text>
    </comment>
    <comment ref="F26" authorId="0" shapeId="0" xr:uid="{DB9150F0-4CA3-4164-93D8-819221662417}">
      <text>
        <r>
          <rPr>
            <b/>
            <sz val="9"/>
            <color indexed="81"/>
            <rFont val="Tahoma"/>
            <family val="2"/>
          </rPr>
          <t>1 point</t>
        </r>
        <r>
          <rPr>
            <sz val="9"/>
            <color indexed="81"/>
            <rFont val="Tahoma"/>
            <family val="2"/>
          </rPr>
          <t xml:space="preserve">
</t>
        </r>
      </text>
    </comment>
    <comment ref="G27" authorId="0" shapeId="0" xr:uid="{41D43DFA-0E8E-4B5B-9DD0-000079AE8F9F}">
      <text>
        <r>
          <rPr>
            <b/>
            <sz val="9"/>
            <color indexed="81"/>
            <rFont val="Tahoma"/>
            <family val="2"/>
          </rPr>
          <t>1 point</t>
        </r>
        <r>
          <rPr>
            <sz val="9"/>
            <color indexed="81"/>
            <rFont val="Tahoma"/>
            <family val="2"/>
          </rPr>
          <t xml:space="preserve">
</t>
        </r>
      </text>
    </comment>
    <comment ref="F28" authorId="0" shapeId="0" xr:uid="{30476A9C-B52A-4D80-84E5-64990A6B3639}">
      <text>
        <r>
          <rPr>
            <b/>
            <sz val="9"/>
            <color indexed="81"/>
            <rFont val="Tahoma"/>
            <family val="2"/>
          </rPr>
          <t>1 point</t>
        </r>
        <r>
          <rPr>
            <sz val="9"/>
            <color indexed="81"/>
            <rFont val="Tahoma"/>
            <family val="2"/>
          </rPr>
          <t xml:space="preserve">
</t>
        </r>
      </text>
    </comment>
    <comment ref="F29" authorId="0" shapeId="0" xr:uid="{FE583950-13DF-4624-87D1-77490F4FE057}">
      <text>
        <r>
          <rPr>
            <b/>
            <sz val="9"/>
            <color indexed="81"/>
            <rFont val="Tahoma"/>
            <family val="2"/>
          </rPr>
          <t>1 point</t>
        </r>
        <r>
          <rPr>
            <sz val="9"/>
            <color indexed="81"/>
            <rFont val="Tahoma"/>
            <family val="2"/>
          </rPr>
          <t xml:space="preserve">
</t>
        </r>
      </text>
    </comment>
    <comment ref="G30" authorId="0" shapeId="0" xr:uid="{7620C241-95E8-45EC-BBE7-DAD0840F734C}">
      <text>
        <r>
          <rPr>
            <b/>
            <sz val="9"/>
            <color indexed="81"/>
            <rFont val="Tahoma"/>
            <family val="2"/>
          </rPr>
          <t>1 point</t>
        </r>
        <r>
          <rPr>
            <sz val="9"/>
            <color indexed="81"/>
            <rFont val="Tahoma"/>
            <family val="2"/>
          </rPr>
          <t xml:space="preserve">
</t>
        </r>
      </text>
    </comment>
    <comment ref="F31" authorId="0" shapeId="0" xr:uid="{423F4478-807D-4FCB-87D7-0F4D2B8FCDE1}">
      <text>
        <r>
          <rPr>
            <b/>
            <sz val="9"/>
            <color indexed="81"/>
            <rFont val="Tahoma"/>
            <family val="2"/>
          </rPr>
          <t>1 point</t>
        </r>
        <r>
          <rPr>
            <sz val="9"/>
            <color indexed="81"/>
            <rFont val="Tahoma"/>
            <family val="2"/>
          </rPr>
          <t xml:space="preserve">
</t>
        </r>
      </text>
    </comment>
    <comment ref="F38" authorId="0" shapeId="0" xr:uid="{1840C8F6-85F6-4EFE-9C48-EEC99F50727D}">
      <text>
        <r>
          <rPr>
            <b/>
            <sz val="9"/>
            <color indexed="81"/>
            <rFont val="Tahoma"/>
            <family val="2"/>
          </rPr>
          <t>1 point</t>
        </r>
        <r>
          <rPr>
            <sz val="9"/>
            <color indexed="81"/>
            <rFont val="Tahoma"/>
            <family val="2"/>
          </rPr>
          <t xml:space="preserve">
</t>
        </r>
      </text>
    </comment>
    <comment ref="G38" authorId="0" shapeId="0" xr:uid="{3FC562A0-95FA-494E-A2A1-465925600420}">
      <text>
        <r>
          <rPr>
            <b/>
            <sz val="9"/>
            <color indexed="81"/>
            <rFont val="Tahoma"/>
            <family val="2"/>
          </rPr>
          <t>1 point</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Chuck Brobst</author>
  </authors>
  <commentList>
    <comment ref="F24" authorId="0" shapeId="0" xr:uid="{76ABD3A5-06D0-4C73-810A-16449A824356}">
      <text>
        <r>
          <rPr>
            <sz val="9"/>
            <color indexed="81"/>
            <rFont val="Tahoma"/>
            <family val="2"/>
          </rPr>
          <t>IF there is a non-zero beginning balance
THEN pay the lower of positive cash available or the beginning balance
ELSE draw down the lesser of the cash deficit or 0 
(Carefully note the sign)</t>
        </r>
      </text>
    </comment>
    <comment ref="F27" authorId="0" shapeId="0" xr:uid="{C2DFDDD0-7A09-4E39-B606-8DC160FBB056}">
      <text>
        <r>
          <rPr>
            <sz val="9"/>
            <color rgb="FF000000"/>
            <rFont val="Tahoma"/>
            <family val="2"/>
          </rPr>
          <t xml:space="preserve">The interest rate on the revolver is L + spread. 
</t>
        </r>
        <r>
          <rPr>
            <sz val="9"/>
            <color rgb="FF000000"/>
            <rFont val="Tahoma"/>
            <family val="2"/>
          </rPr>
          <t xml:space="preserve">
</t>
        </r>
        <r>
          <rPr>
            <sz val="9"/>
            <color rgb="FF000000"/>
            <rFont val="Tahoma"/>
            <family val="2"/>
          </rPr>
          <t>Note there is a LIBOR floor.  When the floor rate is positive, the borrower pays the maximum (LIBOR or Floor rate) + spread</t>
        </r>
      </text>
    </comment>
    <comment ref="F28" authorId="0" shapeId="0" xr:uid="{FE733F37-7A52-4C3E-A3D5-703C35B18813}">
      <text>
        <r>
          <rPr>
            <sz val="9"/>
            <color rgb="FF000000"/>
            <rFont val="Tahoma"/>
            <family val="2"/>
          </rPr>
          <t>on average balances outstanding during the year</t>
        </r>
      </text>
    </comment>
    <comment ref="F29" authorId="0" shapeId="0" xr:uid="{ACE2E71A-901E-404F-83FE-1ECD1C77CB93}">
      <text>
        <r>
          <rPr>
            <sz val="9"/>
            <color rgb="FF000000"/>
            <rFont val="Tahoma"/>
            <family val="2"/>
          </rPr>
          <t>The commitment fee is charged on the undrawn amount of the revolver.  To determine how much is undrawn, use the "average" balance outstanding during the period.</t>
        </r>
      </text>
    </comment>
    <comment ref="F40" authorId="0" shapeId="0" xr:uid="{0FC9012A-2C43-4456-BFEA-352A7F6E0E57}">
      <text>
        <r>
          <rPr>
            <sz val="9"/>
            <color rgb="FF000000"/>
            <rFont val="Tahoma"/>
            <family val="2"/>
          </rPr>
          <t xml:space="preserve">IF beginning balance is greater than the (TLA Size x current period repayment schedule) 
</t>
        </r>
        <r>
          <rPr>
            <sz val="9"/>
            <color rgb="FF000000"/>
            <rFont val="Tahoma"/>
            <family val="2"/>
          </rPr>
          <t xml:space="preserve">
</t>
        </r>
        <r>
          <rPr>
            <sz val="9"/>
            <color rgb="FF000000"/>
            <rFont val="Tahoma"/>
            <family val="2"/>
          </rPr>
          <t xml:space="preserve">THEN pay (TLA Size x current period repayment schedule)
</t>
        </r>
        <r>
          <rPr>
            <sz val="9"/>
            <color rgb="FF000000"/>
            <rFont val="Tahoma"/>
            <family val="2"/>
          </rPr>
          <t xml:space="preserve">
</t>
        </r>
        <r>
          <rPr>
            <sz val="9"/>
            <color rgb="FF000000"/>
            <rFont val="Tahoma"/>
            <family val="2"/>
          </rPr>
          <t xml:space="preserve">ELSE IF beginning balance is &gt; 0
</t>
        </r>
        <r>
          <rPr>
            <sz val="9"/>
            <color rgb="FF000000"/>
            <rFont val="Tahoma"/>
            <family val="2"/>
          </rPr>
          <t xml:space="preserve">
</t>
        </r>
        <r>
          <rPr>
            <sz val="9"/>
            <color rgb="FF000000"/>
            <rFont val="Tahoma"/>
            <family val="2"/>
          </rPr>
          <t xml:space="preserve">THEN pay beginning balance
</t>
        </r>
        <r>
          <rPr>
            <sz val="9"/>
            <color rgb="FF000000"/>
            <rFont val="Tahoma"/>
            <family val="2"/>
          </rPr>
          <t xml:space="preserve">
</t>
        </r>
        <r>
          <rPr>
            <sz val="9"/>
            <color rgb="FF000000"/>
            <rFont val="Tahoma"/>
            <family val="2"/>
          </rPr>
          <t>ELSE pay 0</t>
        </r>
      </text>
    </comment>
    <comment ref="F41" authorId="0" shapeId="0" xr:uid="{9E27D12D-3E67-4D6F-A836-8B978B5A07FA}">
      <text>
        <r>
          <rPr>
            <sz val="9"/>
            <color rgb="FF000000"/>
            <rFont val="Tahoma"/>
            <family val="2"/>
          </rPr>
          <t xml:space="preserve">IF CashSweep indicates that we intend to make optional debt repayments
</t>
        </r>
        <r>
          <rPr>
            <sz val="9"/>
            <color rgb="FF000000"/>
            <rFont val="Tahoma"/>
            <family val="2"/>
          </rPr>
          <t xml:space="preserve">
</t>
        </r>
        <r>
          <rPr>
            <sz val="9"/>
            <color rgb="FF000000"/>
            <rFont val="Tahoma"/>
            <family val="2"/>
          </rPr>
          <t xml:space="preserve">THEN repay either the entire remaining balance OR use remaining available cash
</t>
        </r>
        <r>
          <rPr>
            <sz val="9"/>
            <color rgb="FF000000"/>
            <rFont val="Tahoma"/>
            <family val="2"/>
          </rPr>
          <t xml:space="preserve">
</t>
        </r>
        <r>
          <rPr>
            <sz val="9"/>
            <color rgb="FF000000"/>
            <rFont val="Tahoma"/>
            <family val="2"/>
          </rPr>
          <t>ELSE do not make an optional repayment</t>
        </r>
      </text>
    </comment>
    <comment ref="F55" authorId="0" shapeId="0" xr:uid="{6908F3F0-851B-480B-97A4-5622205B9684}">
      <text>
        <r>
          <rPr>
            <sz val="9"/>
            <color rgb="FF000000"/>
            <rFont val="Tahoma"/>
            <family val="2"/>
          </rPr>
          <t xml:space="preserve">IF beginning balance is greater than the (TLB Size x current period repayment schedule) 
</t>
        </r>
        <r>
          <rPr>
            <sz val="9"/>
            <color rgb="FF000000"/>
            <rFont val="Tahoma"/>
            <family val="2"/>
          </rPr>
          <t xml:space="preserve">
</t>
        </r>
        <r>
          <rPr>
            <sz val="9"/>
            <color rgb="FF000000"/>
            <rFont val="Tahoma"/>
            <family val="2"/>
          </rPr>
          <t xml:space="preserve">THEN pay (TLB Size x current period repayment schedule)
</t>
        </r>
        <r>
          <rPr>
            <sz val="9"/>
            <color rgb="FF000000"/>
            <rFont val="Tahoma"/>
            <family val="2"/>
          </rPr>
          <t xml:space="preserve">
</t>
        </r>
        <r>
          <rPr>
            <sz val="9"/>
            <color rgb="FF000000"/>
            <rFont val="Tahoma"/>
            <family val="2"/>
          </rPr>
          <t xml:space="preserve">ELSE IF beginning balance is &gt; 0
</t>
        </r>
        <r>
          <rPr>
            <sz val="9"/>
            <color rgb="FF000000"/>
            <rFont val="Tahoma"/>
            <family val="2"/>
          </rPr>
          <t xml:space="preserve">
</t>
        </r>
        <r>
          <rPr>
            <sz val="9"/>
            <color rgb="FF000000"/>
            <rFont val="Tahoma"/>
            <family val="2"/>
          </rPr>
          <t xml:space="preserve">THEN pay beginning balance
</t>
        </r>
        <r>
          <rPr>
            <sz val="9"/>
            <color rgb="FF000000"/>
            <rFont val="Tahoma"/>
            <family val="2"/>
          </rPr>
          <t xml:space="preserve">
</t>
        </r>
        <r>
          <rPr>
            <sz val="9"/>
            <color rgb="FF000000"/>
            <rFont val="Tahoma"/>
            <family val="2"/>
          </rPr>
          <t>ELSE pay 0</t>
        </r>
      </text>
    </comment>
    <comment ref="F56" authorId="0" shapeId="0" xr:uid="{FE312323-1744-4187-B6A3-BA9135582F45}">
      <text>
        <r>
          <rPr>
            <sz val="9"/>
            <color rgb="FF000000"/>
            <rFont val="Tahoma"/>
            <family val="2"/>
          </rPr>
          <t xml:space="preserve">IF CashSweep indicates that we intend to make optional debt repayments
</t>
        </r>
        <r>
          <rPr>
            <sz val="9"/>
            <color rgb="FF000000"/>
            <rFont val="Tahoma"/>
            <family val="2"/>
          </rPr>
          <t xml:space="preserve">
</t>
        </r>
        <r>
          <rPr>
            <sz val="9"/>
            <color rgb="FF000000"/>
            <rFont val="Tahoma"/>
            <family val="2"/>
          </rPr>
          <t xml:space="preserve">THEN repay either the entire remaining balance OR use remaining available cash
</t>
        </r>
        <r>
          <rPr>
            <sz val="9"/>
            <color rgb="FF000000"/>
            <rFont val="Tahoma"/>
            <family val="2"/>
          </rPr>
          <t xml:space="preserve">
</t>
        </r>
        <r>
          <rPr>
            <sz val="9"/>
            <color rgb="FF000000"/>
            <rFont val="Tahoma"/>
            <family val="2"/>
          </rPr>
          <t>ELSE do not make an optional repayment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<sst xmlns="http://schemas.openxmlformats.org/spreadsheetml/2006/main" count="1174" uniqueCount="464">
  <si>
    <t>($ in millions, fiscal year ending December 31)</t>
  </si>
  <si>
    <t>Income Statement</t>
  </si>
  <si>
    <t>LBO Analysis</t>
  </si>
  <si>
    <t>Transaction Summary</t>
  </si>
  <si>
    <t>% of Total</t>
  </si>
  <si>
    <t>Multiple of EBITDA</t>
  </si>
  <si>
    <t>Amount</t>
  </si>
  <si>
    <t>Sources</t>
  </si>
  <si>
    <t>Cumulative</t>
  </si>
  <si>
    <t>Pricing</t>
  </si>
  <si>
    <t>Uses of Funds</t>
  </si>
  <si>
    <t>Uses</t>
  </si>
  <si>
    <t>Sources of Funds</t>
  </si>
  <si>
    <t>Revolver</t>
  </si>
  <si>
    <t>Term Loan A</t>
  </si>
  <si>
    <t>Term Loan B</t>
  </si>
  <si>
    <t>2nd Lien</t>
  </si>
  <si>
    <t>Senior Notes</t>
  </si>
  <si>
    <t>Senior Subordinated Notes</t>
  </si>
  <si>
    <t>Equity Contribution</t>
  </si>
  <si>
    <t>Cash on Hand</t>
  </si>
  <si>
    <t>Purchase Target Equity</t>
  </si>
  <si>
    <t>Financing Fees</t>
  </si>
  <si>
    <t>Tender / Call Premiums</t>
  </si>
  <si>
    <t>Other Fees and Expenses</t>
  </si>
  <si>
    <t>Purchase Price</t>
  </si>
  <si>
    <t>Returns Analysis</t>
  </si>
  <si>
    <t>Equity Purchase Price</t>
  </si>
  <si>
    <t xml:space="preserve">  Equity Purchase Price</t>
  </si>
  <si>
    <t>Plus: Preferred Equity</t>
  </si>
  <si>
    <t>Less: Cash and Equivalents</t>
  </si>
  <si>
    <t>Plus: Existing Debt</t>
  </si>
  <si>
    <t>Enterprise Value</t>
  </si>
  <si>
    <t xml:space="preserve">  Total Sources</t>
  </si>
  <si>
    <t xml:space="preserve">  Total Uses</t>
  </si>
  <si>
    <t>Transaction Multiples</t>
  </si>
  <si>
    <t>Enterprise Value / Sales</t>
  </si>
  <si>
    <t>Enterprise Value / EBITDA</t>
  </si>
  <si>
    <t>Historical Period</t>
  </si>
  <si>
    <t>LTM</t>
  </si>
  <si>
    <t>Pro forma</t>
  </si>
  <si>
    <t>Projection Period</t>
  </si>
  <si>
    <t>Settings</t>
  </si>
  <si>
    <t>Financing Structure</t>
  </si>
  <si>
    <t>Operating Scenario</t>
  </si>
  <si>
    <t>Cash Flow Sweep</t>
  </si>
  <si>
    <t>Exit Year</t>
  </si>
  <si>
    <t>Entry Multiple</t>
  </si>
  <si>
    <t>Exit Multiple</t>
  </si>
  <si>
    <t xml:space="preserve">  IRR</t>
  </si>
  <si>
    <t xml:space="preserve">  Cash Return</t>
  </si>
  <si>
    <t>Sales</t>
  </si>
  <si>
    <t xml:space="preserve">  % growth</t>
  </si>
  <si>
    <t>Cost of Goods Sold</t>
  </si>
  <si>
    <t>Gross Profit</t>
  </si>
  <si>
    <t xml:space="preserve">  % margin</t>
  </si>
  <si>
    <t>Selling, General &amp; Administrative</t>
  </si>
  <si>
    <t xml:space="preserve">  % sales</t>
  </si>
  <si>
    <t>Other Expense / (Income)</t>
  </si>
  <si>
    <t>EBITDA</t>
  </si>
  <si>
    <t>Depreciation</t>
  </si>
  <si>
    <t>Amortization</t>
  </si>
  <si>
    <t>EBIT</t>
  </si>
  <si>
    <t>Interest Expense</t>
  </si>
  <si>
    <t>Commitment Fee on Unused Revolver</t>
  </si>
  <si>
    <t>Administrative Agent Fee</t>
  </si>
  <si>
    <t xml:space="preserve">  Cash Interest Expense</t>
  </si>
  <si>
    <t>Amortization of Deferred Financing Fees</t>
  </si>
  <si>
    <t xml:space="preserve">  Total Interest Expense</t>
  </si>
  <si>
    <t>(Interest Income)</t>
  </si>
  <si>
    <t xml:space="preserve">  Net Interest Expense</t>
  </si>
  <si>
    <t>Earnings Before Taxes</t>
  </si>
  <si>
    <t>Income Taxes</t>
  </si>
  <si>
    <t xml:space="preserve">  Net Income</t>
  </si>
  <si>
    <t xml:space="preserve">    % margin</t>
  </si>
  <si>
    <t>Assumptions: Income Statement &amp; Cash Flow</t>
  </si>
  <si>
    <t>Income Statement Assumptions</t>
  </si>
  <si>
    <t>Sales (% growth)</t>
  </si>
  <si>
    <t xml:space="preserve">  Base</t>
  </si>
  <si>
    <t xml:space="preserve">  Sponsor</t>
  </si>
  <si>
    <t xml:space="preserve">  Management</t>
  </si>
  <si>
    <t xml:space="preserve">  Downside</t>
  </si>
  <si>
    <t>Cost of Goods Sold (% sales)</t>
  </si>
  <si>
    <t>SG&amp;A (% sales)</t>
  </si>
  <si>
    <t>Depreciation (% sales)</t>
  </si>
  <si>
    <t>Amortization (% sales)</t>
  </si>
  <si>
    <t>Cash Flow Statement</t>
  </si>
  <si>
    <t>Cash Flow Statement Assumptions</t>
  </si>
  <si>
    <t>Capital Expenditures (% sales)</t>
  </si>
  <si>
    <t>Assumptions: Balance Sheet</t>
  </si>
  <si>
    <t>NA</t>
  </si>
  <si>
    <t>Pro Forma</t>
  </si>
  <si>
    <t>Opening</t>
  </si>
  <si>
    <t>Adjustments</t>
  </si>
  <si>
    <t>+</t>
  </si>
  <si>
    <t>-</t>
  </si>
  <si>
    <t>Balance Sheet</t>
  </si>
  <si>
    <t>Cash and Cash Equivalents</t>
  </si>
  <si>
    <t>Accounts Receivable</t>
  </si>
  <si>
    <t>Inventories</t>
  </si>
  <si>
    <t>Prepaids and Other Current Assets</t>
  </si>
  <si>
    <t xml:space="preserve">  Total Current Assets</t>
  </si>
  <si>
    <t>Property, Plant, and Equipment, net</t>
  </si>
  <si>
    <t>Goodwill</t>
  </si>
  <si>
    <t>Intangible Assets</t>
  </si>
  <si>
    <t>Other Assets</t>
  </si>
  <si>
    <t>Deferred Financing Fees</t>
  </si>
  <si>
    <t xml:space="preserve">  Total Assets</t>
  </si>
  <si>
    <t>Accounts Payable</t>
  </si>
  <si>
    <t>Accrued Liabilities</t>
  </si>
  <si>
    <t>Other Current Liabilities</t>
  </si>
  <si>
    <t xml:space="preserve">  Total Current Liabilities</t>
  </si>
  <si>
    <t>Existing Term Loan</t>
  </si>
  <si>
    <t>Existing Senior Notes</t>
  </si>
  <si>
    <t>Other Debt</t>
  </si>
  <si>
    <t>Other Long-term Liabilities</t>
  </si>
  <si>
    <t xml:space="preserve">  Total Liabilities</t>
  </si>
  <si>
    <t>Noncontrolling Interest</t>
  </si>
  <si>
    <t>Plus: Noncontrolling Interest</t>
  </si>
  <si>
    <t>Shareholders' Equity</t>
  </si>
  <si>
    <t xml:space="preserve">  Total Shareholders' Equity</t>
  </si>
  <si>
    <t xml:space="preserve">  Total Liabilities and Equity</t>
  </si>
  <si>
    <t>Assumptions: Financing Structure &amp; Fees</t>
  </si>
  <si>
    <t>Financing Structures</t>
  </si>
  <si>
    <t>Structure</t>
  </si>
  <si>
    <t>Revolving Credit Facility Size</t>
  </si>
  <si>
    <t>Revolving Credit Facility Draw</t>
  </si>
  <si>
    <t>Status Quo</t>
  </si>
  <si>
    <t xml:space="preserve">  Total Sources of Funds</t>
  </si>
  <si>
    <t>Repay Existing Bank Debt</t>
  </si>
  <si>
    <t>Tender / Call Premium</t>
  </si>
  <si>
    <t>Other Fees &amp; Expenses</t>
  </si>
  <si>
    <t xml:space="preserve">Entry </t>
  </si>
  <si>
    <t>Entry EBITDA Multiple</t>
  </si>
  <si>
    <t xml:space="preserve">  Enterprise Value</t>
  </si>
  <si>
    <t>Current Assets</t>
  </si>
  <si>
    <t>Days Sales Outstanding (DSO)</t>
  </si>
  <si>
    <t>Days Inventory Held (DIH)</t>
  </si>
  <si>
    <t>Prepaids and Other Current Assets (% sales)</t>
  </si>
  <si>
    <t>Current Liabilities</t>
  </si>
  <si>
    <t>Days Payable Outstanding (DPO)</t>
  </si>
  <si>
    <t>Accrued Liabiilities (% sales)</t>
  </si>
  <si>
    <t>Other Current Liabilities (% sales)</t>
  </si>
  <si>
    <t>Balance Check</t>
  </si>
  <si>
    <t>Net Working Capital</t>
  </si>
  <si>
    <t>(Increase) / Decrease in Net Working Capital</t>
  </si>
  <si>
    <t>Balance Sheet Assumptions</t>
  </si>
  <si>
    <t>Prepaid and Other Current Assets (% of sales)</t>
  </si>
  <si>
    <t>Accrued Liabilities (% of sales)</t>
  </si>
  <si>
    <t>Other Current Liabilities (% of sales)</t>
  </si>
  <si>
    <t>Cost of Goods Sold (% margin)</t>
  </si>
  <si>
    <t>Other (Income)/Expense (% sales)</t>
  </si>
  <si>
    <t>Interest Income</t>
  </si>
  <si>
    <t>Tax Rate</t>
  </si>
  <si>
    <t>Other (Income) / Expense (% of sales)</t>
  </si>
  <si>
    <t xml:space="preserve">Income Tax Rate </t>
  </si>
  <si>
    <t>Other Assumptions:</t>
  </si>
  <si>
    <t>Operating Activities</t>
  </si>
  <si>
    <t xml:space="preserve">  Plus: Depreciation</t>
  </si>
  <si>
    <t xml:space="preserve">  Plus: Amortization</t>
  </si>
  <si>
    <t xml:space="preserve">  Plus: Amortization of Financing Fees</t>
  </si>
  <si>
    <t xml:space="preserve">  (Inc.) / Dec. in Accounts Receivable</t>
  </si>
  <si>
    <t xml:space="preserve">  (Inc.) / Dec. in Inventories</t>
  </si>
  <si>
    <t xml:space="preserve">  (Inc.) / Dec. in Prepaid and Other Current Assets</t>
  </si>
  <si>
    <t xml:space="preserve">  Inc. / (Dec.) in Accounts Receivable</t>
  </si>
  <si>
    <t xml:space="preserve">  Inc. / (Dec.) in Accrued Liabilities</t>
  </si>
  <si>
    <t xml:space="preserve">  Inc. / (Dec.) in Other Current Liabilities</t>
  </si>
  <si>
    <t xml:space="preserve">  (Inc.) / Dec. in Net Working Capital</t>
  </si>
  <si>
    <t>Less: Total Debt</t>
  </si>
  <si>
    <t>Less: Preferred Stock</t>
  </si>
  <si>
    <t>Less: Noncontrolling Interest</t>
  </si>
  <si>
    <t>Plus: Cash and Cash Equivalents</t>
  </si>
  <si>
    <t>Capital Expenditures</t>
  </si>
  <si>
    <t>Cash Interest Expense</t>
  </si>
  <si>
    <t>Total Interest Expense</t>
  </si>
  <si>
    <t xml:space="preserve">  Cash Flow from Operating Activities</t>
  </si>
  <si>
    <t>Investing Activities</t>
  </si>
  <si>
    <t xml:space="preserve">  Capital Expenditures</t>
  </si>
  <si>
    <t xml:space="preserve">  Other Investing Activities</t>
  </si>
  <si>
    <t xml:space="preserve">    Cash Flow from Investing Activities</t>
  </si>
  <si>
    <t xml:space="preserve"> Changes in Working Capital Accounts</t>
  </si>
  <si>
    <t>Capital Expenditures (% of sales)</t>
  </si>
  <si>
    <t>Financing Activities</t>
  </si>
  <si>
    <t xml:space="preserve">  Revolving Credit Facility</t>
  </si>
  <si>
    <t xml:space="preserve">  Term Loan A</t>
  </si>
  <si>
    <t xml:space="preserve">  Term Loan B</t>
  </si>
  <si>
    <t xml:space="preserve">  2nd Lien</t>
  </si>
  <si>
    <t xml:space="preserve">  Senior Notes</t>
  </si>
  <si>
    <t xml:space="preserve">  Senior Subordinated Notes</t>
  </si>
  <si>
    <t xml:space="preserve">  Other Debt</t>
  </si>
  <si>
    <t xml:space="preserve">  Dividends</t>
  </si>
  <si>
    <t xml:space="preserve">    Cash Flow from Financing Activities</t>
  </si>
  <si>
    <t xml:space="preserve">  Equity Issuance (Repurchase)</t>
  </si>
  <si>
    <t>Excess Cash for the Period</t>
  </si>
  <si>
    <t>Beginning Cash Balance</t>
  </si>
  <si>
    <t xml:space="preserve">  Ending Cash Balance</t>
  </si>
  <si>
    <t>Initial Equity Investment</t>
  </si>
  <si>
    <t xml:space="preserve">  EBITDA</t>
  </si>
  <si>
    <t>Exit EBITDA Multiple</t>
  </si>
  <si>
    <t xml:space="preserve">  Enterprise Value at Exit</t>
  </si>
  <si>
    <t>Less: Net Debt</t>
  </si>
  <si>
    <t>Revolving Credit Facility</t>
  </si>
  <si>
    <t xml:space="preserve">  Total Debt</t>
  </si>
  <si>
    <t>Less: Cash and Cash Equivalents</t>
  </si>
  <si>
    <t xml:space="preserve">  Net Debt</t>
  </si>
  <si>
    <t>Equity Value at Exit</t>
  </si>
  <si>
    <t>Cash Return</t>
  </si>
  <si>
    <t>Equity Proceeds</t>
  </si>
  <si>
    <t>IRR</t>
  </si>
  <si>
    <t>Deferred Income Taxes</t>
  </si>
  <si>
    <t xml:space="preserve">  Total Uses of Funds</t>
  </si>
  <si>
    <t>Other Financing Fees</t>
  </si>
  <si>
    <t xml:space="preserve">  Total Financing Fees</t>
  </si>
  <si>
    <t>Size</t>
  </si>
  <si>
    <t>(%)</t>
  </si>
  <si>
    <t>($)</t>
  </si>
  <si>
    <t>Fees</t>
  </si>
  <si>
    <t>Senior Bridge Facility</t>
  </si>
  <si>
    <t>Senior Subordinated Bridge Facility</t>
  </si>
  <si>
    <t>Amortization of Financing Fees</t>
  </si>
  <si>
    <t>Term</t>
  </si>
  <si>
    <t>Debt Schedule</t>
  </si>
  <si>
    <t>Cash Flow from Investing Activities</t>
  </si>
  <si>
    <t xml:space="preserve">  Cash Flow Available for Debt Repayments</t>
  </si>
  <si>
    <t>Total Mandatory Repayments</t>
  </si>
  <si>
    <t>Cash from Balance Sheet</t>
  </si>
  <si>
    <t>Cash Flow from Operating Activities</t>
  </si>
  <si>
    <t>Minimum Cash Balance</t>
  </si>
  <si>
    <t>Cash Balance</t>
  </si>
  <si>
    <t>*Cash balance indicates whether cash balance should be used to make optional repayments</t>
  </si>
  <si>
    <t>*Cash sweep indicates whether to use available cash to make optional repayments</t>
  </si>
  <si>
    <t xml:space="preserve">  Cash Available for Optional Debt Repayments</t>
  </si>
  <si>
    <t>Spread</t>
  </si>
  <si>
    <t>Commitment Fee on Unused Portion</t>
  </si>
  <si>
    <t>Beginning Balance</t>
  </si>
  <si>
    <t>Drawdown / (Repayment)</t>
  </si>
  <si>
    <t xml:space="preserve">  Ending Balance</t>
  </si>
  <si>
    <t>Interest Rate</t>
  </si>
  <si>
    <t>Commitment Fee</t>
  </si>
  <si>
    <t>Repay Existing Senior Notes</t>
  </si>
  <si>
    <t>Existing Debt</t>
  </si>
  <si>
    <t>Repay Existing Term Loan</t>
  </si>
  <si>
    <t>Repayment Schedule</t>
  </si>
  <si>
    <t>Mandatory Repayments</t>
  </si>
  <si>
    <t>Optional Repayments</t>
  </si>
  <si>
    <t xml:space="preserve">Interest Rate </t>
  </si>
  <si>
    <t>Repayment (annual amortization, bullet at maturity)</t>
  </si>
  <si>
    <t>Second Lien</t>
  </si>
  <si>
    <t>Coupon</t>
  </si>
  <si>
    <t xml:space="preserve">  Annual Amortization</t>
  </si>
  <si>
    <t>IRR Assuming Exit after Year 5</t>
  </si>
  <si>
    <t>Multiple</t>
  </si>
  <si>
    <t>Exit</t>
  </si>
  <si>
    <r>
      <rPr>
        <sz val="11"/>
        <color rgb="FFC00000"/>
        <rFont val="Arial"/>
        <family val="2"/>
      </rPr>
      <t>Existing</t>
    </r>
    <r>
      <rPr>
        <sz val="11"/>
        <color theme="1"/>
        <rFont val="Arial"/>
        <family val="2"/>
      </rPr>
      <t xml:space="preserve"> Term Loan</t>
    </r>
  </si>
  <si>
    <r>
      <rPr>
        <sz val="11"/>
        <color rgb="FFC00000"/>
        <rFont val="Arial"/>
        <family val="2"/>
      </rPr>
      <t>Existing</t>
    </r>
    <r>
      <rPr>
        <sz val="11"/>
        <color theme="1"/>
        <rFont val="Arial"/>
        <family val="2"/>
      </rPr>
      <t xml:space="preserve"> Senior Notes</t>
    </r>
  </si>
  <si>
    <t>IRR Assuming 9.5x Entry Multiple</t>
  </si>
  <si>
    <t>Fin</t>
  </si>
  <si>
    <t>Op</t>
  </si>
  <si>
    <t>Equity (%) of Sources</t>
  </si>
  <si>
    <t>ProblemType</t>
  </si>
  <si>
    <t>WorksheetName</t>
  </si>
  <si>
    <t>Range</t>
  </si>
  <si>
    <t>Comparison</t>
  </si>
  <si>
    <t>Grade</t>
  </si>
  <si>
    <t>CTC</t>
  </si>
  <si>
    <t>CorrectFeedback</t>
  </si>
  <si>
    <t>IncorrectFeedback</t>
  </si>
  <si>
    <t>CELL</t>
  </si>
  <si>
    <t>Correct!</t>
  </si>
  <si>
    <t>D10</t>
  </si>
  <si>
    <t>D11</t>
  </si>
  <si>
    <t>D12</t>
  </si>
  <si>
    <t>Summary</t>
  </si>
  <si>
    <t>D9</t>
  </si>
  <si>
    <t>D13</t>
  </si>
  <si>
    <t>D14</t>
  </si>
  <si>
    <t>D15</t>
  </si>
  <si>
    <t>D16</t>
  </si>
  <si>
    <t>FVContains(Index);Value</t>
  </si>
  <si>
    <t>Did you use the Index() function on a row of financing sources?</t>
  </si>
  <si>
    <t>Be sure you refer to the selected financing structure alternative as the "column" to use as output</t>
  </si>
  <si>
    <t>K9</t>
  </si>
  <si>
    <t>K10</t>
  </si>
  <si>
    <t>K11</t>
  </si>
  <si>
    <t>K12</t>
  </si>
  <si>
    <t>K13</t>
  </si>
  <si>
    <t>K14</t>
  </si>
  <si>
    <t>Did you use the Index() function on a row of financing uses?</t>
  </si>
  <si>
    <t>IncStmt</t>
  </si>
  <si>
    <t>J26:S26</t>
  </si>
  <si>
    <t>Formula() OR Reference();MOEValue(.05)</t>
  </si>
  <si>
    <t>J27:S27</t>
  </si>
  <si>
    <t>J28:S28</t>
  </si>
  <si>
    <t>J29:S29</t>
  </si>
  <si>
    <t>J30:S30</t>
  </si>
  <si>
    <t>J31:S31</t>
  </si>
  <si>
    <t>J32:S32</t>
  </si>
  <si>
    <t>J33:S33</t>
  </si>
  <si>
    <t>Does the row refer to the row of interest expense for this debt tranche on the Debt Schedule?</t>
  </si>
  <si>
    <t>Do you have the financing alternative set to 1?</t>
  </si>
  <si>
    <t>J34:S34</t>
  </si>
  <si>
    <t>Did you add interest expense from each debt tranche?</t>
  </si>
  <si>
    <t>J35:S35</t>
  </si>
  <si>
    <t>Deferred financing fees are found on the "Financing" tab where you calculated the amount of annual amortization.</t>
  </si>
  <si>
    <t>J36:S36</t>
  </si>
  <si>
    <t>This should be the sum of interest expense and amortized fees.</t>
  </si>
  <si>
    <t>J37:S37</t>
  </si>
  <si>
    <t>Interest is earned at the Interest Income rate on this tab.</t>
  </si>
  <si>
    <t>Interest is earned on the average cash balance each period</t>
  </si>
  <si>
    <t>Look carefully at the line item description.</t>
  </si>
  <si>
    <t>J38:S38</t>
  </si>
  <si>
    <t>Net interest is the Interest Expense offset by (Interest Income).</t>
  </si>
  <si>
    <t>BalSheet</t>
  </si>
  <si>
    <t>G6</t>
  </si>
  <si>
    <t>FVContains(If);Value</t>
  </si>
  <si>
    <t>The formula should use an IF() statement to evaluate whether the scenario involves a transaction.</t>
  </si>
  <si>
    <t>G13</t>
  </si>
  <si>
    <t>F13</t>
  </si>
  <si>
    <t>If a transaction is taking place, the new amount of Goodwill will be an estimate presented in the slides from Module 6.</t>
  </si>
  <si>
    <t>If a transaction is taking place, old Goodwill amounts should be adjusted out of the balance sheet before the new amount from your transaction is adjusted in.</t>
  </si>
  <si>
    <t>If a transaction is taking place, the adjustment to this cell should reflect that all cash on the balance sheet will be used as a source of funding for the acquisition.</t>
  </si>
  <si>
    <t>If a transaction is taking place, there will be new financing that incurs deferred costs (an asset to be amortized).</t>
  </si>
  <si>
    <t>F24</t>
  </si>
  <si>
    <t>F25</t>
  </si>
  <si>
    <t>F26</t>
  </si>
  <si>
    <t>F28</t>
  </si>
  <si>
    <t>F29</t>
  </si>
  <si>
    <t>F31</t>
  </si>
  <si>
    <t xml:space="preserve">This cell should refer to a cell on the Summary tab for which the value is conditioned on which financing structure is selected </t>
  </si>
  <si>
    <t>G27</t>
  </si>
  <si>
    <t>G30</t>
  </si>
  <si>
    <t>An IF() statement is not needed here because the reference is to a cell with a conditional value</t>
  </si>
  <si>
    <t>F38</t>
  </si>
  <si>
    <t>This cell should refer to 3 cells (with conditional values) on the Summary tab to find the net amount of equity invested in the new transaction after considering upfront expenses.</t>
  </si>
  <si>
    <t>G38</t>
  </si>
  <si>
    <t xml:space="preserve">This cell should conditionally adjust out the existing equity of current owners IF a transaction is taking place. </t>
  </si>
  <si>
    <t>H24:H31</t>
  </si>
  <si>
    <t>This series of cells should reflect the beginning balance of each debt account given a) the original balances and b) the adjustments made as a result of a transaction.</t>
  </si>
  <si>
    <t>H24:R24</t>
  </si>
  <si>
    <t>Where does your model calculate the ending balances of debt tranches?</t>
  </si>
  <si>
    <t>H25:R25</t>
  </si>
  <si>
    <t>H26:R26</t>
  </si>
  <si>
    <t>H27:R27</t>
  </si>
  <si>
    <t>Existing debt will either be repaid (if a transaction occurs) or assumed to remain outstanding over the entire horizon</t>
  </si>
  <si>
    <t>H28:R28</t>
  </si>
  <si>
    <t>H29:R29</t>
  </si>
  <si>
    <t>H30:R30</t>
  </si>
  <si>
    <t>H31:R31</t>
  </si>
  <si>
    <t>CFStmt</t>
  </si>
  <si>
    <t>F29:O29</t>
  </si>
  <si>
    <t>F30:O30</t>
  </si>
  <si>
    <t>F31:O31</t>
  </si>
  <si>
    <t>F32:O32</t>
  </si>
  <si>
    <t>F33:O33</t>
  </si>
  <si>
    <t>F34:O34</t>
  </si>
  <si>
    <t>Where does your model calculate the amount repaid on debt tranches in each period?</t>
  </si>
  <si>
    <t>Have you considered all possible amounts paid on this debt in each period?</t>
  </si>
  <si>
    <t>DebtSched</t>
  </si>
  <si>
    <t>F12:O12</t>
  </si>
  <si>
    <t>Did you included all mandatory repayment amounts from debt tranches that have them?</t>
  </si>
  <si>
    <t>There are 5 tranches that have required repayment amounts in at least one period.</t>
  </si>
  <si>
    <t>F23:O23</t>
  </si>
  <si>
    <t>Where can we find the beginning balance of debt tranches?</t>
  </si>
  <si>
    <t>F24:O24</t>
  </si>
  <si>
    <t>Use the cash available for optional debt repayments to determine the amount drawn or repaid on the revolver</t>
  </si>
  <si>
    <t>F25:O25</t>
  </si>
  <si>
    <t>F39:O39</t>
  </si>
  <si>
    <t>F40:O40</t>
  </si>
  <si>
    <t>Recall mandatory repayments are fixed amounts…unless prepayments cause the balance to be less than the mandatory payment.</t>
  </si>
  <si>
    <t>F41:O41</t>
  </si>
  <si>
    <t>Have you adjusted cash available for optional prepayments for the amount of other debt prepayments?</t>
  </si>
  <si>
    <t>Have you adjusted the balance for this period's mandatory payment?</t>
  </si>
  <si>
    <t>F44:O44</t>
  </si>
  <si>
    <t>Did you apply the LIBOR floor rate to your computation of the interest rate?</t>
  </si>
  <si>
    <t>F45:O45</t>
  </si>
  <si>
    <t>Did you calculate interest based on average balances?</t>
  </si>
  <si>
    <t>Did you include the cash sweep reference?</t>
  </si>
  <si>
    <t>F54:O54</t>
  </si>
  <si>
    <t>F55:O55</t>
  </si>
  <si>
    <t>F56:O56</t>
  </si>
  <si>
    <t>F57:O57</t>
  </si>
  <si>
    <t>F42:O42</t>
  </si>
  <si>
    <t>Total</t>
  </si>
  <si>
    <t>The second lien debt amortizes by one third each year as a mandatory repayment.</t>
  </si>
  <si>
    <t>F82:O82</t>
  </si>
  <si>
    <t>Senior notes mature all at once.</t>
  </si>
  <si>
    <t>Did you use an IF() statement to determine whether the present year matches the maturity date?</t>
  </si>
  <si>
    <t>FVContains(IF);Formula() OR Reference();MOEValue(.05)</t>
  </si>
  <si>
    <t>Outstanding principal times interest rate on the notes</t>
  </si>
  <si>
    <t>Have you adjusted cash available for optional prepayments for the amount of other debt prepayments? (This is the 3rd priority tranche of prepayable debt)</t>
  </si>
  <si>
    <t>F85:O85</t>
  </si>
  <si>
    <t>F93:O93</t>
  </si>
  <si>
    <t>F96:O96</t>
  </si>
  <si>
    <t>Senior sub notes mature all at once.</t>
  </si>
  <si>
    <t>RetAnalysis</t>
  </si>
  <si>
    <t>G8:P8</t>
  </si>
  <si>
    <t>Reference the calculation of EBITDA from a tab where it is calculated</t>
  </si>
  <si>
    <t>G10:P10</t>
  </si>
  <si>
    <t>G13:P13</t>
  </si>
  <si>
    <t>G14:P14</t>
  </si>
  <si>
    <t>G15:P15</t>
  </si>
  <si>
    <t>G16:P16</t>
  </si>
  <si>
    <t>G17:P17</t>
  </si>
  <si>
    <t>G18:P18</t>
  </si>
  <si>
    <t>G19:P19</t>
  </si>
  <si>
    <t>Reference the ending balance of the tranche of debt from the source of ending balances of accounts</t>
  </si>
  <si>
    <t>G20:P20</t>
  </si>
  <si>
    <t>Total debt above.</t>
  </si>
  <si>
    <t>G21:P21</t>
  </si>
  <si>
    <t>Reference the ending balance of cash from the source of ending balances of accounts</t>
  </si>
  <si>
    <t>G22:P22</t>
  </si>
  <si>
    <t>Use above to find net debt amount</t>
  </si>
  <si>
    <t>G24:P24</t>
  </si>
  <si>
    <t>Compute equity value from enterprise value and net debt</t>
  </si>
  <si>
    <t>Calculate the enterprise value assuming exit from the investment in each period using the assumed exit multiple</t>
  </si>
  <si>
    <t>G30:P40</t>
  </si>
  <si>
    <t>Value OR Formula() OR Reference();MOEValue(.05)</t>
  </si>
  <si>
    <t>Add cell references and values such that the IRR() in row 41 calculates properly</t>
  </si>
  <si>
    <t>Row 30 should contain the same reference in all columns</t>
  </si>
  <si>
    <t>Each period should contain one more horizon year than the column to the left</t>
  </si>
  <si>
    <t>All years beyond the investment horizon of this column should contain no values</t>
  </si>
  <si>
    <t>This table is a single variable table, but uses several columns of output (references to several output cells)</t>
  </si>
  <si>
    <t>To create this table, highlight cells K47:P52</t>
  </si>
  <si>
    <t xml:space="preserve">This is a straightforward 2 variable table you should know how to use by this point.  </t>
  </si>
  <si>
    <t>Financing</t>
  </si>
  <si>
    <t>N11</t>
  </si>
  <si>
    <t>Reference appropriate balance sheet account balance for the pre-transaction company (or, if the account is not found on the balance sheet, enter the correct value)</t>
  </si>
  <si>
    <t>N12</t>
  </si>
  <si>
    <t>N13</t>
  </si>
  <si>
    <t>E49:N57</t>
  </si>
  <si>
    <t>Use an IF() function and find a formula that can be copied to all cells with the correct relative references that calculates the proper annual fee amortization amount</t>
  </si>
  <si>
    <t>D47:H52</t>
  </si>
  <si>
    <t>L48:P52</t>
  </si>
  <si>
    <t>F16</t>
  </si>
  <si>
    <t>(1 point for entire row)</t>
  </si>
  <si>
    <t>(1 point for the row)</t>
  </si>
  <si>
    <t>(5 points for the row)</t>
  </si>
  <si>
    <t>(5 point for the row)</t>
  </si>
  <si>
    <t>(3 point for the row)</t>
  </si>
  <si>
    <t>(10 points for G30:P40)</t>
  </si>
  <si>
    <t>(7 points for data table)</t>
  </si>
  <si>
    <t>(10 points for data table)</t>
  </si>
  <si>
    <t>(1 point)</t>
  </si>
  <si>
    <t>(10 points for amortization table)</t>
  </si>
  <si>
    <t>Formula() OR Reference();Value</t>
  </si>
  <si>
    <t>F70:I70</t>
  </si>
  <si>
    <t>Scenario</t>
  </si>
  <si>
    <t xml:space="preserve">Operating </t>
  </si>
  <si>
    <t>D60:H63</t>
  </si>
  <si>
    <t>To create this table, highlight cells D59:H63</t>
  </si>
  <si>
    <t xml:space="preserve">For your model to work properly, you must use cell D65 as the input cell, but you must figure out how to make that work.  This is like the modification we made in Activity 11. </t>
  </si>
  <si>
    <t>Formula() OR Reference();MOEValue(.1)</t>
  </si>
  <si>
    <t>DataTable(VAR1(E9),VAR2(E6)); Value</t>
  </si>
  <si>
    <t>DataTable(VAR2(E9)); Value</t>
  </si>
  <si>
    <t>DataTable(VAR2(D65)); Value</t>
  </si>
  <si>
    <t>Forward SOFR Curve</t>
  </si>
  <si>
    <t>SOFR Floor</t>
  </si>
  <si>
    <t>Maturity Repayment</t>
  </si>
  <si>
    <t>Reference();MOEValue(.01)</t>
  </si>
  <si>
    <t>Formula() OR Reference();MOEValue(.01)</t>
  </si>
  <si>
    <t>Formula() OR Reference();MOEValue(.005)</t>
  </si>
  <si>
    <t>F59:O59</t>
  </si>
  <si>
    <t>F60:O60</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</si>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</sst>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8" formatCode="&quot;$&quot;#,##0.00_);[Red]\(&quot;$&quot;#,##0.00\)"/>
    <numFmt numFmtId="164" formatCode="0.000%"/>
    <numFmt numFmtId="165" formatCode="m/d/yy;@"/>
    <numFmt numFmtId="166" formatCode="&quot;Year&quot;\ 0"/>
    <numFmt numFmtId="167" formatCode="0.0%"/>
    <numFmt numFmtId="168" formatCode="&quot;$&quot;#,##0.0_);[Red]\(&quot;$&quot;#,##0.0\)"/>
    <numFmt numFmtId="169" formatCode="#,##0.0_);[Red]\(#,##0.0\)"/>
    <numFmt numFmtId="170" formatCode="0.0"/>
    <numFmt numFmtId="171" formatCode="_(* #,##0.0%;_(* \(#,##0.0%\);_(* &quot;- %&quot;_);_(* @_%_)"/>
    <numFmt numFmtId="172" formatCode="* _(##,##0.0_);[Red]* \(##,##0.0\);* _(&quot;-&quot;?_);_(@_)"/>
    <numFmt numFmtId="173" formatCode="&quot;$&quot;#,##0.0"/>
    <numFmt numFmtId="174" formatCode="_(* #,##0.0_);_(* \(#,##0.0\);_(* &quot;-&quot;?_);_(@_)"/>
    <numFmt numFmtId="175" formatCode="_(* #,##0.0\x;_(* \(#,##0.0\x\);_(* &quot;- x&quot;_);_(* @_%_)"/>
    <numFmt numFmtId="176" formatCode="0.0\x"/>
    <numFmt numFmtId="177" formatCode="0\ &quot;years&quot;"/>
    <numFmt numFmtId="178" formatCode="&quot;$&quot;#,##0.000_);[Red]\(&quot;$&quot;#,##0.000\)"/>
    <numFmt numFmtId="179" formatCode="&quot;S + &quot;000\ &quot;bps&quot;"/>
  </numFmts>
  <fonts count="28" x14ac:knownFonts="1">
    <font>
      <sz val="11"/>
      <color theme="1"/>
      <name val="Arial"/>
      <family val="2"/>
    </font>
    <font>
      <b/>
      <sz val="11"/>
      <color theme="0"/>
      <name val="Arial"/>
      <family val="2"/>
    </font>
    <font>
      <b/>
      <sz val="11"/>
      <color theme="1"/>
      <name val="Arial"/>
      <family val="2"/>
    </font>
    <font>
      <sz val="11"/>
      <color theme="0"/>
      <name val="Arial"/>
      <family val="2"/>
    </font>
    <font>
      <i/>
      <sz val="11"/>
      <color theme="1"/>
      <name val="Arial"/>
      <family val="2"/>
    </font>
    <font>
      <b/>
      <sz val="10"/>
      <name val="MS Sans Serif"/>
      <family val="2"/>
    </font>
    <font>
      <sz val="10"/>
      <name val="Arial"/>
      <family val="2"/>
    </font>
    <font>
      <b/>
      <sz val="10"/>
      <name val="Arial"/>
      <family val="2"/>
    </font>
    <font>
      <b/>
      <sz val="11"/>
      <color indexed="9"/>
      <name val="Arial"/>
      <family val="2"/>
    </font>
    <font>
      <sz val="11"/>
      <color indexed="9"/>
      <name val="Arial"/>
      <family val="2"/>
    </font>
    <font>
      <sz val="11"/>
      <color rgb="FF3333FF"/>
      <name val="Arial"/>
      <family val="2"/>
    </font>
    <font>
      <b/>
      <sz val="11"/>
      <color rgb="FF3333FF"/>
      <name val="Arial"/>
      <family val="2"/>
    </font>
    <font>
      <sz val="10"/>
      <color theme="1"/>
      <name val="Arial"/>
      <family val="2"/>
    </font>
    <font>
      <sz val="11"/>
      <name val="Arial"/>
      <family val="2"/>
    </font>
    <font>
      <b/>
      <sz val="11"/>
      <name val="Arial"/>
      <family val="2"/>
    </font>
    <font>
      <sz val="11"/>
      <color rgb="FFC00000"/>
      <name val="Arial"/>
      <family val="2"/>
    </font>
    <font>
      <b/>
      <i/>
      <sz val="11"/>
      <color theme="1"/>
      <name val="Arial"/>
      <family val="2"/>
    </font>
    <font>
      <i/>
      <sz val="10"/>
      <color theme="1"/>
      <name val="Arial"/>
      <family val="2"/>
    </font>
    <font>
      <b/>
      <i/>
      <u/>
      <sz val="11"/>
      <color theme="1"/>
      <name val="Arial"/>
      <family val="2"/>
    </font>
    <font>
      <i/>
      <sz val="11"/>
      <color indexed="8"/>
      <name val="Arial"/>
      <family val="2"/>
    </font>
    <font>
      <b/>
      <sz val="11"/>
      <color indexed="8"/>
      <name val="Arial"/>
      <family val="2"/>
    </font>
    <font>
      <i/>
      <sz val="11"/>
      <color theme="0"/>
      <name val="Arial"/>
      <family val="2"/>
    </font>
    <font>
      <sz val="11"/>
      <color indexed="8"/>
      <name val="Arial"/>
      <family val="2"/>
    </font>
    <font>
      <sz val="9"/>
      <color indexed="81"/>
      <name val="Tahoma"/>
      <family val="2"/>
    </font>
    <font>
      <sz val="9"/>
      <color rgb="FF000000"/>
      <name val="Tahoma"/>
      <family val="2"/>
    </font>
    <font>
      <sz val="11"/>
      <color theme="1"/>
      <name val="Arial"/>
      <family val="2"/>
    </font>
    <font>
      <b/>
      <sz val="9"/>
      <color indexed="81"/>
      <name val="Tahoma"/>
      <family val="2"/>
    </font>
    <font>
      <sz val="12"/>
      <color rgb="FFFFFFFF"/>
      <name val="Arial"/>
      <family val="2"/>
    </font>
  </fonts>
  <fills count="9">
    <fill>
      <patternFill patternType="none"/>
    </fill>
    <fill>
      <patternFill patternType="gray125"/>
    </fill>
    <fill>
      <patternFill patternType="solid">
        <fgColor rgb="FF000099"/>
        <bgColor indexed="64"/>
      </patternFill>
    </fill>
    <fill>
      <patternFill patternType="solid">
        <fgColor theme="9" tint="0.3999755851924192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0" tint="-0.14999847407452621"/>
        <bgColor indexed="64"/>
      </patternFill>
    </fill>
  </fills>
  <borders count="34">
    <border>
      <left/>
      <right/>
      <top/>
      <bottom/>
      <diagonal/>
    </border>
    <border>
      <left/>
      <right/>
      <top/>
      <bottom style="thin">
        <color indexed="64"/>
      </bottom>
      <diagonal/>
    </border>
    <border>
      <left/>
      <right/>
      <top/>
      <bottom style="thin">
        <color theme="0"/>
      </bottom>
      <diagonal/>
    </border>
    <border>
      <left/>
      <right style="medium">
        <color indexed="64"/>
      </right>
      <top/>
      <bottom/>
      <diagonal/>
    </border>
    <border>
      <left/>
      <right/>
      <top/>
      <bottom style="medium">
        <color indexed="64"/>
      </bottom>
      <diagonal/>
    </border>
    <border>
      <left style="medium">
        <color indexed="64"/>
      </left>
      <right/>
      <top/>
      <bottom style="medium">
        <color indexed="64"/>
      </bottom>
      <diagonal/>
    </border>
    <border>
      <left style="medium">
        <color auto="1"/>
      </left>
      <right/>
      <top style="medium">
        <color auto="1"/>
      </top>
      <bottom/>
      <diagonal/>
    </border>
    <border>
      <left/>
      <right/>
      <top style="medium">
        <color auto="1"/>
      </top>
      <bottom/>
      <diagonal/>
    </border>
    <border>
      <left/>
      <right/>
      <top style="medium">
        <color auto="1"/>
      </top>
      <bottom style="thin">
        <color indexed="64"/>
      </bottom>
      <diagonal/>
    </border>
    <border>
      <left/>
      <right style="medium">
        <color auto="1"/>
      </right>
      <top style="medium">
        <color auto="1"/>
      </top>
      <bottom/>
      <diagonal/>
    </border>
    <border>
      <left style="medium">
        <color auto="1"/>
      </left>
      <right/>
      <top/>
      <bottom/>
      <diagonal/>
    </border>
    <border>
      <left/>
      <right style="medium">
        <color auto="1"/>
      </right>
      <top/>
      <bottom style="thin">
        <color indexed="64"/>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right/>
      <top/>
      <bottom style="double">
        <color indexed="64"/>
      </bottom>
      <diagonal/>
    </border>
    <border>
      <left/>
      <right/>
      <top style="thin">
        <color indexed="64"/>
      </top>
      <bottom/>
      <diagonal/>
    </border>
    <border>
      <left/>
      <right/>
      <top style="thin">
        <color theme="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thin">
        <color indexed="64"/>
      </left>
      <right style="thin">
        <color indexed="64"/>
      </right>
      <top/>
      <bottom/>
      <diagonal/>
    </border>
    <border>
      <left/>
      <right style="thin">
        <color indexed="64"/>
      </right>
      <top style="double">
        <color indexed="64"/>
      </top>
      <bottom/>
      <diagonal/>
    </border>
  </borders>
  <cellStyleXfs count="3">
    <xf numFmtId="0" fontId="0" fillId="0" borderId="0"/>
    <xf numFmtId="0" fontId="5" fillId="0" borderId="0" applyNumberFormat="0" applyFill="0" applyBorder="0" applyAlignment="0" applyProtection="0"/>
    <xf numFmtId="9" fontId="25" fillId="0" borderId="0" applyFont="0" applyFill="0" applyBorder="0" applyAlignment="0" applyProtection="0"/>
  </cellStyleXfs>
  <cellXfs count="258">
    <xf numFmtId="0" fontId="0" fillId="0" borderId="0" xfId="0"/>
    <xf numFmtId="0" fontId="4" fillId="0" borderId="0" xfId="0" applyFont="1"/>
    <xf numFmtId="0" fontId="0" fillId="2" borderId="0" xfId="0" applyFill="1"/>
    <xf numFmtId="0" fontId="3" fillId="2" borderId="0" xfId="0" applyFont="1" applyFill="1"/>
    <xf numFmtId="0" fontId="1" fillId="2" borderId="0" xfId="0" applyFont="1" applyFill="1"/>
    <xf numFmtId="0" fontId="6" fillId="0" borderId="0" xfId="1" applyFont="1" applyBorder="1"/>
    <xf numFmtId="0" fontId="8" fillId="2" borderId="0" xfId="1" applyFont="1" applyFill="1" applyBorder="1" applyAlignment="1">
      <alignment horizontal="centerContinuous"/>
    </xf>
    <xf numFmtId="0" fontId="9" fillId="2" borderId="0" xfId="1" applyFont="1" applyFill="1" applyBorder="1" applyAlignment="1">
      <alignment horizontal="centerContinuous"/>
    </xf>
    <xf numFmtId="0" fontId="1" fillId="2" borderId="2" xfId="0" applyFont="1" applyFill="1" applyBorder="1"/>
    <xf numFmtId="0" fontId="3" fillId="2" borderId="2" xfId="0" applyFont="1" applyFill="1" applyBorder="1"/>
    <xf numFmtId="0" fontId="0" fillId="0" borderId="3" xfId="0" applyBorder="1"/>
    <xf numFmtId="0" fontId="0" fillId="0" borderId="4" xfId="0" applyBorder="1"/>
    <xf numFmtId="0" fontId="0" fillId="0" borderId="5" xfId="0" applyBorder="1"/>
    <xf numFmtId="0" fontId="6" fillId="0" borderId="6" xfId="1" applyFont="1" applyBorder="1"/>
    <xf numFmtId="0" fontId="7" fillId="0" borderId="7" xfId="1" applyFont="1" applyBorder="1"/>
    <xf numFmtId="0" fontId="6" fillId="0" borderId="10" xfId="1" applyFont="1" applyBorder="1"/>
    <xf numFmtId="0" fontId="0" fillId="0" borderId="10" xfId="0" applyBorder="1"/>
    <xf numFmtId="0" fontId="0" fillId="0" borderId="15" xfId="0" applyBorder="1"/>
    <xf numFmtId="0" fontId="0" fillId="0" borderId="6" xfId="0" applyBorder="1"/>
    <xf numFmtId="0" fontId="0" fillId="0" borderId="7" xfId="0" applyBorder="1"/>
    <xf numFmtId="0" fontId="0" fillId="0" borderId="9" xfId="0" applyBorder="1"/>
    <xf numFmtId="164" fontId="0" fillId="0" borderId="3" xfId="0" applyNumberFormat="1" applyBorder="1" applyAlignment="1">
      <alignment horizontal="center"/>
    </xf>
    <xf numFmtId="0" fontId="0" fillId="0" borderId="1" xfId="0" applyBorder="1"/>
    <xf numFmtId="0" fontId="2" fillId="0" borderId="10" xfId="0" applyFont="1" applyBorder="1"/>
    <xf numFmtId="0" fontId="2" fillId="3" borderId="12" xfId="0" applyFont="1" applyFill="1" applyBorder="1"/>
    <xf numFmtId="0" fontId="2" fillId="3" borderId="13" xfId="0" applyFont="1" applyFill="1" applyBorder="1"/>
    <xf numFmtId="0" fontId="2" fillId="3" borderId="14" xfId="0" applyFont="1" applyFill="1" applyBorder="1"/>
    <xf numFmtId="0" fontId="2" fillId="3" borderId="5" xfId="0" applyFont="1" applyFill="1" applyBorder="1"/>
    <xf numFmtId="0" fontId="2" fillId="3" borderId="4" xfId="0" applyFont="1" applyFill="1" applyBorder="1"/>
    <xf numFmtId="166" fontId="2" fillId="0" borderId="0" xfId="0" applyNumberFormat="1" applyFont="1" applyAlignment="1">
      <alignment horizontal="center"/>
    </xf>
    <xf numFmtId="0" fontId="2" fillId="0" borderId="0" xfId="0" applyFont="1"/>
    <xf numFmtId="0" fontId="2" fillId="0" borderId="0" xfId="0" applyFont="1" applyAlignment="1">
      <alignment horizontal="center"/>
    </xf>
    <xf numFmtId="0" fontId="2" fillId="0" borderId="1" xfId="0" applyFont="1" applyBorder="1"/>
    <xf numFmtId="0" fontId="2" fillId="0" borderId="1" xfId="0" applyFont="1" applyBorder="1" applyAlignment="1">
      <alignment horizontal="center"/>
    </xf>
    <xf numFmtId="0" fontId="12" fillId="0" borderId="10" xfId="0" applyFont="1" applyBorder="1"/>
    <xf numFmtId="0" fontId="13" fillId="0" borderId="7" xfId="1" applyFont="1" applyBorder="1"/>
    <xf numFmtId="0" fontId="14" fillId="0" borderId="7" xfId="1" applyFont="1" applyBorder="1" applyAlignment="1">
      <alignment horizontal="center"/>
    </xf>
    <xf numFmtId="0" fontId="14" fillId="0" borderId="8" xfId="1" applyFont="1" applyBorder="1" applyAlignment="1">
      <alignment horizontal="centerContinuous"/>
    </xf>
    <xf numFmtId="0" fontId="13" fillId="0" borderId="8" xfId="1" applyFont="1" applyBorder="1" applyAlignment="1">
      <alignment horizontal="centerContinuous"/>
    </xf>
    <xf numFmtId="0" fontId="13" fillId="0" borderId="9" xfId="1" applyFont="1" applyBorder="1"/>
    <xf numFmtId="0" fontId="14" fillId="0" borderId="1" xfId="1" applyFont="1" applyBorder="1" applyAlignment="1">
      <alignment horizontal="center"/>
    </xf>
    <xf numFmtId="0" fontId="14" fillId="0" borderId="1" xfId="1" quotePrefix="1" applyFont="1" applyBorder="1" applyAlignment="1">
      <alignment horizontal="center"/>
    </xf>
    <xf numFmtId="0" fontId="14" fillId="0" borderId="11" xfId="1" applyFont="1" applyBorder="1" applyAlignment="1">
      <alignment horizontal="center"/>
    </xf>
    <xf numFmtId="0" fontId="13" fillId="0" borderId="7" xfId="1" applyFont="1" applyFill="1" applyBorder="1"/>
    <xf numFmtId="0" fontId="0" fillId="0" borderId="10" xfId="0" quotePrefix="1" applyBorder="1"/>
    <xf numFmtId="0" fontId="0" fillId="0" borderId="27" xfId="0" applyBorder="1"/>
    <xf numFmtId="0" fontId="0" fillId="3" borderId="3" xfId="0" applyFill="1" applyBorder="1"/>
    <xf numFmtId="167" fontId="15" fillId="0" borderId="0" xfId="0" applyNumberFormat="1" applyFont="1"/>
    <xf numFmtId="167" fontId="0" fillId="5" borderId="18" xfId="0" applyNumberFormat="1" applyFill="1" applyBorder="1"/>
    <xf numFmtId="167" fontId="0" fillId="5" borderId="22" xfId="0" applyNumberFormat="1" applyFill="1" applyBorder="1"/>
    <xf numFmtId="167" fontId="0" fillId="5" borderId="0" xfId="0" applyNumberFormat="1" applyFill="1"/>
    <xf numFmtId="167" fontId="0" fillId="5" borderId="24" xfId="0" applyNumberFormat="1" applyFill="1" applyBorder="1"/>
    <xf numFmtId="167" fontId="0" fillId="5" borderId="1" xfId="0" applyNumberFormat="1" applyFill="1" applyBorder="1"/>
    <xf numFmtId="167" fontId="0" fillId="5" borderId="26" xfId="0" applyNumberFormat="1" applyFill="1" applyBorder="1"/>
    <xf numFmtId="0" fontId="0" fillId="5" borderId="0" xfId="0" applyFill="1"/>
    <xf numFmtId="0" fontId="16" fillId="0" borderId="0" xfId="0" applyFont="1"/>
    <xf numFmtId="167" fontId="0" fillId="0" borderId="0" xfId="0" applyNumberFormat="1"/>
    <xf numFmtId="0" fontId="17" fillId="0" borderId="0" xfId="0" applyFont="1" applyAlignment="1">
      <alignment horizontal="right"/>
    </xf>
    <xf numFmtId="167" fontId="17" fillId="0" borderId="0" xfId="0" applyNumberFormat="1" applyFont="1"/>
    <xf numFmtId="168" fontId="0" fillId="0" borderId="0" xfId="0" applyNumberFormat="1"/>
    <xf numFmtId="168" fontId="0" fillId="0" borderId="28" xfId="0" applyNumberFormat="1" applyBorder="1"/>
    <xf numFmtId="0" fontId="3" fillId="0" borderId="0" xfId="0" applyFont="1"/>
    <xf numFmtId="169" fontId="10" fillId="5" borderId="0" xfId="0" applyNumberFormat="1" applyFont="1" applyFill="1"/>
    <xf numFmtId="168" fontId="10" fillId="5" borderId="0" xfId="0" applyNumberFormat="1" applyFont="1" applyFill="1"/>
    <xf numFmtId="169" fontId="10" fillId="5" borderId="1" xfId="0" applyNumberFormat="1" applyFont="1" applyFill="1" applyBorder="1"/>
    <xf numFmtId="168" fontId="0" fillId="0" borderId="27" xfId="0" applyNumberFormat="1" applyBorder="1"/>
    <xf numFmtId="168" fontId="13" fillId="0" borderId="0" xfId="0" applyNumberFormat="1" applyFont="1"/>
    <xf numFmtId="169" fontId="13" fillId="0" borderId="0" xfId="0" applyNumberFormat="1" applyFont="1"/>
    <xf numFmtId="169" fontId="13" fillId="0" borderId="1" xfId="0" applyNumberFormat="1" applyFont="1" applyBorder="1"/>
    <xf numFmtId="169" fontId="0" fillId="0" borderId="0" xfId="0" applyNumberFormat="1"/>
    <xf numFmtId="169" fontId="0" fillId="0" borderId="1" xfId="0" applyNumberFormat="1" applyBorder="1"/>
    <xf numFmtId="167" fontId="10" fillId="5" borderId="21" xfId="0" applyNumberFormat="1" applyFont="1" applyFill="1" applyBorder="1"/>
    <xf numFmtId="167" fontId="10" fillId="5" borderId="18" xfId="0" applyNumberFormat="1" applyFont="1" applyFill="1" applyBorder="1"/>
    <xf numFmtId="167" fontId="10" fillId="5" borderId="23" xfId="0" applyNumberFormat="1" applyFont="1" applyFill="1" applyBorder="1"/>
    <xf numFmtId="167" fontId="10" fillId="5" borderId="0" xfId="0" applyNumberFormat="1" applyFont="1" applyFill="1"/>
    <xf numFmtId="167" fontId="10" fillId="5" borderId="25" xfId="0" applyNumberFormat="1" applyFont="1" applyFill="1" applyBorder="1"/>
    <xf numFmtId="167" fontId="10" fillId="5" borderId="1" xfId="0" applyNumberFormat="1" applyFont="1" applyFill="1" applyBorder="1"/>
    <xf numFmtId="169" fontId="15" fillId="0" borderId="0" xfId="0" applyNumberFormat="1" applyFont="1"/>
    <xf numFmtId="169" fontId="0" fillId="5" borderId="18" xfId="0" applyNumberFormat="1" applyFill="1" applyBorder="1"/>
    <xf numFmtId="169" fontId="0" fillId="5" borderId="22" xfId="0" applyNumberFormat="1" applyFill="1" applyBorder="1"/>
    <xf numFmtId="169" fontId="0" fillId="5" borderId="0" xfId="0" applyNumberFormat="1" applyFill="1"/>
    <xf numFmtId="169" fontId="0" fillId="5" borderId="24" xfId="0" applyNumberFormat="1" applyFill="1" applyBorder="1"/>
    <xf numFmtId="169" fontId="0" fillId="5" borderId="1" xfId="0" applyNumberFormat="1" applyFill="1" applyBorder="1"/>
    <xf numFmtId="169" fontId="0" fillId="5" borderId="26" xfId="0" applyNumberFormat="1" applyFill="1" applyBorder="1"/>
    <xf numFmtId="167" fontId="0" fillId="0" borderId="1" xfId="0" applyNumberFormat="1" applyBorder="1"/>
    <xf numFmtId="168" fontId="2" fillId="0" borderId="0" xfId="0" applyNumberFormat="1" applyFont="1"/>
    <xf numFmtId="168" fontId="2" fillId="0" borderId="28" xfId="0" applyNumberFormat="1" applyFont="1" applyBorder="1"/>
    <xf numFmtId="168" fontId="2" fillId="0" borderId="27" xfId="0" applyNumberFormat="1" applyFont="1" applyBorder="1"/>
    <xf numFmtId="168" fontId="2" fillId="0" borderId="17" xfId="0" applyNumberFormat="1" applyFont="1" applyBorder="1"/>
    <xf numFmtId="0" fontId="0" fillId="3" borderId="21" xfId="0" applyFill="1" applyBorder="1"/>
    <xf numFmtId="0" fontId="0" fillId="3" borderId="18" xfId="0" applyFill="1" applyBorder="1"/>
    <xf numFmtId="0" fontId="0" fillId="3" borderId="22" xfId="0" applyFill="1" applyBorder="1"/>
    <xf numFmtId="0" fontId="0" fillId="3" borderId="23" xfId="0" applyFill="1" applyBorder="1"/>
    <xf numFmtId="0" fontId="0" fillId="3" borderId="0" xfId="0" applyFill="1"/>
    <xf numFmtId="0" fontId="0" fillId="3" borderId="24" xfId="0" applyFill="1" applyBorder="1"/>
    <xf numFmtId="0" fontId="0" fillId="3" borderId="25" xfId="0" applyFill="1" applyBorder="1"/>
    <xf numFmtId="0" fontId="0" fillId="3" borderId="1" xfId="0" applyFill="1" applyBorder="1"/>
    <xf numFmtId="0" fontId="18" fillId="3" borderId="21" xfId="0" applyFont="1" applyFill="1" applyBorder="1"/>
    <xf numFmtId="170" fontId="0" fillId="3" borderId="0" xfId="0" applyNumberFormat="1" applyFill="1"/>
    <xf numFmtId="0" fontId="18" fillId="3" borderId="23" xfId="0" applyFont="1" applyFill="1" applyBorder="1"/>
    <xf numFmtId="167" fontId="0" fillId="3" borderId="0" xfId="0" applyNumberFormat="1" applyFill="1"/>
    <xf numFmtId="167" fontId="0" fillId="3" borderId="1" xfId="0" applyNumberFormat="1" applyFill="1" applyBorder="1"/>
    <xf numFmtId="167" fontId="0" fillId="3" borderId="24" xfId="0" applyNumberFormat="1" applyFill="1" applyBorder="1"/>
    <xf numFmtId="167" fontId="0" fillId="3" borderId="26" xfId="0" applyNumberFormat="1" applyFill="1" applyBorder="1"/>
    <xf numFmtId="0" fontId="0" fillId="4" borderId="0" xfId="0" applyFill="1"/>
    <xf numFmtId="167" fontId="4" fillId="0" borderId="0" xfId="0" applyNumberFormat="1" applyFont="1"/>
    <xf numFmtId="167" fontId="19" fillId="0" borderId="0" xfId="0" applyNumberFormat="1" applyFont="1"/>
    <xf numFmtId="168" fontId="11" fillId="5" borderId="0" xfId="0" applyNumberFormat="1" applyFont="1" applyFill="1"/>
    <xf numFmtId="168" fontId="20" fillId="0" borderId="0" xfId="0" applyNumberFormat="1" applyFont="1"/>
    <xf numFmtId="167" fontId="21" fillId="2" borderId="2" xfId="0" applyNumberFormat="1" applyFont="1" applyFill="1" applyBorder="1"/>
    <xf numFmtId="167" fontId="0" fillId="3" borderId="18" xfId="0" applyNumberFormat="1" applyFill="1" applyBorder="1"/>
    <xf numFmtId="167" fontId="10" fillId="0" borderId="27" xfId="0" applyNumberFormat="1" applyFont="1" applyBorder="1"/>
    <xf numFmtId="167" fontId="0" fillId="0" borderId="27" xfId="0" applyNumberFormat="1" applyBorder="1"/>
    <xf numFmtId="9" fontId="0" fillId="0" borderId="0" xfId="0" applyNumberFormat="1"/>
    <xf numFmtId="14" fontId="14" fillId="0" borderId="1" xfId="1" quotePrefix="1" applyNumberFormat="1" applyFont="1" applyFill="1" applyBorder="1" applyAlignment="1">
      <alignment horizontal="center"/>
    </xf>
    <xf numFmtId="165" fontId="11" fillId="5" borderId="1" xfId="0" applyNumberFormat="1" applyFont="1" applyFill="1" applyBorder="1" applyAlignment="1">
      <alignment horizontal="center"/>
    </xf>
    <xf numFmtId="0" fontId="1" fillId="0" borderId="0" xfId="0" applyFont="1"/>
    <xf numFmtId="169" fontId="0" fillId="0" borderId="27" xfId="0" applyNumberFormat="1" applyBorder="1"/>
    <xf numFmtId="171" fontId="0" fillId="0" borderId="0" xfId="0" applyNumberFormat="1"/>
    <xf numFmtId="171" fontId="2" fillId="3" borderId="13" xfId="0" applyNumberFormat="1" applyFont="1" applyFill="1" applyBorder="1"/>
    <xf numFmtId="172" fontId="0" fillId="0" borderId="0" xfId="0" applyNumberFormat="1"/>
    <xf numFmtId="172" fontId="0" fillId="0" borderId="1" xfId="0" applyNumberFormat="1" applyBorder="1"/>
    <xf numFmtId="173" fontId="2" fillId="3" borderId="13" xfId="0" applyNumberFormat="1" applyFont="1" applyFill="1" applyBorder="1"/>
    <xf numFmtId="171" fontId="0" fillId="0" borderId="1" xfId="0" applyNumberFormat="1" applyBorder="1"/>
    <xf numFmtId="0" fontId="0" fillId="3" borderId="29" xfId="0" applyFill="1" applyBorder="1"/>
    <xf numFmtId="0" fontId="0" fillId="3" borderId="27" xfId="0" applyFill="1" applyBorder="1"/>
    <xf numFmtId="167" fontId="0" fillId="3" borderId="27" xfId="0" applyNumberFormat="1" applyFill="1" applyBorder="1"/>
    <xf numFmtId="167" fontId="0" fillId="3" borderId="30" xfId="0" applyNumberFormat="1" applyFill="1" applyBorder="1"/>
    <xf numFmtId="167" fontId="4" fillId="0" borderId="0" xfId="0" applyNumberFormat="1" applyFont="1" applyAlignment="1">
      <alignment horizontal="right"/>
    </xf>
    <xf numFmtId="175" fontId="0" fillId="0" borderId="0" xfId="0" applyNumberFormat="1"/>
    <xf numFmtId="175" fontId="2" fillId="3" borderId="13" xfId="0" applyNumberFormat="1" applyFont="1" applyFill="1" applyBorder="1"/>
    <xf numFmtId="176" fontId="11" fillId="5" borderId="20" xfId="0" applyNumberFormat="1" applyFont="1" applyFill="1" applyBorder="1"/>
    <xf numFmtId="0" fontId="2" fillId="3" borderId="29" xfId="0" applyFont="1" applyFill="1" applyBorder="1"/>
    <xf numFmtId="176" fontId="2" fillId="3" borderId="27" xfId="0" applyNumberFormat="1" applyFont="1" applyFill="1" applyBorder="1"/>
    <xf numFmtId="0" fontId="2" fillId="0" borderId="0" xfId="0" applyFont="1" applyAlignment="1">
      <alignment horizontal="right"/>
    </xf>
    <xf numFmtId="9" fontId="0" fillId="3" borderId="27" xfId="0" applyNumberFormat="1" applyFill="1" applyBorder="1"/>
    <xf numFmtId="0" fontId="1" fillId="2" borderId="21" xfId="0" applyFont="1" applyFill="1" applyBorder="1"/>
    <xf numFmtId="0" fontId="0" fillId="2" borderId="18" xfId="0" applyFill="1" applyBorder="1"/>
    <xf numFmtId="0" fontId="0" fillId="2" borderId="22" xfId="0" applyFill="1" applyBorder="1"/>
    <xf numFmtId="164" fontId="0" fillId="5" borderId="0" xfId="0" applyNumberFormat="1" applyFill="1"/>
    <xf numFmtId="164" fontId="0" fillId="0" borderId="0" xfId="0" applyNumberFormat="1"/>
    <xf numFmtId="0" fontId="0" fillId="6" borderId="0" xfId="0" applyFill="1"/>
    <xf numFmtId="10" fontId="10" fillId="5" borderId="0" xfId="0" applyNumberFormat="1" applyFont="1" applyFill="1"/>
    <xf numFmtId="177" fontId="10" fillId="5" borderId="0" xfId="0" applyNumberFormat="1" applyFont="1" applyFill="1"/>
    <xf numFmtId="0" fontId="2" fillId="6" borderId="0" xfId="0" applyFont="1" applyFill="1"/>
    <xf numFmtId="173" fontId="0" fillId="6" borderId="0" xfId="0" applyNumberFormat="1" applyFill="1"/>
    <xf numFmtId="169" fontId="0" fillId="6" borderId="0" xfId="0" applyNumberFormat="1" applyFill="1"/>
    <xf numFmtId="164" fontId="0" fillId="6" borderId="0" xfId="0" applyNumberFormat="1" applyFill="1"/>
    <xf numFmtId="164" fontId="10" fillId="5" borderId="0" xfId="0" applyNumberFormat="1" applyFont="1" applyFill="1"/>
    <xf numFmtId="0" fontId="0" fillId="6" borderId="23" xfId="0" applyFill="1" applyBorder="1"/>
    <xf numFmtId="0" fontId="2" fillId="6" borderId="25" xfId="0" applyFont="1" applyFill="1" applyBorder="1"/>
    <xf numFmtId="0" fontId="0" fillId="6" borderId="1" xfId="0" applyFill="1" applyBorder="1"/>
    <xf numFmtId="0" fontId="2" fillId="6" borderId="23" xfId="0" applyFont="1" applyFill="1" applyBorder="1"/>
    <xf numFmtId="0" fontId="0" fillId="6" borderId="25" xfId="0" applyFill="1" applyBorder="1"/>
    <xf numFmtId="168" fontId="0" fillId="6" borderId="28" xfId="0" applyNumberFormat="1" applyFill="1" applyBorder="1"/>
    <xf numFmtId="168" fontId="0" fillId="6" borderId="31" xfId="0" applyNumberFormat="1" applyFill="1" applyBorder="1"/>
    <xf numFmtId="0" fontId="0" fillId="6" borderId="24" xfId="0" applyFill="1" applyBorder="1"/>
    <xf numFmtId="0" fontId="0" fillId="6" borderId="26" xfId="0" applyFill="1" applyBorder="1"/>
    <xf numFmtId="0" fontId="0" fillId="6" borderId="0" xfId="0" applyFill="1" applyAlignment="1">
      <alignment horizontal="center"/>
    </xf>
    <xf numFmtId="0" fontId="0" fillId="6" borderId="24" xfId="0" applyFill="1" applyBorder="1" applyAlignment="1">
      <alignment horizontal="center"/>
    </xf>
    <xf numFmtId="0" fontId="0" fillId="6" borderId="1" xfId="0" applyFill="1" applyBorder="1" applyAlignment="1">
      <alignment horizontal="center"/>
    </xf>
    <xf numFmtId="0" fontId="0" fillId="6" borderId="26" xfId="0" applyFill="1" applyBorder="1" applyAlignment="1">
      <alignment horizontal="center"/>
    </xf>
    <xf numFmtId="168" fontId="0" fillId="6" borderId="0" xfId="0" applyNumberFormat="1" applyFill="1"/>
    <xf numFmtId="168" fontId="0" fillId="6" borderId="24" xfId="0" applyNumberFormat="1" applyFill="1" applyBorder="1"/>
    <xf numFmtId="169" fontId="0" fillId="6" borderId="24" xfId="0" applyNumberFormat="1" applyFill="1" applyBorder="1"/>
    <xf numFmtId="168" fontId="0" fillId="5" borderId="0" xfId="0" applyNumberFormat="1" applyFill="1"/>
    <xf numFmtId="168" fontId="0" fillId="5" borderId="24" xfId="0" applyNumberFormat="1" applyFill="1" applyBorder="1"/>
    <xf numFmtId="168" fontId="0" fillId="6" borderId="1" xfId="0" applyNumberFormat="1" applyFill="1" applyBorder="1"/>
    <xf numFmtId="168" fontId="0" fillId="6" borderId="26" xfId="0" applyNumberFormat="1" applyFill="1" applyBorder="1"/>
    <xf numFmtId="0" fontId="2" fillId="6" borderId="1" xfId="0" applyFont="1" applyFill="1" applyBorder="1" applyAlignment="1">
      <alignment horizontal="center"/>
    </xf>
    <xf numFmtId="0" fontId="2" fillId="6" borderId="26" xfId="0" applyFont="1" applyFill="1" applyBorder="1" applyAlignment="1">
      <alignment horizontal="center"/>
    </xf>
    <xf numFmtId="174" fontId="0" fillId="6" borderId="0" xfId="0" applyNumberFormat="1" applyFill="1"/>
    <xf numFmtId="174" fontId="0" fillId="6" borderId="24" xfId="0" applyNumberFormat="1" applyFill="1" applyBorder="1"/>
    <xf numFmtId="168" fontId="0" fillId="6" borderId="30" xfId="0" applyNumberFormat="1" applyFill="1" applyBorder="1"/>
    <xf numFmtId="174" fontId="0" fillId="5" borderId="24" xfId="0" applyNumberFormat="1" applyFill="1" applyBorder="1"/>
    <xf numFmtId="167" fontId="0" fillId="0" borderId="3" xfId="0" applyNumberFormat="1" applyBorder="1"/>
    <xf numFmtId="167" fontId="0" fillId="0" borderId="11" xfId="0" applyNumberFormat="1" applyBorder="1"/>
    <xf numFmtId="167" fontId="2" fillId="3" borderId="15" xfId="0" applyNumberFormat="1" applyFont="1" applyFill="1" applyBorder="1"/>
    <xf numFmtId="176" fontId="0" fillId="6" borderId="24" xfId="0" applyNumberFormat="1" applyFill="1" applyBorder="1"/>
    <xf numFmtId="168" fontId="2" fillId="6" borderId="31" xfId="0" applyNumberFormat="1" applyFont="1" applyFill="1" applyBorder="1"/>
    <xf numFmtId="0" fontId="16" fillId="6" borderId="21" xfId="0" applyFont="1" applyFill="1" applyBorder="1"/>
    <xf numFmtId="0" fontId="0" fillId="6" borderId="18" xfId="0" applyFill="1" applyBorder="1"/>
    <xf numFmtId="0" fontId="0" fillId="6" borderId="22" xfId="0" applyFill="1" applyBorder="1"/>
    <xf numFmtId="0" fontId="22" fillId="0" borderId="10" xfId="0" applyFont="1" applyBorder="1"/>
    <xf numFmtId="168" fontId="0" fillId="4" borderId="0" xfId="0" applyNumberFormat="1" applyFill="1"/>
    <xf numFmtId="168" fontId="2" fillId="4" borderId="0" xfId="0" applyNumberFormat="1" applyFont="1" applyFill="1"/>
    <xf numFmtId="169" fontId="0" fillId="4" borderId="1" xfId="0" applyNumberFormat="1" applyFill="1" applyBorder="1"/>
    <xf numFmtId="167" fontId="0" fillId="6" borderId="0" xfId="0" applyNumberFormat="1" applyFill="1"/>
    <xf numFmtId="169" fontId="10" fillId="5" borderId="21" xfId="0" applyNumberFormat="1" applyFont="1" applyFill="1" applyBorder="1"/>
    <xf numFmtId="169" fontId="10" fillId="5" borderId="18" xfId="0" applyNumberFormat="1" applyFont="1" applyFill="1" applyBorder="1"/>
    <xf numFmtId="169" fontId="10" fillId="5" borderId="23" xfId="0" applyNumberFormat="1" applyFont="1" applyFill="1" applyBorder="1"/>
    <xf numFmtId="169" fontId="10" fillId="5" borderId="25" xfId="0" applyNumberFormat="1" applyFont="1" applyFill="1" applyBorder="1"/>
    <xf numFmtId="169" fontId="0" fillId="6" borderId="1" xfId="0" applyNumberFormat="1" applyFill="1" applyBorder="1"/>
    <xf numFmtId="168" fontId="2" fillId="6" borderId="0" xfId="0" applyNumberFormat="1" applyFont="1" applyFill="1"/>
    <xf numFmtId="178" fontId="0" fillId="6" borderId="0" xfId="0" applyNumberFormat="1" applyFill="1"/>
    <xf numFmtId="169" fontId="0" fillId="4" borderId="0" xfId="0" applyNumberFormat="1" applyFill="1"/>
    <xf numFmtId="0" fontId="2" fillId="6" borderId="1" xfId="0" applyFont="1" applyFill="1" applyBorder="1"/>
    <xf numFmtId="0" fontId="0" fillId="6" borderId="21" xfId="0" applyFill="1" applyBorder="1"/>
    <xf numFmtId="166" fontId="2" fillId="6" borderId="18" xfId="0" applyNumberFormat="1" applyFont="1" applyFill="1" applyBorder="1" applyAlignment="1">
      <alignment horizontal="center"/>
    </xf>
    <xf numFmtId="166" fontId="2" fillId="6" borderId="22" xfId="0" applyNumberFormat="1" applyFont="1" applyFill="1" applyBorder="1" applyAlignment="1">
      <alignment horizontal="center"/>
    </xf>
    <xf numFmtId="173" fontId="2" fillId="6" borderId="28" xfId="0" applyNumberFormat="1" applyFont="1" applyFill="1" applyBorder="1"/>
    <xf numFmtId="173" fontId="2" fillId="6" borderId="31" xfId="0" applyNumberFormat="1" applyFont="1" applyFill="1" applyBorder="1"/>
    <xf numFmtId="168" fontId="0" fillId="0" borderId="3" xfId="0" applyNumberFormat="1" applyBorder="1"/>
    <xf numFmtId="169" fontId="0" fillId="0" borderId="3" xfId="0" applyNumberFormat="1" applyBorder="1"/>
    <xf numFmtId="168" fontId="0" fillId="0" borderId="16" xfId="0" applyNumberFormat="1" applyBorder="1"/>
    <xf numFmtId="176" fontId="0" fillId="0" borderId="3" xfId="0" applyNumberFormat="1" applyBorder="1"/>
    <xf numFmtId="175" fontId="0" fillId="0" borderId="3" xfId="0" applyNumberFormat="1" applyBorder="1"/>
    <xf numFmtId="177" fontId="0" fillId="6" borderId="0" xfId="0" applyNumberFormat="1" applyFill="1"/>
    <xf numFmtId="172" fontId="0" fillId="4" borderId="0" xfId="0" applyNumberFormat="1" applyFill="1"/>
    <xf numFmtId="0" fontId="0" fillId="4" borderId="1" xfId="0" applyFill="1" applyBorder="1" applyAlignment="1">
      <alignment horizontal="center"/>
    </xf>
    <xf numFmtId="164" fontId="0" fillId="4" borderId="0" xfId="0" applyNumberFormat="1" applyFill="1"/>
    <xf numFmtId="178" fontId="0" fillId="4" borderId="0" xfId="0" applyNumberFormat="1" applyFill="1"/>
    <xf numFmtId="174" fontId="0" fillId="4" borderId="0" xfId="0" applyNumberFormat="1" applyFill="1"/>
    <xf numFmtId="169" fontId="0" fillId="4" borderId="24" xfId="0" applyNumberFormat="1" applyFill="1" applyBorder="1"/>
    <xf numFmtId="8" fontId="2" fillId="4" borderId="0" xfId="0" applyNumberFormat="1" applyFont="1" applyFill="1"/>
    <xf numFmtId="0" fontId="1" fillId="0" borderId="0" xfId="0" applyFont="1" applyAlignment="1">
      <alignment horizontal="center"/>
    </xf>
    <xf numFmtId="176" fontId="0" fillId="6" borderId="27" xfId="0" applyNumberFormat="1" applyFill="1" applyBorder="1"/>
    <xf numFmtId="176" fontId="0" fillId="6" borderId="32" xfId="0" applyNumberFormat="1" applyFill="1" applyBorder="1"/>
    <xf numFmtId="0" fontId="0" fillId="6" borderId="27" xfId="0" applyFill="1" applyBorder="1"/>
    <xf numFmtId="167" fontId="0" fillId="4" borderId="0" xfId="0" applyNumberFormat="1" applyFill="1"/>
    <xf numFmtId="8" fontId="0" fillId="4" borderId="0" xfId="0" applyNumberFormat="1" applyFill="1"/>
    <xf numFmtId="8" fontId="2" fillId="4" borderId="28" xfId="0" applyNumberFormat="1" applyFont="1" applyFill="1" applyBorder="1"/>
    <xf numFmtId="8" fontId="0" fillId="6" borderId="33" xfId="0" applyNumberFormat="1" applyFill="1" applyBorder="1"/>
    <xf numFmtId="10" fontId="0" fillId="6" borderId="0" xfId="0" applyNumberFormat="1" applyFill="1"/>
    <xf numFmtId="8" fontId="0" fillId="6" borderId="24" xfId="0" applyNumberFormat="1" applyFill="1" applyBorder="1"/>
    <xf numFmtId="167" fontId="0" fillId="7" borderId="0" xfId="0" applyNumberFormat="1" applyFill="1"/>
    <xf numFmtId="10" fontId="2" fillId="6" borderId="0" xfId="0" applyNumberFormat="1" applyFont="1" applyFill="1"/>
    <xf numFmtId="10" fontId="0" fillId="6" borderId="24" xfId="0" applyNumberFormat="1" applyFill="1" applyBorder="1"/>
    <xf numFmtId="165" fontId="11" fillId="7" borderId="1" xfId="0" applyNumberFormat="1" applyFont="1" applyFill="1" applyBorder="1" applyAlignment="1">
      <alignment horizontal="center"/>
    </xf>
    <xf numFmtId="9" fontId="0" fillId="3" borderId="0" xfId="0" applyNumberFormat="1" applyFill="1"/>
    <xf numFmtId="9" fontId="0" fillId="4" borderId="0" xfId="0" applyNumberFormat="1" applyFill="1"/>
    <xf numFmtId="177" fontId="10" fillId="8" borderId="0" xfId="0" applyNumberFormat="1" applyFont="1" applyFill="1"/>
    <xf numFmtId="10" fontId="0" fillId="5" borderId="0" xfId="2" applyNumberFormat="1" applyFont="1" applyFill="1"/>
    <xf numFmtId="0" fontId="0" fillId="8" borderId="1" xfId="0" applyFill="1" applyBorder="1"/>
    <xf numFmtId="169" fontId="0" fillId="8" borderId="24" xfId="0" applyNumberFormat="1" applyFill="1" applyBorder="1"/>
    <xf numFmtId="169" fontId="0" fillId="8" borderId="26" xfId="0" applyNumberFormat="1" applyFill="1" applyBorder="1"/>
    <xf numFmtId="0" fontId="15" fillId="0" borderId="0" xfId="0" applyFont="1"/>
    <xf numFmtId="169" fontId="0" fillId="8" borderId="0" xfId="0" applyNumberFormat="1" applyFill="1"/>
    <xf numFmtId="0" fontId="0" fillId="8" borderId="0" xfId="0" applyFill="1"/>
    <xf numFmtId="0" fontId="0" fillId="8" borderId="24" xfId="0" applyFill="1" applyBorder="1"/>
    <xf numFmtId="176" fontId="15" fillId="6" borderId="32" xfId="0" applyNumberFormat="1" applyFont="1" applyFill="1" applyBorder="1"/>
    <xf numFmtId="176" fontId="15" fillId="6" borderId="27" xfId="0" applyNumberFormat="1" applyFont="1" applyFill="1" applyBorder="1"/>
    <xf numFmtId="0" fontId="15" fillId="3" borderId="3" xfId="0" applyFont="1" applyFill="1" applyBorder="1"/>
    <xf numFmtId="0" fontId="0" fillId="8" borderId="32" xfId="0" applyFill="1" applyBorder="1"/>
    <xf numFmtId="0" fontId="0" fillId="0" borderId="0" xfId="0" applyAlignment="1">
      <alignment horizontal="right"/>
    </xf>
    <xf numFmtId="0" fontId="0" fillId="8" borderId="27" xfId="0" applyFill="1" applyBorder="1"/>
    <xf numFmtId="179" fontId="0" fillId="0" borderId="3" xfId="0" applyNumberFormat="1" applyBorder="1" applyAlignment="1">
      <alignment horizontal="center"/>
    </xf>
    <xf numFmtId="179" fontId="22" fillId="0" borderId="3" xfId="0" applyNumberFormat="1" applyFont="1" applyBorder="1" applyAlignment="1">
      <alignment horizontal="center"/>
    </xf>
    <xf numFmtId="0" fontId="27" fillId="0" borderId="0" xfId="0" applyFont="1"/>
    <xf numFmtId="0" fontId="1" fillId="2" borderId="0" xfId="0" applyFont="1" applyFill="1" applyAlignment="1">
      <alignment horizontal="center"/>
    </xf>
    <xf numFmtId="0" fontId="1" fillId="2" borderId="10" xfId="0" applyFont="1" applyFill="1" applyBorder="1" applyAlignment="1">
      <alignment horizontal="center"/>
    </xf>
    <xf numFmtId="0" fontId="1" fillId="2" borderId="3" xfId="0" applyFont="1" applyFill="1" applyBorder="1" applyAlignment="1">
      <alignment horizontal="center"/>
    </xf>
    <xf numFmtId="0" fontId="2" fillId="3" borderId="19" xfId="0" applyFont="1" applyFill="1" applyBorder="1" applyAlignment="1">
      <alignment horizontal="center"/>
    </xf>
    <xf numFmtId="0" fontId="2" fillId="4" borderId="0" xfId="0" applyFont="1" applyFill="1" applyAlignment="1">
      <alignment horizontal="center"/>
    </xf>
    <xf numFmtId="0" fontId="2" fillId="0" borderId="1" xfId="0" applyFont="1" applyBorder="1" applyAlignment="1">
      <alignment horizontal="center"/>
    </xf>
    <xf numFmtId="0" fontId="2" fillId="0" borderId="0" xfId="0" applyFont="1" applyAlignment="1">
      <alignment horizontal="center"/>
    </xf>
    <xf numFmtId="0" fontId="0" fillId="3" borderId="0" xfId="0" applyFill="1" applyAlignment="1">
      <alignment horizontal="center"/>
    </xf>
    <xf numFmtId="0" fontId="0" fillId="3" borderId="24" xfId="0" applyFill="1" applyBorder="1" applyAlignment="1">
      <alignment horizontal="center"/>
    </xf>
  </cellXfs>
  <cellStyles count="3">
    <cellStyle name="_x000a_386grabber=M" xfId="1" xr:uid="{2A477472-DC0D-4416-8594-83B228ACA8F3}"/>
    <cellStyle name="Normal" xfId="0" builtinId="0"/>
    <cellStyle name="Percent" xfId="2" builtinId="5"/>
  </cellStyles>
  <dxfs count="0"/>
  <tableStyles count="0" defaultTableStyle="TableStyleMedium2" defaultPivotStyle="PivotStyleLight16"/>
  <colors>
    <mruColors>
      <color rgb="FF3333FF"/>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ofI/Classes/Fall%202021/418/Activities/Activity%203%20(Answers)%20rev%20Sep%202%202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ming &amp; Data Tables"/>
      <sheetName val="Validation &amp; Concatenation"/>
      <sheetName val="Arrays"/>
      <sheetName val="Solver"/>
      <sheetName val="Grading"/>
    </sheetNames>
    <sheetDataSet>
      <sheetData sheetId="0">
        <row r="4">
          <cell r="C4">
            <v>100000</v>
          </cell>
        </row>
        <row r="5">
          <cell r="C5">
            <v>0.03</v>
          </cell>
        </row>
        <row r="6">
          <cell r="C6">
            <v>0.4</v>
          </cell>
        </row>
        <row r="8">
          <cell r="C8">
            <v>103000</v>
          </cell>
        </row>
        <row r="9">
          <cell r="C9">
            <v>-61800</v>
          </cell>
        </row>
        <row r="10">
          <cell r="C10">
            <v>41200</v>
          </cell>
        </row>
      </sheetData>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8FD6C-B006-4C9D-B0B9-032462D8D59C}">
  <dimension ref="B2:XX1000"/>
  <sheetViews>
    <sheetView showGridLines="0" zoomScale="85" zoomScaleNormal="85" workbookViewId="0">
      <selection activeCell="D15" sqref="D15"/>
    </sheetView>
  </sheetViews>
  <sheetFormatPr defaultColWidth="8.796875" defaultRowHeight="13.8" x14ac:dyDescent="0.25"/>
  <cols>
    <col min="1" max="1" width="1.69921875" customWidth="1"/>
    <col min="2" max="18" width="13.69921875" customWidth="1"/>
  </cols>
  <sheetData>
    <row r="2" spans="2:18" x14ac:dyDescent="0.25">
      <c r="B2" s="4" t="s">
        <v>2</v>
      </c>
      <c r="C2" s="2"/>
      <c r="D2" s="2"/>
      <c r="E2" s="2"/>
      <c r="F2" s="2"/>
      <c r="G2" s="2"/>
      <c r="H2" s="2"/>
      <c r="I2" s="2"/>
      <c r="J2" s="2"/>
      <c r="K2" s="2"/>
      <c r="L2" s="2"/>
      <c r="M2" s="2"/>
      <c r="N2" s="2"/>
      <c r="O2" s="2"/>
      <c r="P2" s="2"/>
      <c r="Q2" s="2"/>
      <c r="R2" s="2"/>
    </row>
    <row r="3" spans="2:18" ht="14.4" x14ac:dyDescent="0.3">
      <c r="B3" s="1" t="s">
        <v>0</v>
      </c>
    </row>
    <row r="5" spans="2:18" x14ac:dyDescent="0.25">
      <c r="B5" s="8" t="s">
        <v>3</v>
      </c>
      <c r="C5" s="9"/>
      <c r="D5" s="9"/>
      <c r="E5" s="9"/>
      <c r="F5" s="9"/>
      <c r="G5" s="9"/>
      <c r="H5" s="9"/>
      <c r="I5" s="9"/>
      <c r="J5" s="9"/>
      <c r="K5" s="9"/>
      <c r="L5" s="9"/>
      <c r="M5" s="9"/>
      <c r="N5" s="9"/>
      <c r="O5" s="9"/>
      <c r="P5" s="9"/>
      <c r="Q5" s="9"/>
      <c r="R5" s="9"/>
    </row>
    <row r="6" spans="2:18" ht="14.4" thickBot="1" x14ac:dyDescent="0.3">
      <c r="B6" s="249" t="s">
        <v>12</v>
      </c>
      <c r="C6" s="249"/>
      <c r="D6" s="249"/>
      <c r="E6" s="249"/>
      <c r="F6" s="249"/>
      <c r="G6" s="249"/>
      <c r="H6" s="249"/>
      <c r="I6" s="6" t="s">
        <v>10</v>
      </c>
      <c r="J6" s="7"/>
      <c r="K6" s="7"/>
      <c r="L6" s="6"/>
      <c r="M6" s="249" t="s">
        <v>25</v>
      </c>
      <c r="N6" s="249"/>
      <c r="O6" s="249"/>
      <c r="P6" s="249" t="s">
        <v>26</v>
      </c>
      <c r="Q6" s="249"/>
      <c r="R6" s="249"/>
    </row>
    <row r="7" spans="2:18" x14ac:dyDescent="0.25">
      <c r="B7" s="13"/>
      <c r="C7" s="14"/>
      <c r="D7" s="35"/>
      <c r="E7" s="36" t="s">
        <v>4</v>
      </c>
      <c r="F7" s="37" t="s">
        <v>5</v>
      </c>
      <c r="G7" s="38"/>
      <c r="H7" s="39"/>
      <c r="I7" s="13"/>
      <c r="J7" s="14"/>
      <c r="K7" s="43"/>
      <c r="L7" s="36" t="s">
        <v>4</v>
      </c>
      <c r="M7" s="23" t="s">
        <v>27</v>
      </c>
      <c r="O7" s="202">
        <f>Financing!N14</f>
        <v>5448.4416543574562</v>
      </c>
      <c r="P7" s="18" t="s">
        <v>46</v>
      </c>
      <c r="Q7" s="19"/>
      <c r="R7" s="20">
        <f>RetAnalysis!K5</f>
        <v>2029</v>
      </c>
    </row>
    <row r="8" spans="2:18" x14ac:dyDescent="0.25">
      <c r="B8" s="15"/>
      <c r="C8" s="5"/>
      <c r="D8" s="40" t="s">
        <v>6</v>
      </c>
      <c r="E8" s="40" t="s">
        <v>7</v>
      </c>
      <c r="F8" s="114">
        <f>G26</f>
        <v>45565</v>
      </c>
      <c r="G8" s="41" t="s">
        <v>8</v>
      </c>
      <c r="H8" s="42" t="s">
        <v>9</v>
      </c>
      <c r="I8" s="15"/>
      <c r="J8" s="5"/>
      <c r="K8" s="40" t="s">
        <v>6</v>
      </c>
      <c r="L8" s="40" t="s">
        <v>11</v>
      </c>
      <c r="M8" s="16" t="s">
        <v>31</v>
      </c>
      <c r="O8" s="203">
        <f>-Financing!N10</f>
        <v>1500</v>
      </c>
      <c r="P8" s="16" t="s">
        <v>47</v>
      </c>
      <c r="R8" s="205">
        <f>RetAnalysis!E6</f>
        <v>10.5</v>
      </c>
    </row>
    <row r="9" spans="2:18" x14ac:dyDescent="0.25">
      <c r="B9" s="16" t="s">
        <v>13</v>
      </c>
      <c r="D9" s="208" cm="1">
        <f t="array" ref="D9">INDEX(Financing!D9:H9,,FinStructure)</f>
        <v>0</v>
      </c>
      <c r="E9" s="118">
        <f>IF(ISERROR(D9/$D$21),0,D9/$D$21)</f>
        <v>0</v>
      </c>
      <c r="F9" s="129">
        <f>IF(ISERROR(D9/$G$33),0,D9/$G$33)</f>
        <v>0</v>
      </c>
      <c r="G9" s="129">
        <f>F9</f>
        <v>0</v>
      </c>
      <c r="H9" s="246">
        <f>DebtSched!E18*10000</f>
        <v>350.00000000000006</v>
      </c>
      <c r="I9" s="16" t="s">
        <v>21</v>
      </c>
      <c r="K9" s="184" cm="1">
        <f t="array" ref="K9">INDEX(Financing!D22:H22,,FinStructure)</f>
        <v>5448.4416543574562</v>
      </c>
      <c r="L9" s="175">
        <f>IF(ISERROR(K9/$K$21),0,K9/$K$21)</f>
        <v>0.76325365089054298</v>
      </c>
      <c r="M9" s="16" t="s">
        <v>118</v>
      </c>
      <c r="O9" s="203">
        <f>Financing!N12</f>
        <v>0</v>
      </c>
      <c r="P9" s="16" t="s">
        <v>48</v>
      </c>
      <c r="R9" s="205">
        <f>RetAnalysis!E9</f>
        <v>10.5</v>
      </c>
    </row>
    <row r="10" spans="2:18" x14ac:dyDescent="0.25">
      <c r="B10" s="16" t="s">
        <v>14</v>
      </c>
      <c r="D10" s="208" cm="1">
        <f t="array" ref="D10">INDEX(Financing!D10:H10,,FinStructure)</f>
        <v>500</v>
      </c>
      <c r="E10" s="118">
        <f t="shared" ref="E10:E20" si="0">IF(ISERROR(D10/$D$21),0,D10/$D$21)</f>
        <v>7.0043298553093783E-2</v>
      </c>
      <c r="F10" s="129">
        <f t="shared" ref="F10:F20" si="1">IF(ISERROR(D10/$G$33),0,D10/$G$33)</f>
        <v>0.7837643844497445</v>
      </c>
      <c r="G10" s="129">
        <f>F10+G9</f>
        <v>0.7837643844497445</v>
      </c>
      <c r="H10" s="247">
        <f>DebtSched!E34*10000</f>
        <v>350.00000000000006</v>
      </c>
      <c r="I10" s="183" t="s">
        <v>241</v>
      </c>
      <c r="K10" s="184" cm="1">
        <f t="array" ref="K10">INDEX(Financing!D23:H23,,FinStructure)</f>
        <v>1000</v>
      </c>
      <c r="L10" s="175">
        <f t="shared" ref="L10:L14" si="2">IF(ISERROR(K10/$K$21),0,K10/$K$21)</f>
        <v>0.14008659710618757</v>
      </c>
      <c r="M10" s="16" t="s">
        <v>29</v>
      </c>
      <c r="O10" s="203">
        <f>Financing!N11</f>
        <v>0</v>
      </c>
      <c r="P10" s="44" t="s">
        <v>49</v>
      </c>
      <c r="R10" s="175">
        <f ca="1">RetAnalysis!K41</f>
        <v>0.19239375300529171</v>
      </c>
    </row>
    <row r="11" spans="2:18" x14ac:dyDescent="0.25">
      <c r="B11" s="16" t="s">
        <v>15</v>
      </c>
      <c r="D11" s="208" cm="1">
        <f t="array" ref="D11">INDEX(Financing!D11:H11,,FinStructure)</f>
        <v>2000</v>
      </c>
      <c r="E11" s="118">
        <f t="shared" si="0"/>
        <v>0.28017319421237513</v>
      </c>
      <c r="F11" s="129">
        <f t="shared" si="1"/>
        <v>3.135057537798978</v>
      </c>
      <c r="G11" s="129">
        <f t="shared" ref="G11:G20" si="3">F11+G10</f>
        <v>3.9188219222487226</v>
      </c>
      <c r="H11" s="246">
        <f>DebtSched!E49*10000</f>
        <v>375</v>
      </c>
      <c r="I11" t="s">
        <v>239</v>
      </c>
      <c r="K11" s="184" cm="1">
        <f t="array" ref="K11">INDEX(Financing!D24:H24,,FinStructure)</f>
        <v>500</v>
      </c>
      <c r="L11" s="175">
        <f t="shared" si="2"/>
        <v>7.0043298553093783E-2</v>
      </c>
      <c r="M11" s="16" t="s">
        <v>30</v>
      </c>
      <c r="O11" s="203">
        <f>-Financing!N13</f>
        <v>-250</v>
      </c>
      <c r="P11" s="44" t="s">
        <v>50</v>
      </c>
      <c r="R11" s="205">
        <f ca="1">RetAnalysis!K26</f>
        <v>2.4104518486466824</v>
      </c>
    </row>
    <row r="12" spans="2:18" x14ac:dyDescent="0.25">
      <c r="B12" s="16" t="s">
        <v>16</v>
      </c>
      <c r="D12" s="208" cm="1">
        <f t="array" ref="D12">INDEX(Financing!D12:H12,,FinStructure)</f>
        <v>300</v>
      </c>
      <c r="E12" s="118">
        <f t="shared" si="0"/>
        <v>4.2025979131856267E-2</v>
      </c>
      <c r="F12" s="129">
        <f t="shared" si="1"/>
        <v>0.47025863066984669</v>
      </c>
      <c r="G12" s="129">
        <f t="shared" si="3"/>
        <v>4.3890805529185695</v>
      </c>
      <c r="H12" s="246">
        <f>DebtSched!E64*10000</f>
        <v>450</v>
      </c>
      <c r="I12" s="16" t="s">
        <v>23</v>
      </c>
      <c r="K12" s="184" cm="1">
        <f t="array" ref="K12">INDEX(Financing!D25:H25,,FinStructure)</f>
        <v>20</v>
      </c>
      <c r="L12" s="175">
        <f t="shared" si="2"/>
        <v>2.8017319421237514E-3</v>
      </c>
      <c r="M12" s="23" t="s">
        <v>32</v>
      </c>
      <c r="O12" s="204">
        <f>SUM(O7:O11)</f>
        <v>6698.4416543574562</v>
      </c>
      <c r="P12" s="16"/>
      <c r="R12" s="10"/>
    </row>
    <row r="13" spans="2:18" x14ac:dyDescent="0.25">
      <c r="B13" s="16" t="s">
        <v>17</v>
      </c>
      <c r="D13" s="208" cm="1">
        <f t="array" ref="D13">INDEX(Financing!D13:H13,,FinStructure)</f>
        <v>1000</v>
      </c>
      <c r="E13" s="118">
        <f t="shared" si="0"/>
        <v>0.14008659710618757</v>
      </c>
      <c r="F13" s="129">
        <f t="shared" si="1"/>
        <v>1.567528768899489</v>
      </c>
      <c r="G13" s="129">
        <f t="shared" si="3"/>
        <v>5.9566093218180587</v>
      </c>
      <c r="H13" s="21">
        <f>DebtSched!E78</f>
        <v>8.7499999999999994E-2</v>
      </c>
      <c r="I13" s="16" t="s">
        <v>22</v>
      </c>
      <c r="K13" s="184" cm="1">
        <f t="array" ref="K13">INDEX(Financing!D26:H26,,FinStructure)</f>
        <v>140</v>
      </c>
      <c r="L13" s="175">
        <f t="shared" si="2"/>
        <v>1.9612123594866259E-2</v>
      </c>
      <c r="M13" s="16"/>
      <c r="O13" s="10"/>
      <c r="P13" s="16"/>
      <c r="R13" s="10"/>
    </row>
    <row r="14" spans="2:18" x14ac:dyDescent="0.25">
      <c r="B14" s="16" t="s">
        <v>18</v>
      </c>
      <c r="D14" s="208" cm="1">
        <f t="array" ref="D14">INDEX(Financing!D14:H14,,FinStructure)</f>
        <v>1000</v>
      </c>
      <c r="E14" s="118">
        <f t="shared" si="0"/>
        <v>0.14008659710618757</v>
      </c>
      <c r="F14" s="129">
        <f t="shared" si="1"/>
        <v>1.567528768899489</v>
      </c>
      <c r="G14" s="129">
        <f t="shared" si="3"/>
        <v>7.5241380907175479</v>
      </c>
      <c r="H14" s="21">
        <f>DebtSched!E89</f>
        <v>0.09</v>
      </c>
      <c r="I14" s="16" t="s">
        <v>24</v>
      </c>
      <c r="K14" s="184" cm="1">
        <f t="array" ref="K14">INDEX(Financing!D27:H27,,FinStructure)</f>
        <v>30</v>
      </c>
      <c r="L14" s="175">
        <f t="shared" si="2"/>
        <v>4.2025979131856267E-3</v>
      </c>
      <c r="M14" s="250" t="s">
        <v>35</v>
      </c>
      <c r="N14" s="249"/>
      <c r="O14" s="251"/>
      <c r="P14" s="250" t="s">
        <v>42</v>
      </c>
      <c r="Q14" s="249"/>
      <c r="R14" s="251"/>
    </row>
    <row r="15" spans="2:18" x14ac:dyDescent="0.25">
      <c r="B15" s="16" t="s">
        <v>19</v>
      </c>
      <c r="D15" s="208" cm="1">
        <f t="array" ref="D15">INDEX(Financing!D15:H15,,FinStructure)</f>
        <v>2088.4416543574562</v>
      </c>
      <c r="E15" s="118">
        <f t="shared" si="0"/>
        <v>0.29256268461375279</v>
      </c>
      <c r="F15" s="129">
        <f t="shared" si="1"/>
        <v>3.2736923753733551</v>
      </c>
      <c r="G15" s="129">
        <f t="shared" si="3"/>
        <v>10.797830466090904</v>
      </c>
      <c r="H15" s="10"/>
      <c r="I15" s="16"/>
      <c r="L15" s="175"/>
      <c r="M15" s="23" t="s">
        <v>36</v>
      </c>
      <c r="O15" s="10"/>
      <c r="P15" s="23" t="s">
        <v>43</v>
      </c>
      <c r="R15" s="46">
        <v>3</v>
      </c>
    </row>
    <row r="16" spans="2:18" x14ac:dyDescent="0.25">
      <c r="B16" s="16" t="s">
        <v>20</v>
      </c>
      <c r="D16" s="208" cm="1">
        <f t="array" ref="D16">INDEX(Financing!D16:H16,,FinStructure)</f>
        <v>250</v>
      </c>
      <c r="E16" s="118">
        <f t="shared" si="0"/>
        <v>3.5021649276546891E-2</v>
      </c>
      <c r="F16" s="129">
        <f t="shared" si="1"/>
        <v>0.39188219222487225</v>
      </c>
      <c r="G16" s="129">
        <f t="shared" si="3"/>
        <v>11.189712658315775</v>
      </c>
      <c r="H16" s="10"/>
      <c r="I16" s="16"/>
      <c r="L16" s="175"/>
      <c r="M16" s="34" t="str">
        <f>" LTM "&amp;TEXT(G26,"mm/dd/yyyy")</f>
        <v xml:space="preserve"> LTM 09/30/2024</v>
      </c>
      <c r="N16" s="59">
        <f>G27</f>
        <v>3200</v>
      </c>
      <c r="O16" s="206">
        <f>IF(ISERROR($O$12/N16),0,$O$12/N16)</f>
        <v>2.0932630169867052</v>
      </c>
      <c r="P16" s="23" t="s">
        <v>44</v>
      </c>
      <c r="R16" s="242">
        <f>RetAnalysis!D65</f>
        <v>1</v>
      </c>
    </row>
    <row r="17" spans="2:19" x14ac:dyDescent="0.25">
      <c r="B17" s="16"/>
      <c r="D17" s="120"/>
      <c r="E17" s="118">
        <f t="shared" si="0"/>
        <v>0</v>
      </c>
      <c r="F17" s="129">
        <f t="shared" si="1"/>
        <v>0</v>
      </c>
      <c r="G17" s="129">
        <f t="shared" si="3"/>
        <v>11.189712658315775</v>
      </c>
      <c r="H17" s="10"/>
      <c r="I17" s="108"/>
      <c r="L17" s="175"/>
      <c r="M17" s="34" t="str">
        <f>" "&amp;H26&amp;"E"</f>
        <v xml:space="preserve"> 2024E</v>
      </c>
      <c r="N17" s="59">
        <f>H27</f>
        <v>3238.4</v>
      </c>
      <c r="O17" s="206">
        <f>IF(ISERROR($O$12/N17),0,$O$12/N17)</f>
        <v>2.0684417163900246</v>
      </c>
      <c r="P17" s="23" t="s">
        <v>228</v>
      </c>
      <c r="R17" s="46">
        <v>1</v>
      </c>
      <c r="S17" t="s">
        <v>229</v>
      </c>
    </row>
    <row r="18" spans="2:19" ht="14.4" x14ac:dyDescent="0.3">
      <c r="B18" s="16"/>
      <c r="D18" s="120"/>
      <c r="E18" s="118">
        <f t="shared" si="0"/>
        <v>0</v>
      </c>
      <c r="F18" s="129">
        <f t="shared" si="1"/>
        <v>0</v>
      </c>
      <c r="G18" s="129">
        <f t="shared" si="3"/>
        <v>11.189712658315775</v>
      </c>
      <c r="H18" s="10"/>
      <c r="I18" s="106"/>
      <c r="L18" s="175"/>
      <c r="M18" s="23" t="s">
        <v>37</v>
      </c>
      <c r="O18" s="206"/>
      <c r="P18" s="23" t="s">
        <v>45</v>
      </c>
      <c r="R18" s="46">
        <v>1</v>
      </c>
      <c r="S18" t="s">
        <v>230</v>
      </c>
    </row>
    <row r="19" spans="2:19" x14ac:dyDescent="0.25">
      <c r="B19" s="16"/>
      <c r="D19" s="120"/>
      <c r="E19" s="118">
        <f t="shared" si="0"/>
        <v>0</v>
      </c>
      <c r="F19" s="129">
        <f t="shared" si="1"/>
        <v>0</v>
      </c>
      <c r="G19" s="129">
        <f t="shared" si="3"/>
        <v>11.189712658315775</v>
      </c>
      <c r="H19" s="10"/>
      <c r="I19" s="16"/>
      <c r="L19" s="175"/>
      <c r="M19" s="34" t="str">
        <f>M16</f>
        <v xml:space="preserve"> LTM 09/30/2024</v>
      </c>
      <c r="N19" s="59">
        <f>G33</f>
        <v>637.94682422451967</v>
      </c>
      <c r="O19" s="206">
        <f t="shared" ref="O19:O20" si="4">IF(ISERROR($O$12/N19),0,$O$12/N19)</f>
        <v>10.5</v>
      </c>
      <c r="P19" s="16"/>
      <c r="R19" s="10"/>
    </row>
    <row r="20" spans="2:19" x14ac:dyDescent="0.25">
      <c r="B20" s="16"/>
      <c r="D20" s="121"/>
      <c r="E20" s="123">
        <f t="shared" si="0"/>
        <v>0</v>
      </c>
      <c r="F20" s="129">
        <f t="shared" si="1"/>
        <v>0</v>
      </c>
      <c r="G20" s="129">
        <f t="shared" si="3"/>
        <v>11.189712658315775</v>
      </c>
      <c r="H20" s="10"/>
      <c r="I20" s="16"/>
      <c r="K20" s="22"/>
      <c r="L20" s="176"/>
      <c r="M20" s="34" t="str">
        <f>M17</f>
        <v xml:space="preserve"> 2024E</v>
      </c>
      <c r="N20" s="59">
        <f>H33</f>
        <v>650.7262924667649</v>
      </c>
      <c r="O20" s="206">
        <f t="shared" si="4"/>
        <v>10.293792846397967</v>
      </c>
      <c r="P20" s="16"/>
      <c r="R20" s="10"/>
    </row>
    <row r="21" spans="2:19" ht="14.4" thickBot="1" x14ac:dyDescent="0.3">
      <c r="B21" s="24" t="s">
        <v>33</v>
      </c>
      <c r="C21" s="25"/>
      <c r="D21" s="122">
        <f>SUM(D9:D20)</f>
        <v>7138.4416543574562</v>
      </c>
      <c r="E21" s="119">
        <f>SUM(E9:E20)</f>
        <v>1</v>
      </c>
      <c r="F21" s="130">
        <f t="shared" ref="F21" si="5">SUM(F9:F20)</f>
        <v>11.189712658315775</v>
      </c>
      <c r="G21" s="130">
        <f>IF(ISERROR(D21/G33),0,D21/G33)</f>
        <v>11.189712658315775</v>
      </c>
      <c r="H21" s="26"/>
      <c r="I21" s="27" t="s">
        <v>34</v>
      </c>
      <c r="J21" s="28"/>
      <c r="K21" s="122">
        <f>SUM(K9:K20)</f>
        <v>7138.4416543574562</v>
      </c>
      <c r="L21" s="177">
        <f>SUM(L9:L20)</f>
        <v>1</v>
      </c>
      <c r="M21" s="12"/>
      <c r="N21" s="11"/>
      <c r="O21" s="17"/>
      <c r="P21" s="12"/>
      <c r="Q21" s="11"/>
      <c r="R21" s="17"/>
    </row>
    <row r="22" spans="2:19" x14ac:dyDescent="0.25">
      <c r="E22" s="108"/>
      <c r="F22" s="108"/>
      <c r="G22" s="108"/>
      <c r="H22" s="108"/>
      <c r="I22" s="108"/>
    </row>
    <row r="23" spans="2:19" ht="14.4" x14ac:dyDescent="0.3">
      <c r="B23" s="8" t="s">
        <v>3</v>
      </c>
      <c r="C23" s="9"/>
      <c r="D23" s="9"/>
      <c r="E23" s="109"/>
      <c r="F23" s="109"/>
      <c r="G23" s="109"/>
      <c r="H23" s="109"/>
      <c r="I23" s="109"/>
      <c r="J23" s="9"/>
      <c r="K23" s="9"/>
      <c r="L23" s="9"/>
      <c r="M23" s="9"/>
      <c r="N23" s="9"/>
      <c r="O23" s="9"/>
      <c r="P23" s="9"/>
      <c r="Q23" s="9"/>
      <c r="R23" s="9"/>
    </row>
    <row r="24" spans="2:19" x14ac:dyDescent="0.25">
      <c r="D24" s="252" t="s">
        <v>38</v>
      </c>
      <c r="E24" s="252"/>
      <c r="F24" s="252"/>
      <c r="G24" s="252"/>
      <c r="H24" s="31"/>
      <c r="I24" s="252" t="s">
        <v>41</v>
      </c>
      <c r="J24" s="252"/>
      <c r="K24" s="252"/>
      <c r="L24" s="252"/>
      <c r="M24" s="252"/>
      <c r="N24" s="252"/>
      <c r="O24" s="252"/>
      <c r="P24" s="252"/>
      <c r="Q24" s="252"/>
      <c r="R24" s="252"/>
    </row>
    <row r="25" spans="2:19" x14ac:dyDescent="0.25">
      <c r="D25" s="30"/>
      <c r="E25" s="30"/>
      <c r="F25" s="30"/>
      <c r="G25" s="31" t="s">
        <v>39</v>
      </c>
      <c r="H25" s="31" t="s">
        <v>40</v>
      </c>
      <c r="I25" s="29">
        <v>1</v>
      </c>
      <c r="J25" s="29">
        <f>I25+1</f>
        <v>2</v>
      </c>
      <c r="K25" s="29">
        <f t="shared" ref="K25:R25" si="6">J25+1</f>
        <v>3</v>
      </c>
      <c r="L25" s="29">
        <f t="shared" si="6"/>
        <v>4</v>
      </c>
      <c r="M25" s="29">
        <f t="shared" si="6"/>
        <v>5</v>
      </c>
      <c r="N25" s="29">
        <f t="shared" si="6"/>
        <v>6</v>
      </c>
      <c r="O25" s="29">
        <f t="shared" si="6"/>
        <v>7</v>
      </c>
      <c r="P25" s="29">
        <f t="shared" si="6"/>
        <v>8</v>
      </c>
      <c r="Q25" s="29">
        <f t="shared" si="6"/>
        <v>9</v>
      </c>
      <c r="R25" s="29">
        <f t="shared" si="6"/>
        <v>10</v>
      </c>
    </row>
    <row r="26" spans="2:19" x14ac:dyDescent="0.25">
      <c r="D26" s="32">
        <f>E26-1</f>
        <v>2021</v>
      </c>
      <c r="E26" s="32">
        <f>F26-1</f>
        <v>2022</v>
      </c>
      <c r="F26" s="32">
        <f>H26-1</f>
        <v>2023</v>
      </c>
      <c r="G26" s="228">
        <v>45565</v>
      </c>
      <c r="H26" s="33">
        <f>YEAR(G26)</f>
        <v>2024</v>
      </c>
      <c r="I26" s="33">
        <f>$H$26+I25</f>
        <v>2025</v>
      </c>
      <c r="J26" s="33">
        <f t="shared" ref="J26:R26" si="7">$H$26+J25</f>
        <v>2026</v>
      </c>
      <c r="K26" s="33">
        <f t="shared" si="7"/>
        <v>2027</v>
      </c>
      <c r="L26" s="33">
        <f t="shared" si="7"/>
        <v>2028</v>
      </c>
      <c r="M26" s="33">
        <f t="shared" si="7"/>
        <v>2029</v>
      </c>
      <c r="N26" s="33">
        <f t="shared" si="7"/>
        <v>2030</v>
      </c>
      <c r="O26" s="33">
        <f t="shared" si="7"/>
        <v>2031</v>
      </c>
      <c r="P26" s="33">
        <f t="shared" si="7"/>
        <v>2032</v>
      </c>
      <c r="Q26" s="33">
        <f t="shared" si="7"/>
        <v>2033</v>
      </c>
      <c r="R26" s="33">
        <f t="shared" si="7"/>
        <v>2034</v>
      </c>
    </row>
    <row r="27" spans="2:19" x14ac:dyDescent="0.25">
      <c r="B27" s="30" t="s">
        <v>51</v>
      </c>
      <c r="D27" s="85">
        <f>IncStmt!E6</f>
        <v>2520</v>
      </c>
      <c r="E27" s="85">
        <f>IncStmt!F6</f>
        <v>2780</v>
      </c>
      <c r="F27" s="85">
        <f>IncStmt!G6</f>
        <v>3070</v>
      </c>
      <c r="G27" s="85">
        <f>IncStmt!H6</f>
        <v>3200</v>
      </c>
      <c r="H27" s="85">
        <f>IncStmt!I6</f>
        <v>3238.4</v>
      </c>
      <c r="I27" s="85">
        <f>IncStmt!J6</f>
        <v>3335.5520000000001</v>
      </c>
      <c r="J27" s="85">
        <f>IncStmt!K6</f>
        <v>3418.9407999999999</v>
      </c>
      <c r="K27" s="85">
        <f>IncStmt!L6</f>
        <v>3555.6984320000001</v>
      </c>
      <c r="L27" s="85">
        <f>IncStmt!M6</f>
        <v>3715.7048614400001</v>
      </c>
      <c r="M27" s="85">
        <f>IncStmt!N6</f>
        <v>3845.7545315903999</v>
      </c>
      <c r="N27" s="85">
        <f>IncStmt!O6</f>
        <v>3980.3559401960638</v>
      </c>
      <c r="O27" s="85">
        <f>IncStmt!P6</f>
        <v>4119.6683981029255</v>
      </c>
      <c r="P27" s="85">
        <f>IncStmt!Q6</f>
        <v>4263.8567920365276</v>
      </c>
      <c r="Q27" s="85">
        <f>IncStmt!R6</f>
        <v>4413.0917797578059</v>
      </c>
      <c r="R27" s="85">
        <f>IncStmt!S6</f>
        <v>4567.5499920493285</v>
      </c>
    </row>
    <row r="28" spans="2:19" ht="14.4" x14ac:dyDescent="0.3">
      <c r="B28" t="s">
        <v>52</v>
      </c>
      <c r="D28" s="128" t="str">
        <f>IncStmt!E7</f>
        <v>NA</v>
      </c>
      <c r="E28" s="56">
        <f>IncStmt!F7</f>
        <v>0.10317460317460325</v>
      </c>
      <c r="F28" s="56">
        <f>IncStmt!G7</f>
        <v>0.10431654676258995</v>
      </c>
      <c r="G28" s="128" t="str">
        <f>IncStmt!H7</f>
        <v>NA</v>
      </c>
      <c r="H28" s="56">
        <f>IncStmt!I7</f>
        <v>5.4853420195439817E-2</v>
      </c>
      <c r="I28" s="56">
        <f>IncStmt!J7</f>
        <v>3.0000000000000027E-2</v>
      </c>
      <c r="J28" s="56">
        <f>IncStmt!K7</f>
        <v>2.4999999999999911E-2</v>
      </c>
      <c r="K28" s="56">
        <f>IncStmt!L7</f>
        <v>4.0000000000000036E-2</v>
      </c>
      <c r="L28" s="56">
        <f>IncStmt!M7</f>
        <v>4.4999999999999929E-2</v>
      </c>
      <c r="M28" s="56">
        <f>IncStmt!N7</f>
        <v>3.499999999999992E-2</v>
      </c>
      <c r="N28" s="56">
        <f>IncStmt!O7</f>
        <v>3.499999999999992E-2</v>
      </c>
      <c r="O28" s="56">
        <f>IncStmt!P7</f>
        <v>3.499999999999992E-2</v>
      </c>
      <c r="P28" s="56">
        <f>IncStmt!Q7</f>
        <v>3.499999999999992E-2</v>
      </c>
      <c r="Q28" s="56">
        <f>IncStmt!R7</f>
        <v>3.499999999999992E-2</v>
      </c>
      <c r="R28" s="56">
        <f>IncStmt!S7</f>
        <v>3.499999999999992E-2</v>
      </c>
    </row>
    <row r="30" spans="2:19" x14ac:dyDescent="0.25">
      <c r="B30" s="30" t="s">
        <v>54</v>
      </c>
      <c r="D30" s="85">
        <f>IncStmt!E10</f>
        <v>957.59999999999991</v>
      </c>
      <c r="E30" s="85">
        <f>IncStmt!F10</f>
        <v>1084.2</v>
      </c>
      <c r="F30" s="85">
        <f>IncStmt!G10</f>
        <v>1228</v>
      </c>
      <c r="G30" s="85">
        <f>IncStmt!H10</f>
        <v>1258.183161004431</v>
      </c>
      <c r="H30" s="85">
        <f>IncStmt!I10</f>
        <v>1277.1649926144753</v>
      </c>
      <c r="I30" s="85">
        <f>IncStmt!J10</f>
        <v>1334.2208000000001</v>
      </c>
      <c r="J30" s="85">
        <f>IncStmt!K10</f>
        <v>1367.5763200000001</v>
      </c>
      <c r="K30" s="85">
        <f>IncStmt!L10</f>
        <v>1422.2793728000001</v>
      </c>
      <c r="L30" s="85">
        <f>IncStmt!M10</f>
        <v>1486.2819445760001</v>
      </c>
      <c r="M30" s="85">
        <f>IncStmt!N10</f>
        <v>1538.3018126361599</v>
      </c>
      <c r="N30" s="85">
        <f>IncStmt!O10</f>
        <v>1592.1423760784255</v>
      </c>
      <c r="O30" s="85">
        <f>IncStmt!P10</f>
        <v>1647.8673592411701</v>
      </c>
      <c r="P30" s="85">
        <f>IncStmt!Q10</f>
        <v>1705.5427168146111</v>
      </c>
      <c r="Q30" s="85">
        <f>IncStmt!R10</f>
        <v>1765.2367119031223</v>
      </c>
      <c r="R30" s="85">
        <f>IncStmt!S10</f>
        <v>1827.0199968197317</v>
      </c>
    </row>
    <row r="31" spans="2:19" x14ac:dyDescent="0.25">
      <c r="B31" t="s">
        <v>55</v>
      </c>
      <c r="D31" s="56">
        <f>IncStmt!E11</f>
        <v>0.37999999999999995</v>
      </c>
      <c r="E31" s="56">
        <f>IncStmt!F11</f>
        <v>0.39</v>
      </c>
      <c r="F31" s="56">
        <f>IncStmt!G11</f>
        <v>0.4</v>
      </c>
      <c r="G31" s="56">
        <f>IncStmt!H11</f>
        <v>0.39318223781388467</v>
      </c>
      <c r="H31" s="56">
        <f>IncStmt!I11</f>
        <v>0.39438148240318527</v>
      </c>
      <c r="I31" s="56">
        <f>IncStmt!J11</f>
        <v>0.4</v>
      </c>
      <c r="J31" s="56">
        <f>IncStmt!K11</f>
        <v>0.40000000000000008</v>
      </c>
      <c r="K31" s="56">
        <f>IncStmt!L11</f>
        <v>0.4</v>
      </c>
      <c r="L31" s="56">
        <f>IncStmt!M11</f>
        <v>0.4</v>
      </c>
      <c r="M31" s="56">
        <f>IncStmt!N11</f>
        <v>0.39999999999999997</v>
      </c>
      <c r="N31" s="56">
        <f>IncStmt!O11</f>
        <v>0.4</v>
      </c>
      <c r="O31" s="56">
        <f>IncStmt!P11</f>
        <v>0.39999999999999997</v>
      </c>
      <c r="P31" s="56">
        <f>IncStmt!Q11</f>
        <v>0.4</v>
      </c>
      <c r="Q31" s="56">
        <f>IncStmt!R11</f>
        <v>0.4</v>
      </c>
      <c r="R31" s="56">
        <f>IncStmt!S11</f>
        <v>0.40000000000000008</v>
      </c>
    </row>
    <row r="33" spans="2:18" x14ac:dyDescent="0.25">
      <c r="B33" s="30" t="s">
        <v>59</v>
      </c>
      <c r="D33" s="85">
        <f>IncStmt!E17</f>
        <v>476.27999999999992</v>
      </c>
      <c r="E33" s="85">
        <f>IncStmt!F17</f>
        <v>556</v>
      </c>
      <c r="F33" s="85">
        <f>IncStmt!G17</f>
        <v>644.70000000000005</v>
      </c>
      <c r="G33" s="85">
        <f>IncStmt!H17</f>
        <v>637.94682422451967</v>
      </c>
      <c r="H33" s="85">
        <f>IncStmt!I17</f>
        <v>650.7262924667649</v>
      </c>
      <c r="I33" s="85">
        <f>IncStmt!J17</f>
        <v>733.82144000000005</v>
      </c>
      <c r="J33" s="85">
        <f>IncStmt!K17</f>
        <v>752.1669760000002</v>
      </c>
      <c r="K33" s="85">
        <f>IncStmt!L17</f>
        <v>782.25365504000013</v>
      </c>
      <c r="L33" s="85">
        <f>IncStmt!M17</f>
        <v>817.45506951680011</v>
      </c>
      <c r="M33" s="85">
        <f>IncStmt!N17</f>
        <v>846.0659969498879</v>
      </c>
      <c r="N33" s="85">
        <f>IncStmt!O17</f>
        <v>875.67830684313401</v>
      </c>
      <c r="O33" s="85">
        <f>IncStmt!P17</f>
        <v>906.32704758264356</v>
      </c>
      <c r="P33" s="85">
        <f>IncStmt!Q17</f>
        <v>938.04849424803615</v>
      </c>
      <c r="Q33" s="85">
        <f>IncStmt!R17</f>
        <v>970.88019154671736</v>
      </c>
      <c r="R33" s="85">
        <f>IncStmt!S17</f>
        <v>1004.8609982508526</v>
      </c>
    </row>
    <row r="34" spans="2:18" x14ac:dyDescent="0.25">
      <c r="B34" t="s">
        <v>55</v>
      </c>
      <c r="D34" s="56">
        <f>IncStmt!E18</f>
        <v>0.18899999999999997</v>
      </c>
      <c r="E34" s="56">
        <f>IncStmt!F18</f>
        <v>0.2</v>
      </c>
      <c r="F34" s="56">
        <f>IncStmt!G18</f>
        <v>0.21000000000000002</v>
      </c>
      <c r="G34" s="56">
        <f>IncStmt!H18</f>
        <v>0.19935838257016239</v>
      </c>
      <c r="H34" s="56">
        <f>IncStmt!I18</f>
        <v>0.20094067825678263</v>
      </c>
      <c r="I34" s="56">
        <f>IncStmt!J18</f>
        <v>0.22</v>
      </c>
      <c r="J34" s="56">
        <f>IncStmt!K18</f>
        <v>0.22000000000000006</v>
      </c>
      <c r="K34" s="56">
        <f>IncStmt!L18</f>
        <v>0.22000000000000003</v>
      </c>
      <c r="L34" s="56">
        <f>IncStmt!M18</f>
        <v>0.22000000000000003</v>
      </c>
      <c r="M34" s="56">
        <f>IncStmt!N18</f>
        <v>0.21999999999999997</v>
      </c>
      <c r="N34" s="56">
        <f>IncStmt!O18</f>
        <v>0.22</v>
      </c>
      <c r="O34" s="56">
        <f>IncStmt!P18</f>
        <v>0.22</v>
      </c>
      <c r="P34" s="56">
        <f>IncStmt!Q18</f>
        <v>0.22000000000000003</v>
      </c>
      <c r="Q34" s="56">
        <f>IncStmt!R18</f>
        <v>0.22000000000000003</v>
      </c>
      <c r="R34" s="56">
        <f>IncStmt!S18</f>
        <v>0.22000000000000008</v>
      </c>
    </row>
    <row r="36" spans="2:18" x14ac:dyDescent="0.25">
      <c r="B36" t="s">
        <v>172</v>
      </c>
      <c r="D36" s="54">
        <v>136.4</v>
      </c>
      <c r="E36" s="54">
        <v>114</v>
      </c>
      <c r="F36" s="54">
        <v>144</v>
      </c>
      <c r="G36" s="54">
        <v>152.30000000000001</v>
      </c>
      <c r="H36" s="54">
        <v>155.30000000000001</v>
      </c>
      <c r="I36" s="69">
        <f>-CFStmt!F24</f>
        <v>166.77760000000001</v>
      </c>
      <c r="J36" s="69">
        <f>-CFStmt!G24</f>
        <v>170.94704000000002</v>
      </c>
      <c r="K36" s="69">
        <f>-CFStmt!H24</f>
        <v>177.78492160000002</v>
      </c>
      <c r="L36" s="69">
        <f>-CFStmt!I24</f>
        <v>185.78524307200001</v>
      </c>
      <c r="M36" s="69">
        <f>-CFStmt!J24</f>
        <v>192.28772657952001</v>
      </c>
      <c r="N36" s="69">
        <f>-CFStmt!K24</f>
        <v>199.01779700980319</v>
      </c>
      <c r="O36" s="69">
        <f>-CFStmt!L24</f>
        <v>205.98341990514629</v>
      </c>
      <c r="P36" s="69">
        <f>-CFStmt!M24</f>
        <v>213.19283960182639</v>
      </c>
      <c r="Q36" s="69">
        <f>-CFStmt!N24</f>
        <v>220.65458898789029</v>
      </c>
      <c r="R36" s="69">
        <f>-CFStmt!O24</f>
        <v>228.37749960246643</v>
      </c>
    </row>
    <row r="37" spans="2:18" x14ac:dyDescent="0.25">
      <c r="B37" t="s">
        <v>57</v>
      </c>
      <c r="D37" s="56">
        <f>IF(ISERROR(D36/D27),0,D36/D27)</f>
        <v>5.4126984126984128E-2</v>
      </c>
      <c r="E37" s="56">
        <f t="shared" ref="E37:R37" si="8">IF(ISERROR(E36/E27),0,E36/E27)</f>
        <v>4.100719424460432E-2</v>
      </c>
      <c r="F37" s="56">
        <f t="shared" si="8"/>
        <v>4.6905537459283386E-2</v>
      </c>
      <c r="G37" s="56">
        <f t="shared" si="8"/>
        <v>4.7593750000000004E-2</v>
      </c>
      <c r="H37" s="56">
        <f t="shared" si="8"/>
        <v>4.7955780632411071E-2</v>
      </c>
      <c r="I37" s="56">
        <f t="shared" si="8"/>
        <v>0.05</v>
      </c>
      <c r="J37" s="56">
        <f t="shared" si="8"/>
        <v>5.000000000000001E-2</v>
      </c>
      <c r="K37" s="56">
        <f t="shared" si="8"/>
        <v>0.05</v>
      </c>
      <c r="L37" s="56">
        <f t="shared" si="8"/>
        <v>0.05</v>
      </c>
      <c r="M37" s="56">
        <f t="shared" si="8"/>
        <v>0.05</v>
      </c>
      <c r="N37" s="56">
        <f t="shared" si="8"/>
        <v>0.05</v>
      </c>
      <c r="O37" s="56">
        <f t="shared" si="8"/>
        <v>0.05</v>
      </c>
      <c r="P37" s="56">
        <f t="shared" si="8"/>
        <v>0.05</v>
      </c>
      <c r="Q37" s="56">
        <f t="shared" si="8"/>
        <v>0.05</v>
      </c>
      <c r="R37" s="56">
        <f t="shared" si="8"/>
        <v>0.05</v>
      </c>
    </row>
    <row r="39" spans="2:18" x14ac:dyDescent="0.25">
      <c r="B39" t="s">
        <v>173</v>
      </c>
      <c r="H39" s="69">
        <f ca="1">IncStmt!I34</f>
        <v>426.18427479986616</v>
      </c>
      <c r="I39" s="69">
        <f ca="1">IncStmt!J34</f>
        <v>408.46027304203454</v>
      </c>
      <c r="J39" s="69">
        <f ca="1">IncStmt!K34</f>
        <v>384.63128822472714</v>
      </c>
      <c r="K39" s="69">
        <f ca="1">IncStmt!L34</f>
        <v>358.57525119855137</v>
      </c>
      <c r="L39" s="69">
        <f ca="1">IncStmt!M34</f>
        <v>343.70772717528649</v>
      </c>
      <c r="M39" s="69">
        <f ca="1">IncStmt!N34</f>
        <v>326.8866081922377</v>
      </c>
      <c r="N39" s="69">
        <f ca="1">IncStmt!O34</f>
        <v>307.71820036124734</v>
      </c>
      <c r="O39" s="69">
        <f ca="1">IncStmt!P34</f>
        <v>281.71712905189162</v>
      </c>
      <c r="P39" s="69">
        <f ca="1">IncStmt!Q34</f>
        <v>292.93239801127351</v>
      </c>
      <c r="Q39" s="69">
        <f ca="1">IncStmt!R34</f>
        <v>213.00771218302586</v>
      </c>
      <c r="R39" s="69">
        <f ca="1">IncStmt!S34</f>
        <v>219.76055750293062</v>
      </c>
    </row>
    <row r="40" spans="2:18" x14ac:dyDescent="0.25">
      <c r="B40" t="s">
        <v>174</v>
      </c>
      <c r="H40" s="69">
        <f ca="1">IncStmt!I36</f>
        <v>444.44141765700903</v>
      </c>
      <c r="I40" s="69">
        <f ca="1">IncStmt!J36</f>
        <v>426.71741589917741</v>
      </c>
      <c r="J40" s="69">
        <f ca="1">IncStmt!K36</f>
        <v>402.88843108187001</v>
      </c>
      <c r="K40" s="69">
        <f ca="1">IncStmt!L36</f>
        <v>376.83239405569424</v>
      </c>
      <c r="L40" s="69">
        <f ca="1">IncStmt!M36</f>
        <v>359.96487003242936</v>
      </c>
      <c r="M40" s="69">
        <f ca="1">IncStmt!N36</f>
        <v>343.14375104938057</v>
      </c>
      <c r="N40" s="69">
        <f ca="1">IncStmt!O36</f>
        <v>323.97534321839021</v>
      </c>
      <c r="O40" s="69">
        <f ca="1">IncStmt!P36</f>
        <v>296.72427190903448</v>
      </c>
      <c r="P40" s="69">
        <f ca="1">IncStmt!Q36</f>
        <v>302.58239801127348</v>
      </c>
      <c r="Q40" s="69">
        <f ca="1">IncStmt!R36</f>
        <v>218.90771218302586</v>
      </c>
      <c r="R40" s="69">
        <f ca="1">IncStmt!S36</f>
        <v>225.66055750293063</v>
      </c>
    </row>
    <row r="42" spans="2:18" x14ac:dyDescent="0.25">
      <c r="B42" s="30"/>
    </row>
    <row r="48" spans="2:18" x14ac:dyDescent="0.25">
      <c r="E48" s="56"/>
      <c r="F48" s="56"/>
      <c r="G48" s="56"/>
      <c r="H48" s="56"/>
      <c r="I48" s="56"/>
    </row>
    <row r="49" spans="2:10" x14ac:dyDescent="0.25">
      <c r="B49" s="30"/>
      <c r="E49" s="56"/>
      <c r="F49" s="56"/>
      <c r="G49" s="56"/>
      <c r="H49" s="56"/>
      <c r="I49" s="56"/>
    </row>
    <row r="50" spans="2:10" x14ac:dyDescent="0.25">
      <c r="E50" s="56"/>
      <c r="F50" s="56"/>
      <c r="G50" s="56"/>
      <c r="H50" s="56"/>
      <c r="I50" s="56"/>
    </row>
    <row r="51" spans="2:10" x14ac:dyDescent="0.25">
      <c r="E51" s="56"/>
      <c r="F51" s="56"/>
      <c r="G51" s="56"/>
      <c r="H51" s="56"/>
      <c r="I51" s="56"/>
    </row>
    <row r="52" spans="2:10" x14ac:dyDescent="0.25">
      <c r="E52" s="56"/>
      <c r="F52" s="56"/>
      <c r="G52" s="56"/>
      <c r="H52" s="56"/>
      <c r="I52" s="56"/>
    </row>
    <row r="53" spans="2:10" x14ac:dyDescent="0.25">
      <c r="I53" s="56"/>
    </row>
    <row r="54" spans="2:10" x14ac:dyDescent="0.25">
      <c r="J54" s="56"/>
    </row>
    <row r="1000" spans="648:648" ht="15" x14ac:dyDescent="0.25">
      <c r="XX1000" s="248">
        <v>127155</v>
      </c>
    </row>
  </sheetData>
  <mergeCells count="7">
    <mergeCell ref="B6:H6"/>
    <mergeCell ref="M6:O6"/>
    <mergeCell ref="P6:R6"/>
    <mergeCell ref="M14:O14"/>
    <mergeCell ref="D24:G24"/>
    <mergeCell ref="I24:R24"/>
    <mergeCell ref="P14:R14"/>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32E03-C2FF-478D-A4BC-E4F0953E7C37}">
  <dimension ref="B1:XX1000"/>
  <sheetViews>
    <sheetView showGridLines="0" topLeftCell="E1" zoomScale="97" zoomScaleNormal="75" workbookViewId="0">
      <selection activeCell="I26" sqref="I26"/>
    </sheetView>
  </sheetViews>
  <sheetFormatPr defaultColWidth="8.796875" defaultRowHeight="13.8" x14ac:dyDescent="0.25"/>
  <cols>
    <col min="1" max="1" width="1.69921875" customWidth="1"/>
    <col min="2" max="19" width="12.69921875" customWidth="1"/>
  </cols>
  <sheetData>
    <row r="1" spans="2:19" ht="14.4" x14ac:dyDescent="0.3">
      <c r="B1" s="1" t="str">
        <f>Summary!$B$3</f>
        <v>($ in millions, fiscal year ending December 31)</v>
      </c>
    </row>
    <row r="2" spans="2:19" x14ac:dyDescent="0.25">
      <c r="B2" s="4" t="s">
        <v>1</v>
      </c>
      <c r="C2" s="4"/>
      <c r="D2" s="4"/>
      <c r="E2" s="4"/>
      <c r="F2" s="4"/>
      <c r="G2" s="4"/>
      <c r="H2" s="4"/>
      <c r="I2" s="4"/>
      <c r="J2" s="4"/>
      <c r="K2" s="4"/>
      <c r="L2" s="4"/>
      <c r="M2" s="4"/>
      <c r="N2" s="4"/>
      <c r="O2" s="4"/>
      <c r="P2" s="4"/>
      <c r="Q2" s="4"/>
      <c r="R2" s="4"/>
      <c r="S2" s="4"/>
    </row>
    <row r="3" spans="2:19" x14ac:dyDescent="0.25">
      <c r="E3" s="252" t="s">
        <v>38</v>
      </c>
      <c r="F3" s="252"/>
      <c r="G3" s="252"/>
      <c r="H3" s="252"/>
      <c r="I3" s="31"/>
      <c r="J3" s="252" t="s">
        <v>41</v>
      </c>
      <c r="K3" s="252"/>
      <c r="L3" s="252"/>
      <c r="M3" s="252"/>
      <c r="N3" s="252"/>
      <c r="O3" s="252"/>
      <c r="P3" s="252"/>
      <c r="Q3" s="252"/>
      <c r="R3" s="252"/>
      <c r="S3" s="252"/>
    </row>
    <row r="4" spans="2:19" x14ac:dyDescent="0.25">
      <c r="E4" s="30"/>
      <c r="F4" s="30"/>
      <c r="G4" s="30"/>
      <c r="H4" s="31" t="s">
        <v>39</v>
      </c>
      <c r="I4" s="31" t="s">
        <v>91</v>
      </c>
      <c r="J4" s="29">
        <v>1</v>
      </c>
      <c r="K4" s="29">
        <f>J4+1</f>
        <v>2</v>
      </c>
      <c r="L4" s="29">
        <f t="shared" ref="L4:S4" si="0">K4+1</f>
        <v>3</v>
      </c>
      <c r="M4" s="29">
        <f t="shared" si="0"/>
        <v>4</v>
      </c>
      <c r="N4" s="29">
        <f t="shared" si="0"/>
        <v>5</v>
      </c>
      <c r="O4" s="29">
        <f t="shared" si="0"/>
        <v>6</v>
      </c>
      <c r="P4" s="29">
        <f t="shared" si="0"/>
        <v>7</v>
      </c>
      <c r="Q4" s="29">
        <f t="shared" si="0"/>
        <v>8</v>
      </c>
      <c r="R4" s="29">
        <f t="shared" si="0"/>
        <v>9</v>
      </c>
      <c r="S4" s="29">
        <f t="shared" si="0"/>
        <v>10</v>
      </c>
    </row>
    <row r="5" spans="2:19" x14ac:dyDescent="0.25">
      <c r="E5" s="32">
        <f>F5-1</f>
        <v>2021</v>
      </c>
      <c r="F5" s="32">
        <f>G5-1</f>
        <v>2022</v>
      </c>
      <c r="G5" s="32">
        <f>I5-1</f>
        <v>2023</v>
      </c>
      <c r="H5" s="115">
        <f>Summary!G26</f>
        <v>45565</v>
      </c>
      <c r="I5" s="33">
        <f>YEAR($H$5)</f>
        <v>2024</v>
      </c>
      <c r="J5" s="33">
        <f>$I$5+J4</f>
        <v>2025</v>
      </c>
      <c r="K5" s="33">
        <f t="shared" ref="K5:S5" si="1">$I$5+K4</f>
        <v>2026</v>
      </c>
      <c r="L5" s="33">
        <f t="shared" si="1"/>
        <v>2027</v>
      </c>
      <c r="M5" s="33">
        <f t="shared" si="1"/>
        <v>2028</v>
      </c>
      <c r="N5" s="33">
        <f t="shared" si="1"/>
        <v>2029</v>
      </c>
      <c r="O5" s="33">
        <f t="shared" si="1"/>
        <v>2030</v>
      </c>
      <c r="P5" s="33">
        <f t="shared" si="1"/>
        <v>2031</v>
      </c>
      <c r="Q5" s="33">
        <f t="shared" si="1"/>
        <v>2032</v>
      </c>
      <c r="R5" s="33">
        <f t="shared" si="1"/>
        <v>2033</v>
      </c>
      <c r="S5" s="33">
        <f t="shared" si="1"/>
        <v>2034</v>
      </c>
    </row>
    <row r="6" spans="2:19" x14ac:dyDescent="0.25">
      <c r="B6" s="30" t="s">
        <v>51</v>
      </c>
      <c r="E6" s="107">
        <v>2520</v>
      </c>
      <c r="F6" s="107">
        <v>2780</v>
      </c>
      <c r="G6" s="107">
        <v>3070</v>
      </c>
      <c r="H6" s="107">
        <v>3200</v>
      </c>
      <c r="I6" s="107">
        <f>H6*1.012</f>
        <v>3238.4</v>
      </c>
      <c r="J6" s="85">
        <f>I6*(1+J46)</f>
        <v>3335.5520000000001</v>
      </c>
      <c r="K6" s="85">
        <f t="shared" ref="K6:S6" si="2">J6*(1+K46)</f>
        <v>3418.9407999999999</v>
      </c>
      <c r="L6" s="85">
        <f t="shared" si="2"/>
        <v>3555.6984320000001</v>
      </c>
      <c r="M6" s="85">
        <f t="shared" si="2"/>
        <v>3715.7048614400001</v>
      </c>
      <c r="N6" s="85">
        <f t="shared" si="2"/>
        <v>3845.7545315903999</v>
      </c>
      <c r="O6" s="85">
        <f t="shared" si="2"/>
        <v>3980.3559401960638</v>
      </c>
      <c r="P6" s="85">
        <f t="shared" si="2"/>
        <v>4119.6683981029255</v>
      </c>
      <c r="Q6" s="85">
        <f t="shared" si="2"/>
        <v>4263.8567920365276</v>
      </c>
      <c r="R6" s="85">
        <f t="shared" si="2"/>
        <v>4413.0917797578059</v>
      </c>
      <c r="S6" s="85">
        <f t="shared" si="2"/>
        <v>4567.5499920493285</v>
      </c>
    </row>
    <row r="7" spans="2:19" ht="14.4" x14ac:dyDescent="0.3">
      <c r="B7" s="1" t="s">
        <v>52</v>
      </c>
      <c r="E7" s="57" t="s">
        <v>90</v>
      </c>
      <c r="F7" s="58">
        <f>IF(ISERROR(F6/E6-1),0,F6/E6-1)</f>
        <v>0.10317460317460325</v>
      </c>
      <c r="G7" s="58">
        <f t="shared" ref="G7" si="3">IF(ISERROR(G6/F6-1),0,G6/F6-1)</f>
        <v>0.10431654676258995</v>
      </c>
      <c r="H7" s="57" t="s">
        <v>90</v>
      </c>
      <c r="I7" s="58">
        <f>IF(ISERROR(I6/G6-1),0,I6/G6-1)</f>
        <v>5.4853420195439817E-2</v>
      </c>
      <c r="J7" s="58">
        <f t="shared" ref="J7" si="4">IF(ISERROR(J6/I6-1),0,J6/I6-1)</f>
        <v>3.0000000000000027E-2</v>
      </c>
      <c r="K7" s="58">
        <f t="shared" ref="K7" si="5">IF(ISERROR(K6/J6-1),0,K6/J6-1)</f>
        <v>2.4999999999999911E-2</v>
      </c>
      <c r="L7" s="58">
        <f t="shared" ref="L7" si="6">IF(ISERROR(L6/K6-1),0,L6/K6-1)</f>
        <v>4.0000000000000036E-2</v>
      </c>
      <c r="M7" s="58">
        <f t="shared" ref="M7" si="7">IF(ISERROR(M6/L6-1),0,M6/L6-1)</f>
        <v>4.4999999999999929E-2</v>
      </c>
      <c r="N7" s="58">
        <f t="shared" ref="N7" si="8">IF(ISERROR(N6/M6-1),0,N6/M6-1)</f>
        <v>3.499999999999992E-2</v>
      </c>
      <c r="O7" s="58">
        <f t="shared" ref="O7" si="9">IF(ISERROR(O6/N6-1),0,O6/N6-1)</f>
        <v>3.499999999999992E-2</v>
      </c>
      <c r="P7" s="58">
        <f t="shared" ref="P7" si="10">IF(ISERROR(P6/O6-1),0,P6/O6-1)</f>
        <v>3.499999999999992E-2</v>
      </c>
      <c r="Q7" s="58">
        <f t="shared" ref="Q7" si="11">IF(ISERROR(Q6/P6-1),0,Q6/P6-1)</f>
        <v>3.499999999999992E-2</v>
      </c>
      <c r="R7" s="58">
        <f t="shared" ref="R7" si="12">IF(ISERROR(R6/Q6-1),0,R6/Q6-1)</f>
        <v>3.499999999999992E-2</v>
      </c>
      <c r="S7" s="58">
        <f t="shared" ref="S7" si="13">IF(ISERROR(S6/R6-1),0,S6/R6-1)</f>
        <v>3.499999999999992E-2</v>
      </c>
    </row>
    <row r="9" spans="2:19" x14ac:dyDescent="0.25">
      <c r="B9" t="s">
        <v>53</v>
      </c>
      <c r="E9" s="64">
        <v>1562.4</v>
      </c>
      <c r="F9" s="64">
        <v>1695.8</v>
      </c>
      <c r="G9" s="64">
        <v>1842</v>
      </c>
      <c r="H9" s="64">
        <v>1941.816838995569</v>
      </c>
      <c r="I9" s="64">
        <f>H9*1.01</f>
        <v>1961.2350073855248</v>
      </c>
      <c r="J9" s="70">
        <f>J6*J47</f>
        <v>2001.3312000000001</v>
      </c>
      <c r="K9" s="70">
        <f t="shared" ref="K9:S9" si="14">K6*K47</f>
        <v>2051.3644799999997</v>
      </c>
      <c r="L9" s="70">
        <f t="shared" si="14"/>
        <v>2133.4190592</v>
      </c>
      <c r="M9" s="70">
        <f t="shared" si="14"/>
        <v>2229.4229168639999</v>
      </c>
      <c r="N9" s="70">
        <f t="shared" si="14"/>
        <v>2307.45271895424</v>
      </c>
      <c r="O9" s="70">
        <f t="shared" si="14"/>
        <v>2388.2135641176383</v>
      </c>
      <c r="P9" s="70">
        <f t="shared" si="14"/>
        <v>2471.8010388617554</v>
      </c>
      <c r="Q9" s="70">
        <f t="shared" si="14"/>
        <v>2558.3140752219165</v>
      </c>
      <c r="R9" s="70">
        <f t="shared" si="14"/>
        <v>2647.8550678546835</v>
      </c>
      <c r="S9" s="70">
        <f t="shared" si="14"/>
        <v>2740.5299952295968</v>
      </c>
    </row>
    <row r="10" spans="2:19" x14ac:dyDescent="0.25">
      <c r="B10" s="30" t="s">
        <v>54</v>
      </c>
      <c r="E10" s="85">
        <f>E6-E9</f>
        <v>957.59999999999991</v>
      </c>
      <c r="F10" s="85">
        <f t="shared" ref="F10:I10" si="15">F6-F9</f>
        <v>1084.2</v>
      </c>
      <c r="G10" s="85">
        <f t="shared" si="15"/>
        <v>1228</v>
      </c>
      <c r="H10" s="85">
        <f t="shared" si="15"/>
        <v>1258.183161004431</v>
      </c>
      <c r="I10" s="85">
        <f t="shared" si="15"/>
        <v>1277.1649926144753</v>
      </c>
      <c r="J10" s="85">
        <f t="shared" ref="J10" si="16">J6-J9</f>
        <v>1334.2208000000001</v>
      </c>
      <c r="K10" s="85">
        <f t="shared" ref="K10" si="17">K6-K9</f>
        <v>1367.5763200000001</v>
      </c>
      <c r="L10" s="85">
        <f t="shared" ref="L10" si="18">L6-L9</f>
        <v>1422.2793728000001</v>
      </c>
      <c r="M10" s="85">
        <f t="shared" ref="M10" si="19">M6-M9</f>
        <v>1486.2819445760001</v>
      </c>
      <c r="N10" s="85">
        <f t="shared" ref="N10" si="20">N6-N9</f>
        <v>1538.3018126361599</v>
      </c>
      <c r="O10" s="85">
        <f t="shared" ref="O10" si="21">O6-O9</f>
        <v>1592.1423760784255</v>
      </c>
      <c r="P10" s="85">
        <f t="shared" ref="P10" si="22">P6-P9</f>
        <v>1647.8673592411701</v>
      </c>
      <c r="Q10" s="85">
        <f t="shared" ref="Q10" si="23">Q6-Q9</f>
        <v>1705.5427168146111</v>
      </c>
      <c r="R10" s="85">
        <f t="shared" ref="R10" si="24">R6-R9</f>
        <v>1765.2367119031223</v>
      </c>
      <c r="S10" s="85">
        <f t="shared" ref="S10" si="25">S6-S9</f>
        <v>1827.0199968197317</v>
      </c>
    </row>
    <row r="11" spans="2:19" ht="14.4" x14ac:dyDescent="0.3">
      <c r="B11" s="1" t="s">
        <v>55</v>
      </c>
      <c r="E11" s="105">
        <f>IF(ISERROR(E10/E6),0,E10/E6)</f>
        <v>0.37999999999999995</v>
      </c>
      <c r="F11" s="105">
        <f t="shared" ref="F11:I11" si="26">IF(ISERROR(F10/F6),0,F10/F6)</f>
        <v>0.39</v>
      </c>
      <c r="G11" s="105">
        <f t="shared" si="26"/>
        <v>0.4</v>
      </c>
      <c r="H11" s="105">
        <f t="shared" si="26"/>
        <v>0.39318223781388467</v>
      </c>
      <c r="I11" s="105">
        <f t="shared" si="26"/>
        <v>0.39438148240318527</v>
      </c>
      <c r="J11" s="105">
        <f t="shared" ref="J11" si="27">IF(ISERROR(J10/J6),0,J10/J6)</f>
        <v>0.4</v>
      </c>
      <c r="K11" s="105">
        <f t="shared" ref="K11" si="28">IF(ISERROR(K10/K6),0,K10/K6)</f>
        <v>0.40000000000000008</v>
      </c>
      <c r="L11" s="105">
        <f t="shared" ref="L11" si="29">IF(ISERROR(L10/L6),0,L10/L6)</f>
        <v>0.4</v>
      </c>
      <c r="M11" s="105">
        <f t="shared" ref="M11" si="30">IF(ISERROR(M10/M6),0,M10/M6)</f>
        <v>0.4</v>
      </c>
      <c r="N11" s="105">
        <f t="shared" ref="N11" si="31">IF(ISERROR(N10/N6),0,N10/N6)</f>
        <v>0.39999999999999997</v>
      </c>
      <c r="O11" s="105">
        <f t="shared" ref="O11" si="32">IF(ISERROR(O10/O6),0,O10/O6)</f>
        <v>0.4</v>
      </c>
      <c r="P11" s="105">
        <f t="shared" ref="P11" si="33">IF(ISERROR(P10/P6),0,P10/P6)</f>
        <v>0.39999999999999997</v>
      </c>
      <c r="Q11" s="105">
        <f t="shared" ref="Q11" si="34">IF(ISERROR(Q10/Q6),0,Q10/Q6)</f>
        <v>0.4</v>
      </c>
      <c r="R11" s="105">
        <f t="shared" ref="R11" si="35">IF(ISERROR(R10/R6),0,R10/R6)</f>
        <v>0.4</v>
      </c>
      <c r="S11" s="105">
        <f t="shared" ref="S11" si="36">IF(ISERROR(S10/S6),0,S10/S6)</f>
        <v>0.40000000000000008</v>
      </c>
    </row>
    <row r="13" spans="2:19" x14ac:dyDescent="0.25">
      <c r="B13" t="s">
        <v>56</v>
      </c>
      <c r="E13" s="62">
        <v>481.32</v>
      </c>
      <c r="F13" s="62">
        <v>528.20000000000005</v>
      </c>
      <c r="G13" s="62">
        <v>583.29999999999995</v>
      </c>
      <c r="H13" s="62">
        <v>620.23633677991131</v>
      </c>
      <c r="I13" s="62">
        <f>H13*1.01</f>
        <v>626.43870014771039</v>
      </c>
      <c r="J13" s="69">
        <f>J6*J48</f>
        <v>600.39936</v>
      </c>
      <c r="K13" s="69">
        <f t="shared" ref="K13:S13" si="37">K6*K48</f>
        <v>615.40934399999992</v>
      </c>
      <c r="L13" s="69">
        <f t="shared" si="37"/>
        <v>640.02571776000002</v>
      </c>
      <c r="M13" s="69">
        <f t="shared" si="37"/>
        <v>668.82687505920001</v>
      </c>
      <c r="N13" s="69">
        <f t="shared" si="37"/>
        <v>692.23581568627196</v>
      </c>
      <c r="O13" s="69">
        <f t="shared" si="37"/>
        <v>716.4640692352915</v>
      </c>
      <c r="P13" s="69">
        <f t="shared" si="37"/>
        <v>741.54031165852655</v>
      </c>
      <c r="Q13" s="69">
        <f t="shared" si="37"/>
        <v>767.49422256657499</v>
      </c>
      <c r="R13" s="69">
        <f t="shared" si="37"/>
        <v>794.35652035640499</v>
      </c>
      <c r="S13" s="69">
        <f t="shared" si="37"/>
        <v>822.15899856887904</v>
      </c>
    </row>
    <row r="14" spans="2:19" ht="14.4" x14ac:dyDescent="0.3">
      <c r="B14" s="1" t="s">
        <v>57</v>
      </c>
      <c r="E14" s="105">
        <f>IF(ISERROR(E13/E6),0,E13/E6)</f>
        <v>0.191</v>
      </c>
      <c r="F14" s="105">
        <f t="shared" ref="F14:J14" si="38">IF(ISERROR(F13/F6),0,F13/F6)</f>
        <v>0.19000000000000003</v>
      </c>
      <c r="G14" s="105">
        <f t="shared" si="38"/>
        <v>0.18999999999999997</v>
      </c>
      <c r="H14" s="105">
        <f t="shared" si="38"/>
        <v>0.19382385524372228</v>
      </c>
      <c r="I14" s="105">
        <f t="shared" si="38"/>
        <v>0.19344080414640266</v>
      </c>
      <c r="J14" s="105">
        <f t="shared" si="38"/>
        <v>0.18</v>
      </c>
      <c r="K14" s="105">
        <f t="shared" ref="K14" si="39">IF(ISERROR(K13/K6),0,K13/K6)</f>
        <v>0.18</v>
      </c>
      <c r="L14" s="105">
        <f t="shared" ref="L14" si="40">IF(ISERROR(L13/L6),0,L13/L6)</f>
        <v>0.18</v>
      </c>
      <c r="M14" s="105">
        <f t="shared" ref="M14" si="41">IF(ISERROR(M13/M6),0,M13/M6)</f>
        <v>0.18</v>
      </c>
      <c r="N14" s="105">
        <f t="shared" ref="N14" si="42">IF(ISERROR(N13/N6),0,N13/N6)</f>
        <v>0.18</v>
      </c>
      <c r="O14" s="105">
        <f t="shared" ref="O14" si="43">IF(ISERROR(O13/O6),0,O13/O6)</f>
        <v>0.18</v>
      </c>
      <c r="P14" s="105">
        <f t="shared" ref="P14" si="44">IF(ISERROR(P13/P6),0,P13/P6)</f>
        <v>0.18</v>
      </c>
      <c r="Q14" s="105">
        <f t="shared" ref="Q14" si="45">IF(ISERROR(Q13/Q6),0,Q13/Q6)</f>
        <v>0.18</v>
      </c>
      <c r="R14" s="105">
        <f t="shared" ref="R14" si="46">IF(ISERROR(R13/R6),0,R13/R6)</f>
        <v>0.18</v>
      </c>
      <c r="S14" s="105">
        <f t="shared" ref="S14" si="47">IF(ISERROR(S13/S6),0,S13/S6)</f>
        <v>0.18</v>
      </c>
    </row>
    <row r="16" spans="2:19" x14ac:dyDescent="0.25">
      <c r="B16" t="s">
        <v>58</v>
      </c>
      <c r="E16" s="64">
        <v>0</v>
      </c>
      <c r="F16" s="64">
        <v>0</v>
      </c>
      <c r="G16" s="64">
        <v>0</v>
      </c>
      <c r="H16" s="64">
        <v>0</v>
      </c>
      <c r="I16" s="64">
        <f>H16</f>
        <v>0</v>
      </c>
      <c r="J16" s="70">
        <f>J6*J49</f>
        <v>0</v>
      </c>
      <c r="K16" s="70">
        <f t="shared" ref="K16:S16" si="48">K6*K49</f>
        <v>0</v>
      </c>
      <c r="L16" s="70">
        <f t="shared" si="48"/>
        <v>0</v>
      </c>
      <c r="M16" s="70">
        <f t="shared" si="48"/>
        <v>0</v>
      </c>
      <c r="N16" s="70">
        <f t="shared" si="48"/>
        <v>0</v>
      </c>
      <c r="O16" s="70">
        <f t="shared" si="48"/>
        <v>0</v>
      </c>
      <c r="P16" s="70">
        <f t="shared" si="48"/>
        <v>0</v>
      </c>
      <c r="Q16" s="70">
        <f t="shared" si="48"/>
        <v>0</v>
      </c>
      <c r="R16" s="70">
        <f t="shared" si="48"/>
        <v>0</v>
      </c>
      <c r="S16" s="70">
        <f t="shared" si="48"/>
        <v>0</v>
      </c>
    </row>
    <row r="17" spans="2:20" x14ac:dyDescent="0.25">
      <c r="B17" s="30" t="s">
        <v>59</v>
      </c>
      <c r="E17" s="85">
        <f>E10-E13-E16</f>
        <v>476.27999999999992</v>
      </c>
      <c r="F17" s="85">
        <f t="shared" ref="F17:I17" si="49">F10-F13-F16</f>
        <v>556</v>
      </c>
      <c r="G17" s="85">
        <f t="shared" si="49"/>
        <v>644.70000000000005</v>
      </c>
      <c r="H17" s="85">
        <f t="shared" si="49"/>
        <v>637.94682422451967</v>
      </c>
      <c r="I17" s="85">
        <f t="shared" si="49"/>
        <v>650.7262924667649</v>
      </c>
      <c r="J17" s="85">
        <f>J10-J13-J16</f>
        <v>733.82144000000005</v>
      </c>
      <c r="K17" s="85">
        <f t="shared" ref="K17" si="50">K10-K13-K16</f>
        <v>752.1669760000002</v>
      </c>
      <c r="L17" s="85">
        <f t="shared" ref="L17" si="51">L10-L13-L16</f>
        <v>782.25365504000013</v>
      </c>
      <c r="M17" s="85">
        <f t="shared" ref="M17" si="52">M10-M13-M16</f>
        <v>817.45506951680011</v>
      </c>
      <c r="N17" s="85">
        <f t="shared" ref="N17" si="53">N10-N13-N16</f>
        <v>846.0659969498879</v>
      </c>
      <c r="O17" s="85">
        <f t="shared" ref="O17" si="54">O10-O13-O16</f>
        <v>875.67830684313401</v>
      </c>
      <c r="P17" s="85">
        <f t="shared" ref="P17" si="55">P10-P13-P16</f>
        <v>906.32704758264356</v>
      </c>
      <c r="Q17" s="85">
        <f t="shared" ref="Q17" si="56">Q10-Q13-Q16</f>
        <v>938.04849424803615</v>
      </c>
      <c r="R17" s="85">
        <f t="shared" ref="R17" si="57">R10-R13-R16</f>
        <v>970.88019154671736</v>
      </c>
      <c r="S17" s="85">
        <f t="shared" ref="S17" si="58">S10-S13-S16</f>
        <v>1004.8609982508526</v>
      </c>
    </row>
    <row r="18" spans="2:20" ht="14.4" x14ac:dyDescent="0.3">
      <c r="B18" s="1" t="s">
        <v>55</v>
      </c>
      <c r="E18" s="105">
        <f>IF(ISERROR(E17/E6),0,E17/E6)</f>
        <v>0.18899999999999997</v>
      </c>
      <c r="F18" s="105">
        <f t="shared" ref="F18:J18" si="59">IF(ISERROR(F17/F6),0,F17/F6)</f>
        <v>0.2</v>
      </c>
      <c r="G18" s="105">
        <f t="shared" si="59"/>
        <v>0.21000000000000002</v>
      </c>
      <c r="H18" s="105">
        <f t="shared" si="59"/>
        <v>0.19935838257016239</v>
      </c>
      <c r="I18" s="105">
        <f t="shared" si="59"/>
        <v>0.20094067825678263</v>
      </c>
      <c r="J18" s="105">
        <f t="shared" si="59"/>
        <v>0.22</v>
      </c>
      <c r="K18" s="105">
        <f t="shared" ref="K18" si="60">IF(ISERROR(K17/K6),0,K17/K6)</f>
        <v>0.22000000000000006</v>
      </c>
      <c r="L18" s="105">
        <f t="shared" ref="L18" si="61">IF(ISERROR(L17/L6),0,L17/L6)</f>
        <v>0.22000000000000003</v>
      </c>
      <c r="M18" s="105">
        <f t="shared" ref="M18" si="62">IF(ISERROR(M17/M6),0,M17/M6)</f>
        <v>0.22000000000000003</v>
      </c>
      <c r="N18" s="105">
        <f t="shared" ref="N18" si="63">IF(ISERROR(N17/N6),0,N17/N6)</f>
        <v>0.21999999999999997</v>
      </c>
      <c r="O18" s="105">
        <f t="shared" ref="O18" si="64">IF(ISERROR(O17/O6),0,O17/O6)</f>
        <v>0.22</v>
      </c>
      <c r="P18" s="105">
        <f t="shared" ref="P18" si="65">IF(ISERROR(P17/P6),0,P17/P6)</f>
        <v>0.22</v>
      </c>
      <c r="Q18" s="105">
        <f t="shared" ref="Q18" si="66">IF(ISERROR(Q17/Q6),0,Q17/Q6)</f>
        <v>0.22000000000000003</v>
      </c>
      <c r="R18" s="105">
        <f t="shared" ref="R18" si="67">IF(ISERROR(R17/R6),0,R17/R6)</f>
        <v>0.22000000000000003</v>
      </c>
      <c r="S18" s="105">
        <f t="shared" ref="S18" si="68">IF(ISERROR(S17/S6),0,S17/S6)</f>
        <v>0.22000000000000008</v>
      </c>
    </row>
    <row r="20" spans="2:20" x14ac:dyDescent="0.25">
      <c r="B20" t="s">
        <v>60</v>
      </c>
      <c r="E20" s="62">
        <v>114</v>
      </c>
      <c r="F20" s="62">
        <v>118</v>
      </c>
      <c r="G20" s="62">
        <v>140</v>
      </c>
      <c r="H20" s="62">
        <v>145</v>
      </c>
      <c r="I20" s="62">
        <f>H20</f>
        <v>145</v>
      </c>
      <c r="J20" s="69">
        <f>J6*J50</f>
        <v>166.77760000000001</v>
      </c>
      <c r="K20" s="69">
        <f t="shared" ref="K20:S20" si="69">K6*K50</f>
        <v>170.94704000000002</v>
      </c>
      <c r="L20" s="69">
        <f t="shared" si="69"/>
        <v>177.78492160000002</v>
      </c>
      <c r="M20" s="69">
        <f t="shared" si="69"/>
        <v>185.78524307200001</v>
      </c>
      <c r="N20" s="69">
        <f t="shared" si="69"/>
        <v>192.28772657952001</v>
      </c>
      <c r="O20" s="69">
        <f t="shared" si="69"/>
        <v>199.01779700980319</v>
      </c>
      <c r="P20" s="69">
        <f t="shared" si="69"/>
        <v>205.98341990514629</v>
      </c>
      <c r="Q20" s="69">
        <f t="shared" si="69"/>
        <v>213.19283960182639</v>
      </c>
      <c r="R20" s="69">
        <f t="shared" si="69"/>
        <v>220.65458898789029</v>
      </c>
      <c r="S20" s="69">
        <f t="shared" si="69"/>
        <v>228.37749960246643</v>
      </c>
    </row>
    <row r="21" spans="2:20" x14ac:dyDescent="0.25">
      <c r="B21" t="s">
        <v>61</v>
      </c>
      <c r="E21" s="64">
        <v>39</v>
      </c>
      <c r="F21" s="64">
        <v>42</v>
      </c>
      <c r="G21" s="64">
        <v>46.5</v>
      </c>
      <c r="H21" s="64">
        <v>49</v>
      </c>
      <c r="I21" s="64">
        <f>H21</f>
        <v>49</v>
      </c>
      <c r="J21" s="70">
        <f>J6*J51</f>
        <v>66.711039999999997</v>
      </c>
      <c r="K21" s="70">
        <f t="shared" ref="K21:S21" si="70">K6*K51</f>
        <v>68.378816</v>
      </c>
      <c r="L21" s="70">
        <f t="shared" si="70"/>
        <v>71.11396864000001</v>
      </c>
      <c r="M21" s="70">
        <f t="shared" si="70"/>
        <v>74.314097228800009</v>
      </c>
      <c r="N21" s="70">
        <f t="shared" si="70"/>
        <v>76.915090631807999</v>
      </c>
      <c r="O21" s="70">
        <f t="shared" si="70"/>
        <v>79.607118803921281</v>
      </c>
      <c r="P21" s="70">
        <f t="shared" si="70"/>
        <v>82.393367962058505</v>
      </c>
      <c r="Q21" s="70">
        <f t="shared" si="70"/>
        <v>85.277135840730551</v>
      </c>
      <c r="R21" s="70">
        <f t="shared" si="70"/>
        <v>88.261835595156114</v>
      </c>
      <c r="S21" s="70">
        <f t="shared" si="70"/>
        <v>91.350999840986574</v>
      </c>
    </row>
    <row r="22" spans="2:20" x14ac:dyDescent="0.25">
      <c r="B22" s="30" t="s">
        <v>62</v>
      </c>
      <c r="E22" s="85">
        <f>E17-SUM(E20:E21)</f>
        <v>323.27999999999992</v>
      </c>
      <c r="F22" s="85">
        <f t="shared" ref="F22:I22" si="71">F17-SUM(F20:F21)</f>
        <v>396</v>
      </c>
      <c r="G22" s="85">
        <f t="shared" si="71"/>
        <v>458.20000000000005</v>
      </c>
      <c r="H22" s="85">
        <f t="shared" si="71"/>
        <v>443.94682422451967</v>
      </c>
      <c r="I22" s="85">
        <f t="shared" si="71"/>
        <v>456.7262924667649</v>
      </c>
      <c r="J22" s="85">
        <f>J17-SUM(J20:J21)</f>
        <v>500.33280000000002</v>
      </c>
      <c r="K22" s="85">
        <f t="shared" ref="K22" si="72">K17-SUM(K20:K21)</f>
        <v>512.84112000000016</v>
      </c>
      <c r="L22" s="85">
        <f t="shared" ref="L22" si="73">L17-SUM(L20:L21)</f>
        <v>533.35476480000011</v>
      </c>
      <c r="M22" s="85">
        <f t="shared" ref="M22" si="74">M17-SUM(M20:M21)</f>
        <v>557.3557292160001</v>
      </c>
      <c r="N22" s="85">
        <f t="shared" ref="N22" si="75">N17-SUM(N20:N21)</f>
        <v>576.86317973855989</v>
      </c>
      <c r="O22" s="85">
        <f t="shared" ref="O22" si="76">O17-SUM(O20:O21)</f>
        <v>597.05339102940957</v>
      </c>
      <c r="P22" s="85">
        <f t="shared" ref="P22" si="77">P17-SUM(P20:P21)</f>
        <v>617.95025971543873</v>
      </c>
      <c r="Q22" s="85">
        <f t="shared" ref="Q22" si="78">Q17-SUM(Q20:Q21)</f>
        <v>639.57851880547923</v>
      </c>
      <c r="R22" s="85">
        <f t="shared" ref="R22" si="79">R17-SUM(R20:R21)</f>
        <v>661.96376696367088</v>
      </c>
      <c r="S22" s="85">
        <f t="shared" ref="S22" si="80">S17-SUM(S20:S21)</f>
        <v>685.13249880739954</v>
      </c>
    </row>
    <row r="23" spans="2:20" ht="14.4" x14ac:dyDescent="0.3">
      <c r="B23" s="1" t="s">
        <v>55</v>
      </c>
      <c r="E23" s="105">
        <f>IF(ISERROR(E22/E6),0,E22/E6)</f>
        <v>0.12828571428571425</v>
      </c>
      <c r="F23" s="105">
        <f t="shared" ref="F23:J23" si="81">IF(ISERROR(F22/F6),0,F22/F6)</f>
        <v>0.14244604316546763</v>
      </c>
      <c r="G23" s="105">
        <f t="shared" si="81"/>
        <v>0.14925081433224757</v>
      </c>
      <c r="H23" s="105">
        <f t="shared" si="81"/>
        <v>0.13873338257016241</v>
      </c>
      <c r="I23" s="105">
        <f t="shared" si="81"/>
        <v>0.14103455177456919</v>
      </c>
      <c r="J23" s="105">
        <f t="shared" si="81"/>
        <v>0.15</v>
      </c>
      <c r="K23" s="105">
        <f t="shared" ref="K23" si="82">IF(ISERROR(K22/K6),0,K22/K6)</f>
        <v>0.15000000000000005</v>
      </c>
      <c r="L23" s="105">
        <f t="shared" ref="L23" si="83">IF(ISERROR(L22/L6),0,L22/L6)</f>
        <v>0.15000000000000002</v>
      </c>
      <c r="M23" s="105">
        <f t="shared" ref="M23" si="84">IF(ISERROR(M22/M6),0,M22/M6)</f>
        <v>0.15000000000000002</v>
      </c>
      <c r="N23" s="105">
        <f t="shared" ref="N23" si="85">IF(ISERROR(N22/N6),0,N22/N6)</f>
        <v>0.14999999999999997</v>
      </c>
      <c r="O23" s="105">
        <f t="shared" ref="O23" si="86">IF(ISERROR(O22/O6),0,O22/O6)</f>
        <v>0.15</v>
      </c>
      <c r="P23" s="105">
        <f t="shared" ref="P23" si="87">IF(ISERROR(P22/P6),0,P22/P6)</f>
        <v>0.14999999999999997</v>
      </c>
      <c r="Q23" s="105">
        <f t="shared" ref="Q23" si="88">IF(ISERROR(Q22/Q6),0,Q22/Q6)</f>
        <v>0.15000000000000002</v>
      </c>
      <c r="R23" s="105">
        <f t="shared" ref="R23" si="89">IF(ISERROR(R22/R6),0,R22/R6)</f>
        <v>0.15</v>
      </c>
      <c r="S23" s="105">
        <f t="shared" ref="S23" si="90">IF(ISERROR(S22/S6),0,S22/S6)</f>
        <v>0.15000000000000005</v>
      </c>
    </row>
    <row r="25" spans="2:20" x14ac:dyDescent="0.25">
      <c r="B25" s="55" t="s">
        <v>63</v>
      </c>
    </row>
    <row r="26" spans="2:20" x14ac:dyDescent="0.25">
      <c r="B26" t="s">
        <v>13</v>
      </c>
      <c r="I26" s="146">
        <f>BalSheet!H24*(IF(DebtSched!E$6&gt;DebtSched!E19,DebtSched!E$6,DebtSched!E19)+DebtSched!E18)</f>
        <v>0</v>
      </c>
      <c r="J26" s="195">
        <f ca="1">DebtSched!F28</f>
        <v>0.25474824216843484</v>
      </c>
      <c r="K26" s="195">
        <f ca="1">DebtSched!G28</f>
        <v>0.24216808206135168</v>
      </c>
      <c r="L26" s="195">
        <f ca="1">DebtSched!H28</f>
        <v>0</v>
      </c>
      <c r="M26" s="195">
        <f ca="1">DebtSched!I28</f>
        <v>0</v>
      </c>
      <c r="N26" s="195">
        <f ca="1">DebtSched!J28</f>
        <v>0</v>
      </c>
      <c r="O26" s="195">
        <f ca="1">DebtSched!K28</f>
        <v>0</v>
      </c>
      <c r="P26" s="195">
        <f ca="1">DebtSched!L28</f>
        <v>45.396712014178377</v>
      </c>
      <c r="Q26" s="195">
        <f ca="1">DebtSched!M28</f>
        <v>115.23239801127355</v>
      </c>
      <c r="R26" s="195">
        <f ca="1">DebtSched!N28</f>
        <v>125.30771218302587</v>
      </c>
      <c r="S26" s="195">
        <f ca="1">DebtSched!O28</f>
        <v>132.06055750293064</v>
      </c>
      <c r="T26" t="s">
        <v>434</v>
      </c>
    </row>
    <row r="27" spans="2:20" x14ac:dyDescent="0.25">
      <c r="B27" t="s">
        <v>14</v>
      </c>
      <c r="I27" s="146">
        <f>BalSheet!H25*(IF(DebtSched!E$6&gt;DebtSched!E35,DebtSched!E$6,DebtSched!E35)+DebtSched!E34)</f>
        <v>42.5</v>
      </c>
      <c r="J27" s="195">
        <f ca="1">DebtSched!F45</f>
        <v>37.96875</v>
      </c>
      <c r="K27" s="195">
        <f ca="1">DebtSched!G45</f>
        <v>31.277345342799663</v>
      </c>
      <c r="L27" s="195">
        <f ca="1">DebtSched!H45</f>
        <v>23.875251198551403</v>
      </c>
      <c r="M27" s="195">
        <f ca="1">DebtSched!I45</f>
        <v>16.647727175286533</v>
      </c>
      <c r="N27" s="195">
        <f ca="1">DebtSched!J45</f>
        <v>6.2688248687036427</v>
      </c>
      <c r="O27" s="195">
        <f ca="1">DebtSched!K45</f>
        <v>0</v>
      </c>
      <c r="P27" s="195">
        <f ca="1">DebtSched!L45</f>
        <v>0</v>
      </c>
      <c r="Q27" s="195">
        <f ca="1">DebtSched!M45</f>
        <v>0</v>
      </c>
      <c r="R27" s="195">
        <f ca="1">DebtSched!N45</f>
        <v>0</v>
      </c>
      <c r="S27" s="195">
        <f ca="1">DebtSched!O45</f>
        <v>0</v>
      </c>
      <c r="T27" t="s">
        <v>434</v>
      </c>
    </row>
    <row r="28" spans="2:20" x14ac:dyDescent="0.25">
      <c r="B28" t="s">
        <v>15</v>
      </c>
      <c r="I28" s="146">
        <f>BalSheet!H26*(IF(DebtSched!E$6&gt;DebtSched!E50,DebtSched!E$6,DebtSched!E50)+DebtSched!E49)</f>
        <v>175</v>
      </c>
      <c r="J28" s="195">
        <f ca="1">DebtSched!F60</f>
        <v>166.16499999999999</v>
      </c>
      <c r="K28" s="195">
        <f ca="1">DebtSched!G60</f>
        <v>156.61500000000001</v>
      </c>
      <c r="L28" s="195">
        <f ca="1">DebtSched!H60</f>
        <v>145.27500000000001</v>
      </c>
      <c r="M28" s="195">
        <f ca="1">DebtSched!I60</f>
        <v>143.785</v>
      </c>
      <c r="N28" s="195">
        <f ca="1">DebtSched!J60</f>
        <v>140.41778332353408</v>
      </c>
      <c r="O28" s="195">
        <f ca="1">DebtSched!K60</f>
        <v>127.51820036124735</v>
      </c>
      <c r="P28" s="195">
        <f ca="1">DebtSched!L60</f>
        <v>58.620417037713281</v>
      </c>
      <c r="Q28" s="195">
        <f ca="1">DebtSched!M60</f>
        <v>0</v>
      </c>
      <c r="R28" s="195">
        <f ca="1">DebtSched!N60</f>
        <v>0</v>
      </c>
      <c r="S28" s="195">
        <f ca="1">DebtSched!O60</f>
        <v>0</v>
      </c>
      <c r="T28" t="s">
        <v>434</v>
      </c>
    </row>
    <row r="29" spans="2:20" x14ac:dyDescent="0.25">
      <c r="B29" t="s">
        <v>16</v>
      </c>
      <c r="I29" s="146">
        <f>BalSheet!H28*(DebtSched!E6+DebtSched!E64)</f>
        <v>28.5</v>
      </c>
      <c r="J29" s="195">
        <f>DebtSched!F74</f>
        <v>23.887499999999999</v>
      </c>
      <c r="K29" s="195">
        <f>DebtSched!G74</f>
        <v>16.3125</v>
      </c>
      <c r="L29" s="195">
        <f>DebtSched!H74</f>
        <v>9.2249999999999996</v>
      </c>
      <c r="M29" s="195">
        <f>DebtSched!I74</f>
        <v>3.0749999999999997</v>
      </c>
      <c r="N29" s="195">
        <f>DebtSched!J74</f>
        <v>0</v>
      </c>
      <c r="O29" s="195">
        <f>DebtSched!K74</f>
        <v>0</v>
      </c>
      <c r="P29" s="195">
        <f>DebtSched!L74</f>
        <v>0</v>
      </c>
      <c r="Q29" s="195">
        <f>DebtSched!M74</f>
        <v>0</v>
      </c>
      <c r="R29" s="195">
        <f>DebtSched!N74</f>
        <v>0</v>
      </c>
      <c r="S29" s="195">
        <f>DebtSched!O74</f>
        <v>0</v>
      </c>
      <c r="T29" t="s">
        <v>434</v>
      </c>
    </row>
    <row r="30" spans="2:20" x14ac:dyDescent="0.25">
      <c r="B30" t="s">
        <v>17</v>
      </c>
      <c r="I30" s="146">
        <f>J30</f>
        <v>87.5</v>
      </c>
      <c r="J30" s="195">
        <f>DebtSched!F85</f>
        <v>87.5</v>
      </c>
      <c r="K30" s="195">
        <f>DebtSched!G85</f>
        <v>87.5</v>
      </c>
      <c r="L30" s="195">
        <f>DebtSched!H85</f>
        <v>87.5</v>
      </c>
      <c r="M30" s="195">
        <f>DebtSched!I85</f>
        <v>87.5</v>
      </c>
      <c r="N30" s="195">
        <f>DebtSched!J85</f>
        <v>87.5</v>
      </c>
      <c r="O30" s="195">
        <f>DebtSched!K85</f>
        <v>87.5</v>
      </c>
      <c r="P30" s="195">
        <f>DebtSched!L85</f>
        <v>87.5</v>
      </c>
      <c r="Q30" s="195">
        <f>DebtSched!M85</f>
        <v>87.5</v>
      </c>
      <c r="R30" s="195">
        <f>DebtSched!N85</f>
        <v>87.5</v>
      </c>
      <c r="S30" s="195">
        <f>DebtSched!O85</f>
        <v>87.5</v>
      </c>
      <c r="T30" t="s">
        <v>434</v>
      </c>
    </row>
    <row r="31" spans="2:20" x14ac:dyDescent="0.25">
      <c r="B31" t="s">
        <v>18</v>
      </c>
      <c r="I31" s="146">
        <f>J31</f>
        <v>90</v>
      </c>
      <c r="J31" s="195">
        <f>DebtSched!F96</f>
        <v>90</v>
      </c>
      <c r="K31" s="195">
        <f>DebtSched!G96</f>
        <v>90</v>
      </c>
      <c r="L31" s="195">
        <f>DebtSched!H96</f>
        <v>90</v>
      </c>
      <c r="M31" s="195">
        <f>DebtSched!I96</f>
        <v>90</v>
      </c>
      <c r="N31" s="195">
        <f>DebtSched!J96</f>
        <v>90</v>
      </c>
      <c r="O31" s="195">
        <f>DebtSched!K96</f>
        <v>90</v>
      </c>
      <c r="P31" s="195">
        <f>DebtSched!L96</f>
        <v>90</v>
      </c>
      <c r="Q31" s="195">
        <f>DebtSched!M96</f>
        <v>90</v>
      </c>
      <c r="R31" s="195">
        <f>DebtSched!N96</f>
        <v>0</v>
      </c>
      <c r="S31" s="195">
        <f>DebtSched!O96</f>
        <v>0</v>
      </c>
      <c r="T31" t="s">
        <v>434</v>
      </c>
    </row>
    <row r="32" spans="2:20" x14ac:dyDescent="0.25">
      <c r="B32" t="s">
        <v>64</v>
      </c>
      <c r="I32" s="146">
        <f ca="1">J32</f>
        <v>2.4842747998661459</v>
      </c>
      <c r="J32" s="195">
        <f ca="1">DebtSched!F29</f>
        <v>2.4842747998661459</v>
      </c>
      <c r="K32" s="195">
        <f ca="1">DebtSched!G29</f>
        <v>2.4842747998661459</v>
      </c>
      <c r="L32" s="195">
        <f ca="1">DebtSched!H29</f>
        <v>2.5</v>
      </c>
      <c r="M32" s="195">
        <f ca="1">DebtSched!I29</f>
        <v>2.5</v>
      </c>
      <c r="N32" s="195">
        <f ca="1">DebtSched!J29</f>
        <v>2.5</v>
      </c>
      <c r="O32" s="195">
        <f ca="1">DebtSched!K29</f>
        <v>2.5</v>
      </c>
      <c r="P32" s="195">
        <f ca="1">DebtSched!L29</f>
        <v>0</v>
      </c>
      <c r="Q32" s="195">
        <f ca="1">DebtSched!M29</f>
        <v>0</v>
      </c>
      <c r="R32" s="195">
        <f ca="1">DebtSched!N29</f>
        <v>0</v>
      </c>
      <c r="S32" s="195">
        <f ca="1">DebtSched!O29</f>
        <v>0</v>
      </c>
      <c r="T32" t="s">
        <v>434</v>
      </c>
    </row>
    <row r="33" spans="2:20" x14ac:dyDescent="0.25">
      <c r="B33" t="s">
        <v>65</v>
      </c>
      <c r="I33" s="192">
        <f>J33</f>
        <v>0.2</v>
      </c>
      <c r="J33" s="186">
        <f>DebtSched!F30</f>
        <v>0.2</v>
      </c>
      <c r="K33" s="186">
        <f>DebtSched!G30</f>
        <v>0.2</v>
      </c>
      <c r="L33" s="186">
        <f>DebtSched!H30</f>
        <v>0.2</v>
      </c>
      <c r="M33" s="186">
        <f>DebtSched!I30</f>
        <v>0.2</v>
      </c>
      <c r="N33" s="186">
        <f>DebtSched!J30</f>
        <v>0.2</v>
      </c>
      <c r="O33" s="186">
        <f>DebtSched!K30</f>
        <v>0.2</v>
      </c>
      <c r="P33" s="186">
        <f>DebtSched!L30</f>
        <v>0.2</v>
      </c>
      <c r="Q33" s="186">
        <f>DebtSched!M30</f>
        <v>0.2</v>
      </c>
      <c r="R33" s="186">
        <f>DebtSched!N30</f>
        <v>0.2</v>
      </c>
      <c r="S33" s="186">
        <f>DebtSched!O30</f>
        <v>0.2</v>
      </c>
      <c r="T33" t="s">
        <v>434</v>
      </c>
    </row>
    <row r="34" spans="2:20" x14ac:dyDescent="0.25">
      <c r="B34" s="30" t="s">
        <v>66</v>
      </c>
      <c r="I34" s="193">
        <f ca="1">SUM(I26:I33)</f>
        <v>426.18427479986616</v>
      </c>
      <c r="J34" s="185">
        <f ca="1">SUM(J26:J33)</f>
        <v>408.46027304203454</v>
      </c>
      <c r="K34" s="185">
        <f t="shared" ref="K34:S34" ca="1" si="91">SUM(K26:K33)</f>
        <v>384.63128822472714</v>
      </c>
      <c r="L34" s="185">
        <f t="shared" ca="1" si="91"/>
        <v>358.57525119855137</v>
      </c>
      <c r="M34" s="185">
        <f t="shared" ca="1" si="91"/>
        <v>343.70772717528649</v>
      </c>
      <c r="N34" s="185">
        <f t="shared" ca="1" si="91"/>
        <v>326.8866081922377</v>
      </c>
      <c r="O34" s="185">
        <f t="shared" ca="1" si="91"/>
        <v>307.71820036124734</v>
      </c>
      <c r="P34" s="185">
        <f t="shared" ca="1" si="91"/>
        <v>281.71712905189162</v>
      </c>
      <c r="Q34" s="185">
        <f t="shared" ca="1" si="91"/>
        <v>292.93239801127351</v>
      </c>
      <c r="R34" s="185">
        <f t="shared" ca="1" si="91"/>
        <v>213.00771218302586</v>
      </c>
      <c r="S34" s="185">
        <f t="shared" ca="1" si="91"/>
        <v>219.76055750293062</v>
      </c>
      <c r="T34" t="s">
        <v>434</v>
      </c>
    </row>
    <row r="35" spans="2:20" x14ac:dyDescent="0.25">
      <c r="B35" t="s">
        <v>67</v>
      </c>
      <c r="I35" s="192">
        <f>J35</f>
        <v>18.257142857142856</v>
      </c>
      <c r="J35" s="186">
        <f>Financing!E58</f>
        <v>18.257142857142856</v>
      </c>
      <c r="K35" s="186">
        <f>Financing!F58</f>
        <v>18.257142857142856</v>
      </c>
      <c r="L35" s="186">
        <f>Financing!G58</f>
        <v>18.257142857142856</v>
      </c>
      <c r="M35" s="186">
        <f>Financing!H58</f>
        <v>16.257142857142856</v>
      </c>
      <c r="N35" s="186">
        <f>Financing!I58</f>
        <v>16.257142857142856</v>
      </c>
      <c r="O35" s="186">
        <f>Financing!J58</f>
        <v>16.257142857142856</v>
      </c>
      <c r="P35" s="186">
        <f>Financing!K58</f>
        <v>15.007142857142858</v>
      </c>
      <c r="Q35" s="186">
        <f>Financing!L58</f>
        <v>9.65</v>
      </c>
      <c r="R35" s="186">
        <f>Financing!M58</f>
        <v>5.9</v>
      </c>
      <c r="S35" s="186">
        <f>Financing!N58</f>
        <v>5.9</v>
      </c>
      <c r="T35" t="s">
        <v>434</v>
      </c>
    </row>
    <row r="36" spans="2:20" x14ac:dyDescent="0.25">
      <c r="B36" s="30" t="s">
        <v>68</v>
      </c>
      <c r="I36" s="193">
        <f ca="1">I34+I35</f>
        <v>444.44141765700903</v>
      </c>
      <c r="J36" s="185">
        <f ca="1">SUM(J34:J35)</f>
        <v>426.71741589917741</v>
      </c>
      <c r="K36" s="185">
        <f t="shared" ref="K36:S36" ca="1" si="92">SUM(K34:K35)</f>
        <v>402.88843108187001</v>
      </c>
      <c r="L36" s="185">
        <f t="shared" ca="1" si="92"/>
        <v>376.83239405569424</v>
      </c>
      <c r="M36" s="185">
        <f t="shared" ca="1" si="92"/>
        <v>359.96487003242936</v>
      </c>
      <c r="N36" s="185">
        <f t="shared" ca="1" si="92"/>
        <v>343.14375104938057</v>
      </c>
      <c r="O36" s="185">
        <f t="shared" ca="1" si="92"/>
        <v>323.97534321839021</v>
      </c>
      <c r="P36" s="185">
        <f t="shared" ca="1" si="92"/>
        <v>296.72427190903448</v>
      </c>
      <c r="Q36" s="185">
        <f t="shared" ca="1" si="92"/>
        <v>302.58239801127348</v>
      </c>
      <c r="R36" s="185">
        <f t="shared" ca="1" si="92"/>
        <v>218.90771218302586</v>
      </c>
      <c r="S36" s="185">
        <f t="shared" ca="1" si="92"/>
        <v>225.66055750293063</v>
      </c>
      <c r="T36" t="s">
        <v>434</v>
      </c>
    </row>
    <row r="37" spans="2:20" x14ac:dyDescent="0.25">
      <c r="B37" t="s">
        <v>69</v>
      </c>
      <c r="I37" s="141"/>
      <c r="J37" s="186">
        <f ca="1">((CFStmt!F41+CFStmt!F42)/2)*IncStmt!J52</f>
        <v>0</v>
      </c>
      <c r="K37" s="186">
        <f ca="1">((CFStmt!G41+CFStmt!G42)/2)*IncStmt!K52</f>
        <v>0</v>
      </c>
      <c r="L37" s="186">
        <f ca="1">((CFStmt!H41+CFStmt!H42)/2)*IncStmt!L52</f>
        <v>0</v>
      </c>
      <c r="M37" s="186">
        <f ca="1">((CFStmt!I41+CFStmt!I42)/2)*IncStmt!M52</f>
        <v>0</v>
      </c>
      <c r="N37" s="186">
        <f ca="1">((CFStmt!J41+CFStmt!J42)/2)*IncStmt!N52</f>
        <v>0</v>
      </c>
      <c r="O37" s="186">
        <f ca="1">((CFStmt!K41+CFStmt!K42)/2)*IncStmt!O52</f>
        <v>0</v>
      </c>
      <c r="P37" s="186">
        <f ca="1">((CFStmt!L41+CFStmt!L42)/2)*IncStmt!P52</f>
        <v>0</v>
      </c>
      <c r="Q37" s="186">
        <f ca="1">((CFStmt!M41+CFStmt!M42)/2)*IncStmt!Q52</f>
        <v>0</v>
      </c>
      <c r="R37" s="186">
        <f ca="1">((CFStmt!N41+CFStmt!N42)/2)*IncStmt!R52</f>
        <v>0</v>
      </c>
      <c r="S37" s="186">
        <f ca="1">((CFStmt!O41+CFStmt!O42)/2)*IncStmt!S52</f>
        <v>0</v>
      </c>
      <c r="T37" t="s">
        <v>434</v>
      </c>
    </row>
    <row r="38" spans="2:20" x14ac:dyDescent="0.25">
      <c r="B38" s="30" t="s">
        <v>70</v>
      </c>
      <c r="I38" s="141"/>
      <c r="J38" s="184">
        <f ca="1">J36-J37</f>
        <v>426.71741589917741</v>
      </c>
      <c r="K38" s="184">
        <f t="shared" ref="K38:S38" ca="1" si="93">K36-K37</f>
        <v>402.88843108187001</v>
      </c>
      <c r="L38" s="184">
        <f t="shared" ca="1" si="93"/>
        <v>376.83239405569424</v>
      </c>
      <c r="M38" s="184">
        <f t="shared" ca="1" si="93"/>
        <v>359.96487003242936</v>
      </c>
      <c r="N38" s="184">
        <f t="shared" ca="1" si="93"/>
        <v>343.14375104938057</v>
      </c>
      <c r="O38" s="184">
        <f t="shared" ca="1" si="93"/>
        <v>323.97534321839021</v>
      </c>
      <c r="P38" s="184">
        <f t="shared" ca="1" si="93"/>
        <v>296.72427190903448</v>
      </c>
      <c r="Q38" s="184">
        <f t="shared" ca="1" si="93"/>
        <v>302.58239801127348</v>
      </c>
      <c r="R38" s="184">
        <f t="shared" ca="1" si="93"/>
        <v>218.90771218302586</v>
      </c>
      <c r="S38" s="184">
        <f t="shared" ca="1" si="93"/>
        <v>225.66055750293063</v>
      </c>
      <c r="T38" t="s">
        <v>434</v>
      </c>
    </row>
    <row r="40" spans="2:20" x14ac:dyDescent="0.25">
      <c r="B40" t="s">
        <v>71</v>
      </c>
      <c r="J40" s="69">
        <f ca="1">J22-J38</f>
        <v>73.61538410082261</v>
      </c>
      <c r="K40" s="69">
        <f t="shared" ref="K40:S40" ca="1" si="94">K22-K38</f>
        <v>109.95268891813015</v>
      </c>
      <c r="L40" s="69">
        <f t="shared" ca="1" si="94"/>
        <v>156.52237074430587</v>
      </c>
      <c r="M40" s="69">
        <f t="shared" ca="1" si="94"/>
        <v>197.39085918357074</v>
      </c>
      <c r="N40" s="69">
        <f t="shared" ca="1" si="94"/>
        <v>233.71942868917932</v>
      </c>
      <c r="O40" s="69">
        <f t="shared" ca="1" si="94"/>
        <v>273.07804781101936</v>
      </c>
      <c r="P40" s="69">
        <f t="shared" ca="1" si="94"/>
        <v>321.22598780640425</v>
      </c>
      <c r="Q40" s="69">
        <f t="shared" ca="1" si="94"/>
        <v>336.99612079420575</v>
      </c>
      <c r="R40" s="69">
        <f t="shared" ca="1" si="94"/>
        <v>443.05605478064501</v>
      </c>
      <c r="S40" s="69">
        <f t="shared" ca="1" si="94"/>
        <v>459.47194130446894</v>
      </c>
    </row>
    <row r="41" spans="2:20" x14ac:dyDescent="0.25">
      <c r="B41" t="s">
        <v>72</v>
      </c>
      <c r="J41" s="70">
        <f ca="1">J40*J53</f>
        <v>18.403846025205652</v>
      </c>
      <c r="K41" s="70">
        <f t="shared" ref="K41:S41" ca="1" si="95">K40*K53</f>
        <v>27.488172229532537</v>
      </c>
      <c r="L41" s="70">
        <f t="shared" ca="1" si="95"/>
        <v>39.130592686076469</v>
      </c>
      <c r="M41" s="70">
        <f t="shared" ca="1" si="95"/>
        <v>49.347714795892685</v>
      </c>
      <c r="N41" s="70">
        <f t="shared" ca="1" si="95"/>
        <v>58.429857172294831</v>
      </c>
      <c r="O41" s="70">
        <f t="shared" ca="1" si="95"/>
        <v>68.26951195275484</v>
      </c>
      <c r="P41" s="70">
        <f t="shared" ca="1" si="95"/>
        <v>80.306496951601062</v>
      </c>
      <c r="Q41" s="70">
        <f t="shared" ca="1" si="95"/>
        <v>84.249030198551438</v>
      </c>
      <c r="R41" s="70">
        <f t="shared" ca="1" si="95"/>
        <v>110.76401369516125</v>
      </c>
      <c r="S41" s="70">
        <f t="shared" ca="1" si="95"/>
        <v>114.86798532611724</v>
      </c>
    </row>
    <row r="42" spans="2:20" ht="14.4" thickBot="1" x14ac:dyDescent="0.3">
      <c r="B42" s="30" t="s">
        <v>73</v>
      </c>
      <c r="J42" s="86">
        <f ca="1">J40-J41</f>
        <v>55.211538075616957</v>
      </c>
      <c r="K42" s="86">
        <f t="shared" ref="K42:S42" ca="1" si="96">K40-K41</f>
        <v>82.464516688597612</v>
      </c>
      <c r="L42" s="86">
        <f t="shared" ca="1" si="96"/>
        <v>117.39177805822941</v>
      </c>
      <c r="M42" s="86">
        <f t="shared" ca="1" si="96"/>
        <v>148.04314438767807</v>
      </c>
      <c r="N42" s="86">
        <f t="shared" ca="1" si="96"/>
        <v>175.28957151688451</v>
      </c>
      <c r="O42" s="86">
        <f t="shared" ca="1" si="96"/>
        <v>204.80853585826452</v>
      </c>
      <c r="P42" s="86">
        <f t="shared" ca="1" si="96"/>
        <v>240.9194908548032</v>
      </c>
      <c r="Q42" s="86">
        <f t="shared" ca="1" si="96"/>
        <v>252.7470905956543</v>
      </c>
      <c r="R42" s="86">
        <f t="shared" ca="1" si="96"/>
        <v>332.29204108548379</v>
      </c>
      <c r="S42" s="86">
        <f t="shared" ca="1" si="96"/>
        <v>344.60395597835168</v>
      </c>
    </row>
    <row r="43" spans="2:20" ht="15" thickTop="1" x14ac:dyDescent="0.3">
      <c r="B43" s="1" t="s">
        <v>74</v>
      </c>
      <c r="J43" s="56">
        <f ca="1">J42/J6</f>
        <v>1.6552444115881557E-2</v>
      </c>
      <c r="K43" s="56">
        <f t="shared" ref="K43:S43" ca="1" si="97">K42/K6</f>
        <v>2.4119901897276964E-2</v>
      </c>
      <c r="L43" s="56">
        <f ca="1">L42/L6</f>
        <v>3.3015110899660624E-2</v>
      </c>
      <c r="M43" s="56">
        <f t="shared" ca="1" si="97"/>
        <v>3.9842546679098943E-2</v>
      </c>
      <c r="N43" s="56">
        <f t="shared" ca="1" si="97"/>
        <v>4.5580020793577286E-2</v>
      </c>
      <c r="O43" s="56">
        <f t="shared" ca="1" si="97"/>
        <v>5.1454829401055044E-2</v>
      </c>
      <c r="P43" s="56">
        <f t="shared" ca="1" si="97"/>
        <v>5.8480311416750121E-2</v>
      </c>
      <c r="Q43" s="56">
        <f t="shared" ca="1" si="97"/>
        <v>5.927663683914107E-2</v>
      </c>
      <c r="R43" s="56">
        <f t="shared" ca="1" si="97"/>
        <v>7.5296879754383955E-2</v>
      </c>
      <c r="S43" s="56">
        <f t="shared" ca="1" si="97"/>
        <v>7.5446126824708887E-2</v>
      </c>
    </row>
    <row r="45" spans="2:20" x14ac:dyDescent="0.25">
      <c r="B45" s="55" t="s">
        <v>76</v>
      </c>
    </row>
    <row r="46" spans="2:20" x14ac:dyDescent="0.25">
      <c r="B46" s="89" t="s">
        <v>77</v>
      </c>
      <c r="C46" s="90"/>
      <c r="D46" s="90"/>
      <c r="E46" s="90" t="s">
        <v>90</v>
      </c>
      <c r="F46" s="110">
        <f>F7</f>
        <v>0.10317460317460325</v>
      </c>
      <c r="G46" s="110">
        <f t="shared" ref="G46:H46" si="98">G7</f>
        <v>0.10431654676258995</v>
      </c>
      <c r="H46" s="110" t="str">
        <f t="shared" si="98"/>
        <v>NA</v>
      </c>
      <c r="I46" s="110">
        <f>I7</f>
        <v>5.4853420195439817E-2</v>
      </c>
      <c r="J46" s="110">
        <f>Assumptions1!F8</f>
        <v>0.03</v>
      </c>
      <c r="K46" s="110">
        <f>Assumptions1!G8</f>
        <v>2.5000000000000001E-2</v>
      </c>
      <c r="L46" s="110">
        <f>Assumptions1!H8</f>
        <v>0.04</v>
      </c>
      <c r="M46" s="110">
        <f>Assumptions1!I8</f>
        <v>4.4999999999999998E-2</v>
      </c>
      <c r="N46" s="110">
        <f>Assumptions1!J8</f>
        <v>3.5000000000000003E-2</v>
      </c>
      <c r="O46" s="110">
        <f>Assumptions1!K8</f>
        <v>3.5000000000000003E-2</v>
      </c>
      <c r="P46" s="110">
        <f>Assumptions1!L8</f>
        <v>3.5000000000000003E-2</v>
      </c>
      <c r="Q46" s="110">
        <f>Assumptions1!M8</f>
        <v>3.5000000000000003E-2</v>
      </c>
      <c r="R46" s="110">
        <f>Assumptions1!N8</f>
        <v>3.5000000000000003E-2</v>
      </c>
      <c r="S46" s="110">
        <f>Assumptions1!O8</f>
        <v>3.5000000000000003E-2</v>
      </c>
    </row>
    <row r="47" spans="2:20" x14ac:dyDescent="0.25">
      <c r="B47" s="92" t="s">
        <v>150</v>
      </c>
      <c r="C47" s="93"/>
      <c r="D47" s="93"/>
      <c r="E47" s="100">
        <f>IF(ISERROR(E9/E6),0,E9/E6)</f>
        <v>0.62</v>
      </c>
      <c r="F47" s="100">
        <f t="shared" ref="F47:I47" si="99">IF(ISERROR(F9/F6),0,F9/F6)</f>
        <v>0.61</v>
      </c>
      <c r="G47" s="100">
        <f t="shared" si="99"/>
        <v>0.6</v>
      </c>
      <c r="H47" s="100">
        <f t="shared" si="99"/>
        <v>0.60681776218611527</v>
      </c>
      <c r="I47" s="100">
        <f t="shared" si="99"/>
        <v>0.60561851759681473</v>
      </c>
      <c r="J47" s="100">
        <f>Assumptions1!F14</f>
        <v>0.6</v>
      </c>
      <c r="K47" s="100">
        <f>Assumptions1!G14</f>
        <v>0.6</v>
      </c>
      <c r="L47" s="100">
        <f>Assumptions1!H14</f>
        <v>0.6</v>
      </c>
      <c r="M47" s="100">
        <f>Assumptions1!I14</f>
        <v>0.6</v>
      </c>
      <c r="N47" s="100">
        <f>Assumptions1!J14</f>
        <v>0.6</v>
      </c>
      <c r="O47" s="100">
        <f>Assumptions1!K14</f>
        <v>0.6</v>
      </c>
      <c r="P47" s="100">
        <f>Assumptions1!L14</f>
        <v>0.6</v>
      </c>
      <c r="Q47" s="100">
        <f>Assumptions1!M14</f>
        <v>0.6</v>
      </c>
      <c r="R47" s="100">
        <f>Assumptions1!N14</f>
        <v>0.6</v>
      </c>
      <c r="S47" s="100">
        <f>Assumptions1!O14</f>
        <v>0.6</v>
      </c>
    </row>
    <row r="48" spans="2:20" x14ac:dyDescent="0.25">
      <c r="B48" s="92" t="s">
        <v>83</v>
      </c>
      <c r="C48" s="93"/>
      <c r="D48" s="93"/>
      <c r="E48" s="100">
        <f>IF(ISERROR(E13/E6),0,E13/E6)</f>
        <v>0.191</v>
      </c>
      <c r="F48" s="100">
        <f t="shared" ref="F48:I48" si="100">IF(ISERROR(F13/F6),0,F13/F6)</f>
        <v>0.19000000000000003</v>
      </c>
      <c r="G48" s="100">
        <f t="shared" si="100"/>
        <v>0.18999999999999997</v>
      </c>
      <c r="H48" s="100">
        <f t="shared" si="100"/>
        <v>0.19382385524372228</v>
      </c>
      <c r="I48" s="100">
        <f t="shared" si="100"/>
        <v>0.19344080414640266</v>
      </c>
      <c r="J48" s="100">
        <f>Assumptions1!F20</f>
        <v>0.18</v>
      </c>
      <c r="K48" s="100">
        <f>Assumptions1!G20</f>
        <v>0.18</v>
      </c>
      <c r="L48" s="100">
        <f>Assumptions1!H20</f>
        <v>0.18</v>
      </c>
      <c r="M48" s="100">
        <f>Assumptions1!I20</f>
        <v>0.18</v>
      </c>
      <c r="N48" s="100">
        <f>Assumptions1!J20</f>
        <v>0.18</v>
      </c>
      <c r="O48" s="100">
        <f>Assumptions1!K20</f>
        <v>0.18</v>
      </c>
      <c r="P48" s="100">
        <f>Assumptions1!L20</f>
        <v>0.18</v>
      </c>
      <c r="Q48" s="100">
        <f>Assumptions1!M20</f>
        <v>0.18</v>
      </c>
      <c r="R48" s="100">
        <f>Assumptions1!N20</f>
        <v>0.18</v>
      </c>
      <c r="S48" s="100">
        <f>Assumptions1!O20</f>
        <v>0.18</v>
      </c>
    </row>
    <row r="49" spans="2:19" x14ac:dyDescent="0.25">
      <c r="B49" s="92" t="s">
        <v>151</v>
      </c>
      <c r="C49" s="93"/>
      <c r="D49" s="93"/>
      <c r="E49" s="100">
        <f>IF(ISERROR(E16/E6),0,E16/E6)</f>
        <v>0</v>
      </c>
      <c r="F49" s="100">
        <f t="shared" ref="F49:I49" si="101">IF(ISERROR(F16/F6),0,F16/F6)</f>
        <v>0</v>
      </c>
      <c r="G49" s="100">
        <f t="shared" si="101"/>
        <v>0</v>
      </c>
      <c r="H49" s="100">
        <f t="shared" si="101"/>
        <v>0</v>
      </c>
      <c r="I49" s="100">
        <f t="shared" si="101"/>
        <v>0</v>
      </c>
      <c r="J49" s="100">
        <f>Assumptions1!F26</f>
        <v>0</v>
      </c>
      <c r="K49" s="100">
        <f>Assumptions1!G26</f>
        <v>0</v>
      </c>
      <c r="L49" s="100">
        <f>Assumptions1!H26</f>
        <v>0</v>
      </c>
      <c r="M49" s="100">
        <f>Assumptions1!I26</f>
        <v>0</v>
      </c>
      <c r="N49" s="100">
        <f>Assumptions1!J26</f>
        <v>0</v>
      </c>
      <c r="O49" s="100">
        <f>Assumptions1!K26</f>
        <v>0</v>
      </c>
      <c r="P49" s="100">
        <f>Assumptions1!L26</f>
        <v>0</v>
      </c>
      <c r="Q49" s="100">
        <f>Assumptions1!M26</f>
        <v>0</v>
      </c>
      <c r="R49" s="100">
        <f>Assumptions1!N26</f>
        <v>0</v>
      </c>
      <c r="S49" s="100">
        <f>Assumptions1!O26</f>
        <v>0</v>
      </c>
    </row>
    <row r="50" spans="2:19" x14ac:dyDescent="0.25">
      <c r="B50" s="92" t="s">
        <v>84</v>
      </c>
      <c r="C50" s="93"/>
      <c r="D50" s="93"/>
      <c r="E50" s="100">
        <f>IF(ISERROR(E20/$E$6),0,E20/$E$6)</f>
        <v>4.5238095238095237E-2</v>
      </c>
      <c r="F50" s="100">
        <f t="shared" ref="F50:I50" si="102">IF(ISERROR(F20/$E$6),0,F20/$E$6)</f>
        <v>4.6825396825396826E-2</v>
      </c>
      <c r="G50" s="100">
        <f t="shared" si="102"/>
        <v>5.5555555555555552E-2</v>
      </c>
      <c r="H50" s="100">
        <f t="shared" si="102"/>
        <v>5.7539682539682536E-2</v>
      </c>
      <c r="I50" s="100">
        <f t="shared" si="102"/>
        <v>5.7539682539682536E-2</v>
      </c>
      <c r="J50" s="100">
        <f>Assumptions1!F32</f>
        <v>0.05</v>
      </c>
      <c r="K50" s="100">
        <f>Assumptions1!G32</f>
        <v>0.05</v>
      </c>
      <c r="L50" s="100">
        <f>Assumptions1!H32</f>
        <v>0.05</v>
      </c>
      <c r="M50" s="100">
        <f>Assumptions1!I32</f>
        <v>0.05</v>
      </c>
      <c r="N50" s="100">
        <f>Assumptions1!J32</f>
        <v>0.05</v>
      </c>
      <c r="O50" s="100">
        <f>Assumptions1!K32</f>
        <v>0.05</v>
      </c>
      <c r="P50" s="100">
        <f>Assumptions1!L32</f>
        <v>0.05</v>
      </c>
      <c r="Q50" s="100">
        <f>Assumptions1!M32</f>
        <v>0.05</v>
      </c>
      <c r="R50" s="100">
        <f>Assumptions1!N32</f>
        <v>0.05</v>
      </c>
      <c r="S50" s="100">
        <f>Assumptions1!O32</f>
        <v>0.05</v>
      </c>
    </row>
    <row r="51" spans="2:19" x14ac:dyDescent="0.25">
      <c r="B51" s="92" t="s">
        <v>85</v>
      </c>
      <c r="C51" s="93"/>
      <c r="D51" s="93"/>
      <c r="E51" s="100">
        <f>IF(ISERROR(E21/E6),0,E21/E6)</f>
        <v>1.5476190476190477E-2</v>
      </c>
      <c r="F51" s="100">
        <f t="shared" ref="F51:I51" si="103">IF(ISERROR(F21/F6),0,F21/F6)</f>
        <v>1.5107913669064749E-2</v>
      </c>
      <c r="G51" s="100">
        <f t="shared" si="103"/>
        <v>1.5146579804560261E-2</v>
      </c>
      <c r="H51" s="100">
        <f t="shared" si="103"/>
        <v>1.53125E-2</v>
      </c>
      <c r="I51" s="100">
        <f t="shared" si="103"/>
        <v>1.513092885375494E-2</v>
      </c>
      <c r="J51" s="100">
        <f>Assumptions1!F38</f>
        <v>0.02</v>
      </c>
      <c r="K51" s="100">
        <f>Assumptions1!G38</f>
        <v>0.02</v>
      </c>
      <c r="L51" s="100">
        <f>Assumptions1!H38</f>
        <v>0.02</v>
      </c>
      <c r="M51" s="100">
        <f>Assumptions1!I38</f>
        <v>0.02</v>
      </c>
      <c r="N51" s="100">
        <f>Assumptions1!J38</f>
        <v>0.02</v>
      </c>
      <c r="O51" s="100">
        <f>Assumptions1!K38</f>
        <v>0.02</v>
      </c>
      <c r="P51" s="100">
        <f>Assumptions1!L38</f>
        <v>0.02</v>
      </c>
      <c r="Q51" s="100">
        <f>Assumptions1!M38</f>
        <v>0.02</v>
      </c>
      <c r="R51" s="100">
        <f>Assumptions1!N38</f>
        <v>0.02</v>
      </c>
      <c r="S51" s="100">
        <f>Assumptions1!O38</f>
        <v>0.02</v>
      </c>
    </row>
    <row r="52" spans="2:19" x14ac:dyDescent="0.25">
      <c r="B52" s="92" t="s">
        <v>152</v>
      </c>
      <c r="C52" s="93"/>
      <c r="D52" s="93"/>
      <c r="E52" s="93"/>
      <c r="F52" s="93"/>
      <c r="G52" s="93"/>
      <c r="H52" s="93"/>
      <c r="I52" s="100">
        <v>0.02</v>
      </c>
      <c r="J52" s="100">
        <f>I52</f>
        <v>0.02</v>
      </c>
      <c r="K52" s="100">
        <f t="shared" ref="K52:S52" si="104">J52</f>
        <v>0.02</v>
      </c>
      <c r="L52" s="100">
        <f t="shared" si="104"/>
        <v>0.02</v>
      </c>
      <c r="M52" s="100">
        <f t="shared" si="104"/>
        <v>0.02</v>
      </c>
      <c r="N52" s="100">
        <f t="shared" si="104"/>
        <v>0.02</v>
      </c>
      <c r="O52" s="100">
        <f t="shared" si="104"/>
        <v>0.02</v>
      </c>
      <c r="P52" s="100">
        <f t="shared" si="104"/>
        <v>0.02</v>
      </c>
      <c r="Q52" s="100">
        <f t="shared" si="104"/>
        <v>0.02</v>
      </c>
      <c r="R52" s="100">
        <f t="shared" si="104"/>
        <v>0.02</v>
      </c>
      <c r="S52" s="100">
        <f t="shared" si="104"/>
        <v>0.02</v>
      </c>
    </row>
    <row r="53" spans="2:19" x14ac:dyDescent="0.25">
      <c r="B53" s="95" t="s">
        <v>153</v>
      </c>
      <c r="C53" s="96"/>
      <c r="D53" s="96"/>
      <c r="E53" s="96"/>
      <c r="F53" s="96"/>
      <c r="G53" s="96"/>
      <c r="H53" s="96"/>
      <c r="I53" s="96"/>
      <c r="J53" s="101">
        <f>Assumptions1!S7</f>
        <v>0.25</v>
      </c>
      <c r="K53" s="101">
        <f>J53</f>
        <v>0.25</v>
      </c>
      <c r="L53" s="101">
        <f t="shared" ref="L53:S53" si="105">K53</f>
        <v>0.25</v>
      </c>
      <c r="M53" s="101">
        <f t="shared" si="105"/>
        <v>0.25</v>
      </c>
      <c r="N53" s="101">
        <f t="shared" si="105"/>
        <v>0.25</v>
      </c>
      <c r="O53" s="101">
        <f t="shared" si="105"/>
        <v>0.25</v>
      </c>
      <c r="P53" s="101">
        <f t="shared" si="105"/>
        <v>0.25</v>
      </c>
      <c r="Q53" s="101">
        <f t="shared" si="105"/>
        <v>0.25</v>
      </c>
      <c r="R53" s="101">
        <f t="shared" si="105"/>
        <v>0.25</v>
      </c>
      <c r="S53" s="103">
        <f t="shared" si="105"/>
        <v>0.25</v>
      </c>
    </row>
    <row r="1000" spans="648:648" ht="15" x14ac:dyDescent="0.25">
      <c r="XX1000" s="248">
        <v>127155</v>
      </c>
    </row>
  </sheetData>
  <mergeCells count="2">
    <mergeCell ref="E3:H3"/>
    <mergeCell ref="J3:S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1DFAB-AA2C-4332-BA28-F2F139EA4625}">
  <dimension ref="B1:XX1000"/>
  <sheetViews>
    <sheetView showGridLines="0" zoomScale="85" zoomScaleNormal="85" workbookViewId="0">
      <selection activeCell="F24" sqref="F24"/>
    </sheetView>
  </sheetViews>
  <sheetFormatPr defaultColWidth="8.796875" defaultRowHeight="13.8" x14ac:dyDescent="0.25"/>
  <cols>
    <col min="1" max="1" width="1.69921875" customWidth="1"/>
    <col min="2" max="4" width="12.69921875" customWidth="1"/>
    <col min="5" max="18" width="11.69921875" customWidth="1"/>
  </cols>
  <sheetData>
    <row r="1" spans="2:18" ht="14.4" x14ac:dyDescent="0.3">
      <c r="B1" s="1" t="str">
        <f>Summary!$B$3</f>
        <v>($ in millions, fiscal year ending December 31)</v>
      </c>
    </row>
    <row r="2" spans="2:18" x14ac:dyDescent="0.25">
      <c r="B2" s="4" t="s">
        <v>96</v>
      </c>
      <c r="C2" s="4"/>
      <c r="D2" s="4"/>
      <c r="E2" s="4"/>
      <c r="F2" s="4"/>
      <c r="G2" s="4"/>
      <c r="H2" s="4"/>
      <c r="I2" s="4"/>
      <c r="J2" s="4"/>
      <c r="K2" s="4"/>
      <c r="L2" s="4"/>
      <c r="M2" s="4"/>
      <c r="N2" s="4"/>
      <c r="O2" s="4"/>
      <c r="P2" s="4"/>
      <c r="Q2" s="4"/>
      <c r="R2" s="4"/>
    </row>
    <row r="3" spans="2:18" x14ac:dyDescent="0.25">
      <c r="I3" s="252" t="s">
        <v>41</v>
      </c>
      <c r="J3" s="252"/>
      <c r="K3" s="252"/>
      <c r="L3" s="252"/>
      <c r="M3" s="252"/>
      <c r="N3" s="252"/>
      <c r="O3" s="252"/>
      <c r="P3" s="252"/>
      <c r="Q3" s="252"/>
      <c r="R3" s="252"/>
    </row>
    <row r="4" spans="2:18" x14ac:dyDescent="0.25">
      <c r="E4" s="30" t="s">
        <v>92</v>
      </c>
      <c r="F4" s="253" t="s">
        <v>93</v>
      </c>
      <c r="G4" s="253"/>
      <c r="H4" s="31" t="s">
        <v>91</v>
      </c>
      <c r="I4" s="29">
        <v>1</v>
      </c>
      <c r="J4" s="29">
        <f>I4+1</f>
        <v>2</v>
      </c>
      <c r="K4" s="29">
        <f t="shared" ref="K4:R4" si="0">J4+1</f>
        <v>3</v>
      </c>
      <c r="L4" s="29">
        <f t="shared" si="0"/>
        <v>4</v>
      </c>
      <c r="M4" s="29">
        <f t="shared" si="0"/>
        <v>5</v>
      </c>
      <c r="N4" s="29">
        <f t="shared" si="0"/>
        <v>6</v>
      </c>
      <c r="O4" s="29">
        <f t="shared" si="0"/>
        <v>7</v>
      </c>
      <c r="P4" s="29">
        <f t="shared" si="0"/>
        <v>8</v>
      </c>
      <c r="Q4" s="29">
        <f t="shared" si="0"/>
        <v>9</v>
      </c>
      <c r="R4" s="29">
        <f t="shared" si="0"/>
        <v>10</v>
      </c>
    </row>
    <row r="5" spans="2:18" x14ac:dyDescent="0.25">
      <c r="E5" s="33">
        <f>H5</f>
        <v>2024</v>
      </c>
      <c r="F5" s="209" t="s">
        <v>94</v>
      </c>
      <c r="G5" s="209" t="s">
        <v>95</v>
      </c>
      <c r="H5" s="33">
        <f>IncStmt!I5</f>
        <v>2024</v>
      </c>
      <c r="I5" s="33">
        <f>$H$5+I4</f>
        <v>2025</v>
      </c>
      <c r="J5" s="33">
        <f t="shared" ref="J5:R5" si="1">$H$5+J4</f>
        <v>2026</v>
      </c>
      <c r="K5" s="33">
        <f t="shared" si="1"/>
        <v>2027</v>
      </c>
      <c r="L5" s="33">
        <f t="shared" si="1"/>
        <v>2028</v>
      </c>
      <c r="M5" s="33">
        <f t="shared" si="1"/>
        <v>2029</v>
      </c>
      <c r="N5" s="33">
        <f t="shared" si="1"/>
        <v>2030</v>
      </c>
      <c r="O5" s="33">
        <f t="shared" si="1"/>
        <v>2031</v>
      </c>
      <c r="P5" s="33">
        <f t="shared" si="1"/>
        <v>2032</v>
      </c>
      <c r="Q5" s="33">
        <f t="shared" si="1"/>
        <v>2033</v>
      </c>
      <c r="R5" s="33">
        <f t="shared" si="1"/>
        <v>2034</v>
      </c>
    </row>
    <row r="6" spans="2:18" x14ac:dyDescent="0.25">
      <c r="B6" t="s">
        <v>97</v>
      </c>
      <c r="E6" s="63">
        <v>250</v>
      </c>
      <c r="F6" s="69"/>
      <c r="G6" s="195">
        <f>IF(OR(FinStructure=1,FinStructure=2,FinStructure=3,FinStructure=4),-E6,0)</f>
        <v>-250</v>
      </c>
      <c r="H6" s="66">
        <f>SUM(E6:G6)</f>
        <v>0</v>
      </c>
      <c r="I6" s="59">
        <f ca="1">CFStmt!F42</f>
        <v>0</v>
      </c>
      <c r="J6" s="59">
        <f ca="1">CFStmt!G42</f>
        <v>0</v>
      </c>
      <c r="K6" s="59">
        <f ca="1">CFStmt!H42</f>
        <v>0</v>
      </c>
      <c r="L6" s="59">
        <f ca="1">CFStmt!I42</f>
        <v>0</v>
      </c>
      <c r="M6" s="59">
        <f ca="1">CFStmt!J42</f>
        <v>0</v>
      </c>
      <c r="N6" s="59">
        <f ca="1">CFStmt!K42</f>
        <v>0</v>
      </c>
      <c r="O6" s="59">
        <f ca="1">CFStmt!L42</f>
        <v>0</v>
      </c>
      <c r="P6" s="59">
        <f ca="1">CFStmt!M42</f>
        <v>0</v>
      </c>
      <c r="Q6" s="59">
        <f ca="1">CFStmt!N42</f>
        <v>0</v>
      </c>
      <c r="R6" s="59">
        <f ca="1">CFStmt!O42</f>
        <v>0</v>
      </c>
    </row>
    <row r="7" spans="2:18" x14ac:dyDescent="0.25">
      <c r="B7" t="s">
        <v>98</v>
      </c>
      <c r="E7" s="62">
        <v>450</v>
      </c>
      <c r="F7" s="69"/>
      <c r="G7" s="69"/>
      <c r="H7" s="67">
        <f>SUM(E7:G7)</f>
        <v>450</v>
      </c>
      <c r="I7" s="69">
        <f>IncStmt!J6*BalSheet!I50/365</f>
        <v>434.99253479452057</v>
      </c>
      <c r="J7" s="69">
        <f>IncStmt!K6*BalSheet!J50/365</f>
        <v>445.86734816438354</v>
      </c>
      <c r="K7" s="69">
        <f>IncStmt!L6*BalSheet!K50/365</f>
        <v>463.70204209095897</v>
      </c>
      <c r="L7" s="69">
        <f>IncStmt!M6*BalSheet!L50/365</f>
        <v>484.56863398505209</v>
      </c>
      <c r="M7" s="69">
        <f>IncStmt!N6*BalSheet!M50/365</f>
        <v>501.52853617452888</v>
      </c>
      <c r="N7" s="69">
        <f>IncStmt!O6*BalSheet!N50/365</f>
        <v>519.08203494063741</v>
      </c>
      <c r="O7" s="69">
        <f>IncStmt!P6*BalSheet!O50/365</f>
        <v>537.24990616355967</v>
      </c>
      <c r="P7" s="69">
        <f>IncStmt!Q6*BalSheet!P50/365</f>
        <v>556.05365287928419</v>
      </c>
      <c r="Q7" s="69">
        <f>IncStmt!R6*BalSheet!Q50/365</f>
        <v>575.51553073005903</v>
      </c>
      <c r="R7" s="69">
        <f>IncStmt!S6*BalSheet!R50/365</f>
        <v>595.65857430561107</v>
      </c>
    </row>
    <row r="8" spans="2:18" x14ac:dyDescent="0.25">
      <c r="B8" t="s">
        <v>99</v>
      </c>
      <c r="E8" s="62">
        <v>600</v>
      </c>
      <c r="F8" s="69"/>
      <c r="G8" s="69"/>
      <c r="H8" s="67">
        <f t="shared" ref="H8:H9" si="2">SUM(E8:G8)</f>
        <v>600</v>
      </c>
      <c r="I8" s="69">
        <f>IncStmt!J9*BalSheet!I51/365</f>
        <v>580.11189304109587</v>
      </c>
      <c r="J8" s="69">
        <f>IncStmt!K9*BalSheet!J51/365</f>
        <v>594.61469036712322</v>
      </c>
      <c r="K8" s="69">
        <f>IncStmt!L9*BalSheet!K51/365</f>
        <v>618.39927798180815</v>
      </c>
      <c r="L8" s="69">
        <f>IncStmt!M9*BalSheet!L51/365</f>
        <v>646.22724549098962</v>
      </c>
      <c r="M8" s="69">
        <f>IncStmt!N9*BalSheet!M51/365</f>
        <v>668.84519908317418</v>
      </c>
      <c r="N8" s="69">
        <f>IncStmt!O9*BalSheet!N51/365</f>
        <v>692.25478105108527</v>
      </c>
      <c r="O8" s="69">
        <f>IncStmt!P9*BalSheet!O51/365</f>
        <v>716.48369838787312</v>
      </c>
      <c r="P8" s="69">
        <f>IncStmt!Q9*BalSheet!P51/365</f>
        <v>741.56062783144864</v>
      </c>
      <c r="Q8" s="69">
        <f>IncStmt!R9*BalSheet!Q51/365</f>
        <v>767.51524980554939</v>
      </c>
      <c r="R8" s="69">
        <f>IncStmt!S9*BalSheet!R51/365</f>
        <v>794.37828354874341</v>
      </c>
    </row>
    <row r="9" spans="2:18" x14ac:dyDescent="0.25">
      <c r="B9" t="s">
        <v>100</v>
      </c>
      <c r="E9" s="64">
        <v>175</v>
      </c>
      <c r="F9" s="69"/>
      <c r="G9" s="69"/>
      <c r="H9" s="68">
        <f t="shared" si="2"/>
        <v>175</v>
      </c>
      <c r="I9" s="70">
        <f>IncStmt!J6*BalSheet!H52</f>
        <v>180.25</v>
      </c>
      <c r="J9" s="70">
        <f>IncStmt!K6*BalSheet!I52</f>
        <v>174.36598079999999</v>
      </c>
      <c r="K9" s="70">
        <f>IncStmt!L6*BalSheet!J52</f>
        <v>181.340620032</v>
      </c>
      <c r="L9" s="70">
        <f>IncStmt!M6*BalSheet!K52</f>
        <v>189.50094793343999</v>
      </c>
      <c r="M9" s="70">
        <f>IncStmt!N6*BalSheet!L52</f>
        <v>196.13348111111037</v>
      </c>
      <c r="N9" s="70">
        <f>IncStmt!O6*BalSheet!M52</f>
        <v>202.99815294999925</v>
      </c>
      <c r="O9" s="70">
        <f>IncStmt!P6*BalSheet!N52</f>
        <v>210.10308830324919</v>
      </c>
      <c r="P9" s="70">
        <f>IncStmt!Q6*BalSheet!O52</f>
        <v>217.4566963938629</v>
      </c>
      <c r="Q9" s="70">
        <f>IncStmt!R6*BalSheet!P52</f>
        <v>225.06768076764808</v>
      </c>
      <c r="R9" s="70">
        <f>IncStmt!S6*BalSheet!Q52</f>
        <v>232.94504959451572</v>
      </c>
    </row>
    <row r="10" spans="2:18" x14ac:dyDescent="0.25">
      <c r="B10" s="30" t="s">
        <v>101</v>
      </c>
      <c r="E10" s="85">
        <f>SUM(E6:E9)</f>
        <v>1475</v>
      </c>
      <c r="F10" s="69"/>
      <c r="G10" s="69" t="s">
        <v>463</v>
      </c>
      <c r="H10" s="85">
        <f t="shared" ref="H10:R10" si="3">SUM(H6:H9)</f>
        <v>1225</v>
      </c>
      <c r="I10" s="85">
        <f t="shared" ca="1" si="3"/>
        <v>1195.3544278356164</v>
      </c>
      <c r="J10" s="85">
        <f t="shared" ca="1" si="3"/>
        <v>1214.8480193315067</v>
      </c>
      <c r="K10" s="85">
        <f t="shared" ca="1" si="3"/>
        <v>1263.4419401047671</v>
      </c>
      <c r="L10" s="85">
        <f t="shared" ca="1" si="3"/>
        <v>1320.2968274094815</v>
      </c>
      <c r="M10" s="85">
        <f t="shared" ca="1" si="3"/>
        <v>1366.5072163688135</v>
      </c>
      <c r="N10" s="85">
        <f t="shared" ca="1" si="3"/>
        <v>1414.3349689417219</v>
      </c>
      <c r="O10" s="85">
        <f t="shared" ca="1" si="3"/>
        <v>1463.836692854682</v>
      </c>
      <c r="P10" s="85">
        <f t="shared" ca="1" si="3"/>
        <v>1515.0709771045958</v>
      </c>
      <c r="Q10" s="85">
        <f t="shared" ca="1" si="3"/>
        <v>1568.0984613032565</v>
      </c>
      <c r="R10" s="85">
        <f t="shared" ca="1" si="3"/>
        <v>1622.9819074488701</v>
      </c>
    </row>
    <row r="11" spans="2:18" x14ac:dyDescent="0.25">
      <c r="F11" s="69"/>
      <c r="G11" s="69"/>
    </row>
    <row r="12" spans="2:18" x14ac:dyDescent="0.25">
      <c r="B12" t="s">
        <v>102</v>
      </c>
      <c r="E12" s="62">
        <v>2500</v>
      </c>
      <c r="F12" s="69"/>
      <c r="G12" s="69"/>
      <c r="H12" s="69">
        <f t="shared" ref="H12:H16" si="4">SUM(E12:G12)</f>
        <v>2500</v>
      </c>
      <c r="I12" s="69">
        <f>H12-CFStmt!F8-CFStmt!F24</f>
        <v>2500</v>
      </c>
      <c r="J12" s="69">
        <f>I12-CFStmt!G8-CFStmt!G24</f>
        <v>2500</v>
      </c>
      <c r="K12" s="69">
        <f>J12-CFStmt!H8-CFStmt!H24</f>
        <v>2500</v>
      </c>
      <c r="L12" s="69">
        <f>K12-CFStmt!I8-CFStmt!I24</f>
        <v>2500</v>
      </c>
      <c r="M12" s="69">
        <f>L12-CFStmt!J8-CFStmt!J24</f>
        <v>2500</v>
      </c>
      <c r="N12" s="69">
        <f>M12-CFStmt!K8-CFStmt!K24</f>
        <v>2500</v>
      </c>
      <c r="O12" s="69">
        <f>N12-CFStmt!L8-CFStmt!L24</f>
        <v>2500</v>
      </c>
      <c r="P12" s="69">
        <f>O12-CFStmt!M8-CFStmt!M24</f>
        <v>2500</v>
      </c>
      <c r="Q12" s="69">
        <f>P12-CFStmt!N8-CFStmt!N24</f>
        <v>2500</v>
      </c>
      <c r="R12" s="69">
        <f>Q12-CFStmt!O8-CFStmt!O24</f>
        <v>2500</v>
      </c>
    </row>
    <row r="13" spans="2:18" x14ac:dyDescent="0.25">
      <c r="B13" t="s">
        <v>103</v>
      </c>
      <c r="E13" s="62">
        <v>1000</v>
      </c>
      <c r="F13" s="195">
        <f>IF(OR(FinStructure=1,FinStructure=2,FinStructure=3,FinStructure=4),Summary!K9 - (BalSheet!E38-BalSheet!E13),0)</f>
        <v>2948.4416543574562</v>
      </c>
      <c r="G13" s="195">
        <f>IF(OR(FinStructure=1,FinStructure=2,FinStructure=3,FinStructure=4),-BalSheet!E13,0)</f>
        <v>-1000</v>
      </c>
      <c r="H13" s="69">
        <f t="shared" si="4"/>
        <v>2948.4416543574562</v>
      </c>
      <c r="I13" s="69">
        <f>H13</f>
        <v>2948.4416543574562</v>
      </c>
      <c r="J13" s="69">
        <f t="shared" ref="J13:R13" si="5">I13</f>
        <v>2948.4416543574562</v>
      </c>
      <c r="K13" s="69">
        <f t="shared" si="5"/>
        <v>2948.4416543574562</v>
      </c>
      <c r="L13" s="69">
        <f t="shared" si="5"/>
        <v>2948.4416543574562</v>
      </c>
      <c r="M13" s="69">
        <f t="shared" si="5"/>
        <v>2948.4416543574562</v>
      </c>
      <c r="N13" s="69">
        <f t="shared" si="5"/>
        <v>2948.4416543574562</v>
      </c>
      <c r="O13" s="69">
        <f t="shared" si="5"/>
        <v>2948.4416543574562</v>
      </c>
      <c r="P13" s="69">
        <f t="shared" si="5"/>
        <v>2948.4416543574562</v>
      </c>
      <c r="Q13" s="69">
        <f t="shared" si="5"/>
        <v>2948.4416543574562</v>
      </c>
      <c r="R13" s="69">
        <f t="shared" si="5"/>
        <v>2948.4416543574562</v>
      </c>
    </row>
    <row r="14" spans="2:18" x14ac:dyDescent="0.25">
      <c r="B14" t="s">
        <v>104</v>
      </c>
      <c r="E14" s="62">
        <v>875</v>
      </c>
      <c r="F14" s="69"/>
      <c r="G14" s="69"/>
      <c r="H14" s="69">
        <f t="shared" si="4"/>
        <v>875</v>
      </c>
      <c r="I14" s="69">
        <f>H14-IncStmt!J21</f>
        <v>808.28895999999997</v>
      </c>
      <c r="J14" s="69">
        <f>I14-IncStmt!K21</f>
        <v>739.91014399999995</v>
      </c>
      <c r="K14" s="69">
        <f>J14-IncStmt!L21</f>
        <v>668.79617535999989</v>
      </c>
      <c r="L14" s="69">
        <f>K14-IncStmt!M21</f>
        <v>594.48207813119984</v>
      </c>
      <c r="M14" s="69">
        <f>L14-IncStmt!N21</f>
        <v>517.56698749939187</v>
      </c>
      <c r="N14" s="69">
        <f>M14-IncStmt!O21</f>
        <v>437.95986869547062</v>
      </c>
      <c r="O14" s="69">
        <f>N14-IncStmt!P21</f>
        <v>355.56650073341211</v>
      </c>
      <c r="P14" s="69">
        <f>O14-IncStmt!Q21</f>
        <v>270.28936489268153</v>
      </c>
      <c r="Q14" s="69">
        <f>P14-IncStmt!R21</f>
        <v>182.0275292975254</v>
      </c>
      <c r="R14" s="69">
        <f>Q14-IncStmt!S21</f>
        <v>90.67652945653883</v>
      </c>
    </row>
    <row r="15" spans="2:18" x14ac:dyDescent="0.25">
      <c r="B15" t="s">
        <v>105</v>
      </c>
      <c r="E15" s="62">
        <v>150</v>
      </c>
      <c r="F15" s="69"/>
      <c r="G15" s="69"/>
      <c r="H15" s="69">
        <f t="shared" si="4"/>
        <v>150</v>
      </c>
      <c r="I15" s="69">
        <f>H15</f>
        <v>150</v>
      </c>
      <c r="J15" s="69">
        <f t="shared" ref="J15:R15" si="6">I15</f>
        <v>150</v>
      </c>
      <c r="K15" s="69">
        <f t="shared" si="6"/>
        <v>150</v>
      </c>
      <c r="L15" s="69">
        <f t="shared" si="6"/>
        <v>150</v>
      </c>
      <c r="M15" s="69">
        <f t="shared" si="6"/>
        <v>150</v>
      </c>
      <c r="N15" s="69">
        <f t="shared" si="6"/>
        <v>150</v>
      </c>
      <c r="O15" s="69">
        <f t="shared" si="6"/>
        <v>150</v>
      </c>
      <c r="P15" s="69">
        <f t="shared" si="6"/>
        <v>150</v>
      </c>
      <c r="Q15" s="69">
        <f t="shared" si="6"/>
        <v>150</v>
      </c>
      <c r="R15" s="69">
        <f t="shared" si="6"/>
        <v>150</v>
      </c>
    </row>
    <row r="16" spans="2:18" x14ac:dyDescent="0.25">
      <c r="B16" t="s">
        <v>106</v>
      </c>
      <c r="E16" s="64">
        <v>0</v>
      </c>
      <c r="F16" s="195">
        <f>IF(OR(FinStructure=1,FinStructure=2,FinStructure=3,FinStructure=4),Summary!K13,0)</f>
        <v>140</v>
      </c>
      <c r="G16" s="69"/>
      <c r="H16" s="70">
        <f t="shared" si="4"/>
        <v>140</v>
      </c>
      <c r="I16" s="70">
        <f>H16-IncStmt!J35</f>
        <v>121.74285714285715</v>
      </c>
      <c r="J16" s="70">
        <f>I16-IncStmt!K35</f>
        <v>103.48571428571429</v>
      </c>
      <c r="K16" s="70">
        <f>J16-IncStmt!L35</f>
        <v>85.228571428571442</v>
      </c>
      <c r="L16" s="70">
        <f>K16-IncStmt!M35</f>
        <v>68.971428571428589</v>
      </c>
      <c r="M16" s="70">
        <f>L16-IncStmt!N35</f>
        <v>52.714285714285737</v>
      </c>
      <c r="N16" s="70">
        <f>M16-IncStmt!O35</f>
        <v>36.457142857142884</v>
      </c>
      <c r="O16" s="70">
        <f>N16-IncStmt!P35</f>
        <v>21.450000000000024</v>
      </c>
      <c r="P16" s="70">
        <f>O16-IncStmt!Q35</f>
        <v>11.800000000000024</v>
      </c>
      <c r="Q16" s="70">
        <f>P16-IncStmt!R35</f>
        <v>5.9000000000000234</v>
      </c>
      <c r="R16" s="70">
        <f>Q16-IncStmt!S35</f>
        <v>2.3092638912203256E-14</v>
      </c>
    </row>
    <row r="17" spans="2:18" ht="14.4" thickBot="1" x14ac:dyDescent="0.3">
      <c r="B17" s="30" t="s">
        <v>107</v>
      </c>
      <c r="E17" s="86">
        <f>E10+SUM(E12:E16)</f>
        <v>6000</v>
      </c>
      <c r="F17" s="69"/>
      <c r="G17" s="69"/>
      <c r="H17" s="86">
        <f>H10+SUM(H12:H16)</f>
        <v>7838.4416543574562</v>
      </c>
      <c r="I17" s="86">
        <f t="shared" ref="I17:R17" ca="1" si="7">I10+SUM(I12:I16)</f>
        <v>7723.8278993359299</v>
      </c>
      <c r="J17" s="86">
        <f t="shared" ca="1" si="7"/>
        <v>7656.6855319746774</v>
      </c>
      <c r="K17" s="86">
        <f t="shared" ca="1" si="7"/>
        <v>7615.9083412507953</v>
      </c>
      <c r="L17" s="86">
        <f t="shared" ca="1" si="7"/>
        <v>7582.1919884695671</v>
      </c>
      <c r="M17" s="86">
        <f t="shared" ca="1" si="7"/>
        <v>7535.2301439399471</v>
      </c>
      <c r="N17" s="86">
        <f t="shared" ca="1" si="7"/>
        <v>7487.1936348517911</v>
      </c>
      <c r="O17" s="86">
        <f t="shared" ca="1" si="7"/>
        <v>7439.2948479455499</v>
      </c>
      <c r="P17" s="86">
        <f t="shared" ca="1" si="7"/>
        <v>7395.6019963547333</v>
      </c>
      <c r="Q17" s="86">
        <f t="shared" ca="1" si="7"/>
        <v>7354.4676449582385</v>
      </c>
      <c r="R17" s="86">
        <f t="shared" ca="1" si="7"/>
        <v>7312.1000912628642</v>
      </c>
    </row>
    <row r="18" spans="2:18" ht="14.4" thickTop="1" x14ac:dyDescent="0.25">
      <c r="F18" s="69"/>
      <c r="G18" s="69"/>
    </row>
    <row r="19" spans="2:18" x14ac:dyDescent="0.25">
      <c r="B19" t="s">
        <v>108</v>
      </c>
      <c r="E19" s="62">
        <v>215</v>
      </c>
      <c r="F19" s="69"/>
      <c r="G19" s="69"/>
      <c r="H19" s="69">
        <f t="shared" ref="H19:H21" si="8">SUM(E19:G19)</f>
        <v>215</v>
      </c>
      <c r="I19" s="69">
        <f>IncStmt!J9*BalSheet!I55/365</f>
        <v>207.80945884931509</v>
      </c>
      <c r="J19" s="69">
        <f>IncStmt!K9*BalSheet!J55/365</f>
        <v>213.00469532054788</v>
      </c>
      <c r="K19" s="69">
        <f>IncStmt!L9*BalSheet!K55/365</f>
        <v>221.52488313336985</v>
      </c>
      <c r="L19" s="69">
        <f>IncStmt!M9*BalSheet!L55/365</f>
        <v>231.4935028743715</v>
      </c>
      <c r="M19" s="69">
        <f>IncStmt!N9*BalSheet!M55/365</f>
        <v>239.59577547497449</v>
      </c>
      <c r="N19" s="69">
        <f>IncStmt!O9*BalSheet!N55/365</f>
        <v>247.98162761659862</v>
      </c>
      <c r="O19" s="69">
        <f>IncStmt!P9*BalSheet!O55/365</f>
        <v>256.66098458317953</v>
      </c>
      <c r="P19" s="69">
        <f>IncStmt!Q9*BalSheet!P55/365</f>
        <v>265.64411904359076</v>
      </c>
      <c r="Q19" s="69">
        <f>IncStmt!R9*BalSheet!Q55/365</f>
        <v>274.94166321011647</v>
      </c>
      <c r="R19" s="69">
        <f>IncStmt!S9*BalSheet!R55/365</f>
        <v>284.56462142247045</v>
      </c>
    </row>
    <row r="20" spans="2:18" x14ac:dyDescent="0.25">
      <c r="B20" t="s">
        <v>109</v>
      </c>
      <c r="E20" s="62">
        <v>275</v>
      </c>
      <c r="F20" s="69"/>
      <c r="G20" s="69"/>
      <c r="H20" s="69">
        <f t="shared" si="8"/>
        <v>275</v>
      </c>
      <c r="I20" s="69">
        <f>IncStmt!J6*BalSheet!I56</f>
        <v>266.84415999999999</v>
      </c>
      <c r="J20" s="69">
        <f>IncStmt!K6*BalSheet!J56</f>
        <v>273.515264</v>
      </c>
      <c r="K20" s="69">
        <f>IncStmt!L6*BalSheet!K56</f>
        <v>284.45587456000004</v>
      </c>
      <c r="L20" s="69">
        <f>IncStmt!M6*BalSheet!L56</f>
        <v>297.25638891520003</v>
      </c>
      <c r="M20" s="69">
        <f>IncStmt!N6*BalSheet!M56</f>
        <v>307.660362527232</v>
      </c>
      <c r="N20" s="69">
        <f>IncStmt!O6*BalSheet!N56</f>
        <v>318.42847521568513</v>
      </c>
      <c r="O20" s="69">
        <f>IncStmt!P6*BalSheet!O56</f>
        <v>329.57347184823402</v>
      </c>
      <c r="P20" s="69">
        <f>IncStmt!Q6*BalSheet!P56</f>
        <v>341.10854336292221</v>
      </c>
      <c r="Q20" s="69">
        <f>IncStmt!R6*BalSheet!Q56</f>
        <v>353.04734238062446</v>
      </c>
      <c r="R20" s="69">
        <f>IncStmt!S6*BalSheet!R56</f>
        <v>365.4039993639463</v>
      </c>
    </row>
    <row r="21" spans="2:18" x14ac:dyDescent="0.25">
      <c r="B21" t="s">
        <v>110</v>
      </c>
      <c r="E21" s="64">
        <v>100</v>
      </c>
      <c r="F21" s="69"/>
      <c r="G21" s="69"/>
      <c r="H21" s="70">
        <f t="shared" si="8"/>
        <v>100</v>
      </c>
      <c r="I21" s="70">
        <f>IncStmt!J6*BalSheet!I57</f>
        <v>96.731008000000003</v>
      </c>
      <c r="J21" s="70">
        <f>IncStmt!K6*BalSheet!J57</f>
        <v>99.149283199999999</v>
      </c>
      <c r="K21" s="70">
        <f>IncStmt!L6*BalSheet!K57</f>
        <v>103.11525452800001</v>
      </c>
      <c r="L21" s="70">
        <f>IncStmt!M6*BalSheet!L57</f>
        <v>107.75544098176</v>
      </c>
      <c r="M21" s="70">
        <f>IncStmt!N6*BalSheet!M57</f>
        <v>111.5268814161216</v>
      </c>
      <c r="N21" s="70">
        <f>IncStmt!O6*BalSheet!N57</f>
        <v>115.43032226568586</v>
      </c>
      <c r="O21" s="70">
        <f>IncStmt!P6*BalSheet!O57</f>
        <v>119.47038354498484</v>
      </c>
      <c r="P21" s="70">
        <f>IncStmt!Q6*BalSheet!P57</f>
        <v>123.65184696905931</v>
      </c>
      <c r="Q21" s="70">
        <f>IncStmt!R6*BalSheet!Q57</f>
        <v>127.97966161297637</v>
      </c>
      <c r="R21" s="70">
        <f>IncStmt!S6*BalSheet!R57</f>
        <v>132.45894976943055</v>
      </c>
    </row>
    <row r="22" spans="2:18" x14ac:dyDescent="0.25">
      <c r="B22" s="30" t="s">
        <v>111</v>
      </c>
      <c r="E22" s="85">
        <f>SUM(E19:E21)</f>
        <v>590</v>
      </c>
      <c r="F22" s="69"/>
      <c r="G22" s="69"/>
      <c r="H22" s="85">
        <f t="shared" ref="H22:R22" si="9">SUM(H19:H21)</f>
        <v>590</v>
      </c>
      <c r="I22" s="85">
        <f t="shared" si="9"/>
        <v>571.38462684931505</v>
      </c>
      <c r="J22" s="85">
        <f t="shared" si="9"/>
        <v>585.66924252054787</v>
      </c>
      <c r="K22" s="85">
        <f t="shared" si="9"/>
        <v>609.09601222136996</v>
      </c>
      <c r="L22" s="85">
        <f t="shared" si="9"/>
        <v>636.5053327713315</v>
      </c>
      <c r="M22" s="85">
        <f t="shared" si="9"/>
        <v>658.78301941832808</v>
      </c>
      <c r="N22" s="85">
        <f t="shared" si="9"/>
        <v>681.84042509796961</v>
      </c>
      <c r="O22" s="85">
        <f t="shared" si="9"/>
        <v>705.70483997639838</v>
      </c>
      <c r="P22" s="85">
        <f t="shared" si="9"/>
        <v>730.40450937557227</v>
      </c>
      <c r="Q22" s="85">
        <f t="shared" si="9"/>
        <v>755.96866720371736</v>
      </c>
      <c r="R22" s="85">
        <f t="shared" si="9"/>
        <v>782.4275705558473</v>
      </c>
    </row>
    <row r="23" spans="2:18" x14ac:dyDescent="0.25">
      <c r="F23" s="69"/>
      <c r="G23" s="69"/>
    </row>
    <row r="24" spans="2:18" x14ac:dyDescent="0.25">
      <c r="B24" t="str">
        <f>IncStmt!B26</f>
        <v>Revolver</v>
      </c>
      <c r="E24" s="62">
        <v>0</v>
      </c>
      <c r="F24" s="195">
        <f>Summary!D9</f>
        <v>0</v>
      </c>
      <c r="G24" s="195"/>
      <c r="H24" s="195">
        <f>SUM(E24:G24)</f>
        <v>0</v>
      </c>
      <c r="I24" s="195">
        <f ca="1">DebtSched!F25</f>
        <v>6.290080053541601</v>
      </c>
      <c r="J24" s="195">
        <f ca="1">DebtSched!G25</f>
        <v>0</v>
      </c>
      <c r="K24" s="195">
        <f ca="1">DebtSched!H25</f>
        <v>0</v>
      </c>
      <c r="L24" s="195">
        <f ca="1">DebtSched!I25</f>
        <v>0</v>
      </c>
      <c r="M24" s="195">
        <f ca="1">DebtSched!J25</f>
        <v>0</v>
      </c>
      <c r="N24" s="195">
        <f ca="1">DebtSched!K25</f>
        <v>0</v>
      </c>
      <c r="O24" s="195">
        <f ca="1">DebtSched!L25</f>
        <v>1261.0197781716215</v>
      </c>
      <c r="P24" s="195">
        <f ca="1">DebtSched!M25</f>
        <v>1939.8801665859767</v>
      </c>
      <c r="Q24" s="195">
        <f ca="1">DebtSched!N25</f>
        <v>1540.8896162758526</v>
      </c>
      <c r="R24" s="195">
        <f ca="1">DebtSched!O25</f>
        <v>2127.4592032499982</v>
      </c>
    </row>
    <row r="25" spans="2:18" x14ac:dyDescent="0.25">
      <c r="B25" t="str">
        <f>IncStmt!B27</f>
        <v>Term Loan A</v>
      </c>
      <c r="E25" s="62">
        <v>0</v>
      </c>
      <c r="F25" s="195">
        <f>Summary!D10</f>
        <v>500</v>
      </c>
      <c r="G25" s="195"/>
      <c r="H25" s="195">
        <f t="shared" ref="H25:H31" si="10">SUM(E25:G25)</f>
        <v>500</v>
      </c>
      <c r="I25" s="195">
        <f ca="1">DebtSched!F42</f>
        <v>437.5</v>
      </c>
      <c r="J25" s="195">
        <f ca="1">DebtSched!G42</f>
        <v>374.89858033245866</v>
      </c>
      <c r="K25" s="195">
        <f ca="1">DebtSched!H42</f>
        <v>288.30284184952473</v>
      </c>
      <c r="L25" s="195">
        <f ca="1">DebtSched!I42</f>
        <v>174.13402413065671</v>
      </c>
      <c r="M25" s="195">
        <f ca="1">DebtSched!J42</f>
        <v>0</v>
      </c>
      <c r="N25" s="195">
        <f ca="1">DebtSched!K42</f>
        <v>0</v>
      </c>
      <c r="O25" s="195">
        <f ca="1">DebtSched!L42</f>
        <v>0</v>
      </c>
      <c r="P25" s="195">
        <f ca="1">DebtSched!M42</f>
        <v>0</v>
      </c>
      <c r="Q25" s="195">
        <f ca="1">DebtSched!N42</f>
        <v>0</v>
      </c>
      <c r="R25" s="195">
        <f ca="1">DebtSched!O42</f>
        <v>0</v>
      </c>
    </row>
    <row r="26" spans="2:18" x14ac:dyDescent="0.25">
      <c r="B26" t="str">
        <f>IncStmt!B28</f>
        <v>Term Loan B</v>
      </c>
      <c r="E26" s="62">
        <v>0</v>
      </c>
      <c r="F26" s="195">
        <f>Summary!D11</f>
        <v>2000</v>
      </c>
      <c r="G26" s="195"/>
      <c r="H26" s="195">
        <f t="shared" si="10"/>
        <v>2000</v>
      </c>
      <c r="I26" s="195">
        <f ca="1">DebtSched!F57</f>
        <v>1980</v>
      </c>
      <c r="J26" s="195">
        <f ca="1">DebtSched!G57</f>
        <v>1960</v>
      </c>
      <c r="K26" s="195">
        <f ca="1">DebtSched!H57</f>
        <v>1940</v>
      </c>
      <c r="L26" s="195">
        <f ca="1">DebtSched!I57</f>
        <v>1920</v>
      </c>
      <c r="M26" s="195">
        <f ca="1">DebtSched!J57</f>
        <v>1849.6049214371565</v>
      </c>
      <c r="N26" s="195">
        <f ca="1">DebtSched!K57</f>
        <v>1573.7024708110948</v>
      </c>
      <c r="O26" s="195">
        <f ca="1">DebtSched!L57</f>
        <v>0</v>
      </c>
      <c r="P26" s="195">
        <f ca="1">DebtSched!M57</f>
        <v>0</v>
      </c>
      <c r="Q26" s="195">
        <f ca="1">DebtSched!N57</f>
        <v>0</v>
      </c>
      <c r="R26" s="195">
        <f ca="1">DebtSched!O57</f>
        <v>0</v>
      </c>
    </row>
    <row r="27" spans="2:18" x14ac:dyDescent="0.25">
      <c r="B27" t="s">
        <v>253</v>
      </c>
      <c r="E27" s="62">
        <v>1000</v>
      </c>
      <c r="F27" s="195"/>
      <c r="G27" s="195">
        <f>IF(OR(FinStructure=1,FinStructure=2,FinStructure=3,FinStructure=4),-BalSheet!E27,0)</f>
        <v>-1000</v>
      </c>
      <c r="H27" s="195">
        <f t="shared" si="10"/>
        <v>0</v>
      </c>
      <c r="I27" s="195">
        <f>$H$27</f>
        <v>0</v>
      </c>
      <c r="J27" s="195">
        <f t="shared" ref="J27:R27" si="11">$H$27</f>
        <v>0</v>
      </c>
      <c r="K27" s="195">
        <f t="shared" si="11"/>
        <v>0</v>
      </c>
      <c r="L27" s="195">
        <f t="shared" si="11"/>
        <v>0</v>
      </c>
      <c r="M27" s="195">
        <f t="shared" si="11"/>
        <v>0</v>
      </c>
      <c r="N27" s="195">
        <f t="shared" si="11"/>
        <v>0</v>
      </c>
      <c r="O27" s="195">
        <f t="shared" si="11"/>
        <v>0</v>
      </c>
      <c r="P27" s="195">
        <f t="shared" si="11"/>
        <v>0</v>
      </c>
      <c r="Q27" s="195">
        <f t="shared" si="11"/>
        <v>0</v>
      </c>
      <c r="R27" s="195">
        <f t="shared" si="11"/>
        <v>0</v>
      </c>
    </row>
    <row r="28" spans="2:18" x14ac:dyDescent="0.25">
      <c r="B28" t="str">
        <f>Summary!B12</f>
        <v>2nd Lien</v>
      </c>
      <c r="E28" s="62">
        <v>0</v>
      </c>
      <c r="F28" s="195">
        <f>Summary!D12</f>
        <v>300</v>
      </c>
      <c r="G28" s="195"/>
      <c r="H28" s="195">
        <f t="shared" si="10"/>
        <v>300</v>
      </c>
      <c r="I28" s="195">
        <f>DebtSched!F71</f>
        <v>225</v>
      </c>
      <c r="J28" s="195">
        <f>DebtSched!G71</f>
        <v>150</v>
      </c>
      <c r="K28" s="195">
        <f>DebtSched!H71</f>
        <v>75</v>
      </c>
      <c r="L28" s="195">
        <f>DebtSched!I71</f>
        <v>0</v>
      </c>
      <c r="M28" s="195">
        <f>DebtSched!J71</f>
        <v>0</v>
      </c>
      <c r="N28" s="195">
        <f>DebtSched!K71</f>
        <v>0</v>
      </c>
      <c r="O28" s="195">
        <f>DebtSched!L71</f>
        <v>0</v>
      </c>
      <c r="P28" s="195">
        <f>DebtSched!M71</f>
        <v>0</v>
      </c>
      <c r="Q28" s="195">
        <f>DebtSched!N71</f>
        <v>0</v>
      </c>
      <c r="R28" s="195">
        <f>DebtSched!O71</f>
        <v>0</v>
      </c>
    </row>
    <row r="29" spans="2:18" x14ac:dyDescent="0.25">
      <c r="B29" t="str">
        <f>Summary!B13</f>
        <v>Senior Notes</v>
      </c>
      <c r="E29" s="62">
        <v>0</v>
      </c>
      <c r="F29" s="195">
        <f>Summary!D13</f>
        <v>1000</v>
      </c>
      <c r="G29" s="195"/>
      <c r="H29" s="195">
        <f t="shared" si="10"/>
        <v>1000</v>
      </c>
      <c r="I29" s="195">
        <f>DebtSched!F83</f>
        <v>1000</v>
      </c>
      <c r="J29" s="195">
        <f>DebtSched!G83</f>
        <v>1000</v>
      </c>
      <c r="K29" s="195">
        <f>DebtSched!H83</f>
        <v>1000</v>
      </c>
      <c r="L29" s="195">
        <f>DebtSched!I83</f>
        <v>1000</v>
      </c>
      <c r="M29" s="195">
        <f>DebtSched!J83</f>
        <v>1000</v>
      </c>
      <c r="N29" s="195">
        <f>DebtSched!K83</f>
        <v>1000</v>
      </c>
      <c r="O29" s="195">
        <f>DebtSched!L83</f>
        <v>1000</v>
      </c>
      <c r="P29" s="195">
        <f>DebtSched!M83</f>
        <v>1000</v>
      </c>
      <c r="Q29" s="195">
        <f>DebtSched!N83</f>
        <v>1000</v>
      </c>
      <c r="R29" s="195">
        <f>DebtSched!O83</f>
        <v>0</v>
      </c>
    </row>
    <row r="30" spans="2:18" x14ac:dyDescent="0.25">
      <c r="B30" t="s">
        <v>254</v>
      </c>
      <c r="E30" s="62">
        <v>500</v>
      </c>
      <c r="F30" s="195"/>
      <c r="G30" s="195">
        <f>IF(OR(FinStructure=1,FinStructure=2,FinStructure=3,FinStructure=4),-E30,0)</f>
        <v>-500</v>
      </c>
      <c r="H30" s="195">
        <f t="shared" si="10"/>
        <v>0</v>
      </c>
      <c r="I30" s="195">
        <f>$H$30</f>
        <v>0</v>
      </c>
      <c r="J30" s="195">
        <f t="shared" ref="J30:R30" si="12">$H$30</f>
        <v>0</v>
      </c>
      <c r="K30" s="195">
        <f t="shared" si="12"/>
        <v>0</v>
      </c>
      <c r="L30" s="195">
        <f t="shared" si="12"/>
        <v>0</v>
      </c>
      <c r="M30" s="195">
        <f t="shared" si="12"/>
        <v>0</v>
      </c>
      <c r="N30" s="195">
        <f t="shared" si="12"/>
        <v>0</v>
      </c>
      <c r="O30" s="195">
        <f t="shared" si="12"/>
        <v>0</v>
      </c>
      <c r="P30" s="195">
        <f t="shared" si="12"/>
        <v>0</v>
      </c>
      <c r="Q30" s="195">
        <f t="shared" si="12"/>
        <v>0</v>
      </c>
      <c r="R30" s="195">
        <f t="shared" si="12"/>
        <v>0</v>
      </c>
    </row>
    <row r="31" spans="2:18" x14ac:dyDescent="0.25">
      <c r="B31" t="str">
        <f>Summary!B14</f>
        <v>Senior Subordinated Notes</v>
      </c>
      <c r="E31" s="62">
        <v>0</v>
      </c>
      <c r="F31" s="195">
        <f>Summary!D14</f>
        <v>1000</v>
      </c>
      <c r="G31" s="195"/>
      <c r="H31" s="195">
        <f t="shared" si="10"/>
        <v>1000</v>
      </c>
      <c r="I31" s="195">
        <f>DebtSched!F94</f>
        <v>1000</v>
      </c>
      <c r="J31" s="195">
        <f>DebtSched!G94</f>
        <v>1000</v>
      </c>
      <c r="K31" s="195">
        <f>DebtSched!H94</f>
        <v>1000</v>
      </c>
      <c r="L31" s="195">
        <f>DebtSched!I94</f>
        <v>1000</v>
      </c>
      <c r="M31" s="195">
        <f>DebtSched!J94</f>
        <v>1000</v>
      </c>
      <c r="N31" s="195">
        <f>DebtSched!K94</f>
        <v>1000</v>
      </c>
      <c r="O31" s="195">
        <f>DebtSched!L94</f>
        <v>1000</v>
      </c>
      <c r="P31" s="195">
        <f>DebtSched!M94</f>
        <v>0</v>
      </c>
      <c r="Q31" s="195">
        <f>DebtSched!N94</f>
        <v>0</v>
      </c>
      <c r="R31" s="195">
        <f>DebtSched!O94</f>
        <v>0</v>
      </c>
    </row>
    <row r="32" spans="2:18" x14ac:dyDescent="0.25">
      <c r="B32" t="s">
        <v>114</v>
      </c>
      <c r="E32" s="62">
        <v>0</v>
      </c>
      <c r="F32" s="69"/>
      <c r="G32" s="69"/>
      <c r="H32" s="69">
        <f t="shared" ref="H32:H34" si="13">SUM(E32:G32)</f>
        <v>0</v>
      </c>
      <c r="I32" s="69">
        <f>H32</f>
        <v>0</v>
      </c>
      <c r="J32" s="69">
        <f t="shared" ref="J32:R32" si="14">I32</f>
        <v>0</v>
      </c>
      <c r="K32" s="69">
        <f t="shared" si="14"/>
        <v>0</v>
      </c>
      <c r="L32" s="69">
        <f t="shared" si="14"/>
        <v>0</v>
      </c>
      <c r="M32" s="69">
        <f t="shared" si="14"/>
        <v>0</v>
      </c>
      <c r="N32" s="69">
        <f t="shared" si="14"/>
        <v>0</v>
      </c>
      <c r="O32" s="69">
        <f t="shared" si="14"/>
        <v>0</v>
      </c>
      <c r="P32" s="69">
        <f t="shared" si="14"/>
        <v>0</v>
      </c>
      <c r="Q32" s="69">
        <f t="shared" si="14"/>
        <v>0</v>
      </c>
      <c r="R32" s="69">
        <f t="shared" si="14"/>
        <v>0</v>
      </c>
    </row>
    <row r="33" spans="2:18" x14ac:dyDescent="0.25">
      <c r="B33" t="s">
        <v>209</v>
      </c>
      <c r="E33" s="62">
        <v>300</v>
      </c>
      <c r="F33" s="69"/>
      <c r="G33" s="69"/>
      <c r="H33" s="69">
        <f t="shared" si="13"/>
        <v>300</v>
      </c>
      <c r="I33" s="69">
        <f>H33</f>
        <v>300</v>
      </c>
      <c r="J33" s="69">
        <f t="shared" ref="J33:R33" si="15">I33</f>
        <v>300</v>
      </c>
      <c r="K33" s="69">
        <f t="shared" si="15"/>
        <v>300</v>
      </c>
      <c r="L33" s="69">
        <f t="shared" si="15"/>
        <v>300</v>
      </c>
      <c r="M33" s="69">
        <f t="shared" si="15"/>
        <v>300</v>
      </c>
      <c r="N33" s="69">
        <f t="shared" si="15"/>
        <v>300</v>
      </c>
      <c r="O33" s="69">
        <f t="shared" si="15"/>
        <v>300</v>
      </c>
      <c r="P33" s="69">
        <f t="shared" si="15"/>
        <v>300</v>
      </c>
      <c r="Q33" s="69">
        <f t="shared" si="15"/>
        <v>300</v>
      </c>
      <c r="R33" s="69">
        <f t="shared" si="15"/>
        <v>300</v>
      </c>
    </row>
    <row r="34" spans="2:18" x14ac:dyDescent="0.25">
      <c r="B34" t="s">
        <v>115</v>
      </c>
      <c r="E34" s="64">
        <v>110</v>
      </c>
      <c r="F34" s="69"/>
      <c r="G34" s="69"/>
      <c r="H34" s="70">
        <f t="shared" si="13"/>
        <v>110</v>
      </c>
      <c r="I34" s="70">
        <f>H34</f>
        <v>110</v>
      </c>
      <c r="J34" s="70">
        <f t="shared" ref="J34:R34" si="16">I34</f>
        <v>110</v>
      </c>
      <c r="K34" s="70">
        <f t="shared" si="16"/>
        <v>110</v>
      </c>
      <c r="L34" s="70">
        <f t="shared" si="16"/>
        <v>110</v>
      </c>
      <c r="M34" s="70">
        <f t="shared" si="16"/>
        <v>110</v>
      </c>
      <c r="N34" s="70">
        <f t="shared" si="16"/>
        <v>110</v>
      </c>
      <c r="O34" s="70">
        <f t="shared" si="16"/>
        <v>110</v>
      </c>
      <c r="P34" s="70">
        <f t="shared" si="16"/>
        <v>110</v>
      </c>
      <c r="Q34" s="70">
        <f t="shared" si="16"/>
        <v>110</v>
      </c>
      <c r="R34" s="70">
        <f t="shared" si="16"/>
        <v>110</v>
      </c>
    </row>
    <row r="35" spans="2:18" x14ac:dyDescent="0.25">
      <c r="B35" s="30" t="s">
        <v>116</v>
      </c>
      <c r="E35" s="85">
        <f>E22+SUM(E24:E34)</f>
        <v>2500</v>
      </c>
      <c r="F35" s="69"/>
      <c r="G35" s="69"/>
      <c r="H35" s="85">
        <f t="shared" ref="H35:R35" si="17">H22+SUM(H24:H34)</f>
        <v>5800</v>
      </c>
      <c r="I35" s="85">
        <f t="shared" ca="1" si="17"/>
        <v>5630.174706902857</v>
      </c>
      <c r="J35" s="85">
        <f t="shared" ca="1" si="17"/>
        <v>5480.5678228530069</v>
      </c>
      <c r="K35" s="85">
        <f t="shared" ca="1" si="17"/>
        <v>5322.3988540708951</v>
      </c>
      <c r="L35" s="85">
        <f t="shared" ca="1" si="17"/>
        <v>5140.6393569019883</v>
      </c>
      <c r="M35" s="85">
        <f t="shared" ca="1" si="17"/>
        <v>4918.387940855484</v>
      </c>
      <c r="N35" s="85">
        <f t="shared" ca="1" si="17"/>
        <v>4665.5428959090641</v>
      </c>
      <c r="O35" s="85">
        <f t="shared" ca="1" si="17"/>
        <v>4376.7246181480195</v>
      </c>
      <c r="P35" s="85">
        <f t="shared" ca="1" si="17"/>
        <v>4080.2846759615486</v>
      </c>
      <c r="Q35" s="85">
        <f t="shared" ca="1" si="17"/>
        <v>3706.8582834795702</v>
      </c>
      <c r="R35" s="85">
        <f t="shared" ca="1" si="17"/>
        <v>3319.8867738058452</v>
      </c>
    </row>
    <row r="36" spans="2:18" x14ac:dyDescent="0.25">
      <c r="F36" s="69"/>
      <c r="G36" s="69"/>
    </row>
    <row r="37" spans="2:18" x14ac:dyDescent="0.25">
      <c r="B37" t="s">
        <v>117</v>
      </c>
      <c r="E37" s="62">
        <v>0</v>
      </c>
      <c r="F37" s="69"/>
      <c r="G37" s="69"/>
      <c r="H37" s="69">
        <f t="shared" ref="H37:H38" si="18">SUM(E37:G37)</f>
        <v>0</v>
      </c>
      <c r="I37" s="69">
        <f>H37</f>
        <v>0</v>
      </c>
      <c r="J37" s="69">
        <f t="shared" ref="J37:R37" si="19">I37</f>
        <v>0</v>
      </c>
      <c r="K37" s="69">
        <f t="shared" si="19"/>
        <v>0</v>
      </c>
      <c r="L37" s="69">
        <f t="shared" si="19"/>
        <v>0</v>
      </c>
      <c r="M37" s="69">
        <f t="shared" si="19"/>
        <v>0</v>
      </c>
      <c r="N37" s="69">
        <f t="shared" si="19"/>
        <v>0</v>
      </c>
      <c r="O37" s="69">
        <f t="shared" si="19"/>
        <v>0</v>
      </c>
      <c r="P37" s="69">
        <f t="shared" si="19"/>
        <v>0</v>
      </c>
      <c r="Q37" s="69">
        <f t="shared" si="19"/>
        <v>0</v>
      </c>
      <c r="R37" s="69">
        <f t="shared" si="19"/>
        <v>0</v>
      </c>
    </row>
    <row r="38" spans="2:18" x14ac:dyDescent="0.25">
      <c r="B38" t="s">
        <v>119</v>
      </c>
      <c r="E38" s="62">
        <v>3500</v>
      </c>
      <c r="F38" s="195">
        <f>Summary!D15-Summary!K12-Summary!K14</f>
        <v>2038.4416543574562</v>
      </c>
      <c r="G38" s="195">
        <f>IF(OR(FinStructure=1,FinStructure=2,FinStructure=3,FinStructure=4),-E38,0)</f>
        <v>-3500</v>
      </c>
      <c r="H38" s="69">
        <f t="shared" si="18"/>
        <v>2038.4416543574562</v>
      </c>
      <c r="I38" s="69">
        <f ca="1">H38+IncStmt!J42</f>
        <v>2093.6531924330729</v>
      </c>
      <c r="J38" s="69">
        <f ca="1">I38+IncStmt!K42</f>
        <v>2176.1177091216705</v>
      </c>
      <c r="K38" s="69">
        <f ca="1">J38+IncStmt!L42</f>
        <v>2293.5094871798997</v>
      </c>
      <c r="L38" s="69">
        <f ca="1">K38+IncStmt!M42</f>
        <v>2441.5526315675779</v>
      </c>
      <c r="M38" s="69">
        <f ca="1">L38+IncStmt!N42</f>
        <v>2616.8422030844622</v>
      </c>
      <c r="N38" s="69">
        <f ca="1">M38+IncStmt!O42</f>
        <v>2821.6507389427265</v>
      </c>
      <c r="O38" s="69">
        <f ca="1">N38+IncStmt!P42</f>
        <v>3062.5702297975299</v>
      </c>
      <c r="P38" s="69">
        <f ca="1">O38+IncStmt!Q42</f>
        <v>3315.3173203931842</v>
      </c>
      <c r="Q38" s="69">
        <f ca="1">P38+IncStmt!R42</f>
        <v>3647.6093614786678</v>
      </c>
      <c r="R38" s="69">
        <f ca="1">Q38+IncStmt!S42</f>
        <v>3992.2133174570195</v>
      </c>
    </row>
    <row r="39" spans="2:18" x14ac:dyDescent="0.25">
      <c r="B39" s="30" t="s">
        <v>120</v>
      </c>
      <c r="E39" s="87">
        <f>SUM(E37:E38)</f>
        <v>3500</v>
      </c>
      <c r="F39" s="69"/>
      <c r="G39" s="69"/>
      <c r="H39" s="87">
        <f t="shared" ref="H39:R39" si="20">SUM(H37:H38)</f>
        <v>2038.4416543574562</v>
      </c>
      <c r="I39" s="87">
        <f t="shared" ca="1" si="20"/>
        <v>2093.6531924330729</v>
      </c>
      <c r="J39" s="87">
        <f t="shared" ca="1" si="20"/>
        <v>2176.1177091216705</v>
      </c>
      <c r="K39" s="87">
        <f t="shared" ca="1" si="20"/>
        <v>2293.5094871798997</v>
      </c>
      <c r="L39" s="87">
        <f t="shared" ca="1" si="20"/>
        <v>2441.5526315675779</v>
      </c>
      <c r="M39" s="87">
        <f t="shared" ca="1" si="20"/>
        <v>2616.8422030844622</v>
      </c>
      <c r="N39" s="87">
        <f t="shared" ca="1" si="20"/>
        <v>2821.6507389427265</v>
      </c>
      <c r="O39" s="87">
        <f t="shared" ca="1" si="20"/>
        <v>3062.5702297975299</v>
      </c>
      <c r="P39" s="87">
        <f t="shared" ca="1" si="20"/>
        <v>3315.3173203931842</v>
      </c>
      <c r="Q39" s="87">
        <f t="shared" ca="1" si="20"/>
        <v>3647.6093614786678</v>
      </c>
      <c r="R39" s="87">
        <f t="shared" ca="1" si="20"/>
        <v>3992.2133174570195</v>
      </c>
    </row>
    <row r="41" spans="2:18" ht="14.4" thickBot="1" x14ac:dyDescent="0.3">
      <c r="B41" s="30" t="s">
        <v>121</v>
      </c>
      <c r="E41" s="88">
        <f>E35+E39</f>
        <v>6000</v>
      </c>
      <c r="H41" s="88">
        <f t="shared" ref="H41:R41" si="21">H35+H39</f>
        <v>7838.4416543574562</v>
      </c>
      <c r="I41" s="88">
        <f t="shared" ca="1" si="21"/>
        <v>7723.8278993359299</v>
      </c>
      <c r="J41" s="88">
        <f t="shared" ca="1" si="21"/>
        <v>7656.6855319746774</v>
      </c>
      <c r="K41" s="88">
        <f t="shared" ca="1" si="21"/>
        <v>7615.9083412507953</v>
      </c>
      <c r="L41" s="88">
        <f t="shared" ca="1" si="21"/>
        <v>7582.1919884695662</v>
      </c>
      <c r="M41" s="88">
        <f t="shared" ca="1" si="21"/>
        <v>7535.2301439399462</v>
      </c>
      <c r="N41" s="88">
        <f t="shared" ca="1" si="21"/>
        <v>7487.1936348517902</v>
      </c>
      <c r="O41" s="88">
        <f t="shared" ca="1" si="21"/>
        <v>7439.2948479455499</v>
      </c>
      <c r="P41" s="88">
        <f t="shared" ca="1" si="21"/>
        <v>7395.6019963547333</v>
      </c>
      <c r="Q41" s="88">
        <f t="shared" ca="1" si="21"/>
        <v>7354.4676449582385</v>
      </c>
      <c r="R41" s="88">
        <f t="shared" ca="1" si="21"/>
        <v>7312.1000912628642</v>
      </c>
    </row>
    <row r="42" spans="2:18" ht="14.4" thickTop="1" x14ac:dyDescent="0.25"/>
    <row r="43" spans="2:18" ht="14.4" x14ac:dyDescent="0.3">
      <c r="B43" s="1" t="s">
        <v>143</v>
      </c>
      <c r="E43" s="69">
        <f>E17-E41</f>
        <v>0</v>
      </c>
      <c r="H43" s="69">
        <f t="shared" ref="H43:R43" si="22">H17-H41</f>
        <v>0</v>
      </c>
      <c r="I43" s="69">
        <f t="shared" ca="1" si="22"/>
        <v>0</v>
      </c>
      <c r="J43" s="69">
        <f t="shared" ca="1" si="22"/>
        <v>0</v>
      </c>
      <c r="K43" s="69">
        <f t="shared" ca="1" si="22"/>
        <v>0</v>
      </c>
      <c r="L43" s="69">
        <f t="shared" ca="1" si="22"/>
        <v>0</v>
      </c>
      <c r="M43" s="69">
        <f t="shared" ca="1" si="22"/>
        <v>0</v>
      </c>
      <c r="N43" s="69">
        <f t="shared" ca="1" si="22"/>
        <v>0</v>
      </c>
      <c r="O43" s="69">
        <f t="shared" ca="1" si="22"/>
        <v>0</v>
      </c>
      <c r="P43" s="69">
        <f t="shared" ca="1" si="22"/>
        <v>0</v>
      </c>
      <c r="Q43" s="69">
        <f t="shared" ca="1" si="22"/>
        <v>0</v>
      </c>
      <c r="R43" s="69">
        <f t="shared" ca="1" si="22"/>
        <v>0</v>
      </c>
    </row>
    <row r="45" spans="2:18" x14ac:dyDescent="0.25">
      <c r="B45" t="s">
        <v>144</v>
      </c>
      <c r="E45" s="69">
        <f>SUM(E7:E9)-SUM(E19:E21)</f>
        <v>635</v>
      </c>
      <c r="H45" s="69">
        <f>SUM(H7:H9)-SUM(H19:H21)</f>
        <v>635</v>
      </c>
      <c r="I45" s="69">
        <f t="shared" ref="I45:R45" si="23">SUM(I7:I9)-SUM(I19:I21)</f>
        <v>623.96980098630138</v>
      </c>
      <c r="J45" s="69">
        <f t="shared" si="23"/>
        <v>629.17877681095888</v>
      </c>
      <c r="K45" s="69">
        <f t="shared" si="23"/>
        <v>654.34592788339717</v>
      </c>
      <c r="L45" s="69">
        <f t="shared" si="23"/>
        <v>683.79149463814997</v>
      </c>
      <c r="M45" s="69">
        <f t="shared" si="23"/>
        <v>707.72419695048541</v>
      </c>
      <c r="N45" s="69">
        <f t="shared" si="23"/>
        <v>732.49454384375224</v>
      </c>
      <c r="O45" s="69">
        <f t="shared" si="23"/>
        <v>758.13185287828367</v>
      </c>
      <c r="P45" s="69">
        <f t="shared" si="23"/>
        <v>784.66646772902357</v>
      </c>
      <c r="Q45" s="69">
        <f t="shared" si="23"/>
        <v>812.12979409953914</v>
      </c>
      <c r="R45" s="69">
        <f t="shared" si="23"/>
        <v>840.55433689302276</v>
      </c>
    </row>
    <row r="46" spans="2:18" x14ac:dyDescent="0.25">
      <c r="B46" t="s">
        <v>145</v>
      </c>
      <c r="I46" s="69">
        <f>H45-I45</f>
        <v>11.030199013698621</v>
      </c>
      <c r="J46" s="69">
        <f t="shared" ref="J46:R46" si="24">I45-J45</f>
        <v>-5.2089758246575002</v>
      </c>
      <c r="K46" s="69">
        <f t="shared" si="24"/>
        <v>-25.167151072438287</v>
      </c>
      <c r="L46" s="69">
        <f t="shared" si="24"/>
        <v>-29.445566754752804</v>
      </c>
      <c r="M46" s="69">
        <f t="shared" si="24"/>
        <v>-23.932702312335437</v>
      </c>
      <c r="N46" s="69">
        <f t="shared" si="24"/>
        <v>-24.770346893266833</v>
      </c>
      <c r="O46" s="69">
        <f t="shared" si="24"/>
        <v>-25.637309034531427</v>
      </c>
      <c r="P46" s="69">
        <f t="shared" si="24"/>
        <v>-26.534614850739899</v>
      </c>
      <c r="Q46" s="69">
        <f t="shared" si="24"/>
        <v>-27.463326370515574</v>
      </c>
      <c r="R46" s="69">
        <f t="shared" si="24"/>
        <v>-28.424542793483624</v>
      </c>
    </row>
    <row r="48" spans="2:18" x14ac:dyDescent="0.25">
      <c r="B48" s="55" t="s">
        <v>146</v>
      </c>
    </row>
    <row r="49" spans="2:18" x14ac:dyDescent="0.25">
      <c r="B49" s="97" t="s">
        <v>135</v>
      </c>
      <c r="C49" s="90"/>
      <c r="D49" s="90"/>
      <c r="E49" s="90"/>
      <c r="F49" s="90"/>
      <c r="G49" s="90"/>
      <c r="H49" s="90"/>
      <c r="I49" s="90"/>
      <c r="J49" s="90"/>
      <c r="K49" s="90"/>
      <c r="L49" s="90"/>
      <c r="M49" s="90"/>
      <c r="N49" s="90"/>
      <c r="O49" s="90"/>
      <c r="P49" s="90"/>
      <c r="Q49" s="90"/>
      <c r="R49" s="91"/>
    </row>
    <row r="50" spans="2:18" x14ac:dyDescent="0.25">
      <c r="B50" s="92" t="s">
        <v>136</v>
      </c>
      <c r="C50" s="93"/>
      <c r="D50" s="93"/>
      <c r="E50" s="98">
        <f>IF(ISERROR(E7/IncStmt!$I6*365),0,E7/IncStmt!$I6*365)</f>
        <v>50.71949110671936</v>
      </c>
      <c r="F50" s="93"/>
      <c r="G50" s="93"/>
      <c r="H50" s="98">
        <f>IF(ISERROR(H7/IncStmt!$I6*365),0,H7/IncStmt!$I6*365)</f>
        <v>50.71949110671936</v>
      </c>
      <c r="I50" s="93">
        <f>Assumptions2!F8</f>
        <v>47.6</v>
      </c>
      <c r="J50" s="93">
        <f>Assumptions2!G8</f>
        <v>47.6</v>
      </c>
      <c r="K50" s="93">
        <f>Assumptions2!H8</f>
        <v>47.6</v>
      </c>
      <c r="L50" s="93">
        <f>Assumptions2!I8</f>
        <v>47.6</v>
      </c>
      <c r="M50" s="93">
        <f>Assumptions2!J8</f>
        <v>47.6</v>
      </c>
      <c r="N50" s="93">
        <f>Assumptions2!K8</f>
        <v>47.6</v>
      </c>
      <c r="O50" s="93">
        <f>Assumptions2!L8</f>
        <v>47.6</v>
      </c>
      <c r="P50" s="93">
        <f>Assumptions2!M8</f>
        <v>47.6</v>
      </c>
      <c r="Q50" s="93">
        <f>Assumptions2!N8</f>
        <v>47.6</v>
      </c>
      <c r="R50" s="94">
        <f>Assumptions2!O8</f>
        <v>47.6</v>
      </c>
    </row>
    <row r="51" spans="2:18" x14ac:dyDescent="0.25">
      <c r="B51" s="92" t="s">
        <v>137</v>
      </c>
      <c r="C51" s="93"/>
      <c r="D51" s="93"/>
      <c r="E51" s="98">
        <f>IF(ISERROR(E8/IncStmt!$I9*365),0,E8/IncStmt!$I9*365)</f>
        <v>111.66433353234075</v>
      </c>
      <c r="F51" s="93"/>
      <c r="G51" s="93"/>
      <c r="H51" s="98">
        <f>IF(ISERROR(H8/IncStmt!$I9*365),0,H8/IncStmt!$I9*365)</f>
        <v>111.66433353234075</v>
      </c>
      <c r="I51" s="93">
        <f>Assumptions2!F14</f>
        <v>105.8</v>
      </c>
      <c r="J51" s="93">
        <f>Assumptions2!G14</f>
        <v>105.8</v>
      </c>
      <c r="K51" s="93">
        <f>Assumptions2!H14</f>
        <v>105.8</v>
      </c>
      <c r="L51" s="93">
        <f>Assumptions2!I14</f>
        <v>105.8</v>
      </c>
      <c r="M51" s="93">
        <f>Assumptions2!J14</f>
        <v>105.8</v>
      </c>
      <c r="N51" s="93">
        <f>Assumptions2!K14</f>
        <v>105.8</v>
      </c>
      <c r="O51" s="93">
        <f>Assumptions2!L14</f>
        <v>105.8</v>
      </c>
      <c r="P51" s="93">
        <f>Assumptions2!M14</f>
        <v>105.8</v>
      </c>
      <c r="Q51" s="93">
        <f>Assumptions2!N14</f>
        <v>105.8</v>
      </c>
      <c r="R51" s="94">
        <f>Assumptions2!O14</f>
        <v>105.8</v>
      </c>
    </row>
    <row r="52" spans="2:18" x14ac:dyDescent="0.25">
      <c r="B52" s="92" t="s">
        <v>147</v>
      </c>
      <c r="C52" s="93"/>
      <c r="D52" s="93"/>
      <c r="E52" s="100">
        <f>IF(ISERROR(E9/IncStmt!$I6),0,E9/IncStmt!$I6)</f>
        <v>5.403903162055336E-2</v>
      </c>
      <c r="F52" s="93"/>
      <c r="G52" s="93"/>
      <c r="H52" s="100">
        <f>IF(ISERROR(H9/IncStmt!$I6),0,H9/IncStmt!$I6)</f>
        <v>5.403903162055336E-2</v>
      </c>
      <c r="I52" s="100">
        <f>Assumptions2!F20</f>
        <v>5.0999999999999997E-2</v>
      </c>
      <c r="J52" s="100">
        <f>Assumptions2!G20</f>
        <v>5.0999999999999997E-2</v>
      </c>
      <c r="K52" s="100">
        <f>Assumptions2!H20</f>
        <v>5.0999999999999997E-2</v>
      </c>
      <c r="L52" s="100">
        <f>Assumptions2!I20</f>
        <v>5.0999999999999997E-2</v>
      </c>
      <c r="M52" s="100">
        <f>Assumptions2!J20</f>
        <v>5.0999999999999997E-2</v>
      </c>
      <c r="N52" s="100">
        <f>Assumptions2!K20</f>
        <v>5.0999999999999997E-2</v>
      </c>
      <c r="O52" s="100">
        <f>Assumptions2!L20</f>
        <v>5.0999999999999997E-2</v>
      </c>
      <c r="P52" s="100">
        <f>Assumptions2!M20</f>
        <v>5.0999999999999997E-2</v>
      </c>
      <c r="Q52" s="100">
        <f>Assumptions2!N20</f>
        <v>5.0999999999999997E-2</v>
      </c>
      <c r="R52" s="102">
        <f>Assumptions2!O20</f>
        <v>5.0999999999999997E-2</v>
      </c>
    </row>
    <row r="53" spans="2:18" x14ac:dyDescent="0.25">
      <c r="B53" s="92"/>
      <c r="C53" s="93"/>
      <c r="D53" s="93"/>
      <c r="E53" s="93"/>
      <c r="F53" s="93"/>
      <c r="G53" s="93"/>
      <c r="H53" s="93"/>
      <c r="I53" s="93"/>
      <c r="J53" s="93"/>
      <c r="K53" s="93"/>
      <c r="L53" s="93"/>
      <c r="M53" s="93"/>
      <c r="N53" s="93"/>
      <c r="O53" s="93"/>
      <c r="P53" s="93"/>
      <c r="Q53" s="93"/>
      <c r="R53" s="94"/>
    </row>
    <row r="54" spans="2:18" x14ac:dyDescent="0.25">
      <c r="B54" s="99" t="s">
        <v>139</v>
      </c>
      <c r="C54" s="93"/>
      <c r="D54" s="93"/>
      <c r="E54" s="93"/>
      <c r="F54" s="93"/>
      <c r="G54" s="93"/>
      <c r="H54" s="93"/>
      <c r="I54" s="93"/>
      <c r="J54" s="93"/>
      <c r="K54" s="93"/>
      <c r="L54" s="93"/>
      <c r="M54" s="93"/>
      <c r="N54" s="93"/>
      <c r="O54" s="93"/>
      <c r="P54" s="93"/>
      <c r="Q54" s="93"/>
      <c r="R54" s="94"/>
    </row>
    <row r="55" spans="2:18" x14ac:dyDescent="0.25">
      <c r="B55" s="92" t="s">
        <v>140</v>
      </c>
      <c r="C55" s="93"/>
      <c r="D55" s="93"/>
      <c r="E55" s="98">
        <f>IF(ISERROR(E19/IncStmt!$I9*365),0,E19/IncStmt!$I9*365)</f>
        <v>40.013052849088766</v>
      </c>
      <c r="F55" s="93"/>
      <c r="G55" s="93"/>
      <c r="H55" s="98">
        <f>IF(ISERROR(H19/IncStmt!$I9*365),0,H19/IncStmt!$I9*365)</f>
        <v>40.013052849088766</v>
      </c>
      <c r="I55" s="93">
        <f>Assumptions2!F27</f>
        <v>37.9</v>
      </c>
      <c r="J55" s="93">
        <f>Assumptions2!G27</f>
        <v>37.9</v>
      </c>
      <c r="K55" s="93">
        <f>Assumptions2!H27</f>
        <v>37.9</v>
      </c>
      <c r="L55" s="93">
        <f>Assumptions2!I27</f>
        <v>37.9</v>
      </c>
      <c r="M55" s="93">
        <f>Assumptions2!J27</f>
        <v>37.9</v>
      </c>
      <c r="N55" s="93">
        <f>Assumptions2!K27</f>
        <v>37.9</v>
      </c>
      <c r="O55" s="93">
        <f>Assumptions2!L27</f>
        <v>37.9</v>
      </c>
      <c r="P55" s="93">
        <f>Assumptions2!M27</f>
        <v>37.9</v>
      </c>
      <c r="Q55" s="93">
        <f>Assumptions2!N27</f>
        <v>37.9</v>
      </c>
      <c r="R55" s="94">
        <f>Assumptions2!O27</f>
        <v>37.9</v>
      </c>
    </row>
    <row r="56" spans="2:18" x14ac:dyDescent="0.25">
      <c r="B56" s="92" t="s">
        <v>148</v>
      </c>
      <c r="C56" s="93"/>
      <c r="D56" s="93"/>
      <c r="E56" s="100">
        <f>IF(ISERROR(E20/IncStmt!$I6),0,E20/IncStmt!$I6)</f>
        <v>8.4918478260869568E-2</v>
      </c>
      <c r="F56" s="93"/>
      <c r="G56" s="93"/>
      <c r="H56" s="100">
        <f>IF(ISERROR(H20/IncStmt!$I6),0,H20/IncStmt!$I6)</f>
        <v>8.4918478260869568E-2</v>
      </c>
      <c r="I56" s="100">
        <f>Assumptions2!F33</f>
        <v>0.08</v>
      </c>
      <c r="J56" s="100">
        <f>Assumptions2!G33</f>
        <v>0.08</v>
      </c>
      <c r="K56" s="100">
        <f>Assumptions2!H33</f>
        <v>0.08</v>
      </c>
      <c r="L56" s="100">
        <f>Assumptions2!I33</f>
        <v>0.08</v>
      </c>
      <c r="M56" s="100">
        <f>Assumptions2!J33</f>
        <v>0.08</v>
      </c>
      <c r="N56" s="100">
        <f>Assumptions2!K33</f>
        <v>0.08</v>
      </c>
      <c r="O56" s="100">
        <f>Assumptions2!L33</f>
        <v>0.08</v>
      </c>
      <c r="P56" s="100">
        <f>Assumptions2!M33</f>
        <v>0.08</v>
      </c>
      <c r="Q56" s="100">
        <f>Assumptions2!N33</f>
        <v>0.08</v>
      </c>
      <c r="R56" s="102">
        <f>Assumptions2!O33</f>
        <v>0.08</v>
      </c>
    </row>
    <row r="57" spans="2:18" x14ac:dyDescent="0.25">
      <c r="B57" s="95" t="s">
        <v>149</v>
      </c>
      <c r="C57" s="96"/>
      <c r="D57" s="96"/>
      <c r="E57" s="101">
        <f>IF(ISERROR(E21/IncStmt!$I6),0,E21/IncStmt!$I6)</f>
        <v>3.0879446640316204E-2</v>
      </c>
      <c r="F57" s="96"/>
      <c r="G57" s="96"/>
      <c r="H57" s="101">
        <f>IF(ISERROR(H21/IncStmt!$I6),0,H21/IncStmt!$I6)</f>
        <v>3.0879446640316204E-2</v>
      </c>
      <c r="I57" s="101">
        <f>Assumptions2!F39</f>
        <v>2.9000000000000001E-2</v>
      </c>
      <c r="J57" s="101">
        <f>Assumptions2!G39</f>
        <v>2.9000000000000001E-2</v>
      </c>
      <c r="K57" s="101">
        <f>Assumptions2!H39</f>
        <v>2.9000000000000001E-2</v>
      </c>
      <c r="L57" s="101">
        <f>Assumptions2!I39</f>
        <v>2.9000000000000001E-2</v>
      </c>
      <c r="M57" s="101">
        <f>Assumptions2!J39</f>
        <v>2.9000000000000001E-2</v>
      </c>
      <c r="N57" s="101">
        <f>Assumptions2!K39</f>
        <v>2.9000000000000001E-2</v>
      </c>
      <c r="O57" s="101">
        <f>Assumptions2!L39</f>
        <v>2.9000000000000001E-2</v>
      </c>
      <c r="P57" s="101">
        <f>Assumptions2!M39</f>
        <v>2.9000000000000001E-2</v>
      </c>
      <c r="Q57" s="101">
        <f>Assumptions2!N39</f>
        <v>2.9000000000000001E-2</v>
      </c>
      <c r="R57" s="103">
        <f>Assumptions2!O39</f>
        <v>2.9000000000000001E-2</v>
      </c>
    </row>
    <row r="1000" spans="648:648" ht="15" x14ac:dyDescent="0.25">
      <c r="XX1000" s="248">
        <v>127155</v>
      </c>
    </row>
  </sheetData>
  <mergeCells count="2">
    <mergeCell ref="I3:R3"/>
    <mergeCell ref="F4:G4"/>
  </mergeCells>
  <pageMargins left="0.7" right="0.7" top="0.75" bottom="0.75" header="0.3" footer="0.3"/>
  <ignoredErrors>
    <ignoredError sqref="E45" formulaRange="1"/>
  </ignoredErrors>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B24BD-8671-4BBA-BC94-DF94B865F139}">
  <dimension ref="B1:XX1000"/>
  <sheetViews>
    <sheetView showGridLines="0" topLeftCell="A25" zoomScale="85" zoomScaleNormal="85" workbookViewId="0">
      <selection activeCell="E42" sqref="E42"/>
    </sheetView>
  </sheetViews>
  <sheetFormatPr defaultColWidth="8.796875" defaultRowHeight="13.8" x14ac:dyDescent="0.25"/>
  <cols>
    <col min="1" max="1" width="1.69921875" customWidth="1"/>
    <col min="2" max="15" width="11.69921875" customWidth="1"/>
  </cols>
  <sheetData>
    <row r="1" spans="2:18" ht="14.4" x14ac:dyDescent="0.3">
      <c r="B1" s="1" t="str">
        <f>Summary!$B$3</f>
        <v>($ in millions, fiscal year ending December 31)</v>
      </c>
    </row>
    <row r="2" spans="2:18" x14ac:dyDescent="0.25">
      <c r="B2" s="4" t="s">
        <v>86</v>
      </c>
      <c r="C2" s="4"/>
      <c r="D2" s="4"/>
      <c r="E2" s="4"/>
      <c r="F2" s="4"/>
      <c r="G2" s="4"/>
      <c r="H2" s="4"/>
      <c r="I2" s="4"/>
      <c r="J2" s="4"/>
      <c r="K2" s="4"/>
      <c r="L2" s="4"/>
      <c r="M2" s="4"/>
      <c r="N2" s="4"/>
      <c r="O2" s="4"/>
      <c r="P2" s="116"/>
      <c r="Q2" s="116"/>
      <c r="R2" s="116"/>
    </row>
    <row r="3" spans="2:18" x14ac:dyDescent="0.25">
      <c r="F3" s="252" t="s">
        <v>41</v>
      </c>
      <c r="G3" s="252"/>
      <c r="H3" s="252"/>
      <c r="I3" s="252"/>
      <c r="J3" s="252"/>
      <c r="K3" s="252"/>
      <c r="L3" s="252"/>
      <c r="M3" s="252"/>
      <c r="N3" s="252"/>
      <c r="O3" s="252"/>
    </row>
    <row r="4" spans="2:18" x14ac:dyDescent="0.25">
      <c r="F4" s="29">
        <v>1</v>
      </c>
      <c r="G4" s="29">
        <f>F4+1</f>
        <v>2</v>
      </c>
      <c r="H4" s="29">
        <f t="shared" ref="H4:O4" si="0">G4+1</f>
        <v>3</v>
      </c>
      <c r="I4" s="29">
        <f t="shared" si="0"/>
        <v>4</v>
      </c>
      <c r="J4" s="29">
        <f t="shared" si="0"/>
        <v>5</v>
      </c>
      <c r="K4" s="29">
        <f t="shared" si="0"/>
        <v>6</v>
      </c>
      <c r="L4" s="29">
        <f t="shared" si="0"/>
        <v>7</v>
      </c>
      <c r="M4" s="29">
        <f t="shared" si="0"/>
        <v>8</v>
      </c>
      <c r="N4" s="29">
        <f t="shared" si="0"/>
        <v>9</v>
      </c>
      <c r="O4" s="29">
        <f t="shared" si="0"/>
        <v>10</v>
      </c>
    </row>
    <row r="5" spans="2:18" x14ac:dyDescent="0.25">
      <c r="F5" s="33">
        <f>IncStmt!$I$5+F4</f>
        <v>2025</v>
      </c>
      <c r="G5" s="33">
        <f>IncStmt!$I$5+G4</f>
        <v>2026</v>
      </c>
      <c r="H5" s="33">
        <f>IncStmt!$I$5+H4</f>
        <v>2027</v>
      </c>
      <c r="I5" s="33">
        <f>IncStmt!$I$5+I4</f>
        <v>2028</v>
      </c>
      <c r="J5" s="33">
        <f>IncStmt!$I$5+J4</f>
        <v>2029</v>
      </c>
      <c r="K5" s="33">
        <f>IncStmt!$I$5+K4</f>
        <v>2030</v>
      </c>
      <c r="L5" s="33">
        <f>IncStmt!$I$5+L4</f>
        <v>2031</v>
      </c>
      <c r="M5" s="33">
        <f>IncStmt!$I$5+M4</f>
        <v>2032</v>
      </c>
      <c r="N5" s="33">
        <f>IncStmt!$I$5+N4</f>
        <v>2033</v>
      </c>
      <c r="O5" s="33">
        <f>IncStmt!$I$5+O4</f>
        <v>2034</v>
      </c>
    </row>
    <row r="6" spans="2:18" x14ac:dyDescent="0.25">
      <c r="B6" s="55" t="s">
        <v>157</v>
      </c>
    </row>
    <row r="7" spans="2:18" x14ac:dyDescent="0.25">
      <c r="B7" t="s">
        <v>73</v>
      </c>
      <c r="F7" s="59">
        <f ca="1">IncStmt!J42</f>
        <v>55.211538075616957</v>
      </c>
      <c r="G7" s="59">
        <f ca="1">IncStmt!K42</f>
        <v>82.464516688597612</v>
      </c>
      <c r="H7" s="59">
        <f ca="1">IncStmt!L42</f>
        <v>117.39177805822941</v>
      </c>
      <c r="I7" s="59">
        <f ca="1">IncStmt!M42</f>
        <v>148.04314438767807</v>
      </c>
      <c r="J7" s="59">
        <f ca="1">IncStmt!N42</f>
        <v>175.28957151688451</v>
      </c>
      <c r="K7" s="59">
        <f ca="1">IncStmt!O42</f>
        <v>204.80853585826452</v>
      </c>
      <c r="L7" s="59">
        <f ca="1">IncStmt!P42</f>
        <v>240.9194908548032</v>
      </c>
      <c r="M7" s="59">
        <f ca="1">IncStmt!Q42</f>
        <v>252.7470905956543</v>
      </c>
      <c r="N7" s="59">
        <f ca="1">IncStmt!R42</f>
        <v>332.29204108548379</v>
      </c>
      <c r="O7" s="59">
        <f ca="1">IncStmt!S42</f>
        <v>344.60395597835168</v>
      </c>
    </row>
    <row r="8" spans="2:18" x14ac:dyDescent="0.25">
      <c r="B8" t="s">
        <v>158</v>
      </c>
      <c r="F8" s="69">
        <f>IncStmt!J20</f>
        <v>166.77760000000001</v>
      </c>
      <c r="G8" s="69">
        <f>IncStmt!K20</f>
        <v>170.94704000000002</v>
      </c>
      <c r="H8" s="69">
        <f>IncStmt!L20</f>
        <v>177.78492160000002</v>
      </c>
      <c r="I8" s="69">
        <f>IncStmt!M20</f>
        <v>185.78524307200001</v>
      </c>
      <c r="J8" s="69">
        <f>IncStmt!N20</f>
        <v>192.28772657952001</v>
      </c>
      <c r="K8" s="69">
        <f>IncStmt!O20</f>
        <v>199.01779700980319</v>
      </c>
      <c r="L8" s="69">
        <f>IncStmt!P20</f>
        <v>205.98341990514629</v>
      </c>
      <c r="M8" s="69">
        <f>IncStmt!Q20</f>
        <v>213.19283960182639</v>
      </c>
      <c r="N8" s="69">
        <f>IncStmt!R20</f>
        <v>220.65458898789029</v>
      </c>
      <c r="O8" s="69">
        <f>IncStmt!S20</f>
        <v>228.37749960246643</v>
      </c>
    </row>
    <row r="9" spans="2:18" x14ac:dyDescent="0.25">
      <c r="B9" t="s">
        <v>159</v>
      </c>
      <c r="F9" s="69">
        <f>IncStmt!J21</f>
        <v>66.711039999999997</v>
      </c>
      <c r="G9" s="69">
        <f>IncStmt!K21</f>
        <v>68.378816</v>
      </c>
      <c r="H9" s="69">
        <f>IncStmt!L21</f>
        <v>71.11396864000001</v>
      </c>
      <c r="I9" s="69">
        <f>IncStmt!M21</f>
        <v>74.314097228800009</v>
      </c>
      <c r="J9" s="69">
        <f>IncStmt!N21</f>
        <v>76.915090631807999</v>
      </c>
      <c r="K9" s="69">
        <f>IncStmt!O21</f>
        <v>79.607118803921281</v>
      </c>
      <c r="L9" s="69">
        <f>IncStmt!P21</f>
        <v>82.393367962058505</v>
      </c>
      <c r="M9" s="69">
        <f>IncStmt!Q21</f>
        <v>85.277135840730551</v>
      </c>
      <c r="N9" s="69">
        <f>IncStmt!R21</f>
        <v>88.261835595156114</v>
      </c>
      <c r="O9" s="69">
        <f>IncStmt!S21</f>
        <v>91.350999840986574</v>
      </c>
    </row>
    <row r="10" spans="2:18" x14ac:dyDescent="0.25">
      <c r="B10" t="s">
        <v>160</v>
      </c>
      <c r="F10" s="69">
        <f>IncStmt!J35</f>
        <v>18.257142857142856</v>
      </c>
      <c r="G10" s="69">
        <f>IncStmt!K35</f>
        <v>18.257142857142856</v>
      </c>
      <c r="H10" s="69">
        <f>IncStmt!L35</f>
        <v>18.257142857142856</v>
      </c>
      <c r="I10" s="69">
        <f>IncStmt!M35</f>
        <v>16.257142857142856</v>
      </c>
      <c r="J10" s="69">
        <f>IncStmt!N35</f>
        <v>16.257142857142856</v>
      </c>
      <c r="K10" s="69">
        <f>IncStmt!O35</f>
        <v>16.257142857142856</v>
      </c>
      <c r="L10" s="69">
        <f>IncStmt!P35</f>
        <v>15.007142857142858</v>
      </c>
      <c r="M10" s="69">
        <f>IncStmt!Q35</f>
        <v>9.65</v>
      </c>
      <c r="N10" s="69">
        <f>IncStmt!R35</f>
        <v>5.9</v>
      </c>
      <c r="O10" s="69">
        <f>IncStmt!S35</f>
        <v>5.9</v>
      </c>
    </row>
    <row r="12" spans="2:18" x14ac:dyDescent="0.25">
      <c r="B12" s="55" t="s">
        <v>180</v>
      </c>
    </row>
    <row r="13" spans="2:18" x14ac:dyDescent="0.25">
      <c r="B13" t="s">
        <v>161</v>
      </c>
      <c r="F13" s="69">
        <f>BalSheet!H7-BalSheet!I7</f>
        <v>15.007465205479434</v>
      </c>
      <c r="G13" s="69">
        <f>BalSheet!I7-BalSheet!J7</f>
        <v>-10.874813369862977</v>
      </c>
      <c r="H13" s="69">
        <f>BalSheet!J7-BalSheet!K7</f>
        <v>-17.834693926575426</v>
      </c>
      <c r="I13" s="69">
        <f>BalSheet!K7-BalSheet!L7</f>
        <v>-20.866591894093119</v>
      </c>
      <c r="J13" s="69">
        <f>BalSheet!L7-BalSheet!M7</f>
        <v>-16.959902189476793</v>
      </c>
      <c r="K13" s="69">
        <f>BalSheet!M7-BalSheet!N7</f>
        <v>-17.553498766108532</v>
      </c>
      <c r="L13" s="69">
        <f>BalSheet!N7-BalSheet!O7</f>
        <v>-18.167871222922258</v>
      </c>
      <c r="M13" s="69">
        <f>BalSheet!O7-BalSheet!P7</f>
        <v>-18.803746715724515</v>
      </c>
      <c r="N13" s="69">
        <f>BalSheet!P7-BalSheet!Q7</f>
        <v>-19.46187785077484</v>
      </c>
      <c r="O13" s="69">
        <f>BalSheet!Q7-BalSheet!R7</f>
        <v>-20.143043575552042</v>
      </c>
    </row>
    <row r="14" spans="2:18" x14ac:dyDescent="0.25">
      <c r="B14" t="s">
        <v>162</v>
      </c>
      <c r="F14" s="69">
        <f>BalSheet!H8-BalSheet!I8</f>
        <v>19.888106958904132</v>
      </c>
      <c r="G14" s="69">
        <f>BalSheet!I8-BalSheet!J8</f>
        <v>-14.502797326027348</v>
      </c>
      <c r="H14" s="69">
        <f>BalSheet!J8-BalSheet!K8</f>
        <v>-23.784587614684938</v>
      </c>
      <c r="I14" s="69">
        <f>BalSheet!K8-BalSheet!L8</f>
        <v>-27.827967509181462</v>
      </c>
      <c r="J14" s="69">
        <f>BalSheet!L8-BalSheet!M8</f>
        <v>-22.617953592184563</v>
      </c>
      <c r="K14" s="69">
        <f>BalSheet!M8-BalSheet!N8</f>
        <v>-23.409581967911095</v>
      </c>
      <c r="L14" s="69">
        <f>BalSheet!N8-BalSheet!O8</f>
        <v>-24.228917336787845</v>
      </c>
      <c r="M14" s="69">
        <f>BalSheet!O8-BalSheet!P8</f>
        <v>-25.076929443575523</v>
      </c>
      <c r="N14" s="69">
        <f>BalSheet!P8-BalSheet!Q8</f>
        <v>-25.954621974100746</v>
      </c>
      <c r="O14" s="69">
        <f>BalSheet!Q8-BalSheet!R8</f>
        <v>-26.863033743194023</v>
      </c>
    </row>
    <row r="15" spans="2:18" x14ac:dyDescent="0.25">
      <c r="B15" t="s">
        <v>163</v>
      </c>
      <c r="F15" s="69">
        <f>BalSheet!H9-BalSheet!I9</f>
        <v>-5.25</v>
      </c>
      <c r="G15" s="69">
        <f>BalSheet!I9-BalSheet!J9</f>
        <v>5.8840192000000116</v>
      </c>
      <c r="H15" s="69">
        <f>BalSheet!J9-BalSheet!K9</f>
        <v>-6.9746392320000155</v>
      </c>
      <c r="I15" s="69">
        <f>BalSheet!K9-BalSheet!L9</f>
        <v>-8.1603279014399845</v>
      </c>
      <c r="J15" s="69">
        <f>BalSheet!L9-BalSheet!M9</f>
        <v>-6.632533177670382</v>
      </c>
      <c r="K15" s="69">
        <f>BalSheet!M9-BalSheet!N9</f>
        <v>-6.8646718388888814</v>
      </c>
      <c r="L15" s="69">
        <f>BalSheet!N9-BalSheet!O9</f>
        <v>-7.1049353532499424</v>
      </c>
      <c r="M15" s="69">
        <f>BalSheet!O9-BalSheet!P9</f>
        <v>-7.3536080906137045</v>
      </c>
      <c r="N15" s="69">
        <f>BalSheet!P9-BalSheet!Q9</f>
        <v>-7.6109843737851861</v>
      </c>
      <c r="O15" s="69">
        <f>BalSheet!Q9-BalSheet!R9</f>
        <v>-7.8773688268676381</v>
      </c>
    </row>
    <row r="16" spans="2:18" x14ac:dyDescent="0.25">
      <c r="F16" s="69"/>
      <c r="G16" s="69"/>
      <c r="H16" s="69"/>
      <c r="I16" s="69"/>
      <c r="J16" s="69"/>
      <c r="K16" s="69"/>
      <c r="L16" s="69"/>
      <c r="M16" s="69"/>
      <c r="N16" s="69"/>
      <c r="O16" s="69"/>
    </row>
    <row r="17" spans="2:16" x14ac:dyDescent="0.25">
      <c r="B17" t="s">
        <v>164</v>
      </c>
      <c r="F17" s="69">
        <f>BalSheet!I19-BalSheet!H19</f>
        <v>-7.1905411506849077</v>
      </c>
      <c r="G17" s="69">
        <f>BalSheet!J19-BalSheet!I19</f>
        <v>5.1952364712327892</v>
      </c>
      <c r="H17" s="69">
        <f>BalSheet!K19-BalSheet!J19</f>
        <v>8.5201878128219732</v>
      </c>
      <c r="I17" s="69">
        <f>BalSheet!L19-BalSheet!K19</f>
        <v>9.9686197410016462</v>
      </c>
      <c r="J17" s="69">
        <f>BalSheet!M19-BalSheet!L19</f>
        <v>8.102272600602987</v>
      </c>
      <c r="K17" s="69">
        <f>BalSheet!N19-BalSheet!M19</f>
        <v>8.3858521416241274</v>
      </c>
      <c r="L17" s="69">
        <f>BalSheet!O19-BalSheet!N19</f>
        <v>8.6793569665809116</v>
      </c>
      <c r="M17" s="69">
        <f>BalSheet!P19-BalSheet!O19</f>
        <v>8.983134460411236</v>
      </c>
      <c r="N17" s="69">
        <f>BalSheet!Q19-BalSheet!P19</f>
        <v>9.2975441665257108</v>
      </c>
      <c r="O17" s="69">
        <f>BalSheet!R19-BalSheet!Q19</f>
        <v>9.6229582123539785</v>
      </c>
    </row>
    <row r="18" spans="2:16" x14ac:dyDescent="0.25">
      <c r="B18" t="s">
        <v>165</v>
      </c>
      <c r="F18" s="69">
        <f>BalSheet!I20-BalSheet!H20</f>
        <v>-8.155840000000012</v>
      </c>
      <c r="G18" s="69">
        <f>BalSheet!J20-BalSheet!I20</f>
        <v>6.6711040000000139</v>
      </c>
      <c r="H18" s="69">
        <f>BalSheet!K20-BalSheet!J20</f>
        <v>10.940610560000039</v>
      </c>
      <c r="I18" s="69">
        <f>BalSheet!L20-BalSheet!K20</f>
        <v>12.800514355199994</v>
      </c>
      <c r="J18" s="69">
        <f>BalSheet!M20-BalSheet!L20</f>
        <v>10.403973612031962</v>
      </c>
      <c r="K18" s="69">
        <f>BalSheet!N20-BalSheet!M20</f>
        <v>10.76811268845313</v>
      </c>
      <c r="L18" s="69">
        <f>BalSheet!O20-BalSheet!N20</f>
        <v>11.144996632548896</v>
      </c>
      <c r="M18" s="69">
        <f>BalSheet!P20-BalSheet!O20</f>
        <v>11.535071514688184</v>
      </c>
      <c r="N18" s="69">
        <f>BalSheet!Q20-BalSheet!P20</f>
        <v>11.938799017702252</v>
      </c>
      <c r="O18" s="69">
        <f>BalSheet!R20-BalSheet!Q20</f>
        <v>12.356656983321841</v>
      </c>
    </row>
    <row r="19" spans="2:16" x14ac:dyDescent="0.25">
      <c r="B19" t="s">
        <v>166</v>
      </c>
      <c r="F19" s="69">
        <f>BalSheet!I21-BalSheet!H21</f>
        <v>-3.2689919999999972</v>
      </c>
      <c r="G19" s="69">
        <f>BalSheet!J21-BalSheet!I21</f>
        <v>2.4182751999999965</v>
      </c>
      <c r="H19" s="69">
        <f>BalSheet!K21-BalSheet!J21</f>
        <v>3.9659713280000091</v>
      </c>
      <c r="I19" s="69">
        <f>BalSheet!L21-BalSheet!K21</f>
        <v>4.6401864537599948</v>
      </c>
      <c r="J19" s="69">
        <f>BalSheet!M21-BalSheet!L21</f>
        <v>3.7714404343615939</v>
      </c>
      <c r="K19" s="69">
        <f>BalSheet!N21-BalSheet!M21</f>
        <v>3.9034408495642623</v>
      </c>
      <c r="L19" s="69">
        <f>BalSheet!O21-BalSheet!N21</f>
        <v>4.0400612792989818</v>
      </c>
      <c r="M19" s="69">
        <f>BalSheet!P21-BalSheet!O21</f>
        <v>4.1814634240744653</v>
      </c>
      <c r="N19" s="69">
        <f>BalSheet!Q21-BalSheet!P21</f>
        <v>4.3278146439170655</v>
      </c>
      <c r="O19" s="69">
        <f>BalSheet!R21-BalSheet!Q21</f>
        <v>4.4792881564541744</v>
      </c>
    </row>
    <row r="20" spans="2:16" x14ac:dyDescent="0.25">
      <c r="B20" t="s">
        <v>167</v>
      </c>
      <c r="F20" s="117">
        <f>SUM(F13:F19)</f>
        <v>11.030199013698649</v>
      </c>
      <c r="G20" s="117">
        <f t="shared" ref="G20:O20" si="1">SUM(G13:G19)</f>
        <v>-5.2089758246575144</v>
      </c>
      <c r="H20" s="117">
        <f t="shared" si="1"/>
        <v>-25.167151072438358</v>
      </c>
      <c r="I20" s="117">
        <f t="shared" si="1"/>
        <v>-29.445566754752932</v>
      </c>
      <c r="J20" s="117">
        <f t="shared" si="1"/>
        <v>-23.932702312335195</v>
      </c>
      <c r="K20" s="117">
        <f t="shared" si="1"/>
        <v>-24.770346893266989</v>
      </c>
      <c r="L20" s="117">
        <f t="shared" si="1"/>
        <v>-25.637309034531256</v>
      </c>
      <c r="M20" s="117">
        <f t="shared" si="1"/>
        <v>-26.534614850739857</v>
      </c>
      <c r="N20" s="117">
        <f t="shared" si="1"/>
        <v>-27.463326370515745</v>
      </c>
      <c r="O20" s="117">
        <f t="shared" si="1"/>
        <v>-28.42454279348371</v>
      </c>
    </row>
    <row r="21" spans="2:16" x14ac:dyDescent="0.25">
      <c r="B21" s="30" t="s">
        <v>175</v>
      </c>
      <c r="F21" s="87">
        <f ca="1">SUM(F7:F10)+F20</f>
        <v>317.98751994645841</v>
      </c>
      <c r="G21" s="87">
        <f t="shared" ref="G21:O21" ca="1" si="2">SUM(G7:G10)+G20</f>
        <v>334.83853972108295</v>
      </c>
      <c r="H21" s="87">
        <f ca="1">SUM(H7:H10)+H20</f>
        <v>359.38066008293396</v>
      </c>
      <c r="I21" s="87">
        <f t="shared" ca="1" si="2"/>
        <v>394.95406079086803</v>
      </c>
      <c r="J21" s="87">
        <f t="shared" ca="1" si="2"/>
        <v>436.81682927302018</v>
      </c>
      <c r="K21" s="87">
        <f t="shared" ca="1" si="2"/>
        <v>474.92024763586488</v>
      </c>
      <c r="L21" s="87">
        <f t="shared" ca="1" si="2"/>
        <v>518.66611254461964</v>
      </c>
      <c r="M21" s="87">
        <f t="shared" ca="1" si="2"/>
        <v>534.33245118747129</v>
      </c>
      <c r="N21" s="87">
        <f t="shared" ca="1" si="2"/>
        <v>619.64513929801433</v>
      </c>
      <c r="O21" s="87">
        <f t="shared" ca="1" si="2"/>
        <v>641.80791262832088</v>
      </c>
    </row>
    <row r="23" spans="2:16" x14ac:dyDescent="0.25">
      <c r="B23" s="55" t="s">
        <v>176</v>
      </c>
    </row>
    <row r="24" spans="2:16" x14ac:dyDescent="0.25">
      <c r="B24" t="s">
        <v>177</v>
      </c>
      <c r="F24" s="69">
        <f>-F48*IncStmt!J6</f>
        <v>-166.77760000000001</v>
      </c>
      <c r="G24" s="69">
        <f>-G48*IncStmt!K6</f>
        <v>-170.94704000000002</v>
      </c>
      <c r="H24" s="69">
        <f>-H48*IncStmt!L6</f>
        <v>-177.78492160000002</v>
      </c>
      <c r="I24" s="69">
        <f>-I48*IncStmt!M6</f>
        <v>-185.78524307200001</v>
      </c>
      <c r="J24" s="69">
        <f>-J48*IncStmt!N6</f>
        <v>-192.28772657952001</v>
      </c>
      <c r="K24" s="69">
        <f>-K48*IncStmt!O6</f>
        <v>-199.01779700980319</v>
      </c>
      <c r="L24" s="69">
        <f>-L48*IncStmt!P6</f>
        <v>-205.98341990514629</v>
      </c>
      <c r="M24" s="69">
        <f>-M48*IncStmt!Q6</f>
        <v>-213.19283960182639</v>
      </c>
      <c r="N24" s="69">
        <f>-N48*IncStmt!R6</f>
        <v>-220.65458898789029</v>
      </c>
      <c r="O24" s="69">
        <f>-O48*IncStmt!S6</f>
        <v>-228.37749960246643</v>
      </c>
    </row>
    <row r="25" spans="2:16" x14ac:dyDescent="0.25">
      <c r="B25" t="s">
        <v>178</v>
      </c>
      <c r="F25" s="80">
        <v>0</v>
      </c>
      <c r="G25" s="80">
        <v>0</v>
      </c>
      <c r="H25" s="80">
        <v>0</v>
      </c>
      <c r="I25" s="80">
        <v>0</v>
      </c>
      <c r="J25" s="80">
        <v>0</v>
      </c>
      <c r="K25" s="80">
        <v>0</v>
      </c>
      <c r="L25" s="80">
        <v>0</v>
      </c>
      <c r="M25" s="80">
        <v>0</v>
      </c>
      <c r="N25" s="80">
        <v>0</v>
      </c>
      <c r="O25" s="80">
        <v>0</v>
      </c>
    </row>
    <row r="26" spans="2:16" x14ac:dyDescent="0.25">
      <c r="B26" s="30" t="s">
        <v>179</v>
      </c>
      <c r="F26" s="65">
        <f>SUM(F24:F25)</f>
        <v>-166.77760000000001</v>
      </c>
      <c r="G26" s="65">
        <f t="shared" ref="G26:O26" si="3">SUM(G24:G25)</f>
        <v>-170.94704000000002</v>
      </c>
      <c r="H26" s="65">
        <f t="shared" si="3"/>
        <v>-177.78492160000002</v>
      </c>
      <c r="I26" s="65">
        <f t="shared" si="3"/>
        <v>-185.78524307200001</v>
      </c>
      <c r="J26" s="65">
        <f t="shared" si="3"/>
        <v>-192.28772657952001</v>
      </c>
      <c r="K26" s="65">
        <f t="shared" si="3"/>
        <v>-199.01779700980319</v>
      </c>
      <c r="L26" s="65">
        <f t="shared" si="3"/>
        <v>-205.98341990514629</v>
      </c>
      <c r="M26" s="65">
        <f t="shared" si="3"/>
        <v>-213.19283960182639</v>
      </c>
      <c r="N26" s="65">
        <f t="shared" si="3"/>
        <v>-220.65458898789029</v>
      </c>
      <c r="O26" s="65">
        <f t="shared" si="3"/>
        <v>-228.37749960246643</v>
      </c>
    </row>
    <row r="28" spans="2:16" x14ac:dyDescent="0.25">
      <c r="B28" s="55" t="s">
        <v>182</v>
      </c>
    </row>
    <row r="29" spans="2:16" x14ac:dyDescent="0.25">
      <c r="B29" t="s">
        <v>183</v>
      </c>
      <c r="F29" s="195">
        <f ca="1">DebtSched!F24</f>
        <v>6.290080053541601</v>
      </c>
      <c r="G29" s="195">
        <f ca="1">DebtSched!G24</f>
        <v>-6.290080053541601</v>
      </c>
      <c r="H29" s="195">
        <f ca="1">DebtSched!H24</f>
        <v>0</v>
      </c>
      <c r="I29" s="195">
        <f ca="1">DebtSched!I24</f>
        <v>0</v>
      </c>
      <c r="J29" s="195">
        <f ca="1">DebtSched!J24</f>
        <v>0</v>
      </c>
      <c r="K29" s="195">
        <f ca="1">DebtSched!K24</f>
        <v>0</v>
      </c>
      <c r="L29" s="195">
        <f ca="1">DebtSched!L24</f>
        <v>1261.0197781716215</v>
      </c>
      <c r="M29" s="195">
        <f ca="1">DebtSched!M24</f>
        <v>678.86038841435516</v>
      </c>
      <c r="N29" s="195">
        <f ca="1">DebtSched!N24</f>
        <v>-398.99055031012404</v>
      </c>
      <c r="O29" s="195">
        <f ca="1">DebtSched!O24</f>
        <v>586.56958697414552</v>
      </c>
      <c r="P29" t="s">
        <v>435</v>
      </c>
    </row>
    <row r="30" spans="2:16" x14ac:dyDescent="0.25">
      <c r="B30" t="s">
        <v>184</v>
      </c>
      <c r="F30" s="195">
        <f ca="1">DebtSched!F40+DebtSched!F41</f>
        <v>-62.5</v>
      </c>
      <c r="G30" s="195">
        <f ca="1">DebtSched!G40+DebtSched!G41</f>
        <v>-62.601419667541336</v>
      </c>
      <c r="H30" s="195">
        <f ca="1">DebtSched!H40+DebtSched!H41</f>
        <v>-86.595738482933939</v>
      </c>
      <c r="I30" s="195">
        <f ca="1">DebtSched!I40+DebtSched!I41</f>
        <v>-114.16881771886801</v>
      </c>
      <c r="J30" s="195">
        <f ca="1">DebtSched!J40+DebtSched!J41</f>
        <v>-174.13402413065671</v>
      </c>
      <c r="K30" s="195">
        <f ca="1">DebtSched!K40+DebtSched!K41</f>
        <v>0</v>
      </c>
      <c r="L30" s="195">
        <f ca="1">DebtSched!L40+DebtSched!L41</f>
        <v>0</v>
      </c>
      <c r="M30" s="195">
        <f ca="1">DebtSched!M40+DebtSched!M41</f>
        <v>0</v>
      </c>
      <c r="N30" s="195">
        <f ca="1">DebtSched!N40+DebtSched!N41</f>
        <v>0</v>
      </c>
      <c r="O30" s="195">
        <f ca="1">DebtSched!O40+DebtSched!O41</f>
        <v>0</v>
      </c>
      <c r="P30" t="s">
        <v>435</v>
      </c>
    </row>
    <row r="31" spans="2:16" x14ac:dyDescent="0.25">
      <c r="B31" t="s">
        <v>185</v>
      </c>
      <c r="F31" s="195">
        <f ca="1">DebtSched!F55+DebtSched!F56</f>
        <v>-20</v>
      </c>
      <c r="G31" s="195">
        <f ca="1">DebtSched!G55+DebtSched!G56</f>
        <v>-20</v>
      </c>
      <c r="H31" s="195">
        <f ca="1">DebtSched!H55+DebtSched!H56</f>
        <v>-20</v>
      </c>
      <c r="I31" s="195">
        <f ca="1">DebtSched!I55+DebtSched!I56</f>
        <v>-20</v>
      </c>
      <c r="J31" s="195">
        <f ca="1">DebtSched!J55+DebtSched!J56</f>
        <v>-70.395078562843452</v>
      </c>
      <c r="K31" s="195">
        <f ca="1">DebtSched!K55+DebtSched!K56</f>
        <v>-275.90245062606169</v>
      </c>
      <c r="L31" s="195">
        <f ca="1">DebtSched!L55+DebtSched!L56</f>
        <v>-1573.7024708110948</v>
      </c>
      <c r="M31" s="195">
        <f ca="1">DebtSched!M55+DebtSched!M56</f>
        <v>0</v>
      </c>
      <c r="N31" s="195">
        <f ca="1">DebtSched!N55+DebtSched!N56</f>
        <v>0</v>
      </c>
      <c r="O31" s="195">
        <f ca="1">DebtSched!O55+DebtSched!O56</f>
        <v>0</v>
      </c>
      <c r="P31" t="s">
        <v>435</v>
      </c>
    </row>
    <row r="32" spans="2:16" x14ac:dyDescent="0.25">
      <c r="B32" t="s">
        <v>186</v>
      </c>
      <c r="F32" s="195">
        <f>DebtSched!F70</f>
        <v>-75</v>
      </c>
      <c r="G32" s="195">
        <f>DebtSched!G70</f>
        <v>-75</v>
      </c>
      <c r="H32" s="195">
        <f>DebtSched!H70</f>
        <v>-75</v>
      </c>
      <c r="I32" s="195">
        <f>DebtSched!I70</f>
        <v>-75</v>
      </c>
      <c r="J32" s="195">
        <f>DebtSched!J70</f>
        <v>0</v>
      </c>
      <c r="K32" s="195">
        <f>DebtSched!K70</f>
        <v>0</v>
      </c>
      <c r="L32" s="195">
        <f>DebtSched!L70</f>
        <v>0</v>
      </c>
      <c r="M32" s="195">
        <f>DebtSched!M70</f>
        <v>0</v>
      </c>
      <c r="N32" s="195">
        <f>DebtSched!N70</f>
        <v>0</v>
      </c>
      <c r="O32" s="195">
        <f>DebtSched!O70</f>
        <v>0</v>
      </c>
      <c r="P32" t="s">
        <v>435</v>
      </c>
    </row>
    <row r="33" spans="2:16" x14ac:dyDescent="0.25">
      <c r="B33" t="s">
        <v>187</v>
      </c>
      <c r="F33" s="195">
        <f>DebtSched!F82</f>
        <v>0</v>
      </c>
      <c r="G33" s="195">
        <f>DebtSched!G82</f>
        <v>0</v>
      </c>
      <c r="H33" s="195">
        <f>DebtSched!H82</f>
        <v>0</v>
      </c>
      <c r="I33" s="195">
        <f>DebtSched!I82</f>
        <v>0</v>
      </c>
      <c r="J33" s="195">
        <f>DebtSched!J82</f>
        <v>0</v>
      </c>
      <c r="K33" s="195">
        <f>DebtSched!K82</f>
        <v>0</v>
      </c>
      <c r="L33" s="195">
        <f>DebtSched!L82</f>
        <v>0</v>
      </c>
      <c r="M33" s="195">
        <f>DebtSched!M82</f>
        <v>0</v>
      </c>
      <c r="N33" s="195">
        <f>DebtSched!N82</f>
        <v>0</v>
      </c>
      <c r="O33" s="195">
        <f>DebtSched!O82</f>
        <v>-1000</v>
      </c>
      <c r="P33" t="s">
        <v>435</v>
      </c>
    </row>
    <row r="34" spans="2:16" x14ac:dyDescent="0.25">
      <c r="B34" t="s">
        <v>188</v>
      </c>
      <c r="F34" s="195">
        <f>DebtSched!F93</f>
        <v>0</v>
      </c>
      <c r="G34" s="195">
        <f>DebtSched!G93</f>
        <v>0</v>
      </c>
      <c r="H34" s="195">
        <f>DebtSched!H93</f>
        <v>0</v>
      </c>
      <c r="I34" s="195">
        <f>DebtSched!I93</f>
        <v>0</v>
      </c>
      <c r="J34" s="195">
        <f>DebtSched!J93</f>
        <v>0</v>
      </c>
      <c r="K34" s="195">
        <f>DebtSched!K93</f>
        <v>0</v>
      </c>
      <c r="L34" s="195">
        <f>DebtSched!L93</f>
        <v>0</v>
      </c>
      <c r="M34" s="195">
        <f>DebtSched!M93</f>
        <v>-1000</v>
      </c>
      <c r="N34" s="195">
        <f>DebtSched!N93</f>
        <v>0</v>
      </c>
      <c r="O34" s="195">
        <f>DebtSched!O93</f>
        <v>0</v>
      </c>
      <c r="P34" t="s">
        <v>435</v>
      </c>
    </row>
    <row r="35" spans="2:16" x14ac:dyDescent="0.25">
      <c r="B35" t="s">
        <v>189</v>
      </c>
      <c r="F35" s="54"/>
      <c r="G35" s="54"/>
      <c r="H35" s="54"/>
      <c r="I35" s="54"/>
      <c r="J35" s="54"/>
      <c r="K35" s="54"/>
      <c r="L35" s="54"/>
      <c r="M35" s="54"/>
      <c r="N35" s="54"/>
      <c r="O35" s="54"/>
    </row>
    <row r="36" spans="2:16" x14ac:dyDescent="0.25">
      <c r="B36" t="s">
        <v>190</v>
      </c>
      <c r="F36" s="54"/>
      <c r="G36" s="54"/>
      <c r="H36" s="54"/>
      <c r="I36" s="54"/>
      <c r="J36" s="54"/>
      <c r="K36" s="54"/>
      <c r="L36" s="54"/>
      <c r="M36" s="54"/>
      <c r="N36" s="54"/>
      <c r="O36" s="54"/>
    </row>
    <row r="37" spans="2:16" x14ac:dyDescent="0.25">
      <c r="B37" t="s">
        <v>192</v>
      </c>
      <c r="F37" s="54"/>
      <c r="G37" s="54"/>
      <c r="H37" s="54"/>
      <c r="I37" s="54"/>
      <c r="J37" s="54"/>
      <c r="K37" s="54"/>
      <c r="L37" s="54"/>
      <c r="M37" s="54"/>
      <c r="N37" s="54"/>
      <c r="O37" s="54"/>
    </row>
    <row r="38" spans="2:16" x14ac:dyDescent="0.25">
      <c r="B38" t="s">
        <v>191</v>
      </c>
      <c r="F38" s="65">
        <f ca="1">SUM(F29:F37)</f>
        <v>-151.2099199464584</v>
      </c>
      <c r="G38" s="65">
        <f t="shared" ref="G38:O38" ca="1" si="4">SUM(G29:G37)</f>
        <v>-163.89149972108294</v>
      </c>
      <c r="H38" s="65">
        <f t="shared" ca="1" si="4"/>
        <v>-181.59573848293394</v>
      </c>
      <c r="I38" s="65">
        <f t="shared" ca="1" si="4"/>
        <v>-209.16881771886801</v>
      </c>
      <c r="J38" s="65">
        <f t="shared" ca="1" si="4"/>
        <v>-244.52910269350016</v>
      </c>
      <c r="K38" s="65">
        <f t="shared" ca="1" si="4"/>
        <v>-275.90245062606169</v>
      </c>
      <c r="L38" s="65">
        <f t="shared" ca="1" si="4"/>
        <v>-312.68269263947332</v>
      </c>
      <c r="M38" s="65">
        <f ca="1">SUM(M29:M37)</f>
        <v>-321.13961158564484</v>
      </c>
      <c r="N38" s="65">
        <f t="shared" ca="1" si="4"/>
        <v>-398.99055031012404</v>
      </c>
      <c r="O38" s="65">
        <f t="shared" ca="1" si="4"/>
        <v>-413.43041302585448</v>
      </c>
    </row>
    <row r="40" spans="2:16" x14ac:dyDescent="0.25">
      <c r="B40" t="s">
        <v>193</v>
      </c>
      <c r="F40" s="59">
        <f ca="1">F21+F26+F38</f>
        <v>0</v>
      </c>
      <c r="G40" s="59">
        <f t="shared" ref="G40:O40" ca="1" si="5">G21+G26+G38</f>
        <v>0</v>
      </c>
      <c r="H40" s="59">
        <f ca="1">H21+H26+H38</f>
        <v>0</v>
      </c>
      <c r="I40" s="59">
        <f ca="1">I21+I26+I38</f>
        <v>0</v>
      </c>
      <c r="J40" s="59">
        <f t="shared" ca="1" si="5"/>
        <v>0</v>
      </c>
      <c r="K40" s="59">
        <f ca="1">K21+K26+K38</f>
        <v>0</v>
      </c>
      <c r="L40" s="59">
        <f ca="1">L21+L26+L38</f>
        <v>0</v>
      </c>
      <c r="M40" s="59">
        <f ca="1">M21+M26+M38</f>
        <v>0</v>
      </c>
      <c r="N40" s="59">
        <f t="shared" ca="1" si="5"/>
        <v>0</v>
      </c>
      <c r="O40" s="59">
        <f t="shared" ca="1" si="5"/>
        <v>0</v>
      </c>
    </row>
    <row r="41" spans="2:16" x14ac:dyDescent="0.25">
      <c r="B41" t="s">
        <v>194</v>
      </c>
      <c r="F41" s="69">
        <f>BalSheet!H6</f>
        <v>0</v>
      </c>
      <c r="G41" s="69">
        <f ca="1">BalSheet!I6</f>
        <v>0</v>
      </c>
      <c r="H41" s="69">
        <f ca="1">BalSheet!J6</f>
        <v>0</v>
      </c>
      <c r="I41" s="69">
        <f ca="1">BalSheet!K6</f>
        <v>0</v>
      </c>
      <c r="J41" s="69">
        <f ca="1">BalSheet!L6</f>
        <v>0</v>
      </c>
      <c r="K41" s="69">
        <f ca="1">BalSheet!M6</f>
        <v>0</v>
      </c>
      <c r="L41" s="69">
        <f ca="1">BalSheet!N6</f>
        <v>0</v>
      </c>
      <c r="M41" s="69">
        <f ca="1">BalSheet!O6</f>
        <v>0</v>
      </c>
      <c r="N41" s="69">
        <f ca="1">BalSheet!P6</f>
        <v>0</v>
      </c>
      <c r="O41" s="69">
        <f ca="1">BalSheet!Q6</f>
        <v>0</v>
      </c>
    </row>
    <row r="42" spans="2:16" ht="14.4" thickBot="1" x14ac:dyDescent="0.3">
      <c r="B42" s="30" t="s">
        <v>195</v>
      </c>
      <c r="F42" s="60">
        <f ca="1">F40+F41</f>
        <v>0</v>
      </c>
      <c r="G42" s="60">
        <f t="shared" ref="G42:O42" ca="1" si="6">G40+G41</f>
        <v>0</v>
      </c>
      <c r="H42" s="60">
        <f ca="1">H40+H41</f>
        <v>0</v>
      </c>
      <c r="I42" s="60">
        <f t="shared" ca="1" si="6"/>
        <v>0</v>
      </c>
      <c r="J42" s="60">
        <f t="shared" ca="1" si="6"/>
        <v>0</v>
      </c>
      <c r="K42" s="60">
        <f ca="1">K40+K41</f>
        <v>0</v>
      </c>
      <c r="L42" s="60">
        <f t="shared" ca="1" si="6"/>
        <v>0</v>
      </c>
      <c r="M42" s="60">
        <f ca="1">M40+M41</f>
        <v>0</v>
      </c>
      <c r="N42" s="60">
        <f t="shared" ca="1" si="6"/>
        <v>0</v>
      </c>
      <c r="O42" s="60">
        <f t="shared" ca="1" si="6"/>
        <v>0</v>
      </c>
    </row>
    <row r="43" spans="2:16" ht="14.4" thickTop="1" x14ac:dyDescent="0.25"/>
    <row r="47" spans="2:16" x14ac:dyDescent="0.25">
      <c r="B47" s="55" t="s">
        <v>87</v>
      </c>
    </row>
    <row r="48" spans="2:16" x14ac:dyDescent="0.25">
      <c r="B48" s="124" t="s">
        <v>181</v>
      </c>
      <c r="C48" s="125"/>
      <c r="D48" s="125"/>
      <c r="E48" s="125"/>
      <c r="F48" s="126">
        <f>Assumptions1!F45</f>
        <v>0.05</v>
      </c>
      <c r="G48" s="126">
        <f>Assumptions1!G45</f>
        <v>0.05</v>
      </c>
      <c r="H48" s="126">
        <f>Assumptions1!H45</f>
        <v>0.05</v>
      </c>
      <c r="I48" s="126">
        <f>Assumptions1!I45</f>
        <v>0.05</v>
      </c>
      <c r="J48" s="126">
        <f>Assumptions1!J45</f>
        <v>0.05</v>
      </c>
      <c r="K48" s="126">
        <f>Assumptions1!K45</f>
        <v>0.05</v>
      </c>
      <c r="L48" s="126">
        <f>Assumptions1!L45</f>
        <v>0.05</v>
      </c>
      <c r="M48" s="126">
        <f>Assumptions1!M45</f>
        <v>0.05</v>
      </c>
      <c r="N48" s="126">
        <f>Assumptions1!N45</f>
        <v>0.05</v>
      </c>
      <c r="O48" s="127">
        <f>Assumptions1!O45</f>
        <v>0.05</v>
      </c>
    </row>
    <row r="1000" spans="648:648" ht="15" x14ac:dyDescent="0.25">
      <c r="XX1000" s="248">
        <v>127155</v>
      </c>
    </row>
  </sheetData>
  <mergeCells count="1">
    <mergeCell ref="F3:O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1F683-0614-48F8-9441-85B824146CB4}">
  <dimension ref="B1:XX1000"/>
  <sheetViews>
    <sheetView showGridLines="0" tabSelected="1" topLeftCell="B1" zoomScale="85" zoomScaleNormal="85" workbookViewId="0">
      <selection activeCell="G10" sqref="G10"/>
    </sheetView>
  </sheetViews>
  <sheetFormatPr defaultColWidth="8.796875" defaultRowHeight="13.8" outlineLevelRow="2" x14ac:dyDescent="0.25"/>
  <cols>
    <col min="1" max="1" width="1.69921875" customWidth="1"/>
    <col min="2" max="16" width="12.69921875" customWidth="1"/>
  </cols>
  <sheetData>
    <row r="1" spans="2:17" ht="14.4" x14ac:dyDescent="0.3">
      <c r="B1" s="1" t="str">
        <f>Summary!$B$3</f>
        <v>($ in millions, fiscal year ending December 31)</v>
      </c>
    </row>
    <row r="2" spans="2:17" x14ac:dyDescent="0.25">
      <c r="B2" s="4" t="s">
        <v>26</v>
      </c>
      <c r="C2" s="4"/>
      <c r="D2" s="4"/>
      <c r="E2" s="4"/>
      <c r="F2" s="4"/>
      <c r="G2" s="4"/>
      <c r="H2" s="4"/>
      <c r="I2" s="4"/>
      <c r="J2" s="4"/>
      <c r="K2" s="4"/>
      <c r="L2" s="4"/>
      <c r="M2" s="4"/>
      <c r="N2" s="4"/>
      <c r="O2" s="4"/>
      <c r="P2" s="4"/>
    </row>
    <row r="3" spans="2:17" x14ac:dyDescent="0.25">
      <c r="G3" s="252" t="s">
        <v>41</v>
      </c>
      <c r="H3" s="252"/>
      <c r="I3" s="252"/>
      <c r="J3" s="252"/>
      <c r="K3" s="252"/>
      <c r="L3" s="252"/>
      <c r="M3" s="252"/>
      <c r="N3" s="252"/>
      <c r="O3" s="252"/>
      <c r="P3" s="252"/>
    </row>
    <row r="4" spans="2:17" x14ac:dyDescent="0.25">
      <c r="F4" s="31" t="str">
        <f>IncStmt!$I$4</f>
        <v>Pro Forma</v>
      </c>
      <c r="G4" s="29">
        <v>1</v>
      </c>
      <c r="H4" s="29">
        <f>G4+1</f>
        <v>2</v>
      </c>
      <c r="I4" s="29">
        <f t="shared" ref="I4:P4" si="0">H4+1</f>
        <v>3</v>
      </c>
      <c r="J4" s="29">
        <f t="shared" si="0"/>
        <v>4</v>
      </c>
      <c r="K4" s="29">
        <f t="shared" si="0"/>
        <v>5</v>
      </c>
      <c r="L4" s="29">
        <f t="shared" si="0"/>
        <v>6</v>
      </c>
      <c r="M4" s="29">
        <f t="shared" si="0"/>
        <v>7</v>
      </c>
      <c r="N4" s="29">
        <f t="shared" si="0"/>
        <v>8</v>
      </c>
      <c r="O4" s="29">
        <f t="shared" si="0"/>
        <v>9</v>
      </c>
      <c r="P4" s="29">
        <f t="shared" si="0"/>
        <v>10</v>
      </c>
    </row>
    <row r="5" spans="2:17" x14ac:dyDescent="0.25">
      <c r="F5" s="33">
        <f>IncStmt!$I$5</f>
        <v>2024</v>
      </c>
      <c r="G5" s="33">
        <f>IncStmt!$I$5+G4</f>
        <v>2025</v>
      </c>
      <c r="H5" s="33">
        <f>IncStmt!$I$5+H4</f>
        <v>2026</v>
      </c>
      <c r="I5" s="33">
        <f>IncStmt!$I$5+I4</f>
        <v>2027</v>
      </c>
      <c r="J5" s="33">
        <f>IncStmt!$I$5+J4</f>
        <v>2028</v>
      </c>
      <c r="K5" s="33">
        <f>IncStmt!$I$5+K4</f>
        <v>2029</v>
      </c>
      <c r="L5" s="33">
        <f>IncStmt!$I$5+L4</f>
        <v>2030</v>
      </c>
      <c r="M5" s="33">
        <f>IncStmt!$I$5+M4</f>
        <v>2031</v>
      </c>
      <c r="N5" s="33">
        <f>IncStmt!$I$5+N4</f>
        <v>2032</v>
      </c>
      <c r="O5" s="33">
        <f>IncStmt!$I$5+O4</f>
        <v>2033</v>
      </c>
      <c r="P5" s="33">
        <f>IncStmt!$I$5+P4</f>
        <v>2034</v>
      </c>
    </row>
    <row r="6" spans="2:17" x14ac:dyDescent="0.25">
      <c r="B6" t="s">
        <v>133</v>
      </c>
      <c r="E6" s="131">
        <v>10.5</v>
      </c>
    </row>
    <row r="7" spans="2:17" x14ac:dyDescent="0.25">
      <c r="B7" t="s">
        <v>196</v>
      </c>
      <c r="F7" s="59">
        <f>Summary!D15</f>
        <v>2088.4416543574562</v>
      </c>
    </row>
    <row r="8" spans="2:17" x14ac:dyDescent="0.25">
      <c r="B8" s="30" t="s">
        <v>197</v>
      </c>
      <c r="G8" s="184">
        <f>IncStmt!J17</f>
        <v>733.82144000000005</v>
      </c>
      <c r="H8" s="184">
        <f>IncStmt!K17</f>
        <v>752.1669760000002</v>
      </c>
      <c r="I8" s="184">
        <f>IncStmt!L17</f>
        <v>782.25365504000013</v>
      </c>
      <c r="J8" s="184">
        <f>IncStmt!M17</f>
        <v>817.45506951680011</v>
      </c>
      <c r="K8" s="184">
        <f>IncStmt!N17</f>
        <v>846.0659969498879</v>
      </c>
      <c r="L8" s="184">
        <f>IncStmt!O17</f>
        <v>875.67830684313401</v>
      </c>
      <c r="M8" s="184">
        <f>IncStmt!P17</f>
        <v>906.32704758264356</v>
      </c>
      <c r="N8" s="184">
        <f>IncStmt!Q17</f>
        <v>938.04849424803615</v>
      </c>
      <c r="O8" s="184">
        <f>IncStmt!R17</f>
        <v>970.88019154671736</v>
      </c>
      <c r="P8" s="184">
        <f>IncStmt!S17</f>
        <v>1004.8609982508526</v>
      </c>
      <c r="Q8" t="s">
        <v>435</v>
      </c>
    </row>
    <row r="9" spans="2:17" x14ac:dyDescent="0.25">
      <c r="B9" t="s">
        <v>198</v>
      </c>
      <c r="E9" s="131">
        <v>10.5</v>
      </c>
      <c r="G9" s="22"/>
      <c r="H9" s="22"/>
      <c r="I9" s="22"/>
      <c r="J9" s="22"/>
      <c r="K9" s="22"/>
      <c r="L9" s="22"/>
      <c r="M9" s="22"/>
      <c r="N9" s="22"/>
      <c r="O9" s="22"/>
      <c r="P9" s="22"/>
    </row>
    <row r="10" spans="2:17" x14ac:dyDescent="0.25">
      <c r="B10" s="30" t="s">
        <v>199</v>
      </c>
      <c r="C10" s="30"/>
      <c r="D10" s="30"/>
      <c r="E10" s="30"/>
      <c r="F10" s="30"/>
      <c r="G10" s="214">
        <f>G8*$E$9</f>
        <v>7705.1251200000006</v>
      </c>
      <c r="H10" s="214">
        <f t="shared" ref="H10:P10" si="1">H8*$E$9</f>
        <v>7897.7532480000018</v>
      </c>
      <c r="I10" s="214">
        <f t="shared" si="1"/>
        <v>8213.6633779200019</v>
      </c>
      <c r="J10" s="214">
        <f t="shared" si="1"/>
        <v>8583.2782299264018</v>
      </c>
      <c r="K10" s="214">
        <f t="shared" si="1"/>
        <v>8883.6929679738223</v>
      </c>
      <c r="L10" s="214">
        <f t="shared" si="1"/>
        <v>9194.6222218529074</v>
      </c>
      <c r="M10" s="214">
        <f t="shared" si="1"/>
        <v>9516.4339996177569</v>
      </c>
      <c r="N10" s="214">
        <f t="shared" si="1"/>
        <v>9849.5091896043796</v>
      </c>
      <c r="O10" s="214">
        <f t="shared" si="1"/>
        <v>10194.242011240533</v>
      </c>
      <c r="P10" s="214">
        <f t="shared" si="1"/>
        <v>10551.040481633952</v>
      </c>
      <c r="Q10" t="s">
        <v>435</v>
      </c>
    </row>
    <row r="12" spans="2:17" x14ac:dyDescent="0.25">
      <c r="B12" s="55" t="s">
        <v>200</v>
      </c>
    </row>
    <row r="13" spans="2:17" x14ac:dyDescent="0.25">
      <c r="B13" t="s">
        <v>201</v>
      </c>
      <c r="G13" s="195">
        <f ca="1">BalSheet!I24</f>
        <v>6.290080053541601</v>
      </c>
      <c r="H13" s="195">
        <f ca="1">BalSheet!J24</f>
        <v>0</v>
      </c>
      <c r="I13" s="195">
        <f ca="1">BalSheet!K24</f>
        <v>0</v>
      </c>
      <c r="J13" s="195">
        <f ca="1">BalSheet!L24</f>
        <v>0</v>
      </c>
      <c r="K13" s="195">
        <f ca="1">BalSheet!M24</f>
        <v>0</v>
      </c>
      <c r="L13" s="195">
        <f ca="1">BalSheet!N24</f>
        <v>0</v>
      </c>
      <c r="M13" s="195">
        <f ca="1">BalSheet!O24</f>
        <v>1261.0197781716215</v>
      </c>
      <c r="N13" s="195">
        <f ca="1">BalSheet!P24</f>
        <v>1939.8801665859767</v>
      </c>
      <c r="O13" s="195">
        <f ca="1">BalSheet!Q24</f>
        <v>1540.8896162758526</v>
      </c>
      <c r="P13" s="195">
        <f ca="1">BalSheet!R24</f>
        <v>2127.4592032499982</v>
      </c>
      <c r="Q13" t="s">
        <v>435</v>
      </c>
    </row>
    <row r="14" spans="2:17" x14ac:dyDescent="0.25">
      <c r="B14" t="s">
        <v>14</v>
      </c>
      <c r="G14" s="195">
        <f ca="1">BalSheet!I25</f>
        <v>437.5</v>
      </c>
      <c r="H14" s="195">
        <f ca="1">BalSheet!J25</f>
        <v>374.89858033245866</v>
      </c>
      <c r="I14" s="195">
        <f ca="1">BalSheet!K25</f>
        <v>288.30284184952473</v>
      </c>
      <c r="J14" s="195">
        <f ca="1">BalSheet!L25</f>
        <v>174.13402413065671</v>
      </c>
      <c r="K14" s="195">
        <f ca="1">BalSheet!M25</f>
        <v>0</v>
      </c>
      <c r="L14" s="195">
        <f ca="1">BalSheet!N25</f>
        <v>0</v>
      </c>
      <c r="M14" s="195">
        <f ca="1">BalSheet!O25</f>
        <v>0</v>
      </c>
      <c r="N14" s="195">
        <f ca="1">BalSheet!P25</f>
        <v>0</v>
      </c>
      <c r="O14" s="195">
        <f ca="1">BalSheet!Q25</f>
        <v>0</v>
      </c>
      <c r="P14" s="195">
        <f ca="1">BalSheet!R25</f>
        <v>0</v>
      </c>
      <c r="Q14" t="s">
        <v>435</v>
      </c>
    </row>
    <row r="15" spans="2:17" x14ac:dyDescent="0.25">
      <c r="B15" t="s">
        <v>15</v>
      </c>
      <c r="G15" s="195">
        <f ca="1">BalSheet!I26</f>
        <v>1980</v>
      </c>
      <c r="H15" s="195">
        <f ca="1">BalSheet!J26</f>
        <v>1960</v>
      </c>
      <c r="I15" s="195">
        <f ca="1">BalSheet!K26</f>
        <v>1940</v>
      </c>
      <c r="J15" s="195">
        <f ca="1">BalSheet!L26</f>
        <v>1920</v>
      </c>
      <c r="K15" s="195">
        <f ca="1">BalSheet!M26</f>
        <v>1849.6049214371565</v>
      </c>
      <c r="L15" s="195">
        <f ca="1">BalSheet!N26</f>
        <v>1573.7024708110948</v>
      </c>
      <c r="M15" s="195">
        <f ca="1">BalSheet!O26</f>
        <v>0</v>
      </c>
      <c r="N15" s="195">
        <f ca="1">BalSheet!P26</f>
        <v>0</v>
      </c>
      <c r="O15" s="195">
        <f ca="1">BalSheet!Q26</f>
        <v>0</v>
      </c>
      <c r="P15" s="195">
        <f ca="1">BalSheet!R26</f>
        <v>0</v>
      </c>
      <c r="Q15" t="s">
        <v>435</v>
      </c>
    </row>
    <row r="16" spans="2:17" x14ac:dyDescent="0.25">
      <c r="B16" t="s">
        <v>16</v>
      </c>
      <c r="G16" s="195">
        <f>BalSheet!I28</f>
        <v>225</v>
      </c>
      <c r="H16" s="195">
        <f>BalSheet!J28</f>
        <v>150</v>
      </c>
      <c r="I16" s="195">
        <f>BalSheet!K28</f>
        <v>75</v>
      </c>
      <c r="J16" s="195">
        <f>BalSheet!L28</f>
        <v>0</v>
      </c>
      <c r="K16" s="195">
        <f>BalSheet!M28</f>
        <v>0</v>
      </c>
      <c r="L16" s="195">
        <f>BalSheet!N28</f>
        <v>0</v>
      </c>
      <c r="M16" s="195">
        <f>BalSheet!O28</f>
        <v>0</v>
      </c>
      <c r="N16" s="195">
        <f>BalSheet!P28</f>
        <v>0</v>
      </c>
      <c r="O16" s="195">
        <f>BalSheet!Q28</f>
        <v>0</v>
      </c>
      <c r="P16" s="195">
        <f>BalSheet!R28</f>
        <v>0</v>
      </c>
      <c r="Q16" t="s">
        <v>435</v>
      </c>
    </row>
    <row r="17" spans="2:17" x14ac:dyDescent="0.25">
      <c r="B17" t="s">
        <v>17</v>
      </c>
      <c r="G17" s="195">
        <f>BalSheet!I29</f>
        <v>1000</v>
      </c>
      <c r="H17" s="195">
        <f>BalSheet!J29</f>
        <v>1000</v>
      </c>
      <c r="I17" s="195">
        <f>BalSheet!K29</f>
        <v>1000</v>
      </c>
      <c r="J17" s="195">
        <f>BalSheet!L29</f>
        <v>1000</v>
      </c>
      <c r="K17" s="195">
        <f>BalSheet!M29</f>
        <v>1000</v>
      </c>
      <c r="L17" s="195">
        <f>BalSheet!N29</f>
        <v>1000</v>
      </c>
      <c r="M17" s="195">
        <f>BalSheet!O29</f>
        <v>1000</v>
      </c>
      <c r="N17" s="195">
        <f>BalSheet!P29</f>
        <v>1000</v>
      </c>
      <c r="O17" s="195">
        <f>BalSheet!Q29</f>
        <v>1000</v>
      </c>
      <c r="P17" s="195">
        <f>BalSheet!R29</f>
        <v>0</v>
      </c>
      <c r="Q17" t="s">
        <v>435</v>
      </c>
    </row>
    <row r="18" spans="2:17" x14ac:dyDescent="0.25">
      <c r="B18" t="s">
        <v>18</v>
      </c>
      <c r="G18" s="195">
        <f>BalSheet!I31</f>
        <v>1000</v>
      </c>
      <c r="H18" s="195">
        <f>BalSheet!J31</f>
        <v>1000</v>
      </c>
      <c r="I18" s="195">
        <f>BalSheet!K31</f>
        <v>1000</v>
      </c>
      <c r="J18" s="195">
        <f>BalSheet!L31</f>
        <v>1000</v>
      </c>
      <c r="K18" s="195">
        <f>BalSheet!M31</f>
        <v>1000</v>
      </c>
      <c r="L18" s="195">
        <f>BalSheet!N31</f>
        <v>1000</v>
      </c>
      <c r="M18" s="195">
        <f>BalSheet!O31</f>
        <v>1000</v>
      </c>
      <c r="N18" s="195">
        <f>BalSheet!P31</f>
        <v>0</v>
      </c>
      <c r="O18" s="195">
        <f>BalSheet!Q31</f>
        <v>0</v>
      </c>
      <c r="P18" s="195">
        <f>BalSheet!R31</f>
        <v>0</v>
      </c>
      <c r="Q18" t="s">
        <v>435</v>
      </c>
    </row>
    <row r="19" spans="2:17" x14ac:dyDescent="0.25">
      <c r="B19" t="s">
        <v>114</v>
      </c>
      <c r="G19" s="186">
        <f>BalSheet!I32</f>
        <v>0</v>
      </c>
      <c r="H19" s="186">
        <f>BalSheet!J32</f>
        <v>0</v>
      </c>
      <c r="I19" s="186">
        <f>BalSheet!K32</f>
        <v>0</v>
      </c>
      <c r="J19" s="186">
        <f>BalSheet!L32</f>
        <v>0</v>
      </c>
      <c r="K19" s="186">
        <f>BalSheet!M32</f>
        <v>0</v>
      </c>
      <c r="L19" s="186">
        <f>BalSheet!N32</f>
        <v>0</v>
      </c>
      <c r="M19" s="186">
        <f>BalSheet!O32</f>
        <v>0</v>
      </c>
      <c r="N19" s="186">
        <f>BalSheet!P32</f>
        <v>0</v>
      </c>
      <c r="O19" s="186">
        <f>BalSheet!Q32</f>
        <v>0</v>
      </c>
      <c r="P19" s="186">
        <f>BalSheet!R32</f>
        <v>0</v>
      </c>
      <c r="Q19" t="s">
        <v>435</v>
      </c>
    </row>
    <row r="20" spans="2:17" x14ac:dyDescent="0.25">
      <c r="B20" s="30" t="s">
        <v>202</v>
      </c>
      <c r="G20" s="185">
        <f ca="1">SUM(G13:G19)</f>
        <v>4648.7900800535417</v>
      </c>
      <c r="H20" s="185">
        <f t="shared" ref="H20:P20" ca="1" si="2">SUM(H13:H19)</f>
        <v>4484.8985803324586</v>
      </c>
      <c r="I20" s="185">
        <f t="shared" ca="1" si="2"/>
        <v>4303.3028418495251</v>
      </c>
      <c r="J20" s="185">
        <f t="shared" ca="1" si="2"/>
        <v>4094.1340241306566</v>
      </c>
      <c r="K20" s="185">
        <f t="shared" ca="1" si="2"/>
        <v>3849.6049214371565</v>
      </c>
      <c r="L20" s="185">
        <f t="shared" ca="1" si="2"/>
        <v>3573.7024708110948</v>
      </c>
      <c r="M20" s="185">
        <f t="shared" ca="1" si="2"/>
        <v>3261.0197781716215</v>
      </c>
      <c r="N20" s="185">
        <f t="shared" ca="1" si="2"/>
        <v>2939.8801665859764</v>
      </c>
      <c r="O20" s="185">
        <f t="shared" ca="1" si="2"/>
        <v>2540.8896162758529</v>
      </c>
      <c r="P20" s="185">
        <f t="shared" ca="1" si="2"/>
        <v>2127.4592032499982</v>
      </c>
      <c r="Q20" t="s">
        <v>435</v>
      </c>
    </row>
    <row r="21" spans="2:17" x14ac:dyDescent="0.25">
      <c r="B21" t="s">
        <v>203</v>
      </c>
      <c r="G21" s="186">
        <f ca="1">BalSheet!I6</f>
        <v>0</v>
      </c>
      <c r="H21" s="186">
        <f ca="1">BalSheet!J6</f>
        <v>0</v>
      </c>
      <c r="I21" s="186">
        <f ca="1">BalSheet!K6</f>
        <v>0</v>
      </c>
      <c r="J21" s="186">
        <f ca="1">BalSheet!L6</f>
        <v>0</v>
      </c>
      <c r="K21" s="186">
        <f ca="1">BalSheet!M6</f>
        <v>0</v>
      </c>
      <c r="L21" s="186">
        <f ca="1">BalSheet!N6</f>
        <v>0</v>
      </c>
      <c r="M21" s="186">
        <f ca="1">BalSheet!O6</f>
        <v>0</v>
      </c>
      <c r="N21" s="186">
        <f ca="1">BalSheet!P6</f>
        <v>0</v>
      </c>
      <c r="O21" s="186">
        <f ca="1">BalSheet!Q6</f>
        <v>0</v>
      </c>
      <c r="P21" s="186">
        <f ca="1">BalSheet!R6</f>
        <v>0</v>
      </c>
      <c r="Q21" t="s">
        <v>435</v>
      </c>
    </row>
    <row r="22" spans="2:17" x14ac:dyDescent="0.25">
      <c r="B22" s="30" t="s">
        <v>204</v>
      </c>
      <c r="G22" s="184">
        <f ca="1">G20-G21</f>
        <v>4648.7900800535417</v>
      </c>
      <c r="H22" s="184">
        <f t="shared" ref="H22:P22" ca="1" si="3">H20-H21</f>
        <v>4484.8985803324586</v>
      </c>
      <c r="I22" s="184">
        <f t="shared" ca="1" si="3"/>
        <v>4303.3028418495251</v>
      </c>
      <c r="J22" s="184">
        <f t="shared" ca="1" si="3"/>
        <v>4094.1340241306566</v>
      </c>
      <c r="K22" s="184">
        <f t="shared" ca="1" si="3"/>
        <v>3849.6049214371565</v>
      </c>
      <c r="L22" s="184">
        <f t="shared" ca="1" si="3"/>
        <v>3573.7024708110948</v>
      </c>
      <c r="M22" s="184">
        <f t="shared" ca="1" si="3"/>
        <v>3261.0197781716215</v>
      </c>
      <c r="N22" s="184">
        <f t="shared" ca="1" si="3"/>
        <v>2939.8801665859764</v>
      </c>
      <c r="O22" s="184">
        <f t="shared" ca="1" si="3"/>
        <v>2540.8896162758529</v>
      </c>
      <c r="P22" s="184">
        <f t="shared" ca="1" si="3"/>
        <v>2127.4592032499982</v>
      </c>
      <c r="Q22" t="s">
        <v>435</v>
      </c>
    </row>
    <row r="24" spans="2:17" ht="14.4" thickBot="1" x14ac:dyDescent="0.3">
      <c r="B24" s="30" t="s">
        <v>205</v>
      </c>
      <c r="G24" s="221">
        <f ca="1">G10-G22</f>
        <v>3056.3350399464589</v>
      </c>
      <c r="H24" s="221">
        <f t="shared" ref="H24:P24" ca="1" si="4">H10-H22</f>
        <v>3412.8546676675433</v>
      </c>
      <c r="I24" s="221">
        <f t="shared" ca="1" si="4"/>
        <v>3910.3605360704769</v>
      </c>
      <c r="J24" s="221">
        <f t="shared" ca="1" si="4"/>
        <v>4489.1442057957447</v>
      </c>
      <c r="K24" s="221">
        <f t="shared" ca="1" si="4"/>
        <v>5034.0880465366663</v>
      </c>
      <c r="L24" s="221">
        <f t="shared" ca="1" si="4"/>
        <v>5620.9197510418126</v>
      </c>
      <c r="M24" s="221">
        <f t="shared" ca="1" si="4"/>
        <v>6255.4142214461353</v>
      </c>
      <c r="N24" s="221">
        <f t="shared" ca="1" si="4"/>
        <v>6909.6290230184031</v>
      </c>
      <c r="O24" s="221">
        <f t="shared" ca="1" si="4"/>
        <v>7653.3523949646797</v>
      </c>
      <c r="P24" s="221">
        <f t="shared" ca="1" si="4"/>
        <v>8423.5812783839538</v>
      </c>
      <c r="Q24" t="s">
        <v>435</v>
      </c>
    </row>
    <row r="25" spans="2:17" ht="14.4" thickTop="1" x14ac:dyDescent="0.25"/>
    <row r="26" spans="2:17" x14ac:dyDescent="0.25">
      <c r="B26" s="132" t="s">
        <v>206</v>
      </c>
      <c r="C26" s="125"/>
      <c r="D26" s="125"/>
      <c r="E26" s="125"/>
      <c r="F26" s="125"/>
      <c r="G26" s="133">
        <f ca="1">IF(ISERROR(G24/$F$7),0,G24/$F$7)</f>
        <v>1.4634524424321498</v>
      </c>
      <c r="H26" s="133">
        <f t="shared" ref="H26:P26" ca="1" si="5">IF(ISERROR(H24/$F$7),0,H24/$F$7)</f>
        <v>1.6341632817688483</v>
      </c>
      <c r="I26" s="133">
        <f t="shared" ca="1" si="5"/>
        <v>1.8723819877427048</v>
      </c>
      <c r="J26" s="133">
        <f t="shared" ca="1" si="5"/>
        <v>2.1495186118459721</v>
      </c>
      <c r="K26" s="133">
        <f t="shared" ca="1" si="5"/>
        <v>2.4104518486466824</v>
      </c>
      <c r="L26" s="133">
        <f t="shared" ca="1" si="5"/>
        <v>2.6914420804210506</v>
      </c>
      <c r="M26" s="133">
        <f t="shared" ca="1" si="5"/>
        <v>2.9952544800063938</v>
      </c>
      <c r="N26" s="133">
        <f t="shared" ca="1" si="5"/>
        <v>3.3085094853388495</v>
      </c>
      <c r="O26" s="133">
        <f t="shared" ca="1" si="5"/>
        <v>3.6646235143779302</v>
      </c>
      <c r="P26" s="133">
        <f t="shared" ca="1" si="5"/>
        <v>4.033429069377382</v>
      </c>
    </row>
    <row r="28" spans="2:17" x14ac:dyDescent="0.25">
      <c r="G28" s="29">
        <f>G4</f>
        <v>1</v>
      </c>
      <c r="H28" s="29">
        <f t="shared" ref="H28:P28" si="6">H4</f>
        <v>2</v>
      </c>
      <c r="I28" s="29">
        <f t="shared" si="6"/>
        <v>3</v>
      </c>
      <c r="J28" s="29">
        <f t="shared" si="6"/>
        <v>4</v>
      </c>
      <c r="K28" s="29">
        <f t="shared" si="6"/>
        <v>5</v>
      </c>
      <c r="L28" s="29">
        <f t="shared" si="6"/>
        <v>6</v>
      </c>
      <c r="M28" s="29">
        <f t="shared" si="6"/>
        <v>7</v>
      </c>
      <c r="N28" s="29">
        <f t="shared" si="6"/>
        <v>8</v>
      </c>
      <c r="O28" s="29">
        <f t="shared" si="6"/>
        <v>9</v>
      </c>
      <c r="P28" s="29">
        <f t="shared" si="6"/>
        <v>10</v>
      </c>
    </row>
    <row r="29" spans="2:17" x14ac:dyDescent="0.25">
      <c r="E29" s="134" t="s">
        <v>46</v>
      </c>
      <c r="G29" s="33">
        <f>G5</f>
        <v>2025</v>
      </c>
      <c r="H29" s="33">
        <f t="shared" ref="H29:P29" si="7">H5</f>
        <v>2026</v>
      </c>
      <c r="I29" s="33">
        <f t="shared" si="7"/>
        <v>2027</v>
      </c>
      <c r="J29" s="33">
        <f t="shared" si="7"/>
        <v>2028</v>
      </c>
      <c r="K29" s="33">
        <f t="shared" si="7"/>
        <v>2029</v>
      </c>
      <c r="L29" s="33">
        <f t="shared" si="7"/>
        <v>2030</v>
      </c>
      <c r="M29" s="33">
        <f t="shared" si="7"/>
        <v>2031</v>
      </c>
      <c r="N29" s="33">
        <f t="shared" si="7"/>
        <v>2032</v>
      </c>
      <c r="O29" s="33">
        <f t="shared" si="7"/>
        <v>2033</v>
      </c>
      <c r="P29" s="33">
        <f t="shared" si="7"/>
        <v>2034</v>
      </c>
    </row>
    <row r="30" spans="2:17" x14ac:dyDescent="0.25">
      <c r="B30" t="s">
        <v>196</v>
      </c>
      <c r="G30" s="184">
        <f>-$F$7</f>
        <v>-2088.4416543574562</v>
      </c>
      <c r="H30" s="184">
        <f t="shared" ref="H30:P30" si="8">-$F$7</f>
        <v>-2088.4416543574562</v>
      </c>
      <c r="I30" s="184">
        <f t="shared" si="8"/>
        <v>-2088.4416543574562</v>
      </c>
      <c r="J30" s="184">
        <f t="shared" si="8"/>
        <v>-2088.4416543574562</v>
      </c>
      <c r="K30" s="184">
        <f t="shared" si="8"/>
        <v>-2088.4416543574562</v>
      </c>
      <c r="L30" s="184">
        <f t="shared" si="8"/>
        <v>-2088.4416543574562</v>
      </c>
      <c r="M30" s="184">
        <f t="shared" si="8"/>
        <v>-2088.4416543574562</v>
      </c>
      <c r="N30" s="184">
        <f t="shared" si="8"/>
        <v>-2088.4416543574562</v>
      </c>
      <c r="O30" s="184">
        <f t="shared" si="8"/>
        <v>-2088.4416543574562</v>
      </c>
      <c r="P30" s="184">
        <f t="shared" si="8"/>
        <v>-2088.4416543574562</v>
      </c>
      <c r="Q30" t="s">
        <v>439</v>
      </c>
    </row>
    <row r="31" spans="2:17" x14ac:dyDescent="0.25">
      <c r="B31" t="s">
        <v>207</v>
      </c>
      <c r="E31">
        <v>1</v>
      </c>
      <c r="G31" s="220">
        <f ca="1">IF($E31&lt;G$28,0,IF($E31=G$28,G$24,""))</f>
        <v>3056.3350399464589</v>
      </c>
      <c r="H31" s="220">
        <f t="shared" ref="H31:P31" si="9">IF($E31&lt;H$28,0,IF($E31=H$28,H$24,""))</f>
        <v>0</v>
      </c>
      <c r="I31" s="220">
        <f t="shared" si="9"/>
        <v>0</v>
      </c>
      <c r="J31" s="220">
        <f t="shared" si="9"/>
        <v>0</v>
      </c>
      <c r="K31" s="220">
        <f t="shared" si="9"/>
        <v>0</v>
      </c>
      <c r="L31" s="220">
        <f t="shared" si="9"/>
        <v>0</v>
      </c>
      <c r="M31" s="220">
        <f t="shared" si="9"/>
        <v>0</v>
      </c>
      <c r="N31" s="220">
        <f t="shared" si="9"/>
        <v>0</v>
      </c>
      <c r="O31" s="220">
        <f t="shared" si="9"/>
        <v>0</v>
      </c>
      <c r="P31" s="220">
        <f t="shared" si="9"/>
        <v>0</v>
      </c>
    </row>
    <row r="32" spans="2:17" x14ac:dyDescent="0.25">
      <c r="E32">
        <f>E31+1</f>
        <v>2</v>
      </c>
      <c r="G32" s="220" t="str">
        <f t="shared" ref="G32:P40" si="10">IF($E32&lt;G$28,0,IF($E32=G$28,G$24,""))</f>
        <v/>
      </c>
      <c r="H32" s="220">
        <f t="shared" ca="1" si="10"/>
        <v>3412.8546676675433</v>
      </c>
      <c r="I32" s="220">
        <f t="shared" si="10"/>
        <v>0</v>
      </c>
      <c r="J32" s="220">
        <f t="shared" si="10"/>
        <v>0</v>
      </c>
      <c r="K32" s="220">
        <f t="shared" si="10"/>
        <v>0</v>
      </c>
      <c r="L32" s="220">
        <f t="shared" si="10"/>
        <v>0</v>
      </c>
      <c r="M32" s="220">
        <f t="shared" si="10"/>
        <v>0</v>
      </c>
      <c r="N32" s="220">
        <f t="shared" si="10"/>
        <v>0</v>
      </c>
      <c r="O32" s="220">
        <f t="shared" si="10"/>
        <v>0</v>
      </c>
      <c r="P32" s="220">
        <f t="shared" si="10"/>
        <v>0</v>
      </c>
    </row>
    <row r="33" spans="2:16" x14ac:dyDescent="0.25">
      <c r="E33">
        <f t="shared" ref="E33:E40" si="11">E32+1</f>
        <v>3</v>
      </c>
      <c r="G33" s="220" t="str">
        <f t="shared" si="10"/>
        <v/>
      </c>
      <c r="H33" s="220" t="str">
        <f t="shared" si="10"/>
        <v/>
      </c>
      <c r="I33" s="220">
        <f t="shared" ca="1" si="10"/>
        <v>3910.3605360704769</v>
      </c>
      <c r="J33" s="220">
        <f t="shared" si="10"/>
        <v>0</v>
      </c>
      <c r="K33" s="220">
        <f t="shared" si="10"/>
        <v>0</v>
      </c>
      <c r="L33" s="220">
        <f t="shared" si="10"/>
        <v>0</v>
      </c>
      <c r="M33" s="220">
        <f t="shared" si="10"/>
        <v>0</v>
      </c>
      <c r="N33" s="220">
        <f t="shared" si="10"/>
        <v>0</v>
      </c>
      <c r="O33" s="220">
        <f t="shared" si="10"/>
        <v>0</v>
      </c>
      <c r="P33" s="220">
        <f t="shared" si="10"/>
        <v>0</v>
      </c>
    </row>
    <row r="34" spans="2:16" x14ac:dyDescent="0.25">
      <c r="E34">
        <f t="shared" si="11"/>
        <v>4</v>
      </c>
      <c r="G34" s="220" t="str">
        <f t="shared" si="10"/>
        <v/>
      </c>
      <c r="H34" s="220" t="str">
        <f t="shared" si="10"/>
        <v/>
      </c>
      <c r="I34" s="220" t="str">
        <f t="shared" si="10"/>
        <v/>
      </c>
      <c r="J34" s="220">
        <f t="shared" ca="1" si="10"/>
        <v>4489.1442057957447</v>
      </c>
      <c r="K34" s="220">
        <f t="shared" si="10"/>
        <v>0</v>
      </c>
      <c r="L34" s="220">
        <f t="shared" si="10"/>
        <v>0</v>
      </c>
      <c r="M34" s="220">
        <f t="shared" si="10"/>
        <v>0</v>
      </c>
      <c r="N34" s="220">
        <f t="shared" si="10"/>
        <v>0</v>
      </c>
      <c r="O34" s="220">
        <f t="shared" si="10"/>
        <v>0</v>
      </c>
      <c r="P34" s="220">
        <f t="shared" si="10"/>
        <v>0</v>
      </c>
    </row>
    <row r="35" spans="2:16" x14ac:dyDescent="0.25">
      <c r="E35">
        <f t="shared" si="11"/>
        <v>5</v>
      </c>
      <c r="G35" s="220" t="str">
        <f t="shared" si="10"/>
        <v/>
      </c>
      <c r="H35" s="220" t="str">
        <f t="shared" si="10"/>
        <v/>
      </c>
      <c r="I35" s="220" t="str">
        <f t="shared" si="10"/>
        <v/>
      </c>
      <c r="J35" s="220" t="str">
        <f t="shared" si="10"/>
        <v/>
      </c>
      <c r="K35" s="220">
        <f t="shared" ca="1" si="10"/>
        <v>5034.0880465366663</v>
      </c>
      <c r="L35" s="220">
        <f t="shared" si="10"/>
        <v>0</v>
      </c>
      <c r="M35" s="220">
        <f t="shared" si="10"/>
        <v>0</v>
      </c>
      <c r="N35" s="220">
        <f t="shared" si="10"/>
        <v>0</v>
      </c>
      <c r="O35" s="220">
        <f t="shared" si="10"/>
        <v>0</v>
      </c>
      <c r="P35" s="220">
        <f t="shared" si="10"/>
        <v>0</v>
      </c>
    </row>
    <row r="36" spans="2:16" x14ac:dyDescent="0.25">
      <c r="E36">
        <f t="shared" si="11"/>
        <v>6</v>
      </c>
      <c r="G36" s="220" t="str">
        <f t="shared" si="10"/>
        <v/>
      </c>
      <c r="H36" s="220" t="str">
        <f t="shared" si="10"/>
        <v/>
      </c>
      <c r="I36" s="220" t="str">
        <f t="shared" si="10"/>
        <v/>
      </c>
      <c r="J36" s="220" t="str">
        <f t="shared" si="10"/>
        <v/>
      </c>
      <c r="K36" s="220" t="str">
        <f t="shared" si="10"/>
        <v/>
      </c>
      <c r="L36" s="220">
        <f t="shared" ca="1" si="10"/>
        <v>5620.9197510418126</v>
      </c>
      <c r="M36" s="220">
        <f t="shared" si="10"/>
        <v>0</v>
      </c>
      <c r="N36" s="220">
        <f t="shared" si="10"/>
        <v>0</v>
      </c>
      <c r="O36" s="220">
        <f t="shared" si="10"/>
        <v>0</v>
      </c>
      <c r="P36" s="220">
        <f t="shared" si="10"/>
        <v>0</v>
      </c>
    </row>
    <row r="37" spans="2:16" x14ac:dyDescent="0.25">
      <c r="E37">
        <f t="shared" si="11"/>
        <v>7</v>
      </c>
      <c r="G37" s="220" t="str">
        <f t="shared" si="10"/>
        <v/>
      </c>
      <c r="H37" s="220" t="str">
        <f t="shared" si="10"/>
        <v/>
      </c>
      <c r="I37" s="220" t="str">
        <f t="shared" si="10"/>
        <v/>
      </c>
      <c r="J37" s="220" t="str">
        <f t="shared" si="10"/>
        <v/>
      </c>
      <c r="K37" s="220" t="str">
        <f t="shared" si="10"/>
        <v/>
      </c>
      <c r="L37" s="220" t="str">
        <f t="shared" si="10"/>
        <v/>
      </c>
      <c r="M37" s="220">
        <f t="shared" ca="1" si="10"/>
        <v>6255.4142214461353</v>
      </c>
      <c r="N37" s="220">
        <f t="shared" si="10"/>
        <v>0</v>
      </c>
      <c r="O37" s="220">
        <f t="shared" si="10"/>
        <v>0</v>
      </c>
      <c r="P37" s="220">
        <f t="shared" si="10"/>
        <v>0</v>
      </c>
    </row>
    <row r="38" spans="2:16" x14ac:dyDescent="0.25">
      <c r="E38">
        <f t="shared" si="11"/>
        <v>8</v>
      </c>
      <c r="G38" s="220" t="str">
        <f t="shared" si="10"/>
        <v/>
      </c>
      <c r="H38" s="220" t="str">
        <f t="shared" si="10"/>
        <v/>
      </c>
      <c r="I38" s="220" t="str">
        <f t="shared" si="10"/>
        <v/>
      </c>
      <c r="J38" s="220" t="str">
        <f t="shared" si="10"/>
        <v/>
      </c>
      <c r="K38" s="220" t="str">
        <f t="shared" si="10"/>
        <v/>
      </c>
      <c r="L38" s="220" t="str">
        <f t="shared" si="10"/>
        <v/>
      </c>
      <c r="M38" s="220" t="str">
        <f t="shared" si="10"/>
        <v/>
      </c>
      <c r="N38" s="220">
        <f t="shared" ca="1" si="10"/>
        <v>6909.6290230184031</v>
      </c>
      <c r="O38" s="220">
        <f t="shared" si="10"/>
        <v>0</v>
      </c>
      <c r="P38" s="220">
        <f t="shared" si="10"/>
        <v>0</v>
      </c>
    </row>
    <row r="39" spans="2:16" x14ac:dyDescent="0.25">
      <c r="E39">
        <f t="shared" si="11"/>
        <v>9</v>
      </c>
      <c r="G39" s="220" t="str">
        <f t="shared" si="10"/>
        <v/>
      </c>
      <c r="H39" s="220" t="str">
        <f t="shared" si="10"/>
        <v/>
      </c>
      <c r="I39" s="220" t="str">
        <f t="shared" si="10"/>
        <v/>
      </c>
      <c r="J39" s="220" t="str">
        <f t="shared" si="10"/>
        <v/>
      </c>
      <c r="K39" s="220" t="str">
        <f t="shared" si="10"/>
        <v/>
      </c>
      <c r="L39" s="220" t="str">
        <f t="shared" si="10"/>
        <v/>
      </c>
      <c r="M39" s="220" t="str">
        <f t="shared" si="10"/>
        <v/>
      </c>
      <c r="N39" s="220" t="str">
        <f t="shared" si="10"/>
        <v/>
      </c>
      <c r="O39" s="220">
        <f t="shared" ca="1" si="10"/>
        <v>7653.3523949646797</v>
      </c>
      <c r="P39" s="220">
        <f t="shared" si="10"/>
        <v>0</v>
      </c>
    </row>
    <row r="40" spans="2:16" x14ac:dyDescent="0.25">
      <c r="E40">
        <f t="shared" si="11"/>
        <v>10</v>
      </c>
      <c r="G40" s="220" t="str">
        <f t="shared" si="10"/>
        <v/>
      </c>
      <c r="H40" s="220" t="str">
        <f t="shared" si="10"/>
        <v/>
      </c>
      <c r="I40" s="220" t="str">
        <f t="shared" si="10"/>
        <v/>
      </c>
      <c r="J40" s="220" t="str">
        <f t="shared" si="10"/>
        <v/>
      </c>
      <c r="K40" s="220" t="str">
        <f t="shared" si="10"/>
        <v/>
      </c>
      <c r="L40" s="220" t="str">
        <f t="shared" si="10"/>
        <v/>
      </c>
      <c r="M40" s="220" t="str">
        <f t="shared" si="10"/>
        <v/>
      </c>
      <c r="N40" s="220" t="str">
        <f t="shared" si="10"/>
        <v/>
      </c>
      <c r="O40" s="220" t="str">
        <f t="shared" si="10"/>
        <v/>
      </c>
      <c r="P40" s="220">
        <f t="shared" ca="1" si="10"/>
        <v>8423.5812783839538</v>
      </c>
    </row>
    <row r="41" spans="2:16" x14ac:dyDescent="0.25">
      <c r="B41" s="132" t="s">
        <v>208</v>
      </c>
      <c r="C41" s="125"/>
      <c r="D41" s="125"/>
      <c r="E41" s="125"/>
      <c r="F41" s="125"/>
      <c r="G41" s="135">
        <f ca="1">IF(ISERROR(IRR(G30:G40,0.1)),"NA",IRR(G30:G40,0.1))</f>
        <v>0.46345244243215</v>
      </c>
      <c r="H41" s="135">
        <f t="shared" ref="H41:P41" ca="1" si="12">IF(ISERROR(IRR(H30:H40,0.1)),"NA",IRR(H30:H40,0.1))</f>
        <v>0.27834396066505973</v>
      </c>
      <c r="I41" s="135">
        <f t="shared" ca="1" si="12"/>
        <v>0.23253185220294692</v>
      </c>
      <c r="J41" s="135">
        <f t="shared" ca="1" si="12"/>
        <v>0.21083593796128186</v>
      </c>
      <c r="K41" s="135">
        <f t="shared" ca="1" si="12"/>
        <v>0.19239375300529171</v>
      </c>
      <c r="L41" s="135">
        <f t="shared" ca="1" si="12"/>
        <v>0.17940828174431389</v>
      </c>
      <c r="M41" s="135">
        <f t="shared" ca="1" si="12"/>
        <v>0.16966625573103</v>
      </c>
      <c r="N41" s="135">
        <f t="shared" ca="1" si="12"/>
        <v>0.16132572936117029</v>
      </c>
      <c r="O41" s="135">
        <f t="shared" ca="1" si="12"/>
        <v>0.15523391242886464</v>
      </c>
      <c r="P41" s="135">
        <f t="shared" ca="1" si="12"/>
        <v>0.1496547615846382</v>
      </c>
    </row>
    <row r="43" spans="2:16" x14ac:dyDescent="0.25">
      <c r="C43" t="s">
        <v>440</v>
      </c>
      <c r="K43" t="s">
        <v>441</v>
      </c>
    </row>
    <row r="44" spans="2:16" x14ac:dyDescent="0.25">
      <c r="C44" s="249" t="s">
        <v>250</v>
      </c>
      <c r="D44" s="249"/>
      <c r="E44" s="249"/>
      <c r="F44" s="249"/>
      <c r="G44" s="249"/>
      <c r="H44" s="249"/>
      <c r="I44" s="215"/>
      <c r="J44" s="215"/>
      <c r="K44" s="249" t="str">
        <f>"IRR Assuming "&amp;TEXT(EntryMultiple,"0.0x")&amp;" Entry Multiple"</f>
        <v>IRR Assuming 10.5x Entry Multiple</v>
      </c>
      <c r="L44" s="249"/>
      <c r="M44" s="249"/>
      <c r="N44" s="249"/>
      <c r="O44" s="249"/>
      <c r="P44" s="249"/>
    </row>
    <row r="45" spans="2:16" x14ac:dyDescent="0.25">
      <c r="C45" s="30"/>
      <c r="D45" s="254" t="s">
        <v>48</v>
      </c>
      <c r="E45" s="254"/>
      <c r="F45" s="254"/>
      <c r="G45" s="254"/>
      <c r="H45" s="254"/>
      <c r="L45" s="255" t="s">
        <v>46</v>
      </c>
      <c r="M45" s="255"/>
      <c r="N45" s="255"/>
      <c r="O45" s="255"/>
      <c r="P45" s="255"/>
    </row>
    <row r="46" spans="2:16" x14ac:dyDescent="0.25">
      <c r="C46" s="230">
        <f ca="1">K41</f>
        <v>0.19239375300529171</v>
      </c>
      <c r="D46" s="216">
        <f>E46-0.5</f>
        <v>10</v>
      </c>
      <c r="E46" s="216">
        <f>F46-0.5</f>
        <v>10.5</v>
      </c>
      <c r="F46" s="241">
        <v>11</v>
      </c>
      <c r="G46" s="216">
        <f>F46+0.5</f>
        <v>11.5</v>
      </c>
      <c r="H46" s="216">
        <f>G46+0.5</f>
        <v>12</v>
      </c>
      <c r="L46" s="218">
        <f>I29</f>
        <v>2027</v>
      </c>
      <c r="M46" s="218">
        <f t="shared" ref="M46:P46" si="13">J29</f>
        <v>2028</v>
      </c>
      <c r="N46" s="218">
        <f t="shared" si="13"/>
        <v>2029</v>
      </c>
      <c r="O46" s="218">
        <f t="shared" si="13"/>
        <v>2030</v>
      </c>
      <c r="P46" s="218">
        <f t="shared" si="13"/>
        <v>2031</v>
      </c>
    </row>
    <row r="47" spans="2:16" outlineLevel="1" x14ac:dyDescent="0.25">
      <c r="C47" s="217">
        <f>C48-0.5</f>
        <v>9</v>
      </c>
      <c r="D47" s="219">
        <f t="dataTable" ref="D47:H52" dt2D="1" dtr="1" r1="E9" r2="E6" ca="1"/>
        <v>0.32442541371413558</v>
      </c>
      <c r="E47" s="219">
        <v>0.34788116817219339</v>
      </c>
      <c r="F47" s="219">
        <v>0.36980946147890603</v>
      </c>
      <c r="G47" s="219">
        <v>0.39041737093411966</v>
      </c>
      <c r="H47" s="219">
        <v>0.40987134292533778</v>
      </c>
      <c r="L47" s="229">
        <f ca="1">I41</f>
        <v>0.23253185220294692</v>
      </c>
      <c r="M47" s="229">
        <f ca="1">J41</f>
        <v>0.21083593796128186</v>
      </c>
      <c r="N47" s="229">
        <f ca="1">K41</f>
        <v>0.19239375300529171</v>
      </c>
      <c r="O47" s="229">
        <f ca="1">L41</f>
        <v>0.17940828174431389</v>
      </c>
      <c r="P47" s="229">
        <f ca="1">M41</f>
        <v>0.16966625573103</v>
      </c>
    </row>
    <row r="48" spans="2:16" x14ac:dyDescent="0.25">
      <c r="C48" s="217">
        <f>C49-0.5</f>
        <v>9.5</v>
      </c>
      <c r="D48" s="219">
        <v>0.26025034311437212</v>
      </c>
      <c r="E48" s="219">
        <v>0.28256954833012382</v>
      </c>
      <c r="F48" s="219">
        <v>0.30343530555919584</v>
      </c>
      <c r="G48" s="219">
        <v>0.32304465819500461</v>
      </c>
      <c r="H48" s="219">
        <v>0.34155598742742166</v>
      </c>
      <c r="K48" s="217">
        <f>K49-0.5</f>
        <v>10</v>
      </c>
      <c r="L48" s="219">
        <f t="dataTable" ref="L48:P52" dt2D="0" dtr="0" r1="E9" ca="1"/>
        <v>0.18998618821289726</v>
      </c>
      <c r="M48" s="219">
        <v>0.18228054097064317</v>
      </c>
      <c r="N48" s="219">
        <v>0.17164378205129815</v>
      </c>
      <c r="O48" s="219">
        <v>0.16357469889469423</v>
      </c>
      <c r="P48" s="219">
        <v>0.15716770907983957</v>
      </c>
    </row>
    <row r="49" spans="2:16" x14ac:dyDescent="0.25">
      <c r="B49" s="31" t="s">
        <v>132</v>
      </c>
      <c r="C49" s="217">
        <f>C50-0.5</f>
        <v>10</v>
      </c>
      <c r="D49" s="219">
        <v>0.21113207774351705</v>
      </c>
      <c r="E49" s="219">
        <v>0.23258139179145365</v>
      </c>
      <c r="F49" s="219">
        <v>0.25263390600542168</v>
      </c>
      <c r="G49" s="219">
        <v>0.27147898398213988</v>
      </c>
      <c r="H49" s="219">
        <v>0.28926883403380277</v>
      </c>
      <c r="J49" s="31" t="s">
        <v>252</v>
      </c>
      <c r="K49" s="217">
        <f>K50-0.5</f>
        <v>10.5</v>
      </c>
      <c r="L49" s="219">
        <v>0.23253185220294692</v>
      </c>
      <c r="M49" s="219">
        <v>0.21083593796128186</v>
      </c>
      <c r="N49" s="219">
        <v>0.19239375300529171</v>
      </c>
      <c r="O49" s="219">
        <v>0.17940828174431389</v>
      </c>
      <c r="P49" s="219">
        <v>0.16966625573103</v>
      </c>
    </row>
    <row r="50" spans="2:16" x14ac:dyDescent="0.25">
      <c r="B50" s="31" t="s">
        <v>251</v>
      </c>
      <c r="C50" s="240">
        <v>10.5</v>
      </c>
      <c r="D50" s="219">
        <v>0.17164378205129815</v>
      </c>
      <c r="E50" s="219">
        <v>0.19239375300529171</v>
      </c>
      <c r="F50" s="219">
        <v>0.21179246601532187</v>
      </c>
      <c r="G50" s="219">
        <v>0.23002311058337854</v>
      </c>
      <c r="H50" s="219">
        <v>0.2472329323550102</v>
      </c>
      <c r="J50" s="31" t="s">
        <v>251</v>
      </c>
      <c r="K50" s="240">
        <v>11</v>
      </c>
      <c r="L50" s="219">
        <v>0.27232707269499423</v>
      </c>
      <c r="M50" s="219">
        <v>0.2375030140338279</v>
      </c>
      <c r="N50" s="219">
        <v>0.21179246601532187</v>
      </c>
      <c r="O50" s="219">
        <v>0.19424533650187548</v>
      </c>
      <c r="P50" s="219">
        <v>0.18141140374962328</v>
      </c>
    </row>
    <row r="51" spans="2:16" x14ac:dyDescent="0.25">
      <c r="C51" s="217">
        <f>C50+0.5</f>
        <v>11</v>
      </c>
      <c r="D51" s="219">
        <v>0.13880631446381053</v>
      </c>
      <c r="E51" s="219">
        <v>0.15897472939352064</v>
      </c>
      <c r="F51" s="219">
        <v>0.17782975786205935</v>
      </c>
      <c r="G51" s="219">
        <v>0.19554945515546396</v>
      </c>
      <c r="H51" s="219">
        <v>0.21227694008270181</v>
      </c>
      <c r="K51" s="217">
        <f>K50+0.5</f>
        <v>11.5</v>
      </c>
      <c r="L51" s="219">
        <v>0.30977742563908617</v>
      </c>
      <c r="M51" s="219">
        <v>0.26254971055356791</v>
      </c>
      <c r="N51" s="219">
        <v>0.23002311058337854</v>
      </c>
      <c r="O51" s="219">
        <v>0.20821421735733403</v>
      </c>
      <c r="P51" s="219">
        <v>0.19249512285571724</v>
      </c>
    </row>
    <row r="52" spans="2:16" x14ac:dyDescent="0.25">
      <c r="C52" s="217">
        <f t="shared" ref="C52" si="14">C51+0.5</f>
        <v>11.5</v>
      </c>
      <c r="D52" s="219">
        <v>0.11081699038255977</v>
      </c>
      <c r="E52" s="219">
        <v>0.13048971057086556</v>
      </c>
      <c r="F52" s="219">
        <v>0.14888132441559954</v>
      </c>
      <c r="G52" s="219">
        <v>0.16616551099317056</v>
      </c>
      <c r="H52" s="219">
        <v>0.18248187157394091</v>
      </c>
      <c r="K52" s="217">
        <f t="shared" ref="K52" si="15">K51+0.5</f>
        <v>12</v>
      </c>
      <c r="L52" s="219">
        <v>0.34520051160860188</v>
      </c>
      <c r="M52" s="219">
        <v>0.2861886729406069</v>
      </c>
      <c r="N52" s="219">
        <v>0.2472329323550102</v>
      </c>
      <c r="O52" s="219">
        <v>0.22141939593599447</v>
      </c>
      <c r="P52" s="219">
        <v>0.20299316986608607</v>
      </c>
    </row>
    <row r="55" spans="2:16" x14ac:dyDescent="0.25">
      <c r="C55" t="s">
        <v>440</v>
      </c>
    </row>
    <row r="56" spans="2:16" x14ac:dyDescent="0.25">
      <c r="C56" s="249" t="str">
        <f>"IRR Assuming "&amp;TEXT(EntryMultiple,"0.0x")&amp;" Entry Multiple &amp; Operating Scenarios"</f>
        <v>IRR Assuming 10.5x Entry Multiple &amp; Operating Scenarios</v>
      </c>
      <c r="D56" s="249"/>
      <c r="E56" s="249"/>
      <c r="F56" s="249"/>
      <c r="G56" s="249"/>
      <c r="H56" s="249"/>
    </row>
    <row r="57" spans="2:16" x14ac:dyDescent="0.25">
      <c r="C57" s="244"/>
      <c r="D57" s="254" t="s">
        <v>46</v>
      </c>
      <c r="E57" s="254"/>
      <c r="F57" s="254"/>
      <c r="G57" s="254"/>
    </row>
    <row r="58" spans="2:16" x14ac:dyDescent="0.25">
      <c r="D58" s="245">
        <f>I29</f>
        <v>2027</v>
      </c>
      <c r="E58" s="245">
        <f t="shared" ref="E58:H58" si="16">J29</f>
        <v>2028</v>
      </c>
      <c r="F58" s="245">
        <f t="shared" si="16"/>
        <v>2029</v>
      </c>
      <c r="G58" s="245">
        <f t="shared" si="16"/>
        <v>2030</v>
      </c>
      <c r="H58" s="245">
        <f t="shared" si="16"/>
        <v>2031</v>
      </c>
    </row>
    <row r="59" spans="2:16" outlineLevel="2" x14ac:dyDescent="0.25">
      <c r="D59" s="100">
        <f ca="1">I41</f>
        <v>0.23253185220294692</v>
      </c>
      <c r="E59" s="100">
        <f t="shared" ref="E59:H59" ca="1" si="17">J41</f>
        <v>0.21083593796128186</v>
      </c>
      <c r="F59" s="100">
        <f t="shared" ca="1" si="17"/>
        <v>0.19239375300529171</v>
      </c>
      <c r="G59" s="100">
        <f t="shared" ca="1" si="17"/>
        <v>0.17940828174431389</v>
      </c>
      <c r="H59" s="100">
        <f t="shared" ca="1" si="17"/>
        <v>0.16966625573103</v>
      </c>
    </row>
    <row r="60" spans="2:16" x14ac:dyDescent="0.25">
      <c r="C60" s="243">
        <v>1</v>
      </c>
      <c r="D60" s="219">
        <f t="dataTable" ref="D60:H63" dt2D="0" dtr="0" r1="D65" ca="1"/>
        <v>0.23253185220294692</v>
      </c>
      <c r="E60" s="219">
        <v>0.21083593796128186</v>
      </c>
      <c r="F60" s="219">
        <v>0.19239375300529171</v>
      </c>
      <c r="G60" s="219">
        <v>0.17940828174431389</v>
      </c>
      <c r="H60" s="219">
        <v>0.16966625573103</v>
      </c>
    </row>
    <row r="61" spans="2:16" x14ac:dyDescent="0.25">
      <c r="B61" s="31" t="s">
        <v>447</v>
      </c>
      <c r="C61" s="243">
        <v>2</v>
      </c>
      <c r="D61" s="219">
        <v>0.31214085623325949</v>
      </c>
      <c r="E61" s="219">
        <v>0.27217310014293128</v>
      </c>
      <c r="F61" s="219">
        <v>0.24129932840819923</v>
      </c>
      <c r="G61" s="219">
        <v>0.22022959103402995</v>
      </c>
      <c r="H61" s="219">
        <v>0.20477766750465931</v>
      </c>
    </row>
    <row r="62" spans="2:16" x14ac:dyDescent="0.25">
      <c r="B62" s="31" t="s">
        <v>446</v>
      </c>
      <c r="C62" s="243">
        <v>3</v>
      </c>
      <c r="D62" s="219">
        <v>0.39376508525264198</v>
      </c>
      <c r="E62" s="219">
        <v>0.33389333346488437</v>
      </c>
      <c r="F62" s="219">
        <v>0.29179365024143067</v>
      </c>
      <c r="G62" s="219">
        <v>0.26338074784103904</v>
      </c>
      <c r="H62" s="219">
        <v>0.24269028335611398</v>
      </c>
    </row>
    <row r="63" spans="2:16" x14ac:dyDescent="0.25">
      <c r="C63" s="243">
        <v>4</v>
      </c>
      <c r="D63" s="219">
        <v>4.3940905967766897E-2</v>
      </c>
      <c r="E63" s="219">
        <v>5.9230405937052977E-2</v>
      </c>
      <c r="F63" s="219">
        <v>6.2756377575015065E-2</v>
      </c>
      <c r="G63" s="219">
        <v>6.4944694052655683E-2</v>
      </c>
      <c r="H63" s="219">
        <v>6.6442030055704038E-2</v>
      </c>
    </row>
    <row r="65" spans="3:4" x14ac:dyDescent="0.25">
      <c r="C65" s="244" t="s">
        <v>44</v>
      </c>
      <c r="D65" s="104">
        <v>1</v>
      </c>
    </row>
    <row r="1000" spans="648:648" ht="15" x14ac:dyDescent="0.25">
      <c r="XX1000" s="248">
        <v>127155</v>
      </c>
    </row>
  </sheetData>
  <mergeCells count="7">
    <mergeCell ref="C56:H56"/>
    <mergeCell ref="D57:G57"/>
    <mergeCell ref="G3:P3"/>
    <mergeCell ref="C44:H44"/>
    <mergeCell ref="K44:P44"/>
    <mergeCell ref="D45:H45"/>
    <mergeCell ref="L45:P4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1EF74-2158-45C6-857A-8968DB6426B2}">
  <dimension ref="A1:XX1000"/>
  <sheetViews>
    <sheetView showGridLines="0" topLeftCell="A73" zoomScale="86" zoomScaleNormal="85" workbookViewId="0">
      <selection activeCell="F103" sqref="F103"/>
    </sheetView>
  </sheetViews>
  <sheetFormatPr defaultColWidth="8.796875" defaultRowHeight="13.8" x14ac:dyDescent="0.25"/>
  <cols>
    <col min="1" max="1" width="1.69921875" customWidth="1"/>
    <col min="2" max="5" width="13.69921875" customWidth="1"/>
    <col min="6" max="15" width="11.69921875" customWidth="1"/>
  </cols>
  <sheetData>
    <row r="1" spans="1:16" ht="14.4" x14ac:dyDescent="0.3">
      <c r="A1" s="1"/>
      <c r="B1" s="1" t="str">
        <f>Summary!$B$3</f>
        <v>($ in millions, fiscal year ending December 31)</v>
      </c>
    </row>
    <row r="2" spans="1:16" x14ac:dyDescent="0.25">
      <c r="B2" s="4" t="s">
        <v>221</v>
      </c>
      <c r="C2" s="3"/>
      <c r="D2" s="3"/>
      <c r="E2" s="3"/>
      <c r="F2" s="3"/>
      <c r="G2" s="3"/>
      <c r="H2" s="3"/>
      <c r="I2" s="3"/>
      <c r="J2" s="3"/>
      <c r="K2" s="3"/>
      <c r="L2" s="3"/>
      <c r="M2" s="3"/>
      <c r="N2" s="3"/>
      <c r="O2" s="3"/>
    </row>
    <row r="3" spans="1:16" x14ac:dyDescent="0.25">
      <c r="F3" s="252" t="s">
        <v>41</v>
      </c>
      <c r="G3" s="252"/>
      <c r="H3" s="252"/>
      <c r="I3" s="252"/>
      <c r="J3" s="252"/>
      <c r="K3" s="252"/>
      <c r="L3" s="252"/>
      <c r="M3" s="252"/>
      <c r="N3" s="252"/>
      <c r="O3" s="252"/>
    </row>
    <row r="4" spans="1:16" x14ac:dyDescent="0.25">
      <c r="E4" s="31" t="str">
        <f>IncStmt!$I$4</f>
        <v>Pro Forma</v>
      </c>
      <c r="F4" s="29">
        <v>1</v>
      </c>
      <c r="G4" s="29">
        <f>F4+1</f>
        <v>2</v>
      </c>
      <c r="H4" s="29">
        <f t="shared" ref="H4:O4" si="0">G4+1</f>
        <v>3</v>
      </c>
      <c r="I4" s="29">
        <f t="shared" si="0"/>
        <v>4</v>
      </c>
      <c r="J4" s="29">
        <f t="shared" si="0"/>
        <v>5</v>
      </c>
      <c r="K4" s="29">
        <f t="shared" si="0"/>
        <v>6</v>
      </c>
      <c r="L4" s="29">
        <f t="shared" si="0"/>
        <v>7</v>
      </c>
      <c r="M4" s="29">
        <f t="shared" si="0"/>
        <v>8</v>
      </c>
      <c r="N4" s="29">
        <f t="shared" si="0"/>
        <v>9</v>
      </c>
      <c r="O4" s="29">
        <f t="shared" si="0"/>
        <v>10</v>
      </c>
    </row>
    <row r="5" spans="1:16" x14ac:dyDescent="0.25">
      <c r="E5" s="33">
        <f>IncStmt!$I$5</f>
        <v>2024</v>
      </c>
      <c r="F5" s="33">
        <f>IncStmt!$I$5+F4</f>
        <v>2025</v>
      </c>
      <c r="G5" s="33">
        <f>IncStmt!$I$5+G4</f>
        <v>2026</v>
      </c>
      <c r="H5" s="33">
        <f>IncStmt!$I$5+H4</f>
        <v>2027</v>
      </c>
      <c r="I5" s="33">
        <f>IncStmt!$I$5+I4</f>
        <v>2028</v>
      </c>
      <c r="J5" s="33">
        <f>IncStmt!$I$5+J4</f>
        <v>2029</v>
      </c>
      <c r="K5" s="33">
        <f>IncStmt!$I$5+K4</f>
        <v>2030</v>
      </c>
      <c r="L5" s="33">
        <f>IncStmt!$I$5+L4</f>
        <v>2031</v>
      </c>
      <c r="M5" s="33">
        <f>IncStmt!$I$5+M4</f>
        <v>2032</v>
      </c>
      <c r="N5" s="33">
        <f>IncStmt!$I$5+N4</f>
        <v>2033</v>
      </c>
      <c r="O5" s="33">
        <f>IncStmt!$I$5+O4</f>
        <v>2034</v>
      </c>
    </row>
    <row r="6" spans="1:16" x14ac:dyDescent="0.25">
      <c r="B6" t="s">
        <v>455</v>
      </c>
      <c r="E6" s="139">
        <v>0.05</v>
      </c>
      <c r="F6" s="139">
        <v>4.5999999999999999E-2</v>
      </c>
      <c r="G6" s="139">
        <v>4.2000000000000003E-2</v>
      </c>
      <c r="H6" s="139">
        <v>3.6999999999999998E-2</v>
      </c>
      <c r="I6" s="139">
        <v>3.6999999999999998E-2</v>
      </c>
      <c r="J6" s="139">
        <v>3.6999999999999998E-2</v>
      </c>
      <c r="K6" s="139">
        <v>3.6999999999999998E-2</v>
      </c>
      <c r="L6" s="139">
        <v>3.6999999999999998E-2</v>
      </c>
      <c r="M6" s="139">
        <v>3.6999999999999998E-2</v>
      </c>
      <c r="N6" s="139">
        <v>3.6999999999999998E-2</v>
      </c>
      <c r="O6" s="139">
        <v>3.6999999999999998E-2</v>
      </c>
    </row>
    <row r="7" spans="1:16" x14ac:dyDescent="0.25">
      <c r="B7" t="s">
        <v>227</v>
      </c>
      <c r="D7" s="54">
        <v>0</v>
      </c>
      <c r="E7" s="140"/>
      <c r="F7" s="140"/>
      <c r="G7" s="140"/>
      <c r="H7" s="140"/>
      <c r="I7" s="140"/>
      <c r="J7" s="140"/>
      <c r="K7" s="140"/>
      <c r="L7" s="140"/>
      <c r="M7" s="140"/>
      <c r="N7" s="140"/>
      <c r="O7" s="140"/>
    </row>
    <row r="9" spans="1:16" x14ac:dyDescent="0.25">
      <c r="B9" t="s">
        <v>226</v>
      </c>
      <c r="F9" s="59">
        <f ca="1">CFStmt!F21</f>
        <v>317.98751994645841</v>
      </c>
      <c r="G9" s="59">
        <f ca="1">CFStmt!G21</f>
        <v>334.83853972108295</v>
      </c>
      <c r="H9" s="59">
        <f ca="1">CFStmt!H21</f>
        <v>359.38066008293396</v>
      </c>
      <c r="I9" s="59">
        <f ca="1">CFStmt!I21</f>
        <v>394.95406079086803</v>
      </c>
      <c r="J9" s="59">
        <f ca="1">CFStmt!J21</f>
        <v>436.81682927302018</v>
      </c>
      <c r="K9" s="59">
        <f ca="1">CFStmt!K21</f>
        <v>474.92024763586488</v>
      </c>
      <c r="L9" s="59">
        <f ca="1">CFStmt!L21</f>
        <v>518.66611254461964</v>
      </c>
      <c r="M9" s="59">
        <f ca="1">CFStmt!M21</f>
        <v>534.33245118747129</v>
      </c>
      <c r="N9" s="59">
        <f ca="1">CFStmt!N21</f>
        <v>619.64513929801433</v>
      </c>
      <c r="O9" s="59">
        <f ca="1">CFStmt!O21</f>
        <v>641.80791262832088</v>
      </c>
    </row>
    <row r="10" spans="1:16" x14ac:dyDescent="0.25">
      <c r="B10" t="s">
        <v>222</v>
      </c>
      <c r="F10" s="70">
        <f>CFStmt!F26</f>
        <v>-166.77760000000001</v>
      </c>
      <c r="G10" s="70">
        <f>CFStmt!G26</f>
        <v>-170.94704000000002</v>
      </c>
      <c r="H10" s="70">
        <f>CFStmt!H26</f>
        <v>-177.78492160000002</v>
      </c>
      <c r="I10" s="70">
        <f>CFStmt!I26</f>
        <v>-185.78524307200001</v>
      </c>
      <c r="J10" s="70">
        <f>CFStmt!J26</f>
        <v>-192.28772657952001</v>
      </c>
      <c r="K10" s="70">
        <f>CFStmt!K26</f>
        <v>-199.01779700980319</v>
      </c>
      <c r="L10" s="70">
        <f>CFStmt!L26</f>
        <v>-205.98341990514629</v>
      </c>
      <c r="M10" s="70">
        <f>CFStmt!M26</f>
        <v>-213.19283960182639</v>
      </c>
      <c r="N10" s="70">
        <f>CFStmt!N26</f>
        <v>-220.65458898789029</v>
      </c>
      <c r="O10" s="70">
        <f>CFStmt!O26</f>
        <v>-228.37749960246643</v>
      </c>
    </row>
    <row r="11" spans="1:16" x14ac:dyDescent="0.25">
      <c r="B11" s="30" t="s">
        <v>223</v>
      </c>
      <c r="F11" s="85">
        <f ca="1">SUM(F9:F10)</f>
        <v>151.2099199464584</v>
      </c>
      <c r="G11" s="85">
        <f t="shared" ref="G11:O11" ca="1" si="1">SUM(G9:G10)</f>
        <v>163.89149972108294</v>
      </c>
      <c r="H11" s="85">
        <f t="shared" ca="1" si="1"/>
        <v>181.59573848293394</v>
      </c>
      <c r="I11" s="85">
        <f t="shared" ca="1" si="1"/>
        <v>209.16881771886801</v>
      </c>
      <c r="J11" s="85">
        <f t="shared" ca="1" si="1"/>
        <v>244.52910269350016</v>
      </c>
      <c r="K11" s="85">
        <f t="shared" ca="1" si="1"/>
        <v>275.90245062606169</v>
      </c>
      <c r="L11" s="85">
        <f t="shared" ca="1" si="1"/>
        <v>312.68269263947332</v>
      </c>
      <c r="M11" s="85">
        <f t="shared" ca="1" si="1"/>
        <v>321.1396115856449</v>
      </c>
      <c r="N11" s="85">
        <f t="shared" ca="1" si="1"/>
        <v>398.99055031012404</v>
      </c>
      <c r="O11" s="85">
        <f t="shared" ca="1" si="1"/>
        <v>413.43041302585448</v>
      </c>
    </row>
    <row r="12" spans="1:16" x14ac:dyDescent="0.25">
      <c r="B12" t="s">
        <v>224</v>
      </c>
      <c r="F12" s="195">
        <f>F40+F55+F70+F82+F93</f>
        <v>-157.5</v>
      </c>
      <c r="G12" s="195">
        <f t="shared" ref="G12:O12" ca="1" si="2">G40+G55+G70+G82+G93</f>
        <v>-157.5</v>
      </c>
      <c r="H12" s="195">
        <f t="shared" ca="1" si="2"/>
        <v>-157.5</v>
      </c>
      <c r="I12" s="195">
        <f t="shared" ca="1" si="2"/>
        <v>-157.5</v>
      </c>
      <c r="J12" s="195">
        <f t="shared" ca="1" si="2"/>
        <v>-82.5</v>
      </c>
      <c r="K12" s="195">
        <f t="shared" ca="1" si="2"/>
        <v>-20</v>
      </c>
      <c r="L12" s="195">
        <f t="shared" ca="1" si="2"/>
        <v>-1573.7024708110948</v>
      </c>
      <c r="M12" s="195">
        <f t="shared" ca="1" si="2"/>
        <v>-1000</v>
      </c>
      <c r="N12" s="195">
        <f t="shared" ca="1" si="2"/>
        <v>0</v>
      </c>
      <c r="O12" s="195">
        <f t="shared" ca="1" si="2"/>
        <v>-1000</v>
      </c>
      <c r="P12" t="s">
        <v>436</v>
      </c>
    </row>
    <row r="13" spans="1:16" x14ac:dyDescent="0.25">
      <c r="B13" t="s">
        <v>225</v>
      </c>
      <c r="F13" s="70">
        <f>IF(CashBalRepay=1,BalSheet!H6-DebtSched!$D$7,0)</f>
        <v>0</v>
      </c>
      <c r="G13" s="70">
        <f ca="1">IF(CashBalRepay=1,BalSheet!I6-DebtSched!$D$7,0)</f>
        <v>0</v>
      </c>
      <c r="H13" s="70">
        <f ca="1">IF(CashBalRepay=1,BalSheet!J6-DebtSched!$D$7,0)</f>
        <v>0</v>
      </c>
      <c r="I13" s="70">
        <f ca="1">IF(CashBalRepay=1,BalSheet!K6-DebtSched!$D$7,0)</f>
        <v>0</v>
      </c>
      <c r="J13" s="70">
        <f ca="1">IF(CashBalRepay=1,BalSheet!L6-DebtSched!$D$7,0)</f>
        <v>0</v>
      </c>
      <c r="K13" s="70">
        <f ca="1">IF(CashBalRepay=1,BalSheet!M6-DebtSched!$D$7,0)</f>
        <v>0</v>
      </c>
      <c r="L13" s="70">
        <f ca="1">IF(CashBalRepay=1,BalSheet!N6-DebtSched!$D$7,0)</f>
        <v>0</v>
      </c>
      <c r="M13" s="70">
        <f ca="1">IF(CashBalRepay=1,BalSheet!O6-DebtSched!$D$7,0)</f>
        <v>0</v>
      </c>
      <c r="N13" s="70">
        <f ca="1">IF(CashBalRepay=1,BalSheet!P6-DebtSched!$D$7,0)</f>
        <v>0</v>
      </c>
      <c r="O13" s="70">
        <f ca="1">IF(CashBalRepay=1,BalSheet!Q6-DebtSched!$D$7,0)</f>
        <v>0</v>
      </c>
    </row>
    <row r="14" spans="1:16" x14ac:dyDescent="0.25">
      <c r="B14" s="30" t="s">
        <v>231</v>
      </c>
      <c r="F14" s="85">
        <f ca="1">SUM(F11:F13)</f>
        <v>-6.290080053541601</v>
      </c>
      <c r="G14" s="85">
        <f t="shared" ref="G14:O14" ca="1" si="3">SUM(G11:G13)</f>
        <v>6.391499721082937</v>
      </c>
      <c r="H14" s="85">
        <f t="shared" ca="1" si="3"/>
        <v>24.095738482933939</v>
      </c>
      <c r="I14" s="85">
        <f t="shared" ca="1" si="3"/>
        <v>51.668817718868013</v>
      </c>
      <c r="J14" s="85">
        <f t="shared" ca="1" si="3"/>
        <v>162.02910269350016</v>
      </c>
      <c r="K14" s="85">
        <f t="shared" ca="1" si="3"/>
        <v>255.90245062606169</v>
      </c>
      <c r="L14" s="85">
        <f t="shared" ca="1" si="3"/>
        <v>-1261.0197781716215</v>
      </c>
      <c r="M14" s="85">
        <f ca="1">SUM(M11:M13)</f>
        <v>-678.86038841435516</v>
      </c>
      <c r="N14" s="85">
        <f t="shared" ca="1" si="3"/>
        <v>398.99055031012404</v>
      </c>
      <c r="O14" s="85">
        <f t="shared" ca="1" si="3"/>
        <v>-586.56958697414552</v>
      </c>
    </row>
    <row r="16" spans="1:16" x14ac:dyDescent="0.25">
      <c r="B16" s="55" t="s">
        <v>201</v>
      </c>
    </row>
    <row r="17" spans="2:16" x14ac:dyDescent="0.25">
      <c r="B17" s="141" t="s">
        <v>125</v>
      </c>
      <c r="C17" s="141"/>
      <c r="D17" s="141"/>
      <c r="E17" s="145" cm="1">
        <f t="array" ref="E17">INDEX(Financing!D8:H8,FinStructure)</f>
        <v>500</v>
      </c>
      <c r="F17" s="141"/>
      <c r="G17" s="141"/>
      <c r="H17" s="141"/>
      <c r="I17" s="141"/>
      <c r="J17" s="141"/>
      <c r="K17" s="141"/>
      <c r="L17" s="141"/>
      <c r="M17" s="141"/>
      <c r="N17" s="141"/>
      <c r="O17" s="141"/>
    </row>
    <row r="18" spans="2:16" x14ac:dyDescent="0.25">
      <c r="B18" s="141" t="s">
        <v>232</v>
      </c>
      <c r="C18" s="141"/>
      <c r="D18" s="141"/>
      <c r="E18" s="148">
        <v>3.5000000000000003E-2</v>
      </c>
      <c r="F18" s="141"/>
      <c r="G18" s="141"/>
      <c r="H18" s="141"/>
      <c r="I18" s="141"/>
      <c r="J18" s="141"/>
      <c r="K18" s="141"/>
      <c r="L18" s="141"/>
      <c r="M18" s="141"/>
      <c r="N18" s="141"/>
      <c r="O18" s="141"/>
    </row>
    <row r="19" spans="2:16" x14ac:dyDescent="0.25">
      <c r="B19" s="141" t="s">
        <v>456</v>
      </c>
      <c r="C19" s="141"/>
      <c r="D19" s="141"/>
      <c r="E19" s="142">
        <v>0</v>
      </c>
      <c r="F19" s="141"/>
      <c r="G19" s="141"/>
      <c r="H19" s="141"/>
      <c r="I19" s="141"/>
      <c r="J19" s="141"/>
      <c r="K19" s="141"/>
      <c r="L19" s="141"/>
      <c r="M19" s="141"/>
      <c r="N19" s="141"/>
      <c r="O19" s="141"/>
    </row>
    <row r="20" spans="2:16" x14ac:dyDescent="0.25">
      <c r="B20" s="141" t="s">
        <v>220</v>
      </c>
      <c r="C20" s="141"/>
      <c r="D20" s="141"/>
      <c r="E20" s="143">
        <v>7</v>
      </c>
      <c r="F20" s="141"/>
      <c r="G20" s="141"/>
      <c r="H20" s="141"/>
      <c r="I20" s="141"/>
      <c r="J20" s="141"/>
      <c r="K20" s="141"/>
      <c r="L20" s="141"/>
      <c r="M20" s="141"/>
      <c r="N20" s="141"/>
      <c r="O20" s="141"/>
    </row>
    <row r="21" spans="2:16" x14ac:dyDescent="0.25">
      <c r="B21" s="141" t="s">
        <v>233</v>
      </c>
      <c r="C21" s="141"/>
      <c r="D21" s="141"/>
      <c r="E21" s="142">
        <v>5.0000000000000001E-3</v>
      </c>
      <c r="F21" s="141"/>
      <c r="G21" s="141"/>
      <c r="H21" s="141"/>
      <c r="I21" s="141"/>
      <c r="J21" s="141"/>
      <c r="K21" s="141"/>
      <c r="L21" s="141"/>
      <c r="M21" s="141"/>
      <c r="N21" s="141"/>
      <c r="O21" s="141"/>
    </row>
    <row r="22" spans="2:16" x14ac:dyDescent="0.25">
      <c r="B22" s="141"/>
      <c r="C22" s="141"/>
      <c r="D22" s="141"/>
      <c r="E22" s="141"/>
      <c r="F22" s="141"/>
      <c r="G22" s="141"/>
      <c r="H22" s="141"/>
      <c r="I22" s="141"/>
      <c r="J22" s="141"/>
      <c r="K22" s="141"/>
      <c r="L22" s="141"/>
      <c r="M22" s="141"/>
      <c r="N22" s="141"/>
      <c r="O22" s="141"/>
    </row>
    <row r="23" spans="2:16" x14ac:dyDescent="0.25">
      <c r="B23" s="141" t="s">
        <v>234</v>
      </c>
      <c r="C23" s="141"/>
      <c r="D23" s="141"/>
      <c r="E23" s="141"/>
      <c r="F23" s="184">
        <f>BalSheet!H24</f>
        <v>0</v>
      </c>
      <c r="G23" s="184">
        <f ca="1">F25</f>
        <v>6.290080053541601</v>
      </c>
      <c r="H23" s="184">
        <f t="shared" ref="H23:O23" ca="1" si="4">G25</f>
        <v>0</v>
      </c>
      <c r="I23" s="184">
        <f t="shared" ca="1" si="4"/>
        <v>0</v>
      </c>
      <c r="J23" s="184">
        <f t="shared" ca="1" si="4"/>
        <v>0</v>
      </c>
      <c r="K23" s="184">
        <f t="shared" ca="1" si="4"/>
        <v>0</v>
      </c>
      <c r="L23" s="184">
        <f t="shared" ca="1" si="4"/>
        <v>0</v>
      </c>
      <c r="M23" s="184">
        <f t="shared" ca="1" si="4"/>
        <v>1261.0197781716215</v>
      </c>
      <c r="N23" s="184">
        <f t="shared" ca="1" si="4"/>
        <v>1939.8801665859767</v>
      </c>
      <c r="O23" s="184">
        <f t="shared" ca="1" si="4"/>
        <v>1540.8896162758526</v>
      </c>
      <c r="P23" t="s">
        <v>435</v>
      </c>
    </row>
    <row r="24" spans="2:16" x14ac:dyDescent="0.25">
      <c r="B24" s="141" t="s">
        <v>235</v>
      </c>
      <c r="C24" s="141"/>
      <c r="D24" s="141"/>
      <c r="E24" s="141"/>
      <c r="F24" s="186">
        <f ca="1">IF(F23&gt;0,-MIN(F14,F23),-MIN(F14,0))</f>
        <v>6.290080053541601</v>
      </c>
      <c r="G24" s="186">
        <f t="shared" ref="G24:O24" ca="1" si="5">IF(G23&gt;0,-MIN(G14,G23),-MIN(G14,0))</f>
        <v>-6.290080053541601</v>
      </c>
      <c r="H24" s="186">
        <f t="shared" ca="1" si="5"/>
        <v>0</v>
      </c>
      <c r="I24" s="186">
        <f t="shared" ca="1" si="5"/>
        <v>0</v>
      </c>
      <c r="J24" s="186">
        <f t="shared" ca="1" si="5"/>
        <v>0</v>
      </c>
      <c r="K24" s="186">
        <f t="shared" ca="1" si="5"/>
        <v>0</v>
      </c>
      <c r="L24" s="186">
        <f t="shared" ca="1" si="5"/>
        <v>1261.0197781716215</v>
      </c>
      <c r="M24" s="186">
        <f t="shared" ca="1" si="5"/>
        <v>678.86038841435516</v>
      </c>
      <c r="N24" s="186">
        <f t="shared" ca="1" si="5"/>
        <v>-398.99055031012404</v>
      </c>
      <c r="O24" s="186">
        <f t="shared" ca="1" si="5"/>
        <v>586.56958697414552</v>
      </c>
      <c r="P24" t="s">
        <v>436</v>
      </c>
    </row>
    <row r="25" spans="2:16" x14ac:dyDescent="0.25">
      <c r="B25" s="144" t="s">
        <v>236</v>
      </c>
      <c r="C25" s="141"/>
      <c r="D25" s="141"/>
      <c r="E25" s="141"/>
      <c r="F25" s="185">
        <f ca="1">SUM(F23:F24)</f>
        <v>6.290080053541601</v>
      </c>
      <c r="G25" s="185">
        <f t="shared" ref="G25:O25" ca="1" si="6">SUM(G23:G24)</f>
        <v>0</v>
      </c>
      <c r="H25" s="185">
        <f t="shared" ca="1" si="6"/>
        <v>0</v>
      </c>
      <c r="I25" s="185">
        <f t="shared" ca="1" si="6"/>
        <v>0</v>
      </c>
      <c r="J25" s="185">
        <f t="shared" ca="1" si="6"/>
        <v>0</v>
      </c>
      <c r="K25" s="185">
        <f t="shared" ca="1" si="6"/>
        <v>0</v>
      </c>
      <c r="L25" s="185">
        <f t="shared" ca="1" si="6"/>
        <v>1261.0197781716215</v>
      </c>
      <c r="M25" s="185">
        <f t="shared" ca="1" si="6"/>
        <v>1939.8801665859767</v>
      </c>
      <c r="N25" s="185">
        <f t="shared" ca="1" si="6"/>
        <v>1540.8896162758526</v>
      </c>
      <c r="O25" s="185">
        <f t="shared" ca="1" si="6"/>
        <v>2127.4592032499982</v>
      </c>
      <c r="P25" t="s">
        <v>435</v>
      </c>
    </row>
    <row r="26" spans="2:16" x14ac:dyDescent="0.25">
      <c r="B26" s="141"/>
      <c r="C26" s="141"/>
      <c r="D26" s="141"/>
      <c r="E26" s="141"/>
      <c r="F26" s="141"/>
      <c r="G26" s="141"/>
      <c r="H26" s="141"/>
      <c r="I26" s="141"/>
      <c r="J26" s="141"/>
      <c r="K26" s="141"/>
      <c r="L26" s="141"/>
      <c r="M26" s="141"/>
      <c r="N26" s="141"/>
      <c r="O26" s="141"/>
    </row>
    <row r="27" spans="2:16" x14ac:dyDescent="0.25">
      <c r="B27" s="141" t="s">
        <v>237</v>
      </c>
      <c r="C27" s="141"/>
      <c r="D27" s="141"/>
      <c r="E27" s="141"/>
      <c r="F27" s="147">
        <f>MAX($E19,F$6)+$E18</f>
        <v>8.1000000000000003E-2</v>
      </c>
      <c r="G27" s="147">
        <f t="shared" ref="G27:O27" si="7">MAX($E19,G$6)+$E18</f>
        <v>7.7000000000000013E-2</v>
      </c>
      <c r="H27" s="147">
        <f t="shared" si="7"/>
        <v>7.2000000000000008E-2</v>
      </c>
      <c r="I27" s="147">
        <f t="shared" si="7"/>
        <v>7.2000000000000008E-2</v>
      </c>
      <c r="J27" s="147">
        <f t="shared" si="7"/>
        <v>7.2000000000000008E-2</v>
      </c>
      <c r="K27" s="147">
        <f t="shared" si="7"/>
        <v>7.2000000000000008E-2</v>
      </c>
      <c r="L27" s="147">
        <f t="shared" si="7"/>
        <v>7.2000000000000008E-2</v>
      </c>
      <c r="M27" s="147">
        <f t="shared" si="7"/>
        <v>7.2000000000000008E-2</v>
      </c>
      <c r="N27" s="147">
        <f t="shared" si="7"/>
        <v>7.2000000000000008E-2</v>
      </c>
      <c r="O27" s="147">
        <f t="shared" si="7"/>
        <v>7.2000000000000008E-2</v>
      </c>
    </row>
    <row r="28" spans="2:16" x14ac:dyDescent="0.25">
      <c r="B28" s="141" t="s">
        <v>63</v>
      </c>
      <c r="C28" s="141"/>
      <c r="D28" s="141"/>
      <c r="E28" s="141"/>
      <c r="F28" s="146">
        <f ca="1">AVERAGE(F23,F25)*F27</f>
        <v>0.25474824216843484</v>
      </c>
      <c r="G28" s="146">
        <f t="shared" ref="G28:O28" ca="1" si="8">AVERAGE(G23,G25)*G27</f>
        <v>0.24216808206135168</v>
      </c>
      <c r="H28" s="146">
        <f t="shared" ca="1" si="8"/>
        <v>0</v>
      </c>
      <c r="I28" s="146">
        <f t="shared" ca="1" si="8"/>
        <v>0</v>
      </c>
      <c r="J28" s="146">
        <f t="shared" ca="1" si="8"/>
        <v>0</v>
      </c>
      <c r="K28" s="146">
        <f t="shared" ca="1" si="8"/>
        <v>0</v>
      </c>
      <c r="L28" s="146">
        <f t="shared" ca="1" si="8"/>
        <v>45.396712014178377</v>
      </c>
      <c r="M28" s="146">
        <f t="shared" ca="1" si="8"/>
        <v>115.23239801127355</v>
      </c>
      <c r="N28" s="146">
        <f t="shared" ca="1" si="8"/>
        <v>125.30771218302587</v>
      </c>
      <c r="O28" s="146">
        <f t="shared" ca="1" si="8"/>
        <v>132.06055750293064</v>
      </c>
    </row>
    <row r="29" spans="2:16" x14ac:dyDescent="0.25">
      <c r="B29" s="141" t="s">
        <v>238</v>
      </c>
      <c r="C29" s="141"/>
      <c r="D29" s="141"/>
      <c r="E29" s="141"/>
      <c r="F29" s="146">
        <f ca="1">MAX($E$21*($E17-AVERAGE(F23,F25)),0)</f>
        <v>2.4842747998661459</v>
      </c>
      <c r="G29" s="146">
        <f t="shared" ref="G29:O29" ca="1" si="9">MAX($E$21*($E17-AVERAGE(G23,G25)),0)</f>
        <v>2.4842747998661459</v>
      </c>
      <c r="H29" s="146">
        <f t="shared" ca="1" si="9"/>
        <v>2.5</v>
      </c>
      <c r="I29" s="146">
        <f t="shared" ca="1" si="9"/>
        <v>2.5</v>
      </c>
      <c r="J29" s="146">
        <f t="shared" ca="1" si="9"/>
        <v>2.5</v>
      </c>
      <c r="K29" s="146">
        <f t="shared" ca="1" si="9"/>
        <v>2.5</v>
      </c>
      <c r="L29" s="146">
        <f t="shared" ca="1" si="9"/>
        <v>0</v>
      </c>
      <c r="M29" s="146">
        <f t="shared" ca="1" si="9"/>
        <v>0</v>
      </c>
      <c r="N29" s="146">
        <f t="shared" ca="1" si="9"/>
        <v>0</v>
      </c>
      <c r="O29" s="146">
        <f t="shared" ca="1" si="9"/>
        <v>0</v>
      </c>
    </row>
    <row r="30" spans="2:16" x14ac:dyDescent="0.25">
      <c r="B30" s="141" t="s">
        <v>65</v>
      </c>
      <c r="C30" s="141"/>
      <c r="D30" s="141"/>
      <c r="E30" s="141"/>
      <c r="F30" s="146">
        <f>IF($E$17&gt;0,0.2,0)</f>
        <v>0.2</v>
      </c>
      <c r="G30" s="146">
        <f t="shared" ref="G30:O30" si="10">IF($E$17&gt;0,0.2,0)</f>
        <v>0.2</v>
      </c>
      <c r="H30" s="146">
        <f t="shared" si="10"/>
        <v>0.2</v>
      </c>
      <c r="I30" s="146">
        <f t="shared" si="10"/>
        <v>0.2</v>
      </c>
      <c r="J30" s="146">
        <f t="shared" si="10"/>
        <v>0.2</v>
      </c>
      <c r="K30" s="146">
        <f t="shared" si="10"/>
        <v>0.2</v>
      </c>
      <c r="L30" s="146">
        <f t="shared" si="10"/>
        <v>0.2</v>
      </c>
      <c r="M30" s="146">
        <f t="shared" si="10"/>
        <v>0.2</v>
      </c>
      <c r="N30" s="146">
        <f t="shared" si="10"/>
        <v>0.2</v>
      </c>
      <c r="O30" s="146">
        <f t="shared" si="10"/>
        <v>0.2</v>
      </c>
    </row>
    <row r="32" spans="2:16" x14ac:dyDescent="0.25">
      <c r="B32" s="55" t="s">
        <v>14</v>
      </c>
    </row>
    <row r="33" spans="2:16" x14ac:dyDescent="0.25">
      <c r="B33" s="141" t="str">
        <f>B32&amp;" Size"</f>
        <v>Term Loan A Size</v>
      </c>
      <c r="C33" s="141"/>
      <c r="D33" s="141"/>
      <c r="E33" s="162">
        <f>Summary!D10</f>
        <v>500</v>
      </c>
      <c r="F33" s="141"/>
      <c r="G33" s="141"/>
      <c r="H33" s="141"/>
      <c r="I33" s="141"/>
      <c r="J33" s="141"/>
      <c r="K33" s="141"/>
      <c r="L33" s="141"/>
      <c r="M33" s="141"/>
      <c r="N33" s="141"/>
      <c r="O33" s="141"/>
    </row>
    <row r="34" spans="2:16" x14ac:dyDescent="0.25">
      <c r="B34" s="141" t="s">
        <v>232</v>
      </c>
      <c r="C34" s="141"/>
      <c r="D34" s="141"/>
      <c r="E34" s="148">
        <v>3.5000000000000003E-2</v>
      </c>
      <c r="F34" s="141"/>
      <c r="G34" s="141"/>
      <c r="H34" s="141"/>
      <c r="I34" s="141"/>
      <c r="J34" s="141"/>
      <c r="K34" s="141"/>
      <c r="L34" s="141"/>
      <c r="M34" s="141"/>
      <c r="N34" s="141"/>
      <c r="O34" s="141"/>
    </row>
    <row r="35" spans="2:16" x14ac:dyDescent="0.25">
      <c r="B35" s="141" t="s">
        <v>456</v>
      </c>
      <c r="C35" s="141"/>
      <c r="D35" s="141"/>
      <c r="E35" s="148">
        <v>0.01</v>
      </c>
      <c r="F35" s="141"/>
      <c r="G35" s="141"/>
      <c r="H35" s="141"/>
      <c r="I35" s="141"/>
      <c r="J35" s="141"/>
      <c r="K35" s="141"/>
      <c r="L35" s="141"/>
      <c r="M35" s="141"/>
      <c r="N35" s="141"/>
      <c r="O35" s="141"/>
    </row>
    <row r="36" spans="2:16" x14ac:dyDescent="0.25">
      <c r="B36" s="141" t="s">
        <v>220</v>
      </c>
      <c r="C36" s="141"/>
      <c r="D36" s="141"/>
      <c r="E36" s="143">
        <v>6</v>
      </c>
      <c r="F36" s="141"/>
      <c r="G36" s="141"/>
      <c r="H36" s="141"/>
      <c r="I36" s="141"/>
      <c r="J36" s="141"/>
      <c r="K36" s="141"/>
      <c r="L36" s="141"/>
      <c r="M36" s="141"/>
      <c r="N36" s="141"/>
      <c r="O36" s="141"/>
    </row>
    <row r="37" spans="2:16" x14ac:dyDescent="0.25">
      <c r="B37" s="141" t="s">
        <v>242</v>
      </c>
      <c r="C37" s="141"/>
      <c r="D37" s="141"/>
      <c r="E37" s="141"/>
      <c r="F37" s="74">
        <v>0.125</v>
      </c>
      <c r="G37" s="74">
        <v>0.125</v>
      </c>
      <c r="H37" s="74">
        <v>0.125</v>
      </c>
      <c r="I37" s="74">
        <v>0.125</v>
      </c>
      <c r="J37" s="74">
        <v>0.125</v>
      </c>
      <c r="K37" s="187">
        <f>1-SUM(F37:J37)</f>
        <v>0.375</v>
      </c>
      <c r="L37" s="141"/>
      <c r="M37" s="141"/>
      <c r="N37" s="141"/>
      <c r="O37" s="141"/>
    </row>
    <row r="38" spans="2:16" x14ac:dyDescent="0.25">
      <c r="B38" s="141"/>
      <c r="C38" s="141"/>
      <c r="D38" s="141"/>
      <c r="E38" s="141"/>
      <c r="F38" s="141"/>
      <c r="G38" s="141"/>
      <c r="H38" s="141"/>
      <c r="I38" s="141"/>
      <c r="J38" s="141"/>
      <c r="K38" s="141"/>
      <c r="L38" s="141"/>
      <c r="M38" s="141"/>
      <c r="N38" s="141"/>
      <c r="O38" s="141"/>
    </row>
    <row r="39" spans="2:16" x14ac:dyDescent="0.25">
      <c r="B39" s="141" t="s">
        <v>234</v>
      </c>
      <c r="C39" s="141"/>
      <c r="D39" s="141"/>
      <c r="E39" s="141"/>
      <c r="F39" s="184">
        <f>E33</f>
        <v>500</v>
      </c>
      <c r="G39" s="184">
        <f ca="1">F42</f>
        <v>437.5</v>
      </c>
      <c r="H39" s="184">
        <f t="shared" ref="H39:O39" ca="1" si="11">G42</f>
        <v>374.89858033245866</v>
      </c>
      <c r="I39" s="184">
        <f t="shared" ca="1" si="11"/>
        <v>288.30284184952473</v>
      </c>
      <c r="J39" s="184">
        <f t="shared" ca="1" si="11"/>
        <v>174.13402413065671</v>
      </c>
      <c r="K39" s="184">
        <f t="shared" ca="1" si="11"/>
        <v>0</v>
      </c>
      <c r="L39" s="184">
        <f t="shared" ca="1" si="11"/>
        <v>0</v>
      </c>
      <c r="M39" s="184">
        <f t="shared" ca="1" si="11"/>
        <v>0</v>
      </c>
      <c r="N39" s="184">
        <f t="shared" ca="1" si="11"/>
        <v>0</v>
      </c>
      <c r="O39" s="184">
        <f t="shared" ca="1" si="11"/>
        <v>0</v>
      </c>
      <c r="P39" t="s">
        <v>435</v>
      </c>
    </row>
    <row r="40" spans="2:16" x14ac:dyDescent="0.25">
      <c r="B40" s="141" t="s">
        <v>243</v>
      </c>
      <c r="C40" s="141"/>
      <c r="D40" s="141"/>
      <c r="E40" s="141"/>
      <c r="F40" s="195">
        <f>IF(F39&gt;($E$33*F37),-($E$33*F37),IF((F39&gt;0),-F39,0))</f>
        <v>-62.5</v>
      </c>
      <c r="G40" s="195">
        <f t="shared" ref="G40:O40" ca="1" si="12">IF(G39&gt;($E$33*G37),-($E$33*G37),IF((G39&gt;0),-G39,0))</f>
        <v>-62.5</v>
      </c>
      <c r="H40" s="195">
        <f t="shared" ca="1" si="12"/>
        <v>-62.5</v>
      </c>
      <c r="I40" s="195">
        <f t="shared" ca="1" si="12"/>
        <v>-62.5</v>
      </c>
      <c r="J40" s="195">
        <f t="shared" ca="1" si="12"/>
        <v>-62.5</v>
      </c>
      <c r="K40" s="195">
        <f t="shared" ca="1" si="12"/>
        <v>0</v>
      </c>
      <c r="L40" s="195">
        <f t="shared" ca="1" si="12"/>
        <v>0</v>
      </c>
      <c r="M40" s="195">
        <f t="shared" ca="1" si="12"/>
        <v>0</v>
      </c>
      <c r="N40" s="195">
        <f t="shared" ca="1" si="12"/>
        <v>0</v>
      </c>
      <c r="O40" s="195">
        <f t="shared" ca="1" si="12"/>
        <v>0</v>
      </c>
      <c r="P40" t="s">
        <v>437</v>
      </c>
    </row>
    <row r="41" spans="2:16" x14ac:dyDescent="0.25">
      <c r="B41" s="141" t="s">
        <v>244</v>
      </c>
      <c r="C41" s="141"/>
      <c r="D41" s="141"/>
      <c r="E41" s="141"/>
      <c r="F41" s="186">
        <f ca="1">IF(AND(CashSweep=1,(DebtSched!F39+DebtSched!F40)&gt;0),-MIN((DebtSched!F39+DebtSched!F40),(DebtSched!F14+DebtSched!F24)),0)</f>
        <v>0</v>
      </c>
      <c r="G41" s="186">
        <f ca="1">IF(AND(CashSweep=1,(DebtSched!G39+DebtSched!G40)&gt;0),-MIN((DebtSched!G39+DebtSched!G40),(DebtSched!G14+DebtSched!G24)),0)</f>
        <v>-0.10141966754133591</v>
      </c>
      <c r="H41" s="186">
        <f ca="1">IF(AND(CashSweep=1,(DebtSched!H39+DebtSched!H40)&gt;0),-MIN((DebtSched!H39+DebtSched!H40),(DebtSched!H14+DebtSched!H24)),0)</f>
        <v>-24.095738482933939</v>
      </c>
      <c r="I41" s="186">
        <f ca="1">IF(AND(CashSweep=1,(DebtSched!I39+DebtSched!I40)&gt;0),-MIN((DebtSched!I39+DebtSched!I40),(DebtSched!I14+DebtSched!I24)),0)</f>
        <v>-51.668817718868013</v>
      </c>
      <c r="J41" s="186">
        <f ca="1">IF(AND(CashSweep=1,(DebtSched!J39+DebtSched!J40)&gt;0),-MIN((DebtSched!J39+DebtSched!J40),(DebtSched!J14+DebtSched!J24)),0)</f>
        <v>-111.63402413065671</v>
      </c>
      <c r="K41" s="186">
        <f ca="1">IF(AND(CashSweep=1,(DebtSched!K39+DebtSched!K40)&gt;0),-MIN((DebtSched!K39+DebtSched!K40),(DebtSched!K14+DebtSched!K24)),0)</f>
        <v>0</v>
      </c>
      <c r="L41" s="186">
        <f ca="1">IF(AND(CashSweep=1,(DebtSched!L39+DebtSched!L40)&gt;0),-MIN((DebtSched!L39+DebtSched!L40),(DebtSched!L14+DebtSched!L24)),0)</f>
        <v>0</v>
      </c>
      <c r="M41" s="186">
        <f ca="1">IF(AND(CashSweep=1,(DebtSched!M39+DebtSched!M40)&gt;0),-MIN((DebtSched!M39+DebtSched!M40),(DebtSched!M14+DebtSched!M24)),0)</f>
        <v>0</v>
      </c>
      <c r="N41" s="186">
        <f ca="1">IF(AND(CashSweep=1,(DebtSched!N39+DebtSched!N40)&gt;0),-MIN((DebtSched!N39+DebtSched!N40),(DebtSched!N14+DebtSched!N24)),0)</f>
        <v>0</v>
      </c>
      <c r="O41" s="186">
        <f ca="1">IF(AND(CashSweep=1,(DebtSched!O39+DebtSched!O40)&gt;0),-MIN((DebtSched!O39+DebtSched!O40),(DebtSched!O14+DebtSched!O24)),0)</f>
        <v>0</v>
      </c>
      <c r="P41" t="s">
        <v>437</v>
      </c>
    </row>
    <row r="42" spans="2:16" x14ac:dyDescent="0.25">
      <c r="B42" s="144" t="s">
        <v>236</v>
      </c>
      <c r="C42" s="141"/>
      <c r="D42" s="141"/>
      <c r="E42" s="141"/>
      <c r="F42" s="185">
        <f ca="1">SUM(F39:F41)</f>
        <v>437.5</v>
      </c>
      <c r="G42" s="185">
        <f t="shared" ref="G42:O42" ca="1" si="13">SUM(G39:G41)</f>
        <v>374.89858033245866</v>
      </c>
      <c r="H42" s="185">
        <f t="shared" ca="1" si="13"/>
        <v>288.30284184952473</v>
      </c>
      <c r="I42" s="185">
        <f t="shared" ca="1" si="13"/>
        <v>174.13402413065671</v>
      </c>
      <c r="J42" s="185">
        <f t="shared" ca="1" si="13"/>
        <v>0</v>
      </c>
      <c r="K42" s="185">
        <f t="shared" ca="1" si="13"/>
        <v>0</v>
      </c>
      <c r="L42" s="185">
        <f t="shared" ca="1" si="13"/>
        <v>0</v>
      </c>
      <c r="M42" s="185">
        <f t="shared" ca="1" si="13"/>
        <v>0</v>
      </c>
      <c r="N42" s="185">
        <f t="shared" ca="1" si="13"/>
        <v>0</v>
      </c>
      <c r="O42" s="185">
        <f t="shared" ca="1" si="13"/>
        <v>0</v>
      </c>
      <c r="P42" t="s">
        <v>435</v>
      </c>
    </row>
    <row r="43" spans="2:16" x14ac:dyDescent="0.25">
      <c r="B43" s="141"/>
      <c r="C43" s="141"/>
      <c r="D43" s="141"/>
      <c r="E43" s="141"/>
      <c r="F43" s="141"/>
      <c r="G43" s="141"/>
      <c r="H43" s="141"/>
      <c r="I43" s="141"/>
      <c r="J43" s="141"/>
      <c r="K43" s="141"/>
      <c r="L43" s="141"/>
      <c r="M43" s="141"/>
      <c r="N43" s="141"/>
      <c r="O43" s="141"/>
    </row>
    <row r="44" spans="2:16" x14ac:dyDescent="0.25">
      <c r="B44" s="141" t="s">
        <v>245</v>
      </c>
      <c r="C44" s="141"/>
      <c r="D44" s="141"/>
      <c r="E44" s="141"/>
      <c r="F44" s="210">
        <f>MAX($E$35,F6)+$E$34</f>
        <v>8.1000000000000003E-2</v>
      </c>
      <c r="G44" s="210">
        <f t="shared" ref="G44:O44" si="14">MAX($E$35,G6)+$E$34</f>
        <v>7.7000000000000013E-2</v>
      </c>
      <c r="H44" s="210">
        <f t="shared" si="14"/>
        <v>7.2000000000000008E-2</v>
      </c>
      <c r="I44" s="210">
        <f t="shared" si="14"/>
        <v>7.2000000000000008E-2</v>
      </c>
      <c r="J44" s="210">
        <f t="shared" si="14"/>
        <v>7.2000000000000008E-2</v>
      </c>
      <c r="K44" s="210">
        <f t="shared" si="14"/>
        <v>7.2000000000000008E-2</v>
      </c>
      <c r="L44" s="210">
        <f t="shared" si="14"/>
        <v>7.2000000000000008E-2</v>
      </c>
      <c r="M44" s="210">
        <f t="shared" si="14"/>
        <v>7.2000000000000008E-2</v>
      </c>
      <c r="N44" s="210">
        <f t="shared" si="14"/>
        <v>7.2000000000000008E-2</v>
      </c>
      <c r="O44" s="210">
        <f t="shared" si="14"/>
        <v>7.2000000000000008E-2</v>
      </c>
      <c r="P44" t="s">
        <v>438</v>
      </c>
    </row>
    <row r="45" spans="2:16" x14ac:dyDescent="0.25">
      <c r="B45" s="141" t="s">
        <v>63</v>
      </c>
      <c r="C45" s="141"/>
      <c r="D45" s="141"/>
      <c r="E45" s="141"/>
      <c r="F45" s="220">
        <f ca="1">((F42+F39)/2)*F44</f>
        <v>37.96875</v>
      </c>
      <c r="G45" s="220">
        <f t="shared" ref="G45:O45" ca="1" si="15">((G42+G39)/2)*G44</f>
        <v>31.277345342799663</v>
      </c>
      <c r="H45" s="220">
        <f t="shared" ca="1" si="15"/>
        <v>23.875251198551403</v>
      </c>
      <c r="I45" s="220">
        <f t="shared" ca="1" si="15"/>
        <v>16.647727175286533</v>
      </c>
      <c r="J45" s="220">
        <f t="shared" ca="1" si="15"/>
        <v>6.2688248687036427</v>
      </c>
      <c r="K45" s="220">
        <f t="shared" ca="1" si="15"/>
        <v>0</v>
      </c>
      <c r="L45" s="220">
        <f t="shared" ca="1" si="15"/>
        <v>0</v>
      </c>
      <c r="M45" s="220">
        <f t="shared" ca="1" si="15"/>
        <v>0</v>
      </c>
      <c r="N45" s="220">
        <f t="shared" ca="1" si="15"/>
        <v>0</v>
      </c>
      <c r="O45" s="220">
        <f t="shared" ca="1" si="15"/>
        <v>0</v>
      </c>
      <c r="P45" t="s">
        <v>438</v>
      </c>
    </row>
    <row r="47" spans="2:16" x14ac:dyDescent="0.25">
      <c r="B47" s="55" t="s">
        <v>15</v>
      </c>
    </row>
    <row r="48" spans="2:16" x14ac:dyDescent="0.25">
      <c r="B48" s="141" t="str">
        <f>B47&amp;" Size"</f>
        <v>Term Loan B Size</v>
      </c>
      <c r="C48" s="141"/>
      <c r="D48" s="141"/>
      <c r="E48" s="162">
        <f>Summary!D11</f>
        <v>2000</v>
      </c>
      <c r="F48" s="141"/>
      <c r="G48" s="141"/>
      <c r="H48" s="141"/>
      <c r="I48" s="141"/>
      <c r="J48" s="141"/>
      <c r="K48" s="141"/>
      <c r="L48" s="141"/>
      <c r="M48" s="141"/>
      <c r="N48" s="141"/>
      <c r="O48" s="141"/>
    </row>
    <row r="49" spans="2:16" x14ac:dyDescent="0.25">
      <c r="B49" s="141" t="s">
        <v>232</v>
      </c>
      <c r="C49" s="141"/>
      <c r="D49" s="141"/>
      <c r="E49" s="148">
        <v>3.7499999999999999E-2</v>
      </c>
      <c r="F49" s="141"/>
      <c r="G49" s="141"/>
      <c r="H49" s="141"/>
      <c r="I49" s="141"/>
      <c r="J49" s="141"/>
      <c r="K49" s="141"/>
      <c r="L49" s="141"/>
      <c r="M49" s="141"/>
      <c r="N49" s="141"/>
      <c r="O49" s="141"/>
    </row>
    <row r="50" spans="2:16" x14ac:dyDescent="0.25">
      <c r="B50" s="141" t="s">
        <v>456</v>
      </c>
      <c r="C50" s="141"/>
      <c r="D50" s="141"/>
      <c r="E50" s="148">
        <v>0.01</v>
      </c>
      <c r="F50" s="141"/>
      <c r="G50" s="141"/>
      <c r="H50" s="141"/>
      <c r="I50" s="141"/>
      <c r="J50" s="141"/>
      <c r="K50" s="141"/>
      <c r="L50" s="141"/>
      <c r="M50" s="141"/>
      <c r="N50" s="141"/>
      <c r="O50" s="141"/>
    </row>
    <row r="51" spans="2:16" x14ac:dyDescent="0.25">
      <c r="B51" s="141" t="s">
        <v>220</v>
      </c>
      <c r="C51" s="141"/>
      <c r="D51" s="141"/>
      <c r="E51" s="143">
        <v>7</v>
      </c>
      <c r="F51" s="141"/>
      <c r="G51" s="141"/>
      <c r="H51" s="141"/>
      <c r="I51" s="141"/>
      <c r="J51" s="141"/>
      <c r="K51" s="141"/>
      <c r="L51" s="141"/>
      <c r="M51" s="141"/>
      <c r="N51" s="141"/>
      <c r="O51" s="141"/>
    </row>
    <row r="52" spans="2:16" x14ac:dyDescent="0.25">
      <c r="B52" s="141" t="s">
        <v>246</v>
      </c>
      <c r="C52" s="141"/>
      <c r="D52" s="141"/>
      <c r="E52" s="187">
        <v>0.01</v>
      </c>
      <c r="F52" s="50">
        <f>E52</f>
        <v>0.01</v>
      </c>
      <c r="G52" s="50">
        <f>F52</f>
        <v>0.01</v>
      </c>
      <c r="H52" s="50">
        <f t="shared" ref="H52:K52" si="16">G52</f>
        <v>0.01</v>
      </c>
      <c r="I52" s="50">
        <f t="shared" si="16"/>
        <v>0.01</v>
      </c>
      <c r="J52" s="50">
        <f t="shared" si="16"/>
        <v>0.01</v>
      </c>
      <c r="K52" s="50">
        <f t="shared" si="16"/>
        <v>0.01</v>
      </c>
      <c r="L52" s="187">
        <f>1-SUM(F52:K52)</f>
        <v>0.94</v>
      </c>
      <c r="M52" s="141"/>
      <c r="N52" s="141"/>
      <c r="O52" s="141"/>
    </row>
    <row r="53" spans="2:16" x14ac:dyDescent="0.25">
      <c r="B53" s="141"/>
      <c r="C53" s="141"/>
      <c r="D53" s="141"/>
      <c r="E53" s="141"/>
      <c r="F53" s="141"/>
      <c r="G53" s="141"/>
      <c r="H53" s="141"/>
      <c r="I53" s="141"/>
      <c r="J53" s="141"/>
      <c r="K53" s="141"/>
      <c r="L53" s="141"/>
      <c r="M53" s="141"/>
      <c r="N53" s="141"/>
      <c r="O53" s="141"/>
    </row>
    <row r="54" spans="2:16" x14ac:dyDescent="0.25">
      <c r="B54" s="141" t="s">
        <v>234</v>
      </c>
      <c r="C54" s="141"/>
      <c r="D54" s="141"/>
      <c r="E54" s="141"/>
      <c r="F54" s="184">
        <f>E48</f>
        <v>2000</v>
      </c>
      <c r="G54" s="184">
        <f ca="1">F57</f>
        <v>1980</v>
      </c>
      <c r="H54" s="184">
        <f t="shared" ref="H54:O54" ca="1" si="17">G57</f>
        <v>1960</v>
      </c>
      <c r="I54" s="184">
        <f t="shared" ca="1" si="17"/>
        <v>1940</v>
      </c>
      <c r="J54" s="184">
        <f t="shared" ca="1" si="17"/>
        <v>1920</v>
      </c>
      <c r="K54" s="184">
        <f t="shared" ca="1" si="17"/>
        <v>1849.6049214371565</v>
      </c>
      <c r="L54" s="184">
        <f t="shared" ca="1" si="17"/>
        <v>1573.7024708110948</v>
      </c>
      <c r="M54" s="184">
        <f t="shared" ca="1" si="17"/>
        <v>0</v>
      </c>
      <c r="N54" s="184">
        <f t="shared" ca="1" si="17"/>
        <v>0</v>
      </c>
      <c r="O54" s="184">
        <f t="shared" ca="1" si="17"/>
        <v>0</v>
      </c>
      <c r="P54" t="s">
        <v>437</v>
      </c>
    </row>
    <row r="55" spans="2:16" x14ac:dyDescent="0.25">
      <c r="B55" s="141" t="s">
        <v>243</v>
      </c>
      <c r="C55" s="141"/>
      <c r="D55" s="141"/>
      <c r="E55" s="141"/>
      <c r="F55" s="195">
        <f>IF(F54&gt;($E$48*F52),-($E$48*F52),IF((F54&gt;0),-F54,0))</f>
        <v>-20</v>
      </c>
      <c r="G55" s="195">
        <f t="shared" ref="G55:O55" ca="1" si="18">IF(G54&gt;($E$48*G52),-($E$48*G52),IF((G54&gt;0),-G54,0))</f>
        <v>-20</v>
      </c>
      <c r="H55" s="195">
        <f t="shared" ca="1" si="18"/>
        <v>-20</v>
      </c>
      <c r="I55" s="195">
        <f t="shared" ca="1" si="18"/>
        <v>-20</v>
      </c>
      <c r="J55" s="195">
        <f t="shared" ca="1" si="18"/>
        <v>-20</v>
      </c>
      <c r="K55" s="195">
        <f t="shared" ca="1" si="18"/>
        <v>-20</v>
      </c>
      <c r="L55" s="195">
        <f t="shared" ca="1" si="18"/>
        <v>-1573.7024708110948</v>
      </c>
      <c r="M55" s="195">
        <f t="shared" ca="1" si="18"/>
        <v>0</v>
      </c>
      <c r="N55" s="195">
        <f t="shared" ca="1" si="18"/>
        <v>0</v>
      </c>
      <c r="O55" s="195">
        <f t="shared" ca="1" si="18"/>
        <v>0</v>
      </c>
      <c r="P55" t="s">
        <v>437</v>
      </c>
    </row>
    <row r="56" spans="2:16" x14ac:dyDescent="0.25">
      <c r="B56" s="141" t="s">
        <v>244</v>
      </c>
      <c r="C56" s="141"/>
      <c r="D56" s="141"/>
      <c r="E56" s="141"/>
      <c r="F56" s="186">
        <f ca="1">IF(AND(CashSweep =1,(DebtSched!F54+DebtSched!F55)&gt;0), -MIN((DebtSched!F54+DebtSched!F55),(DebtSched!F14+DebtSched!F24+DebtSched!F41)),0)</f>
        <v>0</v>
      </c>
      <c r="G56" s="186">
        <f ca="1">IF(AND(CashSweep =1,(DebtSched!G54+DebtSched!G55)&gt;0), -MIN((DebtSched!G54+DebtSched!G55),(DebtSched!G14+DebtSched!G24+DebtSched!G41)),0)</f>
        <v>0</v>
      </c>
      <c r="H56" s="186">
        <f ca="1">IF(AND(CashSweep =1,(DebtSched!H54+DebtSched!H55)&gt;0), -MIN((DebtSched!H54+DebtSched!H55),(DebtSched!H14+DebtSched!H24+DebtSched!H41)),0)</f>
        <v>0</v>
      </c>
      <c r="I56" s="186">
        <f ca="1">IF(AND(CashSweep =1,(DebtSched!I54+DebtSched!I55)&gt;0), -MIN((DebtSched!I54+DebtSched!I55),(DebtSched!I14+DebtSched!I24+DebtSched!I41)),0)</f>
        <v>0</v>
      </c>
      <c r="J56" s="186">
        <f ca="1">IF(AND(CashSweep =1,(DebtSched!J54+DebtSched!J55)&gt;0), -MIN((DebtSched!J54+DebtSched!J55),(DebtSched!J14+DebtSched!J24+DebtSched!J41)),0)</f>
        <v>-50.395078562843452</v>
      </c>
      <c r="K56" s="186">
        <f ca="1">IF(AND(CashSweep =1,(DebtSched!K54+DebtSched!K55)&gt;0), -MIN((DebtSched!K54+DebtSched!K55),(DebtSched!K14+DebtSched!K24+DebtSched!K41)),0)</f>
        <v>-255.90245062606169</v>
      </c>
      <c r="L56" s="186">
        <f ca="1">IF(AND(CashSweep =1,(DebtSched!L54+DebtSched!L55)&gt;0), -MIN((DebtSched!L54+DebtSched!L55),(DebtSched!L14+DebtSched!L24+DebtSched!L41)),0)</f>
        <v>0</v>
      </c>
      <c r="M56" s="186">
        <f ca="1">IF(AND(CashSweep =1,(DebtSched!M54+DebtSched!M55)&gt;0), -MIN((DebtSched!M54+DebtSched!M55),(DebtSched!M14+DebtSched!M24+DebtSched!M41)),0)</f>
        <v>0</v>
      </c>
      <c r="N56" s="186">
        <f ca="1">IF(AND(CashSweep =1,(DebtSched!N54+DebtSched!N55)&gt;0), -MIN((DebtSched!N54+DebtSched!N55),(DebtSched!N14+DebtSched!N24+DebtSched!N41)),0)</f>
        <v>0</v>
      </c>
      <c r="O56" s="186">
        <f ca="1">IF(AND(CashSweep =1,(DebtSched!O54+DebtSched!O55)&gt;0), -MIN((DebtSched!O54+DebtSched!O55),(DebtSched!O14+DebtSched!O24+DebtSched!O41)),0)</f>
        <v>0</v>
      </c>
      <c r="P56" t="s">
        <v>438</v>
      </c>
    </row>
    <row r="57" spans="2:16" x14ac:dyDescent="0.25">
      <c r="B57" s="144" t="s">
        <v>236</v>
      </c>
      <c r="C57" s="141"/>
      <c r="D57" s="141"/>
      <c r="E57" s="141"/>
      <c r="F57" s="185">
        <f ca="1">SUM(F54:F56)</f>
        <v>1980</v>
      </c>
      <c r="G57" s="185">
        <f t="shared" ref="G57:O57" ca="1" si="19">SUM(G54:G56)</f>
        <v>1960</v>
      </c>
      <c r="H57" s="185">
        <f t="shared" ca="1" si="19"/>
        <v>1940</v>
      </c>
      <c r="I57" s="185">
        <f t="shared" ca="1" si="19"/>
        <v>1920</v>
      </c>
      <c r="J57" s="185">
        <f t="shared" ca="1" si="19"/>
        <v>1849.6049214371565</v>
      </c>
      <c r="K57" s="185">
        <f t="shared" ca="1" si="19"/>
        <v>1573.7024708110948</v>
      </c>
      <c r="L57" s="185">
        <f t="shared" ca="1" si="19"/>
        <v>0</v>
      </c>
      <c r="M57" s="185">
        <f t="shared" ca="1" si="19"/>
        <v>0</v>
      </c>
      <c r="N57" s="185">
        <f t="shared" ca="1" si="19"/>
        <v>0</v>
      </c>
      <c r="O57" s="185">
        <f t="shared" ca="1" si="19"/>
        <v>0</v>
      </c>
      <c r="P57" t="s">
        <v>438</v>
      </c>
    </row>
    <row r="58" spans="2:16" x14ac:dyDescent="0.25">
      <c r="B58" s="141"/>
      <c r="C58" s="141"/>
      <c r="D58" s="141"/>
      <c r="E58" s="141"/>
      <c r="F58" s="141"/>
      <c r="G58" s="141"/>
      <c r="H58" s="141"/>
      <c r="I58" s="141"/>
      <c r="J58" s="141"/>
      <c r="K58" s="141"/>
      <c r="L58" s="141"/>
      <c r="M58" s="141"/>
      <c r="N58" s="141"/>
      <c r="O58" s="141"/>
    </row>
    <row r="59" spans="2:16" x14ac:dyDescent="0.25">
      <c r="B59" s="141" t="s">
        <v>245</v>
      </c>
      <c r="C59" s="141"/>
      <c r="D59" s="141"/>
      <c r="E59" s="141"/>
      <c r="F59" s="210">
        <f>MAX($E$50,F6)+$E$49</f>
        <v>8.3499999999999991E-2</v>
      </c>
      <c r="G59" s="210">
        <f t="shared" ref="G59:O59" si="20">MAX($E$50,G6)+$E$49</f>
        <v>7.9500000000000001E-2</v>
      </c>
      <c r="H59" s="210">
        <f t="shared" si="20"/>
        <v>7.4499999999999997E-2</v>
      </c>
      <c r="I59" s="210">
        <f t="shared" si="20"/>
        <v>7.4499999999999997E-2</v>
      </c>
      <c r="J59" s="210">
        <f t="shared" si="20"/>
        <v>7.4499999999999997E-2</v>
      </c>
      <c r="K59" s="210">
        <f t="shared" si="20"/>
        <v>7.4499999999999997E-2</v>
      </c>
      <c r="L59" s="210">
        <f t="shared" si="20"/>
        <v>7.4499999999999997E-2</v>
      </c>
      <c r="M59" s="210">
        <f t="shared" si="20"/>
        <v>7.4499999999999997E-2</v>
      </c>
      <c r="N59" s="210">
        <f t="shared" si="20"/>
        <v>7.4499999999999997E-2</v>
      </c>
      <c r="O59" s="210">
        <f t="shared" si="20"/>
        <v>7.4499999999999997E-2</v>
      </c>
      <c r="P59" t="s">
        <v>438</v>
      </c>
    </row>
    <row r="60" spans="2:16" x14ac:dyDescent="0.25">
      <c r="B60" s="141" t="s">
        <v>63</v>
      </c>
      <c r="C60" s="141"/>
      <c r="D60" s="141"/>
      <c r="E60" s="141"/>
      <c r="F60" s="211">
        <f ca="1">((F54+F57)/2)*F59</f>
        <v>166.16499999999999</v>
      </c>
      <c r="G60" s="211">
        <f t="shared" ref="G60:O60" ca="1" si="21">((G54+G57)/2)*G59</f>
        <v>156.61500000000001</v>
      </c>
      <c r="H60" s="211">
        <f t="shared" ca="1" si="21"/>
        <v>145.27500000000001</v>
      </c>
      <c r="I60" s="211">
        <f t="shared" ca="1" si="21"/>
        <v>143.785</v>
      </c>
      <c r="J60" s="211">
        <f t="shared" ca="1" si="21"/>
        <v>140.41778332353408</v>
      </c>
      <c r="K60" s="211">
        <f t="shared" ca="1" si="21"/>
        <v>127.51820036124735</v>
      </c>
      <c r="L60" s="211">
        <f t="shared" ca="1" si="21"/>
        <v>58.620417037713281</v>
      </c>
      <c r="M60" s="211">
        <f t="shared" ca="1" si="21"/>
        <v>0</v>
      </c>
      <c r="N60" s="211">
        <f t="shared" ca="1" si="21"/>
        <v>0</v>
      </c>
      <c r="O60" s="211">
        <f t="shared" ca="1" si="21"/>
        <v>0</v>
      </c>
      <c r="P60" t="s">
        <v>438</v>
      </c>
    </row>
    <row r="62" spans="2:16" x14ac:dyDescent="0.25">
      <c r="B62" s="55" t="s">
        <v>247</v>
      </c>
    </row>
    <row r="63" spans="2:16" x14ac:dyDescent="0.25">
      <c r="B63" s="141" t="str">
        <f>B62&amp;" Size"</f>
        <v>Second Lien Size</v>
      </c>
      <c r="C63" s="141"/>
      <c r="D63" s="141"/>
      <c r="E63" s="145">
        <f>Summary!D12</f>
        <v>300</v>
      </c>
      <c r="F63" s="141"/>
      <c r="G63" s="141"/>
      <c r="H63" s="141"/>
      <c r="I63" s="141"/>
      <c r="J63" s="141"/>
      <c r="K63" s="141"/>
      <c r="L63" s="141"/>
      <c r="M63" s="141"/>
      <c r="N63" s="141"/>
      <c r="O63" s="141"/>
    </row>
    <row r="64" spans="2:16" x14ac:dyDescent="0.25">
      <c r="B64" s="141" t="s">
        <v>232</v>
      </c>
      <c r="C64" s="141"/>
      <c r="D64" s="141"/>
      <c r="E64" s="148">
        <v>4.4999999999999998E-2</v>
      </c>
      <c r="F64" s="141"/>
      <c r="G64" s="141"/>
      <c r="H64" s="141"/>
      <c r="I64" s="141"/>
      <c r="J64" s="141"/>
      <c r="K64" s="141"/>
      <c r="L64" s="141"/>
      <c r="M64" s="141"/>
      <c r="N64" s="141"/>
      <c r="O64" s="141"/>
    </row>
    <row r="65" spans="2:16" x14ac:dyDescent="0.25">
      <c r="B65" s="141" t="s">
        <v>456</v>
      </c>
      <c r="C65" s="141"/>
      <c r="D65" s="141"/>
      <c r="E65" s="148">
        <v>0</v>
      </c>
      <c r="F65" s="141"/>
      <c r="G65" s="141"/>
      <c r="H65" s="141"/>
      <c r="I65" s="141"/>
      <c r="J65" s="141"/>
      <c r="K65" s="141"/>
      <c r="L65" s="141"/>
      <c r="M65" s="141"/>
      <c r="N65" s="141"/>
      <c r="O65" s="141"/>
    </row>
    <row r="66" spans="2:16" x14ac:dyDescent="0.25">
      <c r="B66" s="141" t="s">
        <v>220</v>
      </c>
      <c r="C66" s="141"/>
      <c r="D66" s="141"/>
      <c r="E66" s="143">
        <v>3</v>
      </c>
      <c r="F66" s="141"/>
      <c r="G66" s="141"/>
      <c r="H66" s="141"/>
      <c r="I66" s="141"/>
      <c r="J66" s="141"/>
      <c r="K66" s="141"/>
      <c r="L66" s="141"/>
      <c r="M66" s="141"/>
      <c r="N66" s="141"/>
      <c r="O66" s="141"/>
    </row>
    <row r="67" spans="2:16" x14ac:dyDescent="0.25">
      <c r="B67" s="141"/>
      <c r="C67" s="141"/>
      <c r="D67" s="141"/>
      <c r="E67" s="231"/>
      <c r="F67" s="232">
        <v>0.25</v>
      </c>
      <c r="G67" s="232">
        <v>0.25</v>
      </c>
      <c r="H67" s="232">
        <v>0.25</v>
      </c>
      <c r="I67" s="232">
        <v>0.25</v>
      </c>
      <c r="J67" s="141"/>
      <c r="K67" s="141"/>
      <c r="L67" s="141"/>
      <c r="M67" s="141"/>
      <c r="N67" s="141"/>
      <c r="O67" s="141"/>
    </row>
    <row r="68" spans="2:16" x14ac:dyDescent="0.25">
      <c r="B68" s="141"/>
      <c r="C68" s="141"/>
      <c r="D68" s="141"/>
      <c r="E68" s="141"/>
      <c r="F68" s="141"/>
      <c r="G68" s="141"/>
      <c r="H68" s="141"/>
      <c r="I68" s="141"/>
      <c r="J68" s="141"/>
      <c r="K68" s="141"/>
      <c r="L68" s="141"/>
      <c r="M68" s="141"/>
      <c r="N68" s="141"/>
      <c r="O68" s="141"/>
    </row>
    <row r="69" spans="2:16" x14ac:dyDescent="0.25">
      <c r="B69" s="141" t="s">
        <v>234</v>
      </c>
      <c r="C69" s="141"/>
      <c r="D69" s="141"/>
      <c r="E69" s="141"/>
      <c r="F69" s="162">
        <f>BalSheet!H28</f>
        <v>300</v>
      </c>
      <c r="G69" s="162">
        <f>BalSheet!I28</f>
        <v>225</v>
      </c>
      <c r="H69" s="162">
        <f>BalSheet!J28</f>
        <v>150</v>
      </c>
      <c r="I69" s="162">
        <f>BalSheet!K28</f>
        <v>75</v>
      </c>
      <c r="J69" s="162">
        <f>BalSheet!L28</f>
        <v>0</v>
      </c>
      <c r="K69" s="162">
        <f>BalSheet!M28</f>
        <v>0</v>
      </c>
      <c r="L69" s="162">
        <f>BalSheet!N28</f>
        <v>0</v>
      </c>
      <c r="M69" s="162">
        <f>BalSheet!O28</f>
        <v>0</v>
      </c>
      <c r="N69" s="162">
        <f>BalSheet!P28</f>
        <v>0</v>
      </c>
      <c r="O69" s="162">
        <f>BalSheet!Q28</f>
        <v>0</v>
      </c>
    </row>
    <row r="70" spans="2:16" x14ac:dyDescent="0.25">
      <c r="B70" s="141" t="s">
        <v>243</v>
      </c>
      <c r="C70" s="141"/>
      <c r="D70" s="141"/>
      <c r="E70" s="141"/>
      <c r="F70" s="186">
        <f>-$E$63*F67</f>
        <v>-75</v>
      </c>
      <c r="G70" s="186">
        <f t="shared" ref="G70:I70" si="22">-$E$63*G67</f>
        <v>-75</v>
      </c>
      <c r="H70" s="186">
        <f t="shared" si="22"/>
        <v>-75</v>
      </c>
      <c r="I70" s="186">
        <f t="shared" si="22"/>
        <v>-75</v>
      </c>
      <c r="J70" s="233"/>
      <c r="K70" s="233"/>
      <c r="L70" s="233"/>
      <c r="M70" s="233"/>
      <c r="N70" s="233"/>
      <c r="O70" s="233"/>
      <c r="P70" t="s">
        <v>435</v>
      </c>
    </row>
    <row r="71" spans="2:16" x14ac:dyDescent="0.25">
      <c r="B71" s="144" t="s">
        <v>236</v>
      </c>
      <c r="C71" s="141"/>
      <c r="D71" s="141"/>
      <c r="E71" s="141"/>
      <c r="F71" s="193">
        <f>F69+F70</f>
        <v>225</v>
      </c>
      <c r="G71" s="193">
        <f t="shared" ref="G71:O71" si="23">G69+G70</f>
        <v>150</v>
      </c>
      <c r="H71" s="193">
        <f t="shared" si="23"/>
        <v>75</v>
      </c>
      <c r="I71" s="193">
        <f t="shared" si="23"/>
        <v>0</v>
      </c>
      <c r="J71" s="193">
        <f t="shared" si="23"/>
        <v>0</v>
      </c>
      <c r="K71" s="193">
        <f t="shared" si="23"/>
        <v>0</v>
      </c>
      <c r="L71" s="193">
        <f t="shared" si="23"/>
        <v>0</v>
      </c>
      <c r="M71" s="193">
        <f t="shared" si="23"/>
        <v>0</v>
      </c>
      <c r="N71" s="193">
        <f t="shared" si="23"/>
        <v>0</v>
      </c>
      <c r="O71" s="193">
        <f t="shared" si="23"/>
        <v>0</v>
      </c>
    </row>
    <row r="72" spans="2:16" x14ac:dyDescent="0.25">
      <c r="B72" s="141"/>
      <c r="C72" s="141"/>
      <c r="D72" s="141"/>
      <c r="E72" s="141"/>
      <c r="F72" s="141"/>
      <c r="G72" s="141"/>
      <c r="H72" s="141"/>
      <c r="I72" s="141"/>
      <c r="J72" s="141"/>
      <c r="K72" s="141"/>
      <c r="L72" s="141"/>
      <c r="M72" s="141"/>
      <c r="N72" s="141"/>
      <c r="O72" s="141"/>
    </row>
    <row r="73" spans="2:16" x14ac:dyDescent="0.25">
      <c r="B73" s="141" t="s">
        <v>237</v>
      </c>
      <c r="C73" s="141"/>
      <c r="D73" s="141"/>
      <c r="E73" s="141"/>
      <c r="F73" s="147">
        <f>IF(F$6&gt;$E65,F$6,$E65)+$E$64</f>
        <v>9.0999999999999998E-2</v>
      </c>
      <c r="G73" s="147">
        <f t="shared" ref="G73:O73" si="24">IF(G$6&gt;$E65,G$6,$E65)+$E$64</f>
        <v>8.6999999999999994E-2</v>
      </c>
      <c r="H73" s="147">
        <f t="shared" si="24"/>
        <v>8.199999999999999E-2</v>
      </c>
      <c r="I73" s="147">
        <f t="shared" si="24"/>
        <v>8.199999999999999E-2</v>
      </c>
      <c r="J73" s="147">
        <f t="shared" si="24"/>
        <v>8.199999999999999E-2</v>
      </c>
      <c r="K73" s="147">
        <f t="shared" si="24"/>
        <v>8.199999999999999E-2</v>
      </c>
      <c r="L73" s="147">
        <f t="shared" si="24"/>
        <v>8.199999999999999E-2</v>
      </c>
      <c r="M73" s="147">
        <f t="shared" si="24"/>
        <v>8.199999999999999E-2</v>
      </c>
      <c r="N73" s="147">
        <f t="shared" si="24"/>
        <v>8.199999999999999E-2</v>
      </c>
      <c r="O73" s="147">
        <f t="shared" si="24"/>
        <v>8.199999999999999E-2</v>
      </c>
    </row>
    <row r="74" spans="2:16" x14ac:dyDescent="0.25">
      <c r="B74" s="141" t="s">
        <v>63</v>
      </c>
      <c r="C74" s="141"/>
      <c r="D74" s="141"/>
      <c r="E74" s="141"/>
      <c r="F74" s="194">
        <f>AVERAGE(F69,F71)*F73</f>
        <v>23.887499999999999</v>
      </c>
      <c r="G74" s="194">
        <f t="shared" ref="G74:O74" si="25">AVERAGE(G69,G71)*G73</f>
        <v>16.3125</v>
      </c>
      <c r="H74" s="194">
        <f t="shared" si="25"/>
        <v>9.2249999999999996</v>
      </c>
      <c r="I74" s="194">
        <f t="shared" si="25"/>
        <v>3.0749999999999997</v>
      </c>
      <c r="J74" s="194">
        <f t="shared" si="25"/>
        <v>0</v>
      </c>
      <c r="K74" s="194">
        <f t="shared" si="25"/>
        <v>0</v>
      </c>
      <c r="L74" s="194">
        <f t="shared" si="25"/>
        <v>0</v>
      </c>
      <c r="M74" s="194">
        <f t="shared" si="25"/>
        <v>0</v>
      </c>
      <c r="N74" s="194">
        <f t="shared" si="25"/>
        <v>0</v>
      </c>
      <c r="O74" s="194">
        <f t="shared" si="25"/>
        <v>0</v>
      </c>
    </row>
    <row r="76" spans="2:16" x14ac:dyDescent="0.25">
      <c r="B76" s="55" t="s">
        <v>17</v>
      </c>
    </row>
    <row r="77" spans="2:16" x14ac:dyDescent="0.25">
      <c r="B77" s="141" t="str">
        <f>B76&amp;" Size"</f>
        <v>Senior Notes Size</v>
      </c>
      <c r="C77" s="141"/>
      <c r="D77" s="141"/>
      <c r="E77" s="162">
        <f>Summary!D13</f>
        <v>1000</v>
      </c>
      <c r="F77" s="141"/>
      <c r="G77" s="141"/>
      <c r="H77" s="141"/>
      <c r="I77" s="141"/>
      <c r="J77" s="141"/>
      <c r="K77" s="141"/>
      <c r="L77" s="141"/>
      <c r="M77" s="141"/>
      <c r="N77" s="141"/>
      <c r="O77" s="141"/>
    </row>
    <row r="78" spans="2:16" x14ac:dyDescent="0.25">
      <c r="B78" s="141" t="s">
        <v>248</v>
      </c>
      <c r="C78" s="141"/>
      <c r="D78" s="141"/>
      <c r="E78" s="148">
        <v>8.7499999999999994E-2</v>
      </c>
      <c r="F78" s="141"/>
      <c r="G78" s="141"/>
      <c r="H78" s="141"/>
      <c r="I78" s="141"/>
      <c r="J78" s="141"/>
      <c r="K78" s="141"/>
      <c r="L78" s="141"/>
      <c r="M78" s="141"/>
      <c r="N78" s="141"/>
      <c r="O78" s="141"/>
    </row>
    <row r="79" spans="2:16" x14ac:dyDescent="0.25">
      <c r="B79" s="141" t="s">
        <v>220</v>
      </c>
      <c r="C79" s="141"/>
      <c r="D79" s="141"/>
      <c r="E79" s="143">
        <v>10</v>
      </c>
      <c r="F79" s="141"/>
      <c r="G79" s="141"/>
      <c r="H79" s="141"/>
      <c r="I79" s="141"/>
      <c r="J79" s="141"/>
      <c r="K79" s="141"/>
      <c r="L79" s="141"/>
      <c r="M79" s="141"/>
      <c r="N79" s="141"/>
      <c r="O79" s="141"/>
    </row>
    <row r="80" spans="2:16" x14ac:dyDescent="0.25">
      <c r="B80" s="141"/>
      <c r="C80" s="141"/>
      <c r="D80" s="141"/>
      <c r="E80" s="141"/>
      <c r="F80" s="141"/>
      <c r="G80" s="141"/>
      <c r="H80" s="141"/>
      <c r="I80" s="141"/>
      <c r="J80" s="141"/>
      <c r="K80" s="141"/>
      <c r="L80" s="141"/>
      <c r="M80" s="141"/>
      <c r="N80" s="141"/>
      <c r="O80" s="141"/>
    </row>
    <row r="81" spans="2:16" x14ac:dyDescent="0.25">
      <c r="B81" s="141" t="s">
        <v>234</v>
      </c>
      <c r="C81" s="141"/>
      <c r="D81" s="141"/>
      <c r="E81" s="141"/>
      <c r="F81" s="162">
        <f>BalSheet!H29</f>
        <v>1000</v>
      </c>
      <c r="G81" s="162">
        <f>BalSheet!I29</f>
        <v>1000</v>
      </c>
      <c r="H81" s="162">
        <f>BalSheet!J29</f>
        <v>1000</v>
      </c>
      <c r="I81" s="162">
        <f>BalSheet!K29</f>
        <v>1000</v>
      </c>
      <c r="J81" s="162">
        <f>BalSheet!L29</f>
        <v>1000</v>
      </c>
      <c r="K81" s="162">
        <f>BalSheet!M29</f>
        <v>1000</v>
      </c>
      <c r="L81" s="162">
        <f>BalSheet!N29</f>
        <v>1000</v>
      </c>
      <c r="M81" s="162">
        <f>BalSheet!O29</f>
        <v>1000</v>
      </c>
      <c r="N81" s="162">
        <f>BalSheet!P29</f>
        <v>1000</v>
      </c>
      <c r="O81" s="162">
        <f>BalSheet!Q29</f>
        <v>1000</v>
      </c>
    </row>
    <row r="82" spans="2:16" x14ac:dyDescent="0.25">
      <c r="B82" s="141" t="s">
        <v>457</v>
      </c>
      <c r="C82" s="141"/>
      <c r="D82" s="141"/>
      <c r="E82" s="141"/>
      <c r="F82" s="186">
        <f>IF($E$79=F4,-$E$77,0)</f>
        <v>0</v>
      </c>
      <c r="G82" s="186">
        <f t="shared" ref="G82:O82" si="26">IF($E$79=G4,-$E$77,0)</f>
        <v>0</v>
      </c>
      <c r="H82" s="186">
        <f t="shared" si="26"/>
        <v>0</v>
      </c>
      <c r="I82" s="186">
        <f t="shared" si="26"/>
        <v>0</v>
      </c>
      <c r="J82" s="186">
        <f t="shared" si="26"/>
        <v>0</v>
      </c>
      <c r="K82" s="186">
        <f t="shared" si="26"/>
        <v>0</v>
      </c>
      <c r="L82" s="186">
        <f t="shared" si="26"/>
        <v>0</v>
      </c>
      <c r="M82" s="186">
        <f t="shared" si="26"/>
        <v>0</v>
      </c>
      <c r="N82" s="186">
        <f t="shared" si="26"/>
        <v>0</v>
      </c>
      <c r="O82" s="186">
        <f t="shared" si="26"/>
        <v>-1000</v>
      </c>
      <c r="P82" t="s">
        <v>438</v>
      </c>
    </row>
    <row r="83" spans="2:16" x14ac:dyDescent="0.25">
      <c r="B83" s="144" t="s">
        <v>236</v>
      </c>
      <c r="C83" s="141"/>
      <c r="D83" s="141"/>
      <c r="E83" s="141"/>
      <c r="F83" s="193">
        <f>F81+F82</f>
        <v>1000</v>
      </c>
      <c r="G83" s="193">
        <f t="shared" ref="G83" si="27">G81+G82</f>
        <v>1000</v>
      </c>
      <c r="H83" s="193">
        <f t="shared" ref="H83" si="28">H81+H82</f>
        <v>1000</v>
      </c>
      <c r="I83" s="193">
        <f t="shared" ref="I83" si="29">I81+I82</f>
        <v>1000</v>
      </c>
      <c r="J83" s="193">
        <f t="shared" ref="J83" si="30">J81+J82</f>
        <v>1000</v>
      </c>
      <c r="K83" s="193">
        <f t="shared" ref="K83" si="31">K81+K82</f>
        <v>1000</v>
      </c>
      <c r="L83" s="193">
        <f t="shared" ref="L83" si="32">L81+L82</f>
        <v>1000</v>
      </c>
      <c r="M83" s="193">
        <f t="shared" ref="M83" si="33">M81+M82</f>
        <v>1000</v>
      </c>
      <c r="N83" s="193">
        <f t="shared" ref="N83" si="34">N81+N82</f>
        <v>1000</v>
      </c>
      <c r="O83" s="193">
        <f t="shared" ref="O83" si="35">O81+O82</f>
        <v>0</v>
      </c>
    </row>
    <row r="84" spans="2:16" x14ac:dyDescent="0.25">
      <c r="B84" s="141"/>
      <c r="C84" s="141"/>
      <c r="D84" s="141"/>
      <c r="E84" s="141"/>
      <c r="F84" s="141"/>
      <c r="G84" s="141"/>
      <c r="H84" s="141"/>
      <c r="I84" s="141"/>
      <c r="J84" s="141"/>
      <c r="K84" s="141"/>
      <c r="L84" s="141"/>
      <c r="M84" s="141"/>
      <c r="N84" s="141"/>
      <c r="O84" s="141"/>
    </row>
    <row r="85" spans="2:16" x14ac:dyDescent="0.25">
      <c r="B85" s="141" t="s">
        <v>63</v>
      </c>
      <c r="C85" s="141"/>
      <c r="D85" s="141"/>
      <c r="E85" s="141"/>
      <c r="F85" s="211">
        <f>F81*$E$78</f>
        <v>87.5</v>
      </c>
      <c r="G85" s="211">
        <f t="shared" ref="G85:O85" si="36">G81*$E$78</f>
        <v>87.5</v>
      </c>
      <c r="H85" s="211">
        <f t="shared" si="36"/>
        <v>87.5</v>
      </c>
      <c r="I85" s="211">
        <f t="shared" si="36"/>
        <v>87.5</v>
      </c>
      <c r="J85" s="211">
        <f t="shared" si="36"/>
        <v>87.5</v>
      </c>
      <c r="K85" s="211">
        <f t="shared" si="36"/>
        <v>87.5</v>
      </c>
      <c r="L85" s="211">
        <f t="shared" si="36"/>
        <v>87.5</v>
      </c>
      <c r="M85" s="211">
        <f t="shared" si="36"/>
        <v>87.5</v>
      </c>
      <c r="N85" s="211">
        <f t="shared" si="36"/>
        <v>87.5</v>
      </c>
      <c r="O85" s="211">
        <f t="shared" si="36"/>
        <v>87.5</v>
      </c>
      <c r="P85" t="s">
        <v>435</v>
      </c>
    </row>
    <row r="87" spans="2:16" x14ac:dyDescent="0.25">
      <c r="B87" s="55" t="s">
        <v>18</v>
      </c>
    </row>
    <row r="88" spans="2:16" x14ac:dyDescent="0.25">
      <c r="B88" s="141" t="str">
        <f>B87&amp;" Size"</f>
        <v>Senior Subordinated Notes Size</v>
      </c>
      <c r="C88" s="141"/>
      <c r="D88" s="141"/>
      <c r="E88" s="162">
        <f>Summary!D14</f>
        <v>1000</v>
      </c>
      <c r="F88" s="141"/>
      <c r="G88" s="141"/>
      <c r="H88" s="141"/>
      <c r="I88" s="141"/>
      <c r="J88" s="141"/>
      <c r="K88" s="141"/>
      <c r="L88" s="141"/>
      <c r="M88" s="141"/>
      <c r="N88" s="141"/>
      <c r="O88" s="141"/>
    </row>
    <row r="89" spans="2:16" x14ac:dyDescent="0.25">
      <c r="B89" s="141" t="s">
        <v>248</v>
      </c>
      <c r="C89" s="141"/>
      <c r="D89" s="141"/>
      <c r="E89" s="148">
        <v>0.09</v>
      </c>
      <c r="F89" s="141"/>
      <c r="G89" s="141"/>
      <c r="H89" s="141"/>
      <c r="I89" s="141"/>
      <c r="J89" s="141"/>
      <c r="K89" s="141"/>
      <c r="L89" s="141"/>
      <c r="M89" s="141"/>
      <c r="N89" s="141"/>
      <c r="O89" s="141"/>
    </row>
    <row r="90" spans="2:16" x14ac:dyDescent="0.25">
      <c r="B90" s="141" t="s">
        <v>220</v>
      </c>
      <c r="C90" s="141"/>
      <c r="D90" s="141"/>
      <c r="E90" s="143">
        <v>8</v>
      </c>
      <c r="F90" s="141"/>
      <c r="G90" s="141"/>
      <c r="H90" s="141"/>
      <c r="I90" s="141"/>
      <c r="J90" s="141"/>
      <c r="K90" s="141"/>
      <c r="L90" s="141"/>
      <c r="M90" s="141"/>
      <c r="N90" s="141"/>
      <c r="O90" s="141"/>
    </row>
    <row r="91" spans="2:16" x14ac:dyDescent="0.25">
      <c r="B91" s="141"/>
      <c r="C91" s="141"/>
      <c r="D91" s="141"/>
      <c r="E91" s="141"/>
      <c r="F91" s="141"/>
      <c r="G91" s="141"/>
      <c r="H91" s="141"/>
      <c r="I91" s="141"/>
      <c r="J91" s="141"/>
      <c r="K91" s="141"/>
      <c r="L91" s="141"/>
      <c r="M91" s="141"/>
      <c r="N91" s="141"/>
      <c r="O91" s="141"/>
    </row>
    <row r="92" spans="2:16" x14ac:dyDescent="0.25">
      <c r="B92" s="141" t="s">
        <v>234</v>
      </c>
      <c r="C92" s="141"/>
      <c r="D92" s="141"/>
      <c r="E92" s="141"/>
      <c r="F92" s="162">
        <f>BalSheet!H31</f>
        <v>1000</v>
      </c>
      <c r="G92" s="162">
        <f>BalSheet!I31</f>
        <v>1000</v>
      </c>
      <c r="H92" s="162">
        <f>BalSheet!J31</f>
        <v>1000</v>
      </c>
      <c r="I92" s="162">
        <f>BalSheet!K31</f>
        <v>1000</v>
      </c>
      <c r="J92" s="162">
        <f>BalSheet!L31</f>
        <v>1000</v>
      </c>
      <c r="K92" s="162">
        <f>BalSheet!M31</f>
        <v>1000</v>
      </c>
      <c r="L92" s="162">
        <f>BalSheet!N31</f>
        <v>1000</v>
      </c>
      <c r="M92" s="162">
        <f>BalSheet!O31</f>
        <v>1000</v>
      </c>
      <c r="N92" s="162">
        <f>BalSheet!P31</f>
        <v>0</v>
      </c>
      <c r="O92" s="162">
        <f>BalSheet!Q31</f>
        <v>0</v>
      </c>
    </row>
    <row r="93" spans="2:16" x14ac:dyDescent="0.25">
      <c r="B93" s="141" t="s">
        <v>457</v>
      </c>
      <c r="C93" s="141"/>
      <c r="D93" s="141"/>
      <c r="E93" s="141"/>
      <c r="F93" s="186">
        <f>IF($E$90=F4,-$E$88,0)</f>
        <v>0</v>
      </c>
      <c r="G93" s="186">
        <f t="shared" ref="G93:O93" si="37">IF($E$90=G4,-$E$88,0)</f>
        <v>0</v>
      </c>
      <c r="H93" s="186">
        <f t="shared" si="37"/>
        <v>0</v>
      </c>
      <c r="I93" s="186">
        <f t="shared" si="37"/>
        <v>0</v>
      </c>
      <c r="J93" s="186">
        <f t="shared" si="37"/>
        <v>0</v>
      </c>
      <c r="K93" s="186">
        <f t="shared" si="37"/>
        <v>0</v>
      </c>
      <c r="L93" s="186">
        <f t="shared" si="37"/>
        <v>0</v>
      </c>
      <c r="M93" s="186">
        <f t="shared" si="37"/>
        <v>-1000</v>
      </c>
      <c r="N93" s="186">
        <f t="shared" si="37"/>
        <v>0</v>
      </c>
      <c r="O93" s="186">
        <f t="shared" si="37"/>
        <v>0</v>
      </c>
      <c r="P93" t="s">
        <v>438</v>
      </c>
    </row>
    <row r="94" spans="2:16" x14ac:dyDescent="0.25">
      <c r="B94" s="144" t="s">
        <v>236</v>
      </c>
      <c r="C94" s="141"/>
      <c r="D94" s="141"/>
      <c r="E94" s="141"/>
      <c r="F94" s="193">
        <f>F92+F93</f>
        <v>1000</v>
      </c>
      <c r="G94" s="193">
        <f t="shared" ref="G94" si="38">G92+G93</f>
        <v>1000</v>
      </c>
      <c r="H94" s="193">
        <f t="shared" ref="H94" si="39">H92+H93</f>
        <v>1000</v>
      </c>
      <c r="I94" s="193">
        <f t="shared" ref="I94" si="40">I92+I93</f>
        <v>1000</v>
      </c>
      <c r="J94" s="193">
        <f t="shared" ref="J94" si="41">J92+J93</f>
        <v>1000</v>
      </c>
      <c r="K94" s="193">
        <f t="shared" ref="K94" si="42">K92+K93</f>
        <v>1000</v>
      </c>
      <c r="L94" s="193">
        <f t="shared" ref="L94" si="43">L92+L93</f>
        <v>1000</v>
      </c>
      <c r="M94" s="193">
        <f t="shared" ref="M94" si="44">M92+M93</f>
        <v>0</v>
      </c>
      <c r="N94" s="193">
        <f t="shared" ref="N94" si="45">N92+N93</f>
        <v>0</v>
      </c>
      <c r="O94" s="193">
        <f t="shared" ref="O94" si="46">O92+O93</f>
        <v>0</v>
      </c>
    </row>
    <row r="95" spans="2:16" x14ac:dyDescent="0.25">
      <c r="B95" s="141"/>
      <c r="C95" s="141"/>
      <c r="D95" s="141"/>
      <c r="E95" s="141"/>
      <c r="F95" s="141"/>
      <c r="G95" s="141"/>
      <c r="H95" s="141"/>
      <c r="I95" s="141"/>
      <c r="J95" s="141"/>
      <c r="K95" s="141"/>
      <c r="L95" s="141"/>
      <c r="M95" s="141"/>
      <c r="N95" s="141"/>
      <c r="O95" s="141"/>
    </row>
    <row r="96" spans="2:16" x14ac:dyDescent="0.25">
      <c r="B96" s="141" t="s">
        <v>63</v>
      </c>
      <c r="C96" s="141"/>
      <c r="D96" s="141"/>
      <c r="E96" s="141"/>
      <c r="F96" s="211">
        <f>F92*$E$89</f>
        <v>90</v>
      </c>
      <c r="G96" s="211">
        <f t="shared" ref="G96:O96" si="47">G92*$E$89</f>
        <v>90</v>
      </c>
      <c r="H96" s="211">
        <f t="shared" si="47"/>
        <v>90</v>
      </c>
      <c r="I96" s="211">
        <f t="shared" si="47"/>
        <v>90</v>
      </c>
      <c r="J96" s="211">
        <f t="shared" si="47"/>
        <v>90</v>
      </c>
      <c r="K96" s="211">
        <f t="shared" si="47"/>
        <v>90</v>
      </c>
      <c r="L96" s="211">
        <f t="shared" si="47"/>
        <v>90</v>
      </c>
      <c r="M96" s="211">
        <f t="shared" si="47"/>
        <v>90</v>
      </c>
      <c r="N96" s="211">
        <f t="shared" si="47"/>
        <v>0</v>
      </c>
      <c r="O96" s="211">
        <f t="shared" si="47"/>
        <v>0</v>
      </c>
      <c r="P96" t="s">
        <v>435</v>
      </c>
    </row>
    <row r="1000" spans="648:648" ht="15" x14ac:dyDescent="0.25">
      <c r="XX1000" s="248">
        <v>127155</v>
      </c>
    </row>
  </sheetData>
  <mergeCells count="1">
    <mergeCell ref="F3:O3"/>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4AC46-627A-4897-B30E-D5C2D4D440F4}">
  <dimension ref="B1:XX1000"/>
  <sheetViews>
    <sheetView showGridLines="0" zoomScale="85" zoomScaleNormal="85" workbookViewId="0">
      <selection activeCell="N13" sqref="N13"/>
    </sheetView>
  </sheetViews>
  <sheetFormatPr defaultColWidth="8.796875" defaultRowHeight="13.8" x14ac:dyDescent="0.25"/>
  <cols>
    <col min="1" max="1" width="1.69921875" customWidth="1"/>
    <col min="2" max="15" width="12.69921875" customWidth="1"/>
  </cols>
  <sheetData>
    <row r="1" spans="2:15" ht="14.4" x14ac:dyDescent="0.3">
      <c r="B1" s="1" t="str">
        <f>Summary!$B$3</f>
        <v>($ in millions, fiscal year ending December 31)</v>
      </c>
    </row>
    <row r="2" spans="2:15" x14ac:dyDescent="0.25">
      <c r="B2" s="4" t="s">
        <v>122</v>
      </c>
      <c r="C2" s="3"/>
      <c r="D2" s="3"/>
      <c r="E2" s="3"/>
      <c r="F2" s="3"/>
      <c r="G2" s="3"/>
      <c r="H2" s="3"/>
      <c r="I2" s="3"/>
      <c r="J2" s="3"/>
      <c r="K2" s="3"/>
      <c r="L2" s="3"/>
      <c r="M2" s="3"/>
      <c r="N2" s="3"/>
      <c r="O2" s="61"/>
    </row>
    <row r="4" spans="2:15" x14ac:dyDescent="0.25">
      <c r="B4" s="136" t="s">
        <v>123</v>
      </c>
      <c r="C4" s="137"/>
      <c r="D4" s="137"/>
      <c r="E4" s="137"/>
      <c r="F4" s="137"/>
      <c r="G4" s="137"/>
      <c r="H4" s="138"/>
      <c r="J4" s="136" t="s">
        <v>25</v>
      </c>
      <c r="K4" s="137"/>
      <c r="L4" s="137"/>
      <c r="M4" s="137"/>
      <c r="N4" s="138"/>
    </row>
    <row r="5" spans="2:15" x14ac:dyDescent="0.25">
      <c r="B5" s="149"/>
      <c r="C5" s="141"/>
      <c r="D5" s="256" t="s">
        <v>124</v>
      </c>
      <c r="E5" s="256"/>
      <c r="F5" s="256"/>
      <c r="G5" s="256"/>
      <c r="H5" s="257"/>
      <c r="J5" s="149"/>
      <c r="K5" s="141"/>
      <c r="L5" s="141"/>
      <c r="M5" s="141"/>
      <c r="N5" s="156"/>
    </row>
    <row r="6" spans="2:15" x14ac:dyDescent="0.25">
      <c r="B6" s="149"/>
      <c r="C6" s="141"/>
      <c r="D6" s="158">
        <v>1</v>
      </c>
      <c r="E6" s="158">
        <f>D6+1</f>
        <v>2</v>
      </c>
      <c r="F6" s="158">
        <f t="shared" ref="F6:H6" si="0">E6+1</f>
        <v>3</v>
      </c>
      <c r="G6" s="158">
        <f t="shared" si="0"/>
        <v>4</v>
      </c>
      <c r="H6" s="159">
        <f t="shared" si="0"/>
        <v>5</v>
      </c>
      <c r="J6" s="149" t="s">
        <v>133</v>
      </c>
      <c r="K6" s="141"/>
      <c r="L6" s="141"/>
      <c r="M6" s="141"/>
      <c r="N6" s="178">
        <f>RetAnalysis!E6</f>
        <v>10.5</v>
      </c>
    </row>
    <row r="7" spans="2:15" x14ac:dyDescent="0.25">
      <c r="B7" s="150" t="s">
        <v>12</v>
      </c>
      <c r="C7" s="151"/>
      <c r="D7" s="160" t="str">
        <f>"Structure "&amp;D6</f>
        <v>Structure 1</v>
      </c>
      <c r="E7" s="160" t="str">
        <f t="shared" ref="E7:G7" si="1">"Structure "&amp;E6</f>
        <v>Structure 2</v>
      </c>
      <c r="F7" s="160" t="str">
        <f t="shared" si="1"/>
        <v>Structure 3</v>
      </c>
      <c r="G7" s="160" t="str">
        <f t="shared" si="1"/>
        <v>Structure 4</v>
      </c>
      <c r="H7" s="161" t="s">
        <v>127</v>
      </c>
      <c r="J7" s="149" t="str">
        <f>"LTM "&amp;TEXT(Summary!G26,"mm/dd/yyyy")&amp;" EBITDA"</f>
        <v>LTM 09/30/2024 EBITDA</v>
      </c>
      <c r="K7" s="141"/>
      <c r="L7" s="141"/>
      <c r="M7" s="141"/>
      <c r="N7" s="164">
        <f>IncStmt!H17</f>
        <v>637.94682422451967</v>
      </c>
    </row>
    <row r="8" spans="2:15" ht="14.4" thickBot="1" x14ac:dyDescent="0.3">
      <c r="B8" s="149" t="s">
        <v>125</v>
      </c>
      <c r="C8" s="141"/>
      <c r="D8" s="165">
        <v>500</v>
      </c>
      <c r="E8" s="165">
        <v>500</v>
      </c>
      <c r="F8" s="165">
        <v>500</v>
      </c>
      <c r="G8" s="165">
        <v>500</v>
      </c>
      <c r="H8" s="166">
        <v>0</v>
      </c>
      <c r="J8" s="152" t="s">
        <v>134</v>
      </c>
      <c r="K8" s="141"/>
      <c r="L8" s="141"/>
      <c r="M8" s="141"/>
      <c r="N8" s="179">
        <f>N6*N7</f>
        <v>6698.4416543574562</v>
      </c>
    </row>
    <row r="9" spans="2:15" ht="14.4" thickTop="1" x14ac:dyDescent="0.25">
      <c r="B9" s="149" t="s">
        <v>126</v>
      </c>
      <c r="C9" s="141"/>
      <c r="D9" s="237"/>
      <c r="E9" s="237"/>
      <c r="F9" s="237"/>
      <c r="G9" s="237"/>
      <c r="H9" s="234">
        <v>0</v>
      </c>
      <c r="J9" s="149"/>
      <c r="K9" s="141"/>
      <c r="L9" s="141"/>
      <c r="M9" s="141"/>
      <c r="N9" s="156"/>
    </row>
    <row r="10" spans="2:15" x14ac:dyDescent="0.25">
      <c r="B10" s="149" t="s">
        <v>14</v>
      </c>
      <c r="C10" s="141"/>
      <c r="D10" s="80">
        <v>1000</v>
      </c>
      <c r="E10" s="80">
        <v>750</v>
      </c>
      <c r="F10" s="80">
        <v>500</v>
      </c>
      <c r="G10" s="80">
        <v>500</v>
      </c>
      <c r="H10" s="81">
        <v>0</v>
      </c>
      <c r="J10" s="149" t="s">
        <v>168</v>
      </c>
      <c r="K10" s="141"/>
      <c r="L10" s="141"/>
      <c r="M10" s="141"/>
      <c r="N10" s="164">
        <f>-SUM(N19:N20)</f>
        <v>-1500</v>
      </c>
    </row>
    <row r="11" spans="2:15" x14ac:dyDescent="0.25">
      <c r="B11" s="149" t="s">
        <v>15</v>
      </c>
      <c r="C11" s="141"/>
      <c r="D11" s="80">
        <v>1750</v>
      </c>
      <c r="E11" s="80">
        <v>2000</v>
      </c>
      <c r="F11" s="80">
        <v>2000</v>
      </c>
      <c r="G11" s="80">
        <v>1500</v>
      </c>
      <c r="H11" s="81">
        <v>0</v>
      </c>
      <c r="J11" s="149" t="s">
        <v>169</v>
      </c>
      <c r="K11" s="141"/>
      <c r="L11" s="141"/>
      <c r="M11" s="141"/>
      <c r="N11" s="213">
        <v>0</v>
      </c>
      <c r="O11" t="s">
        <v>442</v>
      </c>
    </row>
    <row r="12" spans="2:15" x14ac:dyDescent="0.25">
      <c r="B12" s="149" t="s">
        <v>16</v>
      </c>
      <c r="C12" s="141"/>
      <c r="D12" s="80"/>
      <c r="E12" s="80"/>
      <c r="F12" s="80">
        <v>300</v>
      </c>
      <c r="G12" s="80">
        <v>600</v>
      </c>
      <c r="H12" s="81">
        <v>0</v>
      </c>
      <c r="J12" s="149" t="s">
        <v>170</v>
      </c>
      <c r="K12" s="141"/>
      <c r="L12" s="141"/>
      <c r="M12" s="141"/>
      <c r="N12" s="213">
        <f>-BalSheet!E37</f>
        <v>0</v>
      </c>
      <c r="O12" t="s">
        <v>442</v>
      </c>
    </row>
    <row r="13" spans="2:15" x14ac:dyDescent="0.25">
      <c r="B13" s="149" t="s">
        <v>17</v>
      </c>
      <c r="C13" s="141"/>
      <c r="D13" s="80">
        <v>1000</v>
      </c>
      <c r="E13" s="80">
        <v>1000</v>
      </c>
      <c r="F13" s="80">
        <v>1000</v>
      </c>
      <c r="G13" s="80">
        <v>1500</v>
      </c>
      <c r="H13" s="81">
        <v>0</v>
      </c>
      <c r="J13" s="149" t="s">
        <v>171</v>
      </c>
      <c r="K13" s="141"/>
      <c r="L13" s="141"/>
      <c r="M13" s="141"/>
      <c r="N13" s="213">
        <f>BalSheet!E6</f>
        <v>250</v>
      </c>
      <c r="O13" t="s">
        <v>442</v>
      </c>
    </row>
    <row r="14" spans="2:15" ht="14.4" thickBot="1" x14ac:dyDescent="0.3">
      <c r="B14" s="149" t="s">
        <v>18</v>
      </c>
      <c r="C14" s="141"/>
      <c r="D14" s="80">
        <v>250</v>
      </c>
      <c r="E14" s="80">
        <v>650</v>
      </c>
      <c r="F14" s="80">
        <v>1000</v>
      </c>
      <c r="G14" s="80">
        <v>1200</v>
      </c>
      <c r="H14" s="81">
        <v>0</v>
      </c>
      <c r="J14" s="152" t="s">
        <v>28</v>
      </c>
      <c r="K14" s="141"/>
      <c r="L14" s="141"/>
      <c r="M14" s="141"/>
      <c r="N14" s="179">
        <f>N8+SUM(N10:N13)</f>
        <v>5448.4416543574562</v>
      </c>
    </row>
    <row r="15" spans="2:15" ht="14.4" thickTop="1" x14ac:dyDescent="0.25">
      <c r="B15" s="149" t="s">
        <v>19</v>
      </c>
      <c r="C15" s="141"/>
      <c r="D15" s="146">
        <f>SUM(D22:D28)-SUM(D9:D14,D16)</f>
        <v>2868.4416543574562</v>
      </c>
      <c r="E15" s="146">
        <f>SUM(E22:E28)-SUM(E9:E14,E16)</f>
        <v>2478.4416543574562</v>
      </c>
      <c r="F15" s="146">
        <f>SUM(F22:F28)-SUM(F9:F14,F16)</f>
        <v>2088.4416543574562</v>
      </c>
      <c r="G15" s="146">
        <f>SUM(G22:G28)-SUM(G9:G14,G16)</f>
        <v>1598.4416543574562</v>
      </c>
      <c r="H15" s="164">
        <f>SUM(H22:H28)-SUM(H9:H14,H16)</f>
        <v>0</v>
      </c>
      <c r="J15" s="153"/>
      <c r="K15" s="151"/>
      <c r="L15" s="151"/>
      <c r="M15" s="151"/>
      <c r="N15" s="157"/>
    </row>
    <row r="16" spans="2:15" x14ac:dyDescent="0.25">
      <c r="B16" s="149" t="s">
        <v>20</v>
      </c>
      <c r="C16" s="141"/>
      <c r="D16" s="80">
        <f>BalSheet!$E$6</f>
        <v>250</v>
      </c>
      <c r="E16" s="80">
        <f>BalSheet!$E$6</f>
        <v>250</v>
      </c>
      <c r="F16" s="80">
        <f>BalSheet!$E$6</f>
        <v>250</v>
      </c>
      <c r="G16" s="80">
        <f>BalSheet!$E$6</f>
        <v>250</v>
      </c>
      <c r="H16" s="81">
        <v>0</v>
      </c>
    </row>
    <row r="17" spans="2:14" ht="14.4" thickBot="1" x14ac:dyDescent="0.3">
      <c r="B17" s="152" t="s">
        <v>128</v>
      </c>
      <c r="C17" s="141"/>
      <c r="D17" s="154">
        <f>SUM(D9:D16)</f>
        <v>7118.4416543574562</v>
      </c>
      <c r="E17" s="154">
        <f t="shared" ref="E17:H17" si="2">SUM(E9:E16)</f>
        <v>7128.4416543574562</v>
      </c>
      <c r="F17" s="154">
        <f t="shared" si="2"/>
        <v>7138.4416543574562</v>
      </c>
      <c r="G17" s="154">
        <f t="shared" si="2"/>
        <v>7148.4416543574562</v>
      </c>
      <c r="H17" s="155">
        <f t="shared" si="2"/>
        <v>0</v>
      </c>
    </row>
    <row r="18" spans="2:14" ht="14.4" thickTop="1" x14ac:dyDescent="0.25">
      <c r="B18" s="149"/>
      <c r="C18" s="141"/>
      <c r="D18" s="223"/>
      <c r="E18" s="223"/>
      <c r="F18" s="223"/>
      <c r="G18" s="223"/>
      <c r="H18" s="222"/>
      <c r="J18" s="180" t="s">
        <v>240</v>
      </c>
      <c r="K18" s="181"/>
      <c r="L18" s="181"/>
      <c r="M18" s="181"/>
      <c r="N18" s="182"/>
    </row>
    <row r="19" spans="2:14" x14ac:dyDescent="0.25">
      <c r="B19" s="152" t="s">
        <v>258</v>
      </c>
      <c r="C19" s="141"/>
      <c r="D19" s="226">
        <f>D15/D17</f>
        <v>0.40295921405797841</v>
      </c>
      <c r="E19" s="226">
        <f t="shared" ref="E19:G19" si="3">E15/E17</f>
        <v>0.34768351549071608</v>
      </c>
      <c r="F19" s="226">
        <f t="shared" si="3"/>
        <v>0.29256268461375279</v>
      </c>
      <c r="G19" s="226">
        <f t="shared" si="3"/>
        <v>0.22360700858250671</v>
      </c>
      <c r="H19" s="227"/>
      <c r="J19" s="149" t="s">
        <v>112</v>
      </c>
      <c r="K19" s="141"/>
      <c r="L19" s="141"/>
      <c r="M19" s="141"/>
      <c r="N19" s="234">
        <f>BalSheet!E27</f>
        <v>1000</v>
      </c>
    </row>
    <row r="20" spans="2:14" x14ac:dyDescent="0.25">
      <c r="B20" s="149"/>
      <c r="C20" s="141"/>
      <c r="D20" s="223"/>
      <c r="E20" s="223"/>
      <c r="F20" s="223"/>
      <c r="G20" s="223"/>
      <c r="H20" s="224"/>
      <c r="J20" s="153" t="s">
        <v>113</v>
      </c>
      <c r="K20" s="151"/>
      <c r="L20" s="151"/>
      <c r="M20" s="151"/>
      <c r="N20" s="235">
        <f>BalSheet!E30</f>
        <v>500</v>
      </c>
    </row>
    <row r="21" spans="2:14" x14ac:dyDescent="0.25">
      <c r="B21" s="150" t="s">
        <v>10</v>
      </c>
      <c r="C21" s="151"/>
      <c r="D21" s="151"/>
      <c r="E21" s="151"/>
      <c r="F21" s="151"/>
      <c r="G21" s="151"/>
      <c r="H21" s="157"/>
    </row>
    <row r="22" spans="2:14" x14ac:dyDescent="0.25">
      <c r="B22" s="149" t="s">
        <v>27</v>
      </c>
      <c r="C22" s="141"/>
      <c r="D22" s="162">
        <f>N14</f>
        <v>5448.4416543574562</v>
      </c>
      <c r="E22" s="162">
        <f>D22</f>
        <v>5448.4416543574562</v>
      </c>
      <c r="F22" s="162">
        <f t="shared" ref="F22:G22" si="4">E22</f>
        <v>5448.4416543574562</v>
      </c>
      <c r="G22" s="162">
        <f t="shared" si="4"/>
        <v>5448.4416543574562</v>
      </c>
      <c r="H22" s="163">
        <v>0</v>
      </c>
    </row>
    <row r="23" spans="2:14" x14ac:dyDescent="0.25">
      <c r="B23" s="149" t="s">
        <v>129</v>
      </c>
      <c r="C23" s="141"/>
      <c r="D23" s="146">
        <f>N19</f>
        <v>1000</v>
      </c>
      <c r="E23" s="146">
        <f>D23</f>
        <v>1000</v>
      </c>
      <c r="F23" s="146">
        <f t="shared" ref="F23:G23" si="5">E23</f>
        <v>1000</v>
      </c>
      <c r="G23" s="146">
        <f t="shared" si="5"/>
        <v>1000</v>
      </c>
      <c r="H23" s="164">
        <v>0</v>
      </c>
    </row>
    <row r="24" spans="2:14" x14ac:dyDescent="0.25">
      <c r="B24" s="149" t="s">
        <v>239</v>
      </c>
      <c r="C24" s="141"/>
      <c r="D24" s="146">
        <f>N20</f>
        <v>500</v>
      </c>
      <c r="E24" s="146">
        <f t="shared" ref="E24:G24" si="6">D24</f>
        <v>500</v>
      </c>
      <c r="F24" s="146">
        <f t="shared" si="6"/>
        <v>500</v>
      </c>
      <c r="G24" s="146">
        <f t="shared" si="6"/>
        <v>500</v>
      </c>
      <c r="H24" s="164">
        <v>0</v>
      </c>
    </row>
    <row r="25" spans="2:14" x14ac:dyDescent="0.25">
      <c r="B25" s="149" t="s">
        <v>130</v>
      </c>
      <c r="C25" s="141"/>
      <c r="D25" s="80">
        <v>20</v>
      </c>
      <c r="E25" s="80">
        <f>D25</f>
        <v>20</v>
      </c>
      <c r="F25" s="80">
        <f t="shared" ref="F25:G25" si="7">E25</f>
        <v>20</v>
      </c>
      <c r="G25" s="80">
        <f t="shared" si="7"/>
        <v>20</v>
      </c>
      <c r="H25" s="81">
        <v>0</v>
      </c>
    </row>
    <row r="26" spans="2:14" x14ac:dyDescent="0.25">
      <c r="B26" s="149" t="s">
        <v>22</v>
      </c>
      <c r="C26" s="141"/>
      <c r="D26" s="146">
        <v>120</v>
      </c>
      <c r="E26" s="146">
        <v>130</v>
      </c>
      <c r="F26" s="146">
        <v>140</v>
      </c>
      <c r="G26" s="146">
        <v>150</v>
      </c>
      <c r="H26" s="164">
        <v>0</v>
      </c>
    </row>
    <row r="27" spans="2:14" x14ac:dyDescent="0.25">
      <c r="B27" s="149" t="s">
        <v>131</v>
      </c>
      <c r="C27" s="141"/>
      <c r="D27" s="80">
        <v>30</v>
      </c>
      <c r="E27" s="80">
        <f>D27</f>
        <v>30</v>
      </c>
      <c r="F27" s="80">
        <f t="shared" ref="F27:G27" si="8">E27</f>
        <v>30</v>
      </c>
      <c r="G27" s="80">
        <f t="shared" si="8"/>
        <v>30</v>
      </c>
      <c r="H27" s="81">
        <v>0</v>
      </c>
    </row>
    <row r="28" spans="2:14" x14ac:dyDescent="0.25">
      <c r="B28" s="149"/>
      <c r="C28" s="141"/>
      <c r="D28" s="238"/>
      <c r="E28" s="238"/>
      <c r="F28" s="238"/>
      <c r="G28" s="238"/>
      <c r="H28" s="239"/>
    </row>
    <row r="29" spans="2:14" ht="14.4" thickBot="1" x14ac:dyDescent="0.3">
      <c r="B29" s="149" t="s">
        <v>210</v>
      </c>
      <c r="C29" s="141"/>
      <c r="D29" s="154">
        <f>SUM(D22:D28)</f>
        <v>7118.4416543574562</v>
      </c>
      <c r="E29" s="154">
        <f>SUM(E22:E28)</f>
        <v>7128.4416543574562</v>
      </c>
      <c r="F29" s="154">
        <f>SUM(F22:F28)</f>
        <v>7138.4416543574562</v>
      </c>
      <c r="G29" s="154">
        <f>SUM(G22:G28)</f>
        <v>7148.4416543574562</v>
      </c>
      <c r="H29" s="154">
        <f>SUM(H22:H28)</f>
        <v>0</v>
      </c>
    </row>
    <row r="30" spans="2:14" ht="14.4" thickTop="1" x14ac:dyDescent="0.25">
      <c r="B30" s="153"/>
      <c r="C30" s="151"/>
      <c r="D30" s="167"/>
      <c r="E30" s="167"/>
      <c r="F30" s="167"/>
      <c r="G30" s="167"/>
      <c r="H30" s="168"/>
    </row>
    <row r="32" spans="2:14" x14ac:dyDescent="0.25">
      <c r="B32" s="136" t="s">
        <v>22</v>
      </c>
      <c r="C32" s="137"/>
      <c r="D32" s="137"/>
      <c r="E32" s="137"/>
      <c r="F32" s="137"/>
      <c r="G32" s="137"/>
      <c r="H32" s="138"/>
    </row>
    <row r="33" spans="2:14" x14ac:dyDescent="0.25">
      <c r="B33" s="149"/>
      <c r="C33" s="141"/>
      <c r="D33" s="141"/>
      <c r="E33" s="141"/>
      <c r="F33" s="141"/>
      <c r="G33" s="256" t="s">
        <v>216</v>
      </c>
      <c r="H33" s="257"/>
    </row>
    <row r="34" spans="2:14" x14ac:dyDescent="0.25">
      <c r="B34" s="149"/>
      <c r="C34" s="141"/>
      <c r="D34" s="93" t="str">
        <f>INDEX(D7:H7,FinStructure)</f>
        <v>Structure 3</v>
      </c>
      <c r="E34" s="141"/>
      <c r="F34" s="169" t="s">
        <v>213</v>
      </c>
      <c r="G34" s="169" t="s">
        <v>214</v>
      </c>
      <c r="H34" s="170" t="s">
        <v>215</v>
      </c>
    </row>
    <row r="35" spans="2:14" x14ac:dyDescent="0.25">
      <c r="B35" s="149" t="s">
        <v>201</v>
      </c>
      <c r="C35" s="141"/>
      <c r="D35" s="141"/>
      <c r="E35" s="141"/>
      <c r="F35" s="162" cm="1">
        <f t="array" ref="F35">INDEX(D8:H8,FinStructure)</f>
        <v>500</v>
      </c>
      <c r="G35" s="142">
        <v>1.4999999999999999E-2</v>
      </c>
      <c r="H35" s="163">
        <f>F35*G35</f>
        <v>7.5</v>
      </c>
    </row>
    <row r="36" spans="2:14" x14ac:dyDescent="0.25">
      <c r="B36" s="149" t="str">
        <f>B10</f>
        <v>Term Loan A</v>
      </c>
      <c r="C36" s="141"/>
      <c r="D36" s="141"/>
      <c r="E36" s="141"/>
      <c r="F36" s="171" cm="1">
        <f t="array" ref="F36">INDEX(D10:H10,FinStructure)</f>
        <v>500</v>
      </c>
      <c r="G36" s="142">
        <v>1.4999999999999999E-2</v>
      </c>
      <c r="H36" s="172">
        <f t="shared" ref="H36:H42" si="9">F36*G36</f>
        <v>7.5</v>
      </c>
    </row>
    <row r="37" spans="2:14" x14ac:dyDescent="0.25">
      <c r="B37" s="149" t="str">
        <f>B11</f>
        <v>Term Loan B</v>
      </c>
      <c r="C37" s="141"/>
      <c r="D37" s="141"/>
      <c r="E37" s="141"/>
      <c r="F37" s="171" cm="1">
        <f t="array" ref="F37">INDEX(D11:H11,FinStructure)</f>
        <v>2000</v>
      </c>
      <c r="G37" s="142">
        <v>1.4999999999999999E-2</v>
      </c>
      <c r="H37" s="172">
        <f t="shared" si="9"/>
        <v>30</v>
      </c>
    </row>
    <row r="38" spans="2:14" x14ac:dyDescent="0.25">
      <c r="B38" s="149" t="str">
        <f>B12</f>
        <v>2nd Lien</v>
      </c>
      <c r="C38" s="141"/>
      <c r="D38" s="141"/>
      <c r="E38" s="141"/>
      <c r="F38" s="171" cm="1">
        <f t="array" ref="F38">INDEX(D12:H12,FinStructure)</f>
        <v>300</v>
      </c>
      <c r="G38" s="142">
        <v>0.02</v>
      </c>
      <c r="H38" s="172">
        <f t="shared" si="9"/>
        <v>6</v>
      </c>
    </row>
    <row r="39" spans="2:14" x14ac:dyDescent="0.25">
      <c r="B39" s="149" t="str">
        <f>B13</f>
        <v>Senior Notes</v>
      </c>
      <c r="C39" s="141"/>
      <c r="D39" s="141"/>
      <c r="E39" s="141"/>
      <c r="F39" s="171" cm="1">
        <f t="array" ref="F39">INDEX(D13:H13,FinStructure)</f>
        <v>1000</v>
      </c>
      <c r="G39" s="142">
        <v>1.4999999999999999E-2</v>
      </c>
      <c r="H39" s="172">
        <f t="shared" si="9"/>
        <v>15</v>
      </c>
    </row>
    <row r="40" spans="2:14" x14ac:dyDescent="0.25">
      <c r="B40" s="149" t="str">
        <f>B14</f>
        <v>Senior Subordinated Notes</v>
      </c>
      <c r="C40" s="141"/>
      <c r="D40" s="141"/>
      <c r="E40" s="141"/>
      <c r="F40" s="171" cm="1">
        <f t="array" ref="F40">INDEX(D14:H14,FinStructure)</f>
        <v>1000</v>
      </c>
      <c r="G40" s="142">
        <v>1.4999999999999999E-2</v>
      </c>
      <c r="H40" s="172">
        <f t="shared" si="9"/>
        <v>15</v>
      </c>
    </row>
    <row r="41" spans="2:14" x14ac:dyDescent="0.25">
      <c r="B41" s="149" t="s">
        <v>217</v>
      </c>
      <c r="C41" s="141"/>
      <c r="D41" s="141"/>
      <c r="E41" s="141"/>
      <c r="F41" s="171">
        <f>F39</f>
        <v>1000</v>
      </c>
      <c r="G41" s="142">
        <v>1.4999999999999999E-2</v>
      </c>
      <c r="H41" s="172">
        <f>F41*G41</f>
        <v>15</v>
      </c>
    </row>
    <row r="42" spans="2:14" x14ac:dyDescent="0.25">
      <c r="B42" s="149" t="s">
        <v>218</v>
      </c>
      <c r="C42" s="141"/>
      <c r="D42" s="141"/>
      <c r="E42" s="141"/>
      <c r="F42" s="171">
        <f>F40</f>
        <v>1000</v>
      </c>
      <c r="G42" s="142">
        <v>1.4999999999999999E-2</v>
      </c>
      <c r="H42" s="172">
        <f t="shared" si="9"/>
        <v>15</v>
      </c>
    </row>
    <row r="43" spans="2:14" x14ac:dyDescent="0.25">
      <c r="B43" s="149" t="s">
        <v>211</v>
      </c>
      <c r="C43" s="141"/>
      <c r="D43" s="141"/>
      <c r="E43" s="141"/>
      <c r="F43" s="141"/>
      <c r="G43" s="141"/>
      <c r="H43" s="174">
        <f>IF(FinStructure=1,D26,IF(FinStructure = 2,E26,IF(FinStructure = 3,F26,IF(FinStructure = 4,G26,H26))))-SUM(H35:H42)</f>
        <v>29</v>
      </c>
    </row>
    <row r="44" spans="2:14" x14ac:dyDescent="0.25">
      <c r="B44" s="153" t="s">
        <v>212</v>
      </c>
      <c r="C44" s="151"/>
      <c r="D44" s="151"/>
      <c r="E44" s="151"/>
      <c r="F44" s="151"/>
      <c r="G44" s="151"/>
      <c r="H44" s="173">
        <f>SUM(H35:H43)</f>
        <v>140</v>
      </c>
    </row>
    <row r="45" spans="2:14" x14ac:dyDescent="0.25">
      <c r="J45" s="236" t="s">
        <v>443</v>
      </c>
    </row>
    <row r="46" spans="2:14" x14ac:dyDescent="0.25">
      <c r="B46" s="4" t="s">
        <v>219</v>
      </c>
      <c r="C46" s="3"/>
      <c r="D46" s="3"/>
      <c r="E46" s="3"/>
      <c r="F46" s="3"/>
      <c r="G46" s="3"/>
      <c r="H46" s="3"/>
      <c r="I46" s="3"/>
      <c r="J46" s="3"/>
      <c r="K46" s="3"/>
      <c r="L46" s="3"/>
      <c r="M46" s="3"/>
      <c r="N46" s="3"/>
    </row>
    <row r="47" spans="2:14" x14ac:dyDescent="0.25">
      <c r="B47" s="197"/>
      <c r="C47" s="181"/>
      <c r="D47" s="181"/>
      <c r="E47" s="198">
        <v>1</v>
      </c>
      <c r="F47" s="198">
        <f>E47+1</f>
        <v>2</v>
      </c>
      <c r="G47" s="198">
        <f t="shared" ref="G47:N47" si="10">F47+1</f>
        <v>3</v>
      </c>
      <c r="H47" s="198">
        <f t="shared" si="10"/>
        <v>4</v>
      </c>
      <c r="I47" s="198">
        <f t="shared" si="10"/>
        <v>5</v>
      </c>
      <c r="J47" s="198">
        <f>I47+1</f>
        <v>6</v>
      </c>
      <c r="K47" s="198">
        <f t="shared" si="10"/>
        <v>7</v>
      </c>
      <c r="L47" s="198">
        <f t="shared" si="10"/>
        <v>8</v>
      </c>
      <c r="M47" s="198">
        <f t="shared" si="10"/>
        <v>9</v>
      </c>
      <c r="N47" s="199">
        <f t="shared" si="10"/>
        <v>10</v>
      </c>
    </row>
    <row r="48" spans="2:14" x14ac:dyDescent="0.25">
      <c r="B48" s="149"/>
      <c r="C48" s="141"/>
      <c r="D48" s="196" t="s">
        <v>220</v>
      </c>
      <c r="E48" s="169">
        <f>IncStmt!$I$5+E47</f>
        <v>2025</v>
      </c>
      <c r="F48" s="169">
        <f>E48+1</f>
        <v>2026</v>
      </c>
      <c r="G48" s="169">
        <f t="shared" ref="G48:N48" si="11">F48+1</f>
        <v>2027</v>
      </c>
      <c r="H48" s="169">
        <f t="shared" si="11"/>
        <v>2028</v>
      </c>
      <c r="I48" s="169">
        <f t="shared" si="11"/>
        <v>2029</v>
      </c>
      <c r="J48" s="169">
        <f>I48+1</f>
        <v>2030</v>
      </c>
      <c r="K48" s="169">
        <f t="shared" si="11"/>
        <v>2031</v>
      </c>
      <c r="L48" s="169">
        <f t="shared" si="11"/>
        <v>2032</v>
      </c>
      <c r="M48" s="169">
        <f t="shared" si="11"/>
        <v>2033</v>
      </c>
      <c r="N48" s="170">
        <f t="shared" si="11"/>
        <v>2034</v>
      </c>
    </row>
    <row r="49" spans="2:14" x14ac:dyDescent="0.25">
      <c r="B49" s="149" t="str">
        <f t="shared" ref="B49:B57" si="12">B35</f>
        <v>Revolving Credit Facility</v>
      </c>
      <c r="C49" s="141"/>
      <c r="D49" s="207">
        <f>DebtSched!E20</f>
        <v>7</v>
      </c>
      <c r="E49" s="212">
        <f>IF(E$47&lt;=$D49,$H35/$D49,0)</f>
        <v>1.0714285714285714</v>
      </c>
      <c r="F49" s="212">
        <f t="shared" ref="F49:N49" si="13">IF(F$47&lt;=$D49,$H35/$D49,0)</f>
        <v>1.0714285714285714</v>
      </c>
      <c r="G49" s="212">
        <f t="shared" si="13"/>
        <v>1.0714285714285714</v>
      </c>
      <c r="H49" s="212">
        <f t="shared" si="13"/>
        <v>1.0714285714285714</v>
      </c>
      <c r="I49" s="212">
        <f t="shared" si="13"/>
        <v>1.0714285714285714</v>
      </c>
      <c r="J49" s="212">
        <f t="shared" si="13"/>
        <v>1.0714285714285714</v>
      </c>
      <c r="K49" s="212">
        <f t="shared" si="13"/>
        <v>1.0714285714285714</v>
      </c>
      <c r="L49" s="212">
        <f t="shared" si="13"/>
        <v>0</v>
      </c>
      <c r="M49" s="212">
        <f t="shared" si="13"/>
        <v>0</v>
      </c>
      <c r="N49" s="212">
        <f t="shared" si="13"/>
        <v>0</v>
      </c>
    </row>
    <row r="50" spans="2:14" x14ac:dyDescent="0.25">
      <c r="B50" s="149" t="str">
        <f t="shared" si="12"/>
        <v>Term Loan A</v>
      </c>
      <c r="C50" s="141"/>
      <c r="D50" s="207">
        <f>DebtSched!E36</f>
        <v>6</v>
      </c>
      <c r="E50" s="212">
        <f t="shared" ref="E50:N57" si="14">IF(E$47&lt;=$D50,$H36/$D50,0)</f>
        <v>1.25</v>
      </c>
      <c r="F50" s="212">
        <f t="shared" si="14"/>
        <v>1.25</v>
      </c>
      <c r="G50" s="212">
        <f t="shared" si="14"/>
        <v>1.25</v>
      </c>
      <c r="H50" s="212">
        <f t="shared" si="14"/>
        <v>1.25</v>
      </c>
      <c r="I50" s="212">
        <f t="shared" si="14"/>
        <v>1.25</v>
      </c>
      <c r="J50" s="212">
        <f t="shared" si="14"/>
        <v>1.25</v>
      </c>
      <c r="K50" s="212">
        <f t="shared" si="14"/>
        <v>0</v>
      </c>
      <c r="L50" s="212">
        <f t="shared" si="14"/>
        <v>0</v>
      </c>
      <c r="M50" s="212">
        <f t="shared" si="14"/>
        <v>0</v>
      </c>
      <c r="N50" s="212">
        <f t="shared" si="14"/>
        <v>0</v>
      </c>
    </row>
    <row r="51" spans="2:14" x14ac:dyDescent="0.25">
      <c r="B51" s="149" t="str">
        <f t="shared" si="12"/>
        <v>Term Loan B</v>
      </c>
      <c r="C51" s="141"/>
      <c r="D51" s="207">
        <f>DebtSched!E51</f>
        <v>7</v>
      </c>
      <c r="E51" s="212">
        <f t="shared" si="14"/>
        <v>4.2857142857142856</v>
      </c>
      <c r="F51" s="212">
        <f t="shared" si="14"/>
        <v>4.2857142857142856</v>
      </c>
      <c r="G51" s="212">
        <f t="shared" si="14"/>
        <v>4.2857142857142856</v>
      </c>
      <c r="H51" s="212">
        <f t="shared" si="14"/>
        <v>4.2857142857142856</v>
      </c>
      <c r="I51" s="212">
        <f t="shared" si="14"/>
        <v>4.2857142857142856</v>
      </c>
      <c r="J51" s="212">
        <f t="shared" si="14"/>
        <v>4.2857142857142856</v>
      </c>
      <c r="K51" s="212">
        <f t="shared" si="14"/>
        <v>4.2857142857142856</v>
      </c>
      <c r="L51" s="212">
        <f t="shared" si="14"/>
        <v>0</v>
      </c>
      <c r="M51" s="212">
        <f t="shared" si="14"/>
        <v>0</v>
      </c>
      <c r="N51" s="212">
        <f t="shared" si="14"/>
        <v>0</v>
      </c>
    </row>
    <row r="52" spans="2:14" x14ac:dyDescent="0.25">
      <c r="B52" s="149" t="str">
        <f t="shared" si="12"/>
        <v>2nd Lien</v>
      </c>
      <c r="C52" s="141"/>
      <c r="D52" s="207">
        <f>DebtSched!E66</f>
        <v>3</v>
      </c>
      <c r="E52" s="212">
        <f t="shared" si="14"/>
        <v>2</v>
      </c>
      <c r="F52" s="212">
        <f t="shared" si="14"/>
        <v>2</v>
      </c>
      <c r="G52" s="212">
        <f t="shared" si="14"/>
        <v>2</v>
      </c>
      <c r="H52" s="212">
        <f t="shared" si="14"/>
        <v>0</v>
      </c>
      <c r="I52" s="212">
        <f t="shared" si="14"/>
        <v>0</v>
      </c>
      <c r="J52" s="212">
        <f t="shared" si="14"/>
        <v>0</v>
      </c>
      <c r="K52" s="212">
        <f t="shared" si="14"/>
        <v>0</v>
      </c>
      <c r="L52" s="212">
        <f t="shared" si="14"/>
        <v>0</v>
      </c>
      <c r="M52" s="212">
        <f t="shared" si="14"/>
        <v>0</v>
      </c>
      <c r="N52" s="212">
        <f t="shared" si="14"/>
        <v>0</v>
      </c>
    </row>
    <row r="53" spans="2:14" x14ac:dyDescent="0.25">
      <c r="B53" s="149" t="str">
        <f t="shared" si="12"/>
        <v>Senior Notes</v>
      </c>
      <c r="C53" s="141"/>
      <c r="D53" s="207">
        <f>DebtSched!E79</f>
        <v>10</v>
      </c>
      <c r="E53" s="212">
        <f t="shared" si="14"/>
        <v>1.5</v>
      </c>
      <c r="F53" s="212">
        <f t="shared" si="14"/>
        <v>1.5</v>
      </c>
      <c r="G53" s="212">
        <f t="shared" si="14"/>
        <v>1.5</v>
      </c>
      <c r="H53" s="212">
        <f t="shared" si="14"/>
        <v>1.5</v>
      </c>
      <c r="I53" s="212">
        <f t="shared" si="14"/>
        <v>1.5</v>
      </c>
      <c r="J53" s="212">
        <f t="shared" si="14"/>
        <v>1.5</v>
      </c>
      <c r="K53" s="212">
        <f t="shared" si="14"/>
        <v>1.5</v>
      </c>
      <c r="L53" s="212">
        <f t="shared" si="14"/>
        <v>1.5</v>
      </c>
      <c r="M53" s="212">
        <f t="shared" si="14"/>
        <v>1.5</v>
      </c>
      <c r="N53" s="212">
        <f t="shared" si="14"/>
        <v>1.5</v>
      </c>
    </row>
    <row r="54" spans="2:14" x14ac:dyDescent="0.25">
      <c r="B54" s="149" t="str">
        <f t="shared" si="12"/>
        <v>Senior Subordinated Notes</v>
      </c>
      <c r="C54" s="141"/>
      <c r="D54" s="207">
        <f>DebtSched!E90</f>
        <v>8</v>
      </c>
      <c r="E54" s="212">
        <f t="shared" si="14"/>
        <v>1.875</v>
      </c>
      <c r="F54" s="212">
        <f t="shared" si="14"/>
        <v>1.875</v>
      </c>
      <c r="G54" s="212">
        <f t="shared" si="14"/>
        <v>1.875</v>
      </c>
      <c r="H54" s="212">
        <f t="shared" si="14"/>
        <v>1.875</v>
      </c>
      <c r="I54" s="212">
        <f t="shared" si="14"/>
        <v>1.875</v>
      </c>
      <c r="J54" s="212">
        <f t="shared" si="14"/>
        <v>1.875</v>
      </c>
      <c r="K54" s="212">
        <f t="shared" si="14"/>
        <v>1.875</v>
      </c>
      <c r="L54" s="212">
        <f t="shared" si="14"/>
        <v>1.875</v>
      </c>
      <c r="M54" s="212">
        <f t="shared" si="14"/>
        <v>0</v>
      </c>
      <c r="N54" s="212">
        <f t="shared" si="14"/>
        <v>0</v>
      </c>
    </row>
    <row r="55" spans="2:14" x14ac:dyDescent="0.25">
      <c r="B55" s="149" t="str">
        <f t="shared" si="12"/>
        <v>Senior Bridge Facility</v>
      </c>
      <c r="C55" s="141"/>
      <c r="D55" s="207">
        <f>D53</f>
        <v>10</v>
      </c>
      <c r="E55" s="212">
        <f t="shared" si="14"/>
        <v>1.5</v>
      </c>
      <c r="F55" s="212">
        <f t="shared" si="14"/>
        <v>1.5</v>
      </c>
      <c r="G55" s="212">
        <f t="shared" si="14"/>
        <v>1.5</v>
      </c>
      <c r="H55" s="212">
        <f t="shared" si="14"/>
        <v>1.5</v>
      </c>
      <c r="I55" s="212">
        <f t="shared" si="14"/>
        <v>1.5</v>
      </c>
      <c r="J55" s="212">
        <f t="shared" si="14"/>
        <v>1.5</v>
      </c>
      <c r="K55" s="212">
        <f t="shared" si="14"/>
        <v>1.5</v>
      </c>
      <c r="L55" s="212">
        <f t="shared" si="14"/>
        <v>1.5</v>
      </c>
      <c r="M55" s="212">
        <f t="shared" si="14"/>
        <v>1.5</v>
      </c>
      <c r="N55" s="212">
        <f t="shared" si="14"/>
        <v>1.5</v>
      </c>
    </row>
    <row r="56" spans="2:14" x14ac:dyDescent="0.25">
      <c r="B56" s="149" t="str">
        <f t="shared" si="12"/>
        <v>Senior Subordinated Bridge Facility</v>
      </c>
      <c r="C56" s="141"/>
      <c r="D56" s="207">
        <f>D54</f>
        <v>8</v>
      </c>
      <c r="E56" s="212">
        <f t="shared" si="14"/>
        <v>1.875</v>
      </c>
      <c r="F56" s="212">
        <f t="shared" si="14"/>
        <v>1.875</v>
      </c>
      <c r="G56" s="212">
        <f t="shared" si="14"/>
        <v>1.875</v>
      </c>
      <c r="H56" s="212">
        <f t="shared" si="14"/>
        <v>1.875</v>
      </c>
      <c r="I56" s="212">
        <f t="shared" si="14"/>
        <v>1.875</v>
      </c>
      <c r="J56" s="212">
        <f t="shared" si="14"/>
        <v>1.875</v>
      </c>
      <c r="K56" s="212">
        <f t="shared" si="14"/>
        <v>1.875</v>
      </c>
      <c r="L56" s="212">
        <f t="shared" si="14"/>
        <v>1.875</v>
      </c>
      <c r="M56" s="212">
        <f t="shared" si="14"/>
        <v>0</v>
      </c>
      <c r="N56" s="212">
        <f t="shared" si="14"/>
        <v>0</v>
      </c>
    </row>
    <row r="57" spans="2:14" x14ac:dyDescent="0.25">
      <c r="B57" s="149" t="str">
        <f t="shared" si="12"/>
        <v>Other Financing Fees</v>
      </c>
      <c r="C57" s="141"/>
      <c r="D57" s="207">
        <v>10</v>
      </c>
      <c r="E57" s="212">
        <f t="shared" si="14"/>
        <v>2.9</v>
      </c>
      <c r="F57" s="212">
        <f t="shared" si="14"/>
        <v>2.9</v>
      </c>
      <c r="G57" s="212">
        <f t="shared" si="14"/>
        <v>2.9</v>
      </c>
      <c r="H57" s="212">
        <f t="shared" si="14"/>
        <v>2.9</v>
      </c>
      <c r="I57" s="212">
        <f t="shared" si="14"/>
        <v>2.9</v>
      </c>
      <c r="J57" s="212">
        <f t="shared" si="14"/>
        <v>2.9</v>
      </c>
      <c r="K57" s="212">
        <f t="shared" si="14"/>
        <v>2.9</v>
      </c>
      <c r="L57" s="212">
        <f t="shared" si="14"/>
        <v>2.9</v>
      </c>
      <c r="M57" s="212">
        <f t="shared" si="14"/>
        <v>2.9</v>
      </c>
      <c r="N57" s="212">
        <f t="shared" si="14"/>
        <v>2.9</v>
      </c>
    </row>
    <row r="58" spans="2:14" ht="14.4" thickBot="1" x14ac:dyDescent="0.3">
      <c r="B58" s="153" t="s">
        <v>249</v>
      </c>
      <c r="C58" s="151"/>
      <c r="D58" s="151"/>
      <c r="E58" s="200">
        <f>SUM(E49:E57)</f>
        <v>18.257142857142856</v>
      </c>
      <c r="F58" s="200">
        <f t="shared" ref="F58:N58" si="15">SUM(F49:F57)</f>
        <v>18.257142857142856</v>
      </c>
      <c r="G58" s="200">
        <f t="shared" si="15"/>
        <v>18.257142857142856</v>
      </c>
      <c r="H58" s="200">
        <f t="shared" si="15"/>
        <v>16.257142857142856</v>
      </c>
      <c r="I58" s="200">
        <f t="shared" si="15"/>
        <v>16.257142857142856</v>
      </c>
      <c r="J58" s="200">
        <f t="shared" si="15"/>
        <v>16.257142857142856</v>
      </c>
      <c r="K58" s="200">
        <f t="shared" si="15"/>
        <v>15.007142857142858</v>
      </c>
      <c r="L58" s="200">
        <f t="shared" si="15"/>
        <v>9.65</v>
      </c>
      <c r="M58" s="200">
        <f t="shared" si="15"/>
        <v>5.9</v>
      </c>
      <c r="N58" s="201">
        <f t="shared" si="15"/>
        <v>5.9</v>
      </c>
    </row>
    <row r="59" spans="2:14" ht="14.4" thickTop="1" x14ac:dyDescent="0.25"/>
    <row r="1000" spans="648:648" ht="15" x14ac:dyDescent="0.25">
      <c r="XX1000" s="248">
        <v>127155</v>
      </c>
    </row>
  </sheetData>
  <mergeCells count="2">
    <mergeCell ref="D5:H5"/>
    <mergeCell ref="G33:H3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DC19C-A647-4454-B162-E1085246EA65}">
  <dimension ref="B2:XX1000"/>
  <sheetViews>
    <sheetView showGridLines="0" zoomScale="80" zoomScaleNormal="80" workbookViewId="0">
      <selection activeCell="T26" sqref="T26"/>
    </sheetView>
  </sheetViews>
  <sheetFormatPr defaultColWidth="8.796875" defaultRowHeight="13.8" x14ac:dyDescent="0.25"/>
  <cols>
    <col min="1" max="1" width="1.69921875" customWidth="1"/>
    <col min="6" max="6" width="9.69921875" bestFit="1" customWidth="1"/>
  </cols>
  <sheetData>
    <row r="2" spans="2:19" x14ac:dyDescent="0.25">
      <c r="B2" s="4" t="s">
        <v>75</v>
      </c>
      <c r="C2" s="3"/>
      <c r="D2" s="3"/>
      <c r="E2" s="3"/>
      <c r="F2" s="3"/>
      <c r="G2" s="3"/>
      <c r="H2" s="3"/>
      <c r="I2" s="3"/>
      <c r="J2" s="3"/>
      <c r="K2" s="3"/>
      <c r="L2" s="3"/>
      <c r="M2" s="3"/>
      <c r="N2" s="3"/>
      <c r="O2" s="3"/>
    </row>
    <row r="3" spans="2:19" x14ac:dyDescent="0.25">
      <c r="F3" s="252" t="s">
        <v>41</v>
      </c>
      <c r="G3" s="252"/>
      <c r="H3" s="252"/>
      <c r="I3" s="252"/>
      <c r="J3" s="252"/>
      <c r="K3" s="252"/>
      <c r="L3" s="252"/>
      <c r="M3" s="252"/>
      <c r="N3" s="252"/>
      <c r="O3" s="252"/>
    </row>
    <row r="4" spans="2:19" x14ac:dyDescent="0.25">
      <c r="F4" s="29">
        <v>1</v>
      </c>
      <c r="G4" s="29">
        <f>F4+1</f>
        <v>2</v>
      </c>
      <c r="H4" s="29">
        <f t="shared" ref="H4:O4" si="0">G4+1</f>
        <v>3</v>
      </c>
      <c r="I4" s="29">
        <f t="shared" si="0"/>
        <v>4</v>
      </c>
      <c r="J4" s="29">
        <f t="shared" si="0"/>
        <v>5</v>
      </c>
      <c r="K4" s="29">
        <f t="shared" si="0"/>
        <v>6</v>
      </c>
      <c r="L4" s="29">
        <f t="shared" si="0"/>
        <v>7</v>
      </c>
      <c r="M4" s="29">
        <f t="shared" si="0"/>
        <v>8</v>
      </c>
      <c r="N4" s="29">
        <f t="shared" si="0"/>
        <v>9</v>
      </c>
      <c r="O4" s="29">
        <f t="shared" si="0"/>
        <v>10</v>
      </c>
    </row>
    <row r="5" spans="2:19" x14ac:dyDescent="0.25">
      <c r="F5" s="33">
        <f>Summary!$H$26+F4</f>
        <v>2025</v>
      </c>
      <c r="G5" s="33">
        <f>Summary!$H$26+G4</f>
        <v>2026</v>
      </c>
      <c r="H5" s="33">
        <f>Summary!$H$26+H4</f>
        <v>2027</v>
      </c>
      <c r="I5" s="33">
        <f>Summary!$H$26+I4</f>
        <v>2028</v>
      </c>
      <c r="J5" s="33">
        <f>Summary!$H$26+J4</f>
        <v>2029</v>
      </c>
      <c r="K5" s="33">
        <f>Summary!$H$26+K4</f>
        <v>2030</v>
      </c>
      <c r="L5" s="33">
        <f>Summary!$H$26+L4</f>
        <v>2031</v>
      </c>
      <c r="M5" s="33">
        <f>Summary!$H$26+M4</f>
        <v>2032</v>
      </c>
      <c r="N5" s="33">
        <f>Summary!$H$26+N4</f>
        <v>2033</v>
      </c>
      <c r="O5" s="33">
        <f>Summary!$H$26+O4</f>
        <v>2034</v>
      </c>
      <c r="Q5" s="144" t="s">
        <v>156</v>
      </c>
      <c r="R5" s="141"/>
      <c r="S5" s="141"/>
    </row>
    <row r="6" spans="2:19" x14ac:dyDescent="0.25">
      <c r="Q6" s="141"/>
      <c r="R6" s="141"/>
      <c r="S6" s="141"/>
    </row>
    <row r="7" spans="2:19" x14ac:dyDescent="0.25">
      <c r="B7" t="s">
        <v>76</v>
      </c>
      <c r="F7" s="22"/>
      <c r="G7" s="22"/>
      <c r="H7" s="22"/>
      <c r="I7" s="22"/>
      <c r="J7" s="22"/>
      <c r="K7" s="22"/>
      <c r="L7" s="22"/>
      <c r="M7" s="22"/>
      <c r="N7" s="22"/>
      <c r="O7" s="22"/>
      <c r="Q7" s="141" t="s">
        <v>155</v>
      </c>
      <c r="R7" s="141"/>
      <c r="S7" s="74">
        <v>0.25</v>
      </c>
    </row>
    <row r="8" spans="2:19" x14ac:dyDescent="0.25">
      <c r="B8" t="s">
        <v>77</v>
      </c>
      <c r="F8" s="47">
        <f>INDEX(F9:F12,OpScenario)</f>
        <v>0.03</v>
      </c>
      <c r="G8" s="47" cm="1">
        <f t="array" ref="G8">INDEX(G9:G12,OpScenario)</f>
        <v>2.5000000000000001E-2</v>
      </c>
      <c r="H8" s="47" cm="1">
        <f t="array" ref="H8">INDEX(H9:H12,OpScenario)</f>
        <v>0.04</v>
      </c>
      <c r="I8" s="47" cm="1">
        <f t="array" ref="I8">INDEX(I9:I12,OpScenario)</f>
        <v>4.4999999999999998E-2</v>
      </c>
      <c r="J8" s="47" cm="1">
        <f t="array" ref="J8">INDEX(J9:J12,OpScenario)</f>
        <v>3.5000000000000003E-2</v>
      </c>
      <c r="K8" s="47" cm="1">
        <f t="array" ref="K8">INDEX(K9:K12,OpScenario)</f>
        <v>3.5000000000000003E-2</v>
      </c>
      <c r="L8" s="47" cm="1">
        <f t="array" ref="L8">INDEX(L9:L12,OpScenario)</f>
        <v>3.5000000000000003E-2</v>
      </c>
      <c r="M8" s="47" cm="1">
        <f t="array" ref="M8">INDEX(M9:M12,OpScenario)</f>
        <v>3.5000000000000003E-2</v>
      </c>
      <c r="N8" s="47" cm="1">
        <f t="array" ref="N8">INDEX(N9:N12,OpScenario)</f>
        <v>3.5000000000000003E-2</v>
      </c>
      <c r="O8" s="47" cm="1">
        <f t="array" ref="O8">INDEX(O9:O12,OpScenario)</f>
        <v>3.5000000000000003E-2</v>
      </c>
    </row>
    <row r="9" spans="2:19" x14ac:dyDescent="0.25">
      <c r="B9" t="s">
        <v>78</v>
      </c>
      <c r="E9">
        <v>1</v>
      </c>
      <c r="F9" s="71">
        <v>0.03</v>
      </c>
      <c r="G9" s="72">
        <v>2.5000000000000001E-2</v>
      </c>
      <c r="H9" s="72">
        <v>0.04</v>
      </c>
      <c r="I9" s="72">
        <v>4.4999999999999998E-2</v>
      </c>
      <c r="J9" s="72">
        <v>3.5000000000000003E-2</v>
      </c>
      <c r="K9" s="48">
        <f>J9</f>
        <v>3.5000000000000003E-2</v>
      </c>
      <c r="L9" s="48">
        <f t="shared" ref="L9:O9" si="1">K9</f>
        <v>3.5000000000000003E-2</v>
      </c>
      <c r="M9" s="48">
        <f t="shared" si="1"/>
        <v>3.5000000000000003E-2</v>
      </c>
      <c r="N9" s="48">
        <f t="shared" si="1"/>
        <v>3.5000000000000003E-2</v>
      </c>
      <c r="O9" s="49">
        <f t="shared" si="1"/>
        <v>3.5000000000000003E-2</v>
      </c>
    </row>
    <row r="10" spans="2:19" x14ac:dyDescent="0.25">
      <c r="B10" t="s">
        <v>79</v>
      </c>
      <c r="E10">
        <f>E9+1</f>
        <v>2</v>
      </c>
      <c r="F10" s="73">
        <v>0.04</v>
      </c>
      <c r="G10" s="74">
        <v>4.4999999999999998E-2</v>
      </c>
      <c r="H10" s="74">
        <v>0.05</v>
      </c>
      <c r="I10" s="74">
        <v>5.5E-2</v>
      </c>
      <c r="J10" s="74">
        <v>0.04</v>
      </c>
      <c r="K10" s="50">
        <f t="shared" ref="K10:O10" si="2">J10</f>
        <v>0.04</v>
      </c>
      <c r="L10" s="50">
        <f t="shared" si="2"/>
        <v>0.04</v>
      </c>
      <c r="M10" s="50">
        <f t="shared" si="2"/>
        <v>0.04</v>
      </c>
      <c r="N10" s="50">
        <f t="shared" si="2"/>
        <v>0.04</v>
      </c>
      <c r="O10" s="51">
        <f t="shared" si="2"/>
        <v>0.04</v>
      </c>
    </row>
    <row r="11" spans="2:19" x14ac:dyDescent="0.25">
      <c r="B11" t="s">
        <v>80</v>
      </c>
      <c r="E11">
        <f t="shared" ref="E11:E12" si="3">E10+1</f>
        <v>3</v>
      </c>
      <c r="F11" s="73">
        <v>3.5000000000000003E-2</v>
      </c>
      <c r="G11" s="74">
        <v>0.08</v>
      </c>
      <c r="H11" s="74">
        <v>7.0000000000000007E-2</v>
      </c>
      <c r="I11" s="74">
        <v>6.5000000000000002E-2</v>
      </c>
      <c r="J11" s="74">
        <v>0.05</v>
      </c>
      <c r="K11" s="50">
        <f t="shared" ref="K11:O11" si="4">J11</f>
        <v>0.05</v>
      </c>
      <c r="L11" s="50">
        <f t="shared" si="4"/>
        <v>0.05</v>
      </c>
      <c r="M11" s="50">
        <f t="shared" si="4"/>
        <v>0.05</v>
      </c>
      <c r="N11" s="50">
        <f t="shared" si="4"/>
        <v>0.05</v>
      </c>
      <c r="O11" s="51">
        <f t="shared" si="4"/>
        <v>0.05</v>
      </c>
    </row>
    <row r="12" spans="2:19" x14ac:dyDescent="0.25">
      <c r="B12" t="s">
        <v>81</v>
      </c>
      <c r="E12">
        <f t="shared" si="3"/>
        <v>4</v>
      </c>
      <c r="F12" s="75">
        <f>F9-0.02</f>
        <v>9.9999999999999985E-3</v>
      </c>
      <c r="G12" s="76">
        <f t="shared" ref="G12:J12" si="5">G9-0.02</f>
        <v>5.000000000000001E-3</v>
      </c>
      <c r="H12" s="76">
        <f t="shared" si="5"/>
        <v>0.02</v>
      </c>
      <c r="I12" s="76">
        <f t="shared" si="5"/>
        <v>2.4999999999999998E-2</v>
      </c>
      <c r="J12" s="76">
        <f t="shared" si="5"/>
        <v>1.5000000000000003E-2</v>
      </c>
      <c r="K12" s="52">
        <f t="shared" ref="K12:O12" si="6">J12</f>
        <v>1.5000000000000003E-2</v>
      </c>
      <c r="L12" s="52">
        <f t="shared" si="6"/>
        <v>1.5000000000000003E-2</v>
      </c>
      <c r="M12" s="52">
        <f t="shared" si="6"/>
        <v>1.5000000000000003E-2</v>
      </c>
      <c r="N12" s="52">
        <f t="shared" si="6"/>
        <v>1.5000000000000003E-2</v>
      </c>
      <c r="O12" s="53">
        <f t="shared" si="6"/>
        <v>1.5000000000000003E-2</v>
      </c>
    </row>
    <row r="13" spans="2:19" x14ac:dyDescent="0.25">
      <c r="F13" s="22"/>
      <c r="G13" s="22"/>
      <c r="H13" s="22"/>
      <c r="I13" s="22"/>
      <c r="J13" s="22"/>
      <c r="K13" s="22"/>
      <c r="L13" s="22"/>
      <c r="M13" s="22"/>
      <c r="N13" s="22"/>
      <c r="O13" s="22"/>
    </row>
    <row r="14" spans="2:19" x14ac:dyDescent="0.25">
      <c r="B14" t="s">
        <v>82</v>
      </c>
      <c r="F14" s="47" cm="1">
        <f t="array" ref="F14">INDEX(F15:F18,OpScenario)</f>
        <v>0.6</v>
      </c>
      <c r="G14" s="47" cm="1">
        <f t="array" ref="G14">INDEX(G15:G18,OpScenario)</f>
        <v>0.6</v>
      </c>
      <c r="H14" s="47" cm="1">
        <f t="array" ref="H14">INDEX(H15:H18,OpScenario)</f>
        <v>0.6</v>
      </c>
      <c r="I14" s="47" cm="1">
        <f t="array" ref="I14">INDEX(I15:I18,OpScenario)</f>
        <v>0.6</v>
      </c>
      <c r="J14" s="47" cm="1">
        <f t="array" ref="J14">INDEX(J15:J18,OpScenario)</f>
        <v>0.6</v>
      </c>
      <c r="K14" s="47" cm="1">
        <f t="array" ref="K14">INDEX(K15:K18,OpScenario)</f>
        <v>0.6</v>
      </c>
      <c r="L14" s="47" cm="1">
        <f t="array" ref="L14">INDEX(L15:L18,OpScenario)</f>
        <v>0.6</v>
      </c>
      <c r="M14" s="47" cm="1">
        <f t="array" ref="M14">INDEX(M15:M18,OpScenario)</f>
        <v>0.6</v>
      </c>
      <c r="N14" s="47" cm="1">
        <f t="array" ref="N14">INDEX(N15:N18,OpScenario)</f>
        <v>0.6</v>
      </c>
      <c r="O14" s="47" cm="1">
        <f t="array" ref="O14">INDEX(O15:O18,OpScenario)</f>
        <v>0.6</v>
      </c>
    </row>
    <row r="15" spans="2:19" x14ac:dyDescent="0.25">
      <c r="B15" t="s">
        <v>78</v>
      </c>
      <c r="E15">
        <v>1</v>
      </c>
      <c r="F15" s="71">
        <v>0.6</v>
      </c>
      <c r="G15" s="72">
        <v>0.6</v>
      </c>
      <c r="H15" s="72">
        <v>0.6</v>
      </c>
      <c r="I15" s="72">
        <v>0.6</v>
      </c>
      <c r="J15" s="72">
        <v>0.6</v>
      </c>
      <c r="K15" s="48">
        <f>J15</f>
        <v>0.6</v>
      </c>
      <c r="L15" s="48">
        <f t="shared" ref="L15:O15" si="7">K15</f>
        <v>0.6</v>
      </c>
      <c r="M15" s="48">
        <f t="shared" si="7"/>
        <v>0.6</v>
      </c>
      <c r="N15" s="48">
        <f t="shared" si="7"/>
        <v>0.6</v>
      </c>
      <c r="O15" s="49">
        <f t="shared" si="7"/>
        <v>0.6</v>
      </c>
    </row>
    <row r="16" spans="2:19" x14ac:dyDescent="0.25">
      <c r="B16" t="s">
        <v>79</v>
      </c>
      <c r="E16">
        <f>E15+1</f>
        <v>2</v>
      </c>
      <c r="F16" s="73">
        <v>0.6</v>
      </c>
      <c r="G16" s="74">
        <v>0.6</v>
      </c>
      <c r="H16" s="74">
        <v>0.6</v>
      </c>
      <c r="I16" s="74">
        <v>0.6</v>
      </c>
      <c r="J16" s="74">
        <v>0.6</v>
      </c>
      <c r="K16" s="50">
        <f t="shared" ref="K16:O16" si="8">J16</f>
        <v>0.6</v>
      </c>
      <c r="L16" s="50">
        <f t="shared" si="8"/>
        <v>0.6</v>
      </c>
      <c r="M16" s="50">
        <f t="shared" si="8"/>
        <v>0.6</v>
      </c>
      <c r="N16" s="50">
        <f t="shared" si="8"/>
        <v>0.6</v>
      </c>
      <c r="O16" s="51">
        <f t="shared" si="8"/>
        <v>0.6</v>
      </c>
    </row>
    <row r="17" spans="2:15" x14ac:dyDescent="0.25">
      <c r="B17" t="s">
        <v>80</v>
      </c>
      <c r="E17">
        <f t="shared" ref="E17:E18" si="9">E16+1</f>
        <v>3</v>
      </c>
      <c r="F17" s="73">
        <v>0.59</v>
      </c>
      <c r="G17" s="74">
        <v>0.59</v>
      </c>
      <c r="H17" s="74">
        <v>0.59</v>
      </c>
      <c r="I17" s="74">
        <v>0.59</v>
      </c>
      <c r="J17" s="74">
        <v>0.59</v>
      </c>
      <c r="K17" s="50">
        <f t="shared" ref="K17:O17" si="10">J17</f>
        <v>0.59</v>
      </c>
      <c r="L17" s="50">
        <f t="shared" si="10"/>
        <v>0.59</v>
      </c>
      <c r="M17" s="50">
        <f t="shared" si="10"/>
        <v>0.59</v>
      </c>
      <c r="N17" s="50">
        <f t="shared" si="10"/>
        <v>0.59</v>
      </c>
      <c r="O17" s="51">
        <f t="shared" si="10"/>
        <v>0.59</v>
      </c>
    </row>
    <row r="18" spans="2:15" x14ac:dyDescent="0.25">
      <c r="B18" t="s">
        <v>81</v>
      </c>
      <c r="E18">
        <f t="shared" si="9"/>
        <v>4</v>
      </c>
      <c r="F18" s="75">
        <v>0.61</v>
      </c>
      <c r="G18" s="76">
        <v>0.61</v>
      </c>
      <c r="H18" s="76">
        <v>0.61</v>
      </c>
      <c r="I18" s="76">
        <v>0.61</v>
      </c>
      <c r="J18" s="76">
        <v>0.61</v>
      </c>
      <c r="K18" s="52">
        <f t="shared" ref="K18:O18" si="11">J18</f>
        <v>0.61</v>
      </c>
      <c r="L18" s="52">
        <f t="shared" si="11"/>
        <v>0.61</v>
      </c>
      <c r="M18" s="52">
        <f t="shared" si="11"/>
        <v>0.61</v>
      </c>
      <c r="N18" s="52">
        <f t="shared" si="11"/>
        <v>0.61</v>
      </c>
      <c r="O18" s="53">
        <f t="shared" si="11"/>
        <v>0.61</v>
      </c>
    </row>
    <row r="19" spans="2:15" x14ac:dyDescent="0.25">
      <c r="F19" s="22"/>
      <c r="G19" s="22"/>
      <c r="H19" s="22"/>
      <c r="I19" s="22"/>
      <c r="J19" s="22"/>
      <c r="K19" s="22"/>
      <c r="L19" s="22"/>
      <c r="M19" s="22"/>
      <c r="N19" s="22"/>
      <c r="O19" s="22"/>
    </row>
    <row r="20" spans="2:15" x14ac:dyDescent="0.25">
      <c r="B20" t="s">
        <v>83</v>
      </c>
      <c r="F20" s="47" cm="1">
        <f t="array" ref="F20">INDEX(F21:F24,OpScenario)</f>
        <v>0.18</v>
      </c>
      <c r="G20" s="47" cm="1">
        <f t="array" ref="G20">INDEX(G21:G24,OpScenario)</f>
        <v>0.18</v>
      </c>
      <c r="H20" s="47" cm="1">
        <f t="array" ref="H20">INDEX(H21:H24,OpScenario)</f>
        <v>0.18</v>
      </c>
      <c r="I20" s="47" cm="1">
        <f t="array" ref="I20">INDEX(I21:I24,OpScenario)</f>
        <v>0.18</v>
      </c>
      <c r="J20" s="47" cm="1">
        <f t="array" ref="J20">INDEX(J21:J24,OpScenario)</f>
        <v>0.18</v>
      </c>
      <c r="K20" s="47" cm="1">
        <f t="array" ref="K20">INDEX(K21:K24,OpScenario)</f>
        <v>0.18</v>
      </c>
      <c r="L20" s="47" cm="1">
        <f t="array" ref="L20">INDEX(L21:L24,OpScenario)</f>
        <v>0.18</v>
      </c>
      <c r="M20" s="47" cm="1">
        <f t="array" ref="M20">INDEX(M21:M24,OpScenario)</f>
        <v>0.18</v>
      </c>
      <c r="N20" s="47" cm="1">
        <f t="array" ref="N20">INDEX(N21:N24,OpScenario)</f>
        <v>0.18</v>
      </c>
      <c r="O20" s="47" cm="1">
        <f t="array" ref="O20">INDEX(O21:O24,OpScenario)</f>
        <v>0.18</v>
      </c>
    </row>
    <row r="21" spans="2:15" x14ac:dyDescent="0.25">
      <c r="B21" t="s">
        <v>78</v>
      </c>
      <c r="E21">
        <v>1</v>
      </c>
      <c r="F21" s="71">
        <v>0.18</v>
      </c>
      <c r="G21" s="72">
        <v>0.18</v>
      </c>
      <c r="H21" s="72">
        <v>0.18</v>
      </c>
      <c r="I21" s="72">
        <v>0.18</v>
      </c>
      <c r="J21" s="72">
        <v>0.18</v>
      </c>
      <c r="K21" s="48">
        <f>J21</f>
        <v>0.18</v>
      </c>
      <c r="L21" s="48">
        <f t="shared" ref="L21:O21" si="12">K21</f>
        <v>0.18</v>
      </c>
      <c r="M21" s="48">
        <f t="shared" si="12"/>
        <v>0.18</v>
      </c>
      <c r="N21" s="48">
        <f t="shared" si="12"/>
        <v>0.18</v>
      </c>
      <c r="O21" s="49">
        <f t="shared" si="12"/>
        <v>0.18</v>
      </c>
    </row>
    <row r="22" spans="2:15" x14ac:dyDescent="0.25">
      <c r="B22" t="s">
        <v>79</v>
      </c>
      <c r="E22">
        <f>E21+1</f>
        <v>2</v>
      </c>
      <c r="F22" s="73">
        <v>0.17</v>
      </c>
      <c r="G22" s="74">
        <v>0.17</v>
      </c>
      <c r="H22" s="74">
        <v>0.17</v>
      </c>
      <c r="I22" s="74">
        <v>0.17</v>
      </c>
      <c r="J22" s="74">
        <v>0.17</v>
      </c>
      <c r="K22" s="50">
        <f t="shared" ref="K22:O22" si="13">J22</f>
        <v>0.17</v>
      </c>
      <c r="L22" s="50">
        <f t="shared" si="13"/>
        <v>0.17</v>
      </c>
      <c r="M22" s="50">
        <f t="shared" si="13"/>
        <v>0.17</v>
      </c>
      <c r="N22" s="50">
        <f t="shared" si="13"/>
        <v>0.17</v>
      </c>
      <c r="O22" s="51">
        <f t="shared" si="13"/>
        <v>0.17</v>
      </c>
    </row>
    <row r="23" spans="2:15" x14ac:dyDescent="0.25">
      <c r="B23" t="s">
        <v>80</v>
      </c>
      <c r="E23">
        <f t="shared" ref="E23:E24" si="14">E22+1</f>
        <v>3</v>
      </c>
      <c r="F23" s="73">
        <v>0.17</v>
      </c>
      <c r="G23" s="74">
        <v>0.17</v>
      </c>
      <c r="H23" s="74">
        <v>0.17</v>
      </c>
      <c r="I23" s="74">
        <v>0.17</v>
      </c>
      <c r="J23" s="74">
        <v>0.17</v>
      </c>
      <c r="K23" s="50">
        <f t="shared" ref="K23:O23" si="15">J23</f>
        <v>0.17</v>
      </c>
      <c r="L23" s="50">
        <f t="shared" si="15"/>
        <v>0.17</v>
      </c>
      <c r="M23" s="50">
        <f t="shared" si="15"/>
        <v>0.17</v>
      </c>
      <c r="N23" s="50">
        <f t="shared" si="15"/>
        <v>0.17</v>
      </c>
      <c r="O23" s="51">
        <f t="shared" si="15"/>
        <v>0.17</v>
      </c>
    </row>
    <row r="24" spans="2:15" x14ac:dyDescent="0.25">
      <c r="B24" t="s">
        <v>81</v>
      </c>
      <c r="E24">
        <f t="shared" si="14"/>
        <v>4</v>
      </c>
      <c r="F24" s="75">
        <v>0.19</v>
      </c>
      <c r="G24" s="76">
        <v>0.19</v>
      </c>
      <c r="H24" s="76">
        <v>0.19</v>
      </c>
      <c r="I24" s="76">
        <v>0.19</v>
      </c>
      <c r="J24" s="76">
        <v>0.19</v>
      </c>
      <c r="K24" s="52">
        <f t="shared" ref="K24:O24" si="16">J24</f>
        <v>0.19</v>
      </c>
      <c r="L24" s="52">
        <f t="shared" si="16"/>
        <v>0.19</v>
      </c>
      <c r="M24" s="52">
        <f t="shared" si="16"/>
        <v>0.19</v>
      </c>
      <c r="N24" s="52">
        <f t="shared" si="16"/>
        <v>0.19</v>
      </c>
      <c r="O24" s="53">
        <f t="shared" si="16"/>
        <v>0.19</v>
      </c>
    </row>
    <row r="25" spans="2:15" x14ac:dyDescent="0.25">
      <c r="F25" s="111"/>
      <c r="G25" s="111"/>
      <c r="H25" s="111"/>
      <c r="I25" s="111"/>
      <c r="J25" s="111"/>
      <c r="K25" s="112"/>
      <c r="L25" s="112"/>
      <c r="M25" s="112"/>
      <c r="N25" s="112"/>
      <c r="O25" s="112"/>
    </row>
    <row r="26" spans="2:15" x14ac:dyDescent="0.25">
      <c r="B26" t="s">
        <v>154</v>
      </c>
      <c r="F26" s="47" cm="1">
        <f t="array" ref="F26">INDEX(F27:F30,OpScenario)</f>
        <v>0</v>
      </c>
      <c r="G26" s="47" cm="1">
        <f t="array" ref="G26">INDEX(G27:G30,OpScenario)</f>
        <v>0</v>
      </c>
      <c r="H26" s="47" cm="1">
        <f t="array" ref="H26">INDEX(H27:H30,OpScenario)</f>
        <v>0</v>
      </c>
      <c r="I26" s="47" cm="1">
        <f t="array" ref="I26">INDEX(I27:I30,OpScenario)</f>
        <v>0</v>
      </c>
      <c r="J26" s="47" cm="1">
        <f t="array" ref="J26">INDEX(J27:J30,OpScenario)</f>
        <v>0</v>
      </c>
      <c r="K26" s="47" cm="1">
        <f t="array" ref="K26">INDEX(K27:K30,OpScenario)</f>
        <v>0</v>
      </c>
      <c r="L26" s="47" cm="1">
        <f t="array" ref="L26">INDEX(L27:L30,OpScenario)</f>
        <v>0</v>
      </c>
      <c r="M26" s="47" cm="1">
        <f t="array" ref="M26">INDEX(M27:M30,OpScenario)</f>
        <v>0</v>
      </c>
      <c r="N26" s="47" cm="1">
        <f t="array" ref="N26">INDEX(N27:N30,OpScenario)</f>
        <v>0</v>
      </c>
      <c r="O26" s="47" cm="1">
        <f t="array" ref="O26">INDEX(O27:O30,OpScenario)</f>
        <v>0</v>
      </c>
    </row>
    <row r="27" spans="2:15" x14ac:dyDescent="0.25">
      <c r="B27" t="s">
        <v>78</v>
      </c>
      <c r="E27">
        <v>1</v>
      </c>
      <c r="F27" s="71">
        <v>0</v>
      </c>
      <c r="G27" s="72">
        <v>0</v>
      </c>
      <c r="H27" s="72">
        <v>0</v>
      </c>
      <c r="I27" s="72">
        <v>0</v>
      </c>
      <c r="J27" s="72">
        <v>0</v>
      </c>
      <c r="K27" s="48">
        <f>J27</f>
        <v>0</v>
      </c>
      <c r="L27" s="48">
        <f t="shared" ref="L27:O27" si="17">K27</f>
        <v>0</v>
      </c>
      <c r="M27" s="48">
        <f t="shared" si="17"/>
        <v>0</v>
      </c>
      <c r="N27" s="48">
        <f t="shared" si="17"/>
        <v>0</v>
      </c>
      <c r="O27" s="49">
        <f t="shared" si="17"/>
        <v>0</v>
      </c>
    </row>
    <row r="28" spans="2:15" x14ac:dyDescent="0.25">
      <c r="B28" t="s">
        <v>79</v>
      </c>
      <c r="E28">
        <f>E27+1</f>
        <v>2</v>
      </c>
      <c r="F28" s="73">
        <v>0</v>
      </c>
      <c r="G28" s="74">
        <v>0</v>
      </c>
      <c r="H28" s="74">
        <v>0</v>
      </c>
      <c r="I28" s="74">
        <v>0</v>
      </c>
      <c r="J28" s="74">
        <v>0</v>
      </c>
      <c r="K28" s="50">
        <f t="shared" ref="K28:O30" si="18">J28</f>
        <v>0</v>
      </c>
      <c r="L28" s="50">
        <f t="shared" si="18"/>
        <v>0</v>
      </c>
      <c r="M28" s="50">
        <f t="shared" si="18"/>
        <v>0</v>
      </c>
      <c r="N28" s="50">
        <f t="shared" si="18"/>
        <v>0</v>
      </c>
      <c r="O28" s="51">
        <f t="shared" si="18"/>
        <v>0</v>
      </c>
    </row>
    <row r="29" spans="2:15" x14ac:dyDescent="0.25">
      <c r="B29" t="s">
        <v>80</v>
      </c>
      <c r="E29">
        <f t="shared" ref="E29:E30" si="19">E28+1</f>
        <v>3</v>
      </c>
      <c r="F29" s="73">
        <v>0</v>
      </c>
      <c r="G29" s="74">
        <v>0</v>
      </c>
      <c r="H29" s="74">
        <v>0</v>
      </c>
      <c r="I29" s="74">
        <v>0</v>
      </c>
      <c r="J29" s="74">
        <v>0</v>
      </c>
      <c r="K29" s="50">
        <f t="shared" si="18"/>
        <v>0</v>
      </c>
      <c r="L29" s="50">
        <f t="shared" si="18"/>
        <v>0</v>
      </c>
      <c r="M29" s="50">
        <f t="shared" si="18"/>
        <v>0</v>
      </c>
      <c r="N29" s="50">
        <f t="shared" si="18"/>
        <v>0</v>
      </c>
      <c r="O29" s="51">
        <f t="shared" si="18"/>
        <v>0</v>
      </c>
    </row>
    <row r="30" spans="2:15" x14ac:dyDescent="0.25">
      <c r="B30" t="s">
        <v>81</v>
      </c>
      <c r="E30">
        <f t="shared" si="19"/>
        <v>4</v>
      </c>
      <c r="F30" s="75">
        <v>0</v>
      </c>
      <c r="G30" s="76">
        <v>0</v>
      </c>
      <c r="H30" s="76">
        <v>0</v>
      </c>
      <c r="I30" s="76">
        <v>0</v>
      </c>
      <c r="J30" s="76">
        <v>0</v>
      </c>
      <c r="K30" s="52">
        <f t="shared" si="18"/>
        <v>0</v>
      </c>
      <c r="L30" s="52">
        <f t="shared" si="18"/>
        <v>0</v>
      </c>
      <c r="M30" s="52">
        <f t="shared" si="18"/>
        <v>0</v>
      </c>
      <c r="N30" s="52">
        <f t="shared" si="18"/>
        <v>0</v>
      </c>
      <c r="O30" s="53">
        <f t="shared" si="18"/>
        <v>0</v>
      </c>
    </row>
    <row r="31" spans="2:15" x14ac:dyDescent="0.25">
      <c r="F31" s="22"/>
      <c r="G31" s="22"/>
      <c r="H31" s="22"/>
      <c r="I31" s="22"/>
      <c r="J31" s="22"/>
      <c r="K31" s="22"/>
      <c r="L31" s="22"/>
      <c r="M31" s="22"/>
      <c r="N31" s="22"/>
      <c r="O31" s="22"/>
    </row>
    <row r="32" spans="2:15" x14ac:dyDescent="0.25">
      <c r="B32" t="s">
        <v>84</v>
      </c>
      <c r="F32" s="47" cm="1">
        <f t="array" ref="F32">INDEX(F33:F36,OpScenario)</f>
        <v>0.05</v>
      </c>
      <c r="G32" s="47" cm="1">
        <f t="array" ref="G32">INDEX(G33:G36,OpScenario)</f>
        <v>0.05</v>
      </c>
      <c r="H32" s="47" cm="1">
        <f t="array" ref="H32">INDEX(H33:H36,OpScenario)</f>
        <v>0.05</v>
      </c>
      <c r="I32" s="47" cm="1">
        <f t="array" ref="I32">INDEX(I33:I36,OpScenario)</f>
        <v>0.05</v>
      </c>
      <c r="J32" s="47" cm="1">
        <f t="array" ref="J32">INDEX(J33:J36,OpScenario)</f>
        <v>0.05</v>
      </c>
      <c r="K32" s="47" cm="1">
        <f t="array" ref="K32">INDEX(K33:K36,OpScenario)</f>
        <v>0.05</v>
      </c>
      <c r="L32" s="47" cm="1">
        <f t="array" ref="L32">INDEX(L33:L36,OpScenario)</f>
        <v>0.05</v>
      </c>
      <c r="M32" s="47" cm="1">
        <f t="array" ref="M32">INDEX(M33:M36,OpScenario)</f>
        <v>0.05</v>
      </c>
      <c r="N32" s="47" cm="1">
        <f t="array" ref="N32">INDEX(N33:N36,OpScenario)</f>
        <v>0.05</v>
      </c>
      <c r="O32" s="47" cm="1">
        <f t="array" ref="O32">INDEX(O33:O36,OpScenario)</f>
        <v>0.05</v>
      </c>
    </row>
    <row r="33" spans="2:15" x14ac:dyDescent="0.25">
      <c r="B33" t="s">
        <v>78</v>
      </c>
      <c r="E33">
        <v>1</v>
      </c>
      <c r="F33" s="71">
        <v>0.05</v>
      </c>
      <c r="G33" s="72">
        <v>0.05</v>
      </c>
      <c r="H33" s="72">
        <v>0.05</v>
      </c>
      <c r="I33" s="72">
        <v>0.05</v>
      </c>
      <c r="J33" s="72">
        <v>0.05</v>
      </c>
      <c r="K33" s="48">
        <f>J33</f>
        <v>0.05</v>
      </c>
      <c r="L33" s="48">
        <f t="shared" ref="L33:O33" si="20">K33</f>
        <v>0.05</v>
      </c>
      <c r="M33" s="48">
        <f t="shared" si="20"/>
        <v>0.05</v>
      </c>
      <c r="N33" s="48">
        <f t="shared" si="20"/>
        <v>0.05</v>
      </c>
      <c r="O33" s="49">
        <f t="shared" si="20"/>
        <v>0.05</v>
      </c>
    </row>
    <row r="34" spans="2:15" x14ac:dyDescent="0.25">
      <c r="B34" t="s">
        <v>79</v>
      </c>
      <c r="E34">
        <f>E33+1</f>
        <v>2</v>
      </c>
      <c r="F34" s="73">
        <v>0.05</v>
      </c>
      <c r="G34" s="74">
        <v>0.05</v>
      </c>
      <c r="H34" s="74">
        <v>0.05</v>
      </c>
      <c r="I34" s="74">
        <v>0.05</v>
      </c>
      <c r="J34" s="74">
        <v>0.05</v>
      </c>
      <c r="K34" s="50">
        <f t="shared" ref="K34:O34" si="21">J34</f>
        <v>0.05</v>
      </c>
      <c r="L34" s="50">
        <f t="shared" si="21"/>
        <v>0.05</v>
      </c>
      <c r="M34" s="50">
        <f t="shared" si="21"/>
        <v>0.05</v>
      </c>
      <c r="N34" s="50">
        <f t="shared" si="21"/>
        <v>0.05</v>
      </c>
      <c r="O34" s="51">
        <f t="shared" si="21"/>
        <v>0.05</v>
      </c>
    </row>
    <row r="35" spans="2:15" x14ac:dyDescent="0.25">
      <c r="B35" t="s">
        <v>80</v>
      </c>
      <c r="E35">
        <f t="shared" ref="E35:E36" si="22">E34+1</f>
        <v>3</v>
      </c>
      <c r="F35" s="73">
        <v>0.05</v>
      </c>
      <c r="G35" s="74">
        <v>0.05</v>
      </c>
      <c r="H35" s="74">
        <v>0.05</v>
      </c>
      <c r="I35" s="74">
        <v>0.05</v>
      </c>
      <c r="J35" s="74">
        <v>0.05</v>
      </c>
      <c r="K35" s="50">
        <f t="shared" ref="K35:O35" si="23">J35</f>
        <v>0.05</v>
      </c>
      <c r="L35" s="50">
        <f t="shared" si="23"/>
        <v>0.05</v>
      </c>
      <c r="M35" s="50">
        <f t="shared" si="23"/>
        <v>0.05</v>
      </c>
      <c r="N35" s="50">
        <f t="shared" si="23"/>
        <v>0.05</v>
      </c>
      <c r="O35" s="51">
        <f t="shared" si="23"/>
        <v>0.05</v>
      </c>
    </row>
    <row r="36" spans="2:15" x14ac:dyDescent="0.25">
      <c r="B36" t="s">
        <v>81</v>
      </c>
      <c r="E36">
        <f t="shared" si="22"/>
        <v>4</v>
      </c>
      <c r="F36" s="75">
        <v>0.05</v>
      </c>
      <c r="G36" s="76">
        <v>0.05</v>
      </c>
      <c r="H36" s="76">
        <v>0.05</v>
      </c>
      <c r="I36" s="76">
        <v>0.05</v>
      </c>
      <c r="J36" s="76">
        <v>0.05</v>
      </c>
      <c r="K36" s="52">
        <f t="shared" ref="K36:O36" si="24">J36</f>
        <v>0.05</v>
      </c>
      <c r="L36" s="52">
        <f t="shared" si="24"/>
        <v>0.05</v>
      </c>
      <c r="M36" s="52">
        <f t="shared" si="24"/>
        <v>0.05</v>
      </c>
      <c r="N36" s="52">
        <f t="shared" si="24"/>
        <v>0.05</v>
      </c>
      <c r="O36" s="53">
        <f t="shared" si="24"/>
        <v>0.05</v>
      </c>
    </row>
    <row r="37" spans="2:15" x14ac:dyDescent="0.25">
      <c r="F37" s="22"/>
      <c r="G37" s="22"/>
      <c r="H37" s="22"/>
      <c r="I37" s="22"/>
      <c r="J37" s="22"/>
      <c r="K37" s="22"/>
      <c r="L37" s="22"/>
      <c r="M37" s="22"/>
      <c r="N37" s="22"/>
      <c r="O37" s="22"/>
    </row>
    <row r="38" spans="2:15" x14ac:dyDescent="0.25">
      <c r="B38" t="s">
        <v>85</v>
      </c>
      <c r="F38" s="47" cm="1">
        <f t="array" ref="F38">INDEX(F39:F42,OpScenario)</f>
        <v>0.02</v>
      </c>
      <c r="G38" s="47" cm="1">
        <f t="array" ref="G38">INDEX(G39:G42,OpScenario)</f>
        <v>0.02</v>
      </c>
      <c r="H38" s="47" cm="1">
        <f t="array" ref="H38">INDEX(H39:H42,OpScenario)</f>
        <v>0.02</v>
      </c>
      <c r="I38" s="47" cm="1">
        <f t="array" ref="I38">INDEX(I39:I42,OpScenario)</f>
        <v>0.02</v>
      </c>
      <c r="J38" s="47" cm="1">
        <f t="array" ref="J38">INDEX(J39:J42,OpScenario)</f>
        <v>0.02</v>
      </c>
      <c r="K38" s="47" cm="1">
        <f t="array" ref="K38">INDEX(K39:K42,OpScenario)</f>
        <v>0.02</v>
      </c>
      <c r="L38" s="47" cm="1">
        <f t="array" ref="L38">INDEX(L39:L42,OpScenario)</f>
        <v>0.02</v>
      </c>
      <c r="M38" s="47" cm="1">
        <f t="array" ref="M38">INDEX(M39:M42,OpScenario)</f>
        <v>0.02</v>
      </c>
      <c r="N38" s="47" cm="1">
        <f t="array" ref="N38">INDEX(N39:N42,OpScenario)</f>
        <v>0.02</v>
      </c>
      <c r="O38" s="47" cm="1">
        <f t="array" ref="O38">INDEX(O39:O42,OpScenario)</f>
        <v>0.02</v>
      </c>
    </row>
    <row r="39" spans="2:15" x14ac:dyDescent="0.25">
      <c r="B39" t="s">
        <v>78</v>
      </c>
      <c r="E39">
        <v>1</v>
      </c>
      <c r="F39" s="71">
        <v>0.02</v>
      </c>
      <c r="G39" s="72">
        <v>0.02</v>
      </c>
      <c r="H39" s="72">
        <v>0.02</v>
      </c>
      <c r="I39" s="72">
        <v>0.02</v>
      </c>
      <c r="J39" s="72">
        <v>0.02</v>
      </c>
      <c r="K39" s="48">
        <f>J39</f>
        <v>0.02</v>
      </c>
      <c r="L39" s="48">
        <f t="shared" ref="L39:O39" si="25">K39</f>
        <v>0.02</v>
      </c>
      <c r="M39" s="48">
        <f t="shared" si="25"/>
        <v>0.02</v>
      </c>
      <c r="N39" s="48">
        <f t="shared" si="25"/>
        <v>0.02</v>
      </c>
      <c r="O39" s="49">
        <f t="shared" si="25"/>
        <v>0.02</v>
      </c>
    </row>
    <row r="40" spans="2:15" x14ac:dyDescent="0.25">
      <c r="B40" t="s">
        <v>79</v>
      </c>
      <c r="E40">
        <f>E39+1</f>
        <v>2</v>
      </c>
      <c r="F40" s="73">
        <v>0.02</v>
      </c>
      <c r="G40" s="74">
        <v>0.02</v>
      </c>
      <c r="H40" s="74">
        <v>0.02</v>
      </c>
      <c r="I40" s="74">
        <v>0.02</v>
      </c>
      <c r="J40" s="74">
        <v>0.02</v>
      </c>
      <c r="K40" s="50">
        <f t="shared" ref="K40:O40" si="26">J40</f>
        <v>0.02</v>
      </c>
      <c r="L40" s="50">
        <f t="shared" si="26"/>
        <v>0.02</v>
      </c>
      <c r="M40" s="50">
        <f t="shared" si="26"/>
        <v>0.02</v>
      </c>
      <c r="N40" s="50">
        <f t="shared" si="26"/>
        <v>0.02</v>
      </c>
      <c r="O40" s="51">
        <f t="shared" si="26"/>
        <v>0.02</v>
      </c>
    </row>
    <row r="41" spans="2:15" x14ac:dyDescent="0.25">
      <c r="B41" t="s">
        <v>80</v>
      </c>
      <c r="E41">
        <f t="shared" ref="E41:E42" si="27">E40+1</f>
        <v>3</v>
      </c>
      <c r="F41" s="73">
        <v>0.02</v>
      </c>
      <c r="G41" s="74">
        <v>0.02</v>
      </c>
      <c r="H41" s="74">
        <v>0.02</v>
      </c>
      <c r="I41" s="74">
        <v>0.02</v>
      </c>
      <c r="J41" s="74">
        <v>0.02</v>
      </c>
      <c r="K41" s="50">
        <f t="shared" ref="K41:O41" si="28">J41</f>
        <v>0.02</v>
      </c>
      <c r="L41" s="50">
        <f t="shared" si="28"/>
        <v>0.02</v>
      </c>
      <c r="M41" s="50">
        <f t="shared" si="28"/>
        <v>0.02</v>
      </c>
      <c r="N41" s="50">
        <f t="shared" si="28"/>
        <v>0.02</v>
      </c>
      <c r="O41" s="51">
        <f t="shared" si="28"/>
        <v>0.02</v>
      </c>
    </row>
    <row r="42" spans="2:15" x14ac:dyDescent="0.25">
      <c r="B42" t="s">
        <v>81</v>
      </c>
      <c r="E42">
        <f t="shared" si="27"/>
        <v>4</v>
      </c>
      <c r="F42" s="75">
        <v>0.02</v>
      </c>
      <c r="G42" s="76">
        <v>0.02</v>
      </c>
      <c r="H42" s="76">
        <v>0.02</v>
      </c>
      <c r="I42" s="76">
        <v>0.02</v>
      </c>
      <c r="J42" s="76">
        <v>0.02</v>
      </c>
      <c r="K42" s="52">
        <f t="shared" ref="K42:O42" si="29">J42</f>
        <v>0.02</v>
      </c>
      <c r="L42" s="52">
        <f t="shared" si="29"/>
        <v>0.02</v>
      </c>
      <c r="M42" s="52">
        <f t="shared" si="29"/>
        <v>0.02</v>
      </c>
      <c r="N42" s="52">
        <f t="shared" si="29"/>
        <v>0.02</v>
      </c>
      <c r="O42" s="53">
        <f t="shared" si="29"/>
        <v>0.02</v>
      </c>
    </row>
    <row r="44" spans="2:15" x14ac:dyDescent="0.25">
      <c r="B44" s="30" t="s">
        <v>87</v>
      </c>
      <c r="F44" s="22"/>
      <c r="G44" s="22"/>
      <c r="H44" s="22"/>
      <c r="I44" s="22"/>
      <c r="J44" s="22"/>
      <c r="K44" s="22"/>
      <c r="L44" s="22"/>
      <c r="M44" s="22"/>
      <c r="N44" s="22"/>
      <c r="O44" s="22"/>
    </row>
    <row r="45" spans="2:15" x14ac:dyDescent="0.25">
      <c r="B45" t="s">
        <v>88</v>
      </c>
      <c r="F45" s="47" cm="1">
        <f t="array" ref="F45">INDEX(F46:F49,OpScenario)</f>
        <v>0.05</v>
      </c>
      <c r="G45" s="47" cm="1">
        <f t="array" ref="G45">INDEX(G46:G49,OpScenario)</f>
        <v>0.05</v>
      </c>
      <c r="H45" s="47" cm="1">
        <f t="array" ref="H45">INDEX(H46:H49,OpScenario)</f>
        <v>0.05</v>
      </c>
      <c r="I45" s="47" cm="1">
        <f t="array" ref="I45">INDEX(I46:I49,OpScenario)</f>
        <v>0.05</v>
      </c>
      <c r="J45" s="47" cm="1">
        <f t="array" ref="J45">INDEX(J46:J49,OpScenario)</f>
        <v>0.05</v>
      </c>
      <c r="K45" s="47" cm="1">
        <f t="array" ref="K45">INDEX(K46:K49,OpScenario)</f>
        <v>0.05</v>
      </c>
      <c r="L45" s="47" cm="1">
        <f t="array" ref="L45">INDEX(L46:L49,OpScenario)</f>
        <v>0.05</v>
      </c>
      <c r="M45" s="47" cm="1">
        <f t="array" ref="M45">INDEX(M46:M49,OpScenario)</f>
        <v>0.05</v>
      </c>
      <c r="N45" s="47" cm="1">
        <f t="array" ref="N45">INDEX(N46:N49,OpScenario)</f>
        <v>0.05</v>
      </c>
      <c r="O45" s="47" cm="1">
        <f t="array" ref="O45">INDEX(O46:O49,OpScenario)</f>
        <v>0.05</v>
      </c>
    </row>
    <row r="46" spans="2:15" x14ac:dyDescent="0.25">
      <c r="B46" t="s">
        <v>78</v>
      </c>
      <c r="E46">
        <v>1</v>
      </c>
      <c r="F46" s="71">
        <v>0.05</v>
      </c>
      <c r="G46" s="72">
        <v>0.05</v>
      </c>
      <c r="H46" s="72">
        <v>0.05</v>
      </c>
      <c r="I46" s="72">
        <v>0.05</v>
      </c>
      <c r="J46" s="72">
        <v>0.05</v>
      </c>
      <c r="K46" s="48">
        <f>J46</f>
        <v>0.05</v>
      </c>
      <c r="L46" s="48">
        <f t="shared" ref="L46:O46" si="30">K46</f>
        <v>0.05</v>
      </c>
      <c r="M46" s="48">
        <f t="shared" si="30"/>
        <v>0.05</v>
      </c>
      <c r="N46" s="48">
        <f t="shared" si="30"/>
        <v>0.05</v>
      </c>
      <c r="O46" s="49">
        <f t="shared" si="30"/>
        <v>0.05</v>
      </c>
    </row>
    <row r="47" spans="2:15" x14ac:dyDescent="0.25">
      <c r="B47" t="s">
        <v>79</v>
      </c>
      <c r="E47">
        <f>E46+1</f>
        <v>2</v>
      </c>
      <c r="F47" s="73">
        <v>0.05</v>
      </c>
      <c r="G47" s="74">
        <v>0.05</v>
      </c>
      <c r="H47" s="74">
        <v>0.05</v>
      </c>
      <c r="I47" s="74">
        <v>0.05</v>
      </c>
      <c r="J47" s="74">
        <v>0.05</v>
      </c>
      <c r="K47" s="50">
        <f t="shared" ref="K47:O47" si="31">J47</f>
        <v>0.05</v>
      </c>
      <c r="L47" s="50">
        <f t="shared" si="31"/>
        <v>0.05</v>
      </c>
      <c r="M47" s="50">
        <f t="shared" si="31"/>
        <v>0.05</v>
      </c>
      <c r="N47" s="50">
        <f t="shared" si="31"/>
        <v>0.05</v>
      </c>
      <c r="O47" s="51">
        <f t="shared" si="31"/>
        <v>0.05</v>
      </c>
    </row>
    <row r="48" spans="2:15" x14ac:dyDescent="0.25">
      <c r="B48" t="s">
        <v>80</v>
      </c>
      <c r="E48">
        <f t="shared" ref="E48:E49" si="32">E47+1</f>
        <v>3</v>
      </c>
      <c r="F48" s="73">
        <v>0.05</v>
      </c>
      <c r="G48" s="74">
        <v>0.05</v>
      </c>
      <c r="H48" s="74">
        <v>0.05</v>
      </c>
      <c r="I48" s="74">
        <v>0.05</v>
      </c>
      <c r="J48" s="74">
        <v>0.05</v>
      </c>
      <c r="K48" s="50">
        <f t="shared" ref="K48:O48" si="33">J48</f>
        <v>0.05</v>
      </c>
      <c r="L48" s="50">
        <f t="shared" si="33"/>
        <v>0.05</v>
      </c>
      <c r="M48" s="50">
        <f t="shared" si="33"/>
        <v>0.05</v>
      </c>
      <c r="N48" s="50">
        <f t="shared" si="33"/>
        <v>0.05</v>
      </c>
      <c r="O48" s="51">
        <f t="shared" si="33"/>
        <v>0.05</v>
      </c>
    </row>
    <row r="49" spans="2:15" x14ac:dyDescent="0.25">
      <c r="B49" t="s">
        <v>81</v>
      </c>
      <c r="E49">
        <f t="shared" si="32"/>
        <v>4</v>
      </c>
      <c r="F49" s="75">
        <v>0.06</v>
      </c>
      <c r="G49" s="76">
        <v>0.06</v>
      </c>
      <c r="H49" s="76">
        <v>0.06</v>
      </c>
      <c r="I49" s="76">
        <v>0.06</v>
      </c>
      <c r="J49" s="76">
        <v>0.06</v>
      </c>
      <c r="K49" s="52">
        <f t="shared" ref="K49:O49" si="34">J49</f>
        <v>0.06</v>
      </c>
      <c r="L49" s="52">
        <f t="shared" si="34"/>
        <v>0.06</v>
      </c>
      <c r="M49" s="52">
        <f t="shared" si="34"/>
        <v>0.06</v>
      </c>
      <c r="N49" s="52">
        <f t="shared" si="34"/>
        <v>0.06</v>
      </c>
      <c r="O49" s="53">
        <f t="shared" si="34"/>
        <v>0.06</v>
      </c>
    </row>
    <row r="1000" spans="648:648" ht="15" x14ac:dyDescent="0.25">
      <c r="XX1000" s="248">
        <v>127155</v>
      </c>
    </row>
  </sheetData>
  <mergeCells count="1">
    <mergeCell ref="F3:O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95276-565E-4AD3-A4AA-7DC1016F190E}">
  <dimension ref="B2:XX1000"/>
  <sheetViews>
    <sheetView showGridLines="0" zoomScale="85" zoomScaleNormal="85" workbookViewId="0"/>
  </sheetViews>
  <sheetFormatPr defaultColWidth="8.796875" defaultRowHeight="13.8" x14ac:dyDescent="0.25"/>
  <cols>
    <col min="1" max="1" width="1.69921875" customWidth="1"/>
    <col min="2" max="4" width="9.69921875" customWidth="1"/>
    <col min="6" max="6" width="9.69921875" bestFit="1" customWidth="1"/>
  </cols>
  <sheetData>
    <row r="2" spans="2:15" x14ac:dyDescent="0.25">
      <c r="B2" s="4" t="s">
        <v>89</v>
      </c>
      <c r="C2" s="3"/>
      <c r="D2" s="3"/>
      <c r="E2" s="3"/>
      <c r="F2" s="3"/>
      <c r="G2" s="3"/>
      <c r="H2" s="3"/>
      <c r="I2" s="3"/>
      <c r="J2" s="3"/>
      <c r="K2" s="3"/>
      <c r="L2" s="3"/>
      <c r="M2" s="3"/>
      <c r="N2" s="3"/>
      <c r="O2" s="3"/>
    </row>
    <row r="3" spans="2:15" x14ac:dyDescent="0.25">
      <c r="F3" s="252" t="s">
        <v>41</v>
      </c>
      <c r="G3" s="252"/>
      <c r="H3" s="252"/>
      <c r="I3" s="252"/>
      <c r="J3" s="252"/>
      <c r="K3" s="252"/>
      <c r="L3" s="252"/>
      <c r="M3" s="252"/>
      <c r="N3" s="252"/>
      <c r="O3" s="252"/>
    </row>
    <row r="4" spans="2:15" x14ac:dyDescent="0.25">
      <c r="F4" s="29">
        <v>1</v>
      </c>
      <c r="G4" s="29">
        <f>F4+1</f>
        <v>2</v>
      </c>
      <c r="H4" s="29">
        <f t="shared" ref="H4:O4" si="0">G4+1</f>
        <v>3</v>
      </c>
      <c r="I4" s="29">
        <f t="shared" si="0"/>
        <v>4</v>
      </c>
      <c r="J4" s="29">
        <f t="shared" si="0"/>
        <v>5</v>
      </c>
      <c r="K4" s="29">
        <f t="shared" si="0"/>
        <v>6</v>
      </c>
      <c r="L4" s="29">
        <f t="shared" si="0"/>
        <v>7</v>
      </c>
      <c r="M4" s="29">
        <f t="shared" si="0"/>
        <v>8</v>
      </c>
      <c r="N4" s="29">
        <f t="shared" si="0"/>
        <v>9</v>
      </c>
      <c r="O4" s="29">
        <f t="shared" si="0"/>
        <v>10</v>
      </c>
    </row>
    <row r="5" spans="2:15" x14ac:dyDescent="0.25">
      <c r="F5" s="33">
        <f>Summary!$H$26+F4</f>
        <v>2025</v>
      </c>
      <c r="G5" s="33">
        <f>Summary!$H$26+G4</f>
        <v>2026</v>
      </c>
      <c r="H5" s="33">
        <f>Summary!$H$26+H4</f>
        <v>2027</v>
      </c>
      <c r="I5" s="33">
        <f>Summary!$H$26+I4</f>
        <v>2028</v>
      </c>
      <c r="J5" s="33">
        <f>Summary!$H$26+J4</f>
        <v>2029</v>
      </c>
      <c r="K5" s="33">
        <f>Summary!$H$26+K4</f>
        <v>2030</v>
      </c>
      <c r="L5" s="33">
        <f>Summary!$H$26+L4</f>
        <v>2031</v>
      </c>
      <c r="M5" s="33">
        <f>Summary!$H$26+M4</f>
        <v>2032</v>
      </c>
      <c r="N5" s="33">
        <f>Summary!$H$26+N4</f>
        <v>2033</v>
      </c>
      <c r="O5" s="33">
        <f>Summary!$H$26+O4</f>
        <v>2034</v>
      </c>
    </row>
    <row r="7" spans="2:15" x14ac:dyDescent="0.25">
      <c r="B7" s="30" t="s">
        <v>135</v>
      </c>
      <c r="F7" s="22"/>
      <c r="G7" s="22"/>
      <c r="H7" s="22"/>
      <c r="I7" s="22"/>
      <c r="J7" s="22"/>
      <c r="K7" s="22"/>
      <c r="L7" s="22"/>
      <c r="M7" s="22"/>
      <c r="N7" s="22"/>
      <c r="O7" s="22"/>
    </row>
    <row r="8" spans="2:15" x14ac:dyDescent="0.25">
      <c r="B8" t="s">
        <v>136</v>
      </c>
      <c r="F8" s="77" cm="1">
        <f t="array" ref="F8">INDEX(F9:F12,OpScenario)</f>
        <v>47.6</v>
      </c>
      <c r="G8" s="77" cm="1">
        <f t="array" ref="G8">INDEX(G9:G12,OpScenario)</f>
        <v>47.6</v>
      </c>
      <c r="H8" s="77" cm="1">
        <f t="array" ref="H8">INDEX(H9:H12,OpScenario)</f>
        <v>47.6</v>
      </c>
      <c r="I8" s="77" cm="1">
        <f t="array" ref="I8">INDEX(I9:I12,OpScenario)</f>
        <v>47.6</v>
      </c>
      <c r="J8" s="77" cm="1">
        <f t="array" ref="J8">INDEX(J9:J12,OpScenario)</f>
        <v>47.6</v>
      </c>
      <c r="K8" s="77" cm="1">
        <f t="array" ref="K8">INDEX(K9:K12,OpScenario)</f>
        <v>47.6</v>
      </c>
      <c r="L8" s="77" cm="1">
        <f t="array" ref="L8">INDEX(L9:L12,OpScenario)</f>
        <v>47.6</v>
      </c>
      <c r="M8" s="77" cm="1">
        <f t="array" ref="M8">INDEX(M9:M12,OpScenario)</f>
        <v>47.6</v>
      </c>
      <c r="N8" s="77" cm="1">
        <f t="array" ref="N8">INDEX(N9:N12,OpScenario)</f>
        <v>47.6</v>
      </c>
      <c r="O8" s="77" cm="1">
        <f t="array" ref="O8">INDEX(O9:O12,OpScenario)</f>
        <v>47.6</v>
      </c>
    </row>
    <row r="9" spans="2:15" x14ac:dyDescent="0.25">
      <c r="B9" t="s">
        <v>78</v>
      </c>
      <c r="E9">
        <v>1</v>
      </c>
      <c r="F9" s="188">
        <v>47.6</v>
      </c>
      <c r="G9" s="189">
        <v>47.6</v>
      </c>
      <c r="H9" s="189">
        <v>47.6</v>
      </c>
      <c r="I9" s="189">
        <v>47.6</v>
      </c>
      <c r="J9" s="189">
        <v>47.6</v>
      </c>
      <c r="K9" s="78">
        <f>J9</f>
        <v>47.6</v>
      </c>
      <c r="L9" s="78">
        <f t="shared" ref="L9:O9" si="1">K9</f>
        <v>47.6</v>
      </c>
      <c r="M9" s="78">
        <f t="shared" si="1"/>
        <v>47.6</v>
      </c>
      <c r="N9" s="78">
        <f t="shared" si="1"/>
        <v>47.6</v>
      </c>
      <c r="O9" s="79">
        <f t="shared" si="1"/>
        <v>47.6</v>
      </c>
    </row>
    <row r="10" spans="2:15" x14ac:dyDescent="0.25">
      <c r="B10" t="s">
        <v>79</v>
      </c>
      <c r="E10">
        <f>E9+1</f>
        <v>2</v>
      </c>
      <c r="F10" s="190">
        <v>47.6</v>
      </c>
      <c r="G10" s="62">
        <v>47.6</v>
      </c>
      <c r="H10" s="62">
        <v>47.6</v>
      </c>
      <c r="I10" s="62">
        <v>47.6</v>
      </c>
      <c r="J10" s="62">
        <v>47.6</v>
      </c>
      <c r="K10" s="80">
        <f t="shared" ref="K10:O12" si="2">J10</f>
        <v>47.6</v>
      </c>
      <c r="L10" s="80">
        <f t="shared" si="2"/>
        <v>47.6</v>
      </c>
      <c r="M10" s="80">
        <f t="shared" si="2"/>
        <v>47.6</v>
      </c>
      <c r="N10" s="80">
        <f t="shared" si="2"/>
        <v>47.6</v>
      </c>
      <c r="O10" s="81">
        <f t="shared" si="2"/>
        <v>47.6</v>
      </c>
    </row>
    <row r="11" spans="2:15" x14ac:dyDescent="0.25">
      <c r="B11" t="s">
        <v>80</v>
      </c>
      <c r="E11">
        <f t="shared" ref="E11:E12" si="3">E10+1</f>
        <v>3</v>
      </c>
      <c r="F11" s="190">
        <v>47.6</v>
      </c>
      <c r="G11" s="62">
        <v>47.6</v>
      </c>
      <c r="H11" s="62">
        <v>47.6</v>
      </c>
      <c r="I11" s="62">
        <v>47.6</v>
      </c>
      <c r="J11" s="62">
        <v>47.6</v>
      </c>
      <c r="K11" s="80">
        <f t="shared" si="2"/>
        <v>47.6</v>
      </c>
      <c r="L11" s="80">
        <f t="shared" si="2"/>
        <v>47.6</v>
      </c>
      <c r="M11" s="80">
        <f t="shared" si="2"/>
        <v>47.6</v>
      </c>
      <c r="N11" s="80">
        <f t="shared" si="2"/>
        <v>47.6</v>
      </c>
      <c r="O11" s="81">
        <f t="shared" si="2"/>
        <v>47.6</v>
      </c>
    </row>
    <row r="12" spans="2:15" x14ac:dyDescent="0.25">
      <c r="B12" t="s">
        <v>81</v>
      </c>
      <c r="E12">
        <f t="shared" si="3"/>
        <v>4</v>
      </c>
      <c r="F12" s="191">
        <v>50</v>
      </c>
      <c r="G12" s="64">
        <v>50</v>
      </c>
      <c r="H12" s="64">
        <v>50</v>
      </c>
      <c r="I12" s="64">
        <v>50</v>
      </c>
      <c r="J12" s="64">
        <v>50</v>
      </c>
      <c r="K12" s="82">
        <f t="shared" si="2"/>
        <v>50</v>
      </c>
      <c r="L12" s="82">
        <f t="shared" si="2"/>
        <v>50</v>
      </c>
      <c r="M12" s="82">
        <f t="shared" si="2"/>
        <v>50</v>
      </c>
      <c r="N12" s="82">
        <f t="shared" si="2"/>
        <v>50</v>
      </c>
      <c r="O12" s="83">
        <f t="shared" si="2"/>
        <v>50</v>
      </c>
    </row>
    <row r="13" spans="2:15" x14ac:dyDescent="0.25">
      <c r="F13" s="70"/>
      <c r="G13" s="70"/>
      <c r="H13" s="70"/>
      <c r="I13" s="70"/>
      <c r="J13" s="70"/>
      <c r="K13" s="70"/>
      <c r="L13" s="70"/>
      <c r="M13" s="70"/>
      <c r="N13" s="70"/>
      <c r="O13" s="70"/>
    </row>
    <row r="14" spans="2:15" x14ac:dyDescent="0.25">
      <c r="B14" t="s">
        <v>137</v>
      </c>
      <c r="F14" s="77" cm="1">
        <f t="array" ref="F14">INDEX(F15:F18,OpScenario)</f>
        <v>105.8</v>
      </c>
      <c r="G14" s="77" cm="1">
        <f t="array" ref="G14">INDEX(G15:G18,OpScenario)</f>
        <v>105.8</v>
      </c>
      <c r="H14" s="77" cm="1">
        <f t="array" ref="H14">INDEX(H15:H18,OpScenario)</f>
        <v>105.8</v>
      </c>
      <c r="I14" s="77" cm="1">
        <f t="array" ref="I14">INDEX(I15:I18,OpScenario)</f>
        <v>105.8</v>
      </c>
      <c r="J14" s="77" cm="1">
        <f t="array" ref="J14">INDEX(J15:J18,OpScenario)</f>
        <v>105.8</v>
      </c>
      <c r="K14" s="77" cm="1">
        <f t="array" ref="K14">INDEX(K15:K18,OpScenario)</f>
        <v>105.8</v>
      </c>
      <c r="L14" s="77" cm="1">
        <f t="array" ref="L14">INDEX(L15:L18,OpScenario)</f>
        <v>105.8</v>
      </c>
      <c r="M14" s="77" cm="1">
        <f t="array" ref="M14">INDEX(M15:M18,OpScenario)</f>
        <v>105.8</v>
      </c>
      <c r="N14" s="77" cm="1">
        <f t="array" ref="N14">INDEX(N15:N18,OpScenario)</f>
        <v>105.8</v>
      </c>
      <c r="O14" s="77" cm="1">
        <f t="array" ref="O14">INDEX(O15:O18,OpScenario)</f>
        <v>105.8</v>
      </c>
    </row>
    <row r="15" spans="2:15" x14ac:dyDescent="0.25">
      <c r="B15" t="s">
        <v>78</v>
      </c>
      <c r="E15">
        <v>1</v>
      </c>
      <c r="F15" s="188">
        <v>105.8</v>
      </c>
      <c r="G15" s="189">
        <v>105.8</v>
      </c>
      <c r="H15" s="189">
        <v>105.8</v>
      </c>
      <c r="I15" s="189">
        <v>105.8</v>
      </c>
      <c r="J15" s="189">
        <v>105.8</v>
      </c>
      <c r="K15" s="78">
        <f>J15</f>
        <v>105.8</v>
      </c>
      <c r="L15" s="78">
        <f t="shared" ref="L15:O15" si="4">K15</f>
        <v>105.8</v>
      </c>
      <c r="M15" s="78">
        <f t="shared" si="4"/>
        <v>105.8</v>
      </c>
      <c r="N15" s="78">
        <f t="shared" si="4"/>
        <v>105.8</v>
      </c>
      <c r="O15" s="79">
        <f t="shared" si="4"/>
        <v>105.8</v>
      </c>
    </row>
    <row r="16" spans="2:15" x14ac:dyDescent="0.25">
      <c r="B16" t="s">
        <v>79</v>
      </c>
      <c r="E16">
        <f>E15+1</f>
        <v>2</v>
      </c>
      <c r="F16" s="190">
        <v>105.8</v>
      </c>
      <c r="G16" s="62">
        <v>105.8</v>
      </c>
      <c r="H16" s="62">
        <v>105.8</v>
      </c>
      <c r="I16" s="62">
        <v>105.8</v>
      </c>
      <c r="J16" s="62">
        <v>105.8</v>
      </c>
      <c r="K16" s="80">
        <f t="shared" ref="K16:O18" si="5">J16</f>
        <v>105.8</v>
      </c>
      <c r="L16" s="80">
        <f t="shared" si="5"/>
        <v>105.8</v>
      </c>
      <c r="M16" s="80">
        <f t="shared" si="5"/>
        <v>105.8</v>
      </c>
      <c r="N16" s="80">
        <f t="shared" si="5"/>
        <v>105.8</v>
      </c>
      <c r="O16" s="81">
        <f t="shared" si="5"/>
        <v>105.8</v>
      </c>
    </row>
    <row r="17" spans="2:15" x14ac:dyDescent="0.25">
      <c r="B17" t="s">
        <v>80</v>
      </c>
      <c r="E17">
        <f t="shared" ref="E17:E18" si="6">E16+1</f>
        <v>3</v>
      </c>
      <c r="F17" s="190">
        <v>105.8</v>
      </c>
      <c r="G17" s="62">
        <v>105.8</v>
      </c>
      <c r="H17" s="62">
        <v>105.8</v>
      </c>
      <c r="I17" s="62">
        <v>105.8</v>
      </c>
      <c r="J17" s="62">
        <v>105.8</v>
      </c>
      <c r="K17" s="80">
        <f t="shared" si="5"/>
        <v>105.8</v>
      </c>
      <c r="L17" s="80">
        <f t="shared" si="5"/>
        <v>105.8</v>
      </c>
      <c r="M17" s="80">
        <f t="shared" si="5"/>
        <v>105.8</v>
      </c>
      <c r="N17" s="80">
        <f t="shared" si="5"/>
        <v>105.8</v>
      </c>
      <c r="O17" s="81">
        <f t="shared" si="5"/>
        <v>105.8</v>
      </c>
    </row>
    <row r="18" spans="2:15" x14ac:dyDescent="0.25">
      <c r="B18" t="s">
        <v>81</v>
      </c>
      <c r="E18">
        <f t="shared" si="6"/>
        <v>4</v>
      </c>
      <c r="F18" s="191">
        <v>110</v>
      </c>
      <c r="G18" s="64">
        <v>110</v>
      </c>
      <c r="H18" s="64">
        <v>110</v>
      </c>
      <c r="I18" s="64">
        <v>110</v>
      </c>
      <c r="J18" s="64">
        <v>110</v>
      </c>
      <c r="K18" s="82">
        <f t="shared" si="5"/>
        <v>110</v>
      </c>
      <c r="L18" s="82">
        <f t="shared" si="5"/>
        <v>110</v>
      </c>
      <c r="M18" s="82">
        <f t="shared" si="5"/>
        <v>110</v>
      </c>
      <c r="N18" s="82">
        <f t="shared" si="5"/>
        <v>110</v>
      </c>
      <c r="O18" s="83">
        <f t="shared" si="5"/>
        <v>110</v>
      </c>
    </row>
    <row r="19" spans="2:15" x14ac:dyDescent="0.25">
      <c r="F19" s="22"/>
      <c r="G19" s="22"/>
      <c r="H19" s="22"/>
      <c r="I19" s="22"/>
      <c r="J19" s="22"/>
      <c r="K19" s="22"/>
      <c r="L19" s="22"/>
      <c r="M19" s="22"/>
      <c r="N19" s="22"/>
      <c r="O19" s="22"/>
    </row>
    <row r="20" spans="2:15" x14ac:dyDescent="0.25">
      <c r="B20" t="s">
        <v>138</v>
      </c>
      <c r="F20" s="47" cm="1">
        <f t="array" ref="F20">INDEX(F21:F24,OpScenario)</f>
        <v>5.0999999999999997E-2</v>
      </c>
      <c r="G20" s="47" cm="1">
        <f t="array" ref="G20">INDEX(G21:G24,OpScenario)</f>
        <v>5.0999999999999997E-2</v>
      </c>
      <c r="H20" s="47" cm="1">
        <f t="array" ref="H20">INDEX(H21:H24,OpScenario)</f>
        <v>5.0999999999999997E-2</v>
      </c>
      <c r="I20" s="47" cm="1">
        <f t="array" ref="I20">INDEX(I21:I24,OpScenario)</f>
        <v>5.0999999999999997E-2</v>
      </c>
      <c r="J20" s="47" cm="1">
        <f t="array" ref="J20">INDEX(J21:J24,OpScenario)</f>
        <v>5.0999999999999997E-2</v>
      </c>
      <c r="K20" s="47" cm="1">
        <f t="array" ref="K20">INDEX(K21:K24,OpScenario)</f>
        <v>5.0999999999999997E-2</v>
      </c>
      <c r="L20" s="47" cm="1">
        <f t="array" ref="L20">INDEX(L21:L24,OpScenario)</f>
        <v>5.0999999999999997E-2</v>
      </c>
      <c r="M20" s="47" cm="1">
        <f t="array" ref="M20">INDEX(M21:M24,OpScenario)</f>
        <v>5.0999999999999997E-2</v>
      </c>
      <c r="N20" s="47" cm="1">
        <f t="array" ref="N20">INDEX(N21:N24,OpScenario)</f>
        <v>5.0999999999999997E-2</v>
      </c>
      <c r="O20" s="47" cm="1">
        <f t="array" ref="O20">INDEX(O21:O24,OpScenario)</f>
        <v>5.0999999999999997E-2</v>
      </c>
    </row>
    <row r="21" spans="2:15" x14ac:dyDescent="0.25">
      <c r="B21" t="s">
        <v>78</v>
      </c>
      <c r="E21">
        <v>1</v>
      </c>
      <c r="F21" s="71">
        <v>5.0999999999999997E-2</v>
      </c>
      <c r="G21" s="72">
        <v>5.0999999999999997E-2</v>
      </c>
      <c r="H21" s="72">
        <v>5.0999999999999997E-2</v>
      </c>
      <c r="I21" s="72">
        <v>5.0999999999999997E-2</v>
      </c>
      <c r="J21" s="72">
        <v>5.0999999999999997E-2</v>
      </c>
      <c r="K21" s="48">
        <f>J21</f>
        <v>5.0999999999999997E-2</v>
      </c>
      <c r="L21" s="48">
        <f t="shared" ref="L21:O21" si="7">K21</f>
        <v>5.0999999999999997E-2</v>
      </c>
      <c r="M21" s="48">
        <f t="shared" si="7"/>
        <v>5.0999999999999997E-2</v>
      </c>
      <c r="N21" s="48">
        <f t="shared" si="7"/>
        <v>5.0999999999999997E-2</v>
      </c>
      <c r="O21" s="49">
        <f t="shared" si="7"/>
        <v>5.0999999999999997E-2</v>
      </c>
    </row>
    <row r="22" spans="2:15" x14ac:dyDescent="0.25">
      <c r="B22" t="s">
        <v>79</v>
      </c>
      <c r="E22">
        <f>E21+1</f>
        <v>2</v>
      </c>
      <c r="F22" s="73">
        <v>5.0999999999999997E-2</v>
      </c>
      <c r="G22" s="74">
        <v>5.0999999999999997E-2</v>
      </c>
      <c r="H22" s="74">
        <v>5.0999999999999997E-2</v>
      </c>
      <c r="I22" s="74">
        <v>5.0999999999999997E-2</v>
      </c>
      <c r="J22" s="74">
        <v>5.0999999999999997E-2</v>
      </c>
      <c r="K22" s="50">
        <f t="shared" ref="K22:O24" si="8">J22</f>
        <v>5.0999999999999997E-2</v>
      </c>
      <c r="L22" s="50">
        <f t="shared" si="8"/>
        <v>5.0999999999999997E-2</v>
      </c>
      <c r="M22" s="50">
        <f t="shared" si="8"/>
        <v>5.0999999999999997E-2</v>
      </c>
      <c r="N22" s="50">
        <f t="shared" si="8"/>
        <v>5.0999999999999997E-2</v>
      </c>
      <c r="O22" s="51">
        <f t="shared" si="8"/>
        <v>5.0999999999999997E-2</v>
      </c>
    </row>
    <row r="23" spans="2:15" x14ac:dyDescent="0.25">
      <c r="B23" t="s">
        <v>80</v>
      </c>
      <c r="E23">
        <f t="shared" ref="E23:E24" si="9">E22+1</f>
        <v>3</v>
      </c>
      <c r="F23" s="73">
        <v>5.0999999999999997E-2</v>
      </c>
      <c r="G23" s="74">
        <v>5.0999999999999997E-2</v>
      </c>
      <c r="H23" s="74">
        <v>5.0999999999999997E-2</v>
      </c>
      <c r="I23" s="74">
        <v>5.0999999999999997E-2</v>
      </c>
      <c r="J23" s="74">
        <v>5.0999999999999997E-2</v>
      </c>
      <c r="K23" s="50">
        <f t="shared" si="8"/>
        <v>5.0999999999999997E-2</v>
      </c>
      <c r="L23" s="50">
        <f t="shared" si="8"/>
        <v>5.0999999999999997E-2</v>
      </c>
      <c r="M23" s="50">
        <f t="shared" si="8"/>
        <v>5.0999999999999997E-2</v>
      </c>
      <c r="N23" s="50">
        <f t="shared" si="8"/>
        <v>5.0999999999999997E-2</v>
      </c>
      <c r="O23" s="51">
        <f t="shared" si="8"/>
        <v>5.0999999999999997E-2</v>
      </c>
    </row>
    <row r="24" spans="2:15" x14ac:dyDescent="0.25">
      <c r="B24" t="s">
        <v>81</v>
      </c>
      <c r="E24">
        <f t="shared" si="9"/>
        <v>4</v>
      </c>
      <c r="F24" s="75">
        <v>5.0999999999999997E-2</v>
      </c>
      <c r="G24" s="76">
        <v>5.0999999999999997E-2</v>
      </c>
      <c r="H24" s="76">
        <v>5.0999999999999997E-2</v>
      </c>
      <c r="I24" s="76">
        <v>5.0999999999999997E-2</v>
      </c>
      <c r="J24" s="76">
        <v>5.0999999999999997E-2</v>
      </c>
      <c r="K24" s="52">
        <f t="shared" si="8"/>
        <v>5.0999999999999997E-2</v>
      </c>
      <c r="L24" s="52">
        <f t="shared" si="8"/>
        <v>5.0999999999999997E-2</v>
      </c>
      <c r="M24" s="52">
        <f t="shared" si="8"/>
        <v>5.0999999999999997E-2</v>
      </c>
      <c r="N24" s="52">
        <f t="shared" si="8"/>
        <v>5.0999999999999997E-2</v>
      </c>
      <c r="O24" s="53">
        <f t="shared" si="8"/>
        <v>5.0999999999999997E-2</v>
      </c>
    </row>
    <row r="25" spans="2:15" x14ac:dyDescent="0.25">
      <c r="F25" s="84"/>
      <c r="G25" s="84"/>
      <c r="H25" s="84"/>
      <c r="I25" s="84"/>
      <c r="J25" s="84"/>
      <c r="K25" s="84"/>
      <c r="L25" s="84"/>
      <c r="M25" s="84"/>
      <c r="N25" s="84"/>
      <c r="O25" s="84"/>
    </row>
    <row r="26" spans="2:15" x14ac:dyDescent="0.25">
      <c r="B26" s="30" t="s">
        <v>139</v>
      </c>
      <c r="F26" s="22"/>
      <c r="G26" s="22"/>
      <c r="H26" s="22"/>
      <c r="I26" s="22"/>
      <c r="J26" s="22"/>
      <c r="K26" s="22"/>
      <c r="L26" s="22"/>
      <c r="M26" s="22"/>
      <c r="N26" s="22"/>
      <c r="O26" s="22"/>
    </row>
    <row r="27" spans="2:15" x14ac:dyDescent="0.25">
      <c r="B27" t="s">
        <v>140</v>
      </c>
      <c r="F27" s="77" cm="1">
        <f t="array" ref="F27">INDEX(F28:F31,OpScenario)</f>
        <v>37.9</v>
      </c>
      <c r="G27" s="77" cm="1">
        <f t="array" ref="G27">INDEX(G28:G31,OpScenario)</f>
        <v>37.9</v>
      </c>
      <c r="H27" s="77" cm="1">
        <f t="array" ref="H27">INDEX(H28:H31,OpScenario)</f>
        <v>37.9</v>
      </c>
      <c r="I27" s="77" cm="1">
        <f t="array" ref="I27">INDEX(I28:I31,OpScenario)</f>
        <v>37.9</v>
      </c>
      <c r="J27" s="77" cm="1">
        <f t="array" ref="J27">INDEX(J28:J31,OpScenario)</f>
        <v>37.9</v>
      </c>
      <c r="K27" s="77" cm="1">
        <f t="array" ref="K27">INDEX(K28:K31,OpScenario)</f>
        <v>37.9</v>
      </c>
      <c r="L27" s="77" cm="1">
        <f t="array" ref="L27">INDEX(L28:L31,OpScenario)</f>
        <v>37.9</v>
      </c>
      <c r="M27" s="77" cm="1">
        <f t="array" ref="M27">INDEX(M28:M31,OpScenario)</f>
        <v>37.9</v>
      </c>
      <c r="N27" s="77" cm="1">
        <f t="array" ref="N27">INDEX(N28:N31,OpScenario)</f>
        <v>37.9</v>
      </c>
      <c r="O27" s="77" cm="1">
        <f t="array" ref="O27">INDEX(O28:O31,OpScenario)</f>
        <v>37.9</v>
      </c>
    </row>
    <row r="28" spans="2:15" x14ac:dyDescent="0.25">
      <c r="B28" t="s">
        <v>78</v>
      </c>
      <c r="E28">
        <v>1</v>
      </c>
      <c r="F28" s="188">
        <v>37.9</v>
      </c>
      <c r="G28" s="189">
        <v>37.9</v>
      </c>
      <c r="H28" s="189">
        <v>37.9</v>
      </c>
      <c r="I28" s="189">
        <v>37.9</v>
      </c>
      <c r="J28" s="189">
        <v>37.9</v>
      </c>
      <c r="K28" s="78">
        <f>J28</f>
        <v>37.9</v>
      </c>
      <c r="L28" s="78">
        <f t="shared" ref="L28:O28" si="10">K28</f>
        <v>37.9</v>
      </c>
      <c r="M28" s="78">
        <f t="shared" si="10"/>
        <v>37.9</v>
      </c>
      <c r="N28" s="78">
        <f t="shared" si="10"/>
        <v>37.9</v>
      </c>
      <c r="O28" s="79">
        <f t="shared" si="10"/>
        <v>37.9</v>
      </c>
    </row>
    <row r="29" spans="2:15" x14ac:dyDescent="0.25">
      <c r="B29" t="s">
        <v>79</v>
      </c>
      <c r="E29">
        <f>E28+1</f>
        <v>2</v>
      </c>
      <c r="F29" s="190">
        <v>37.9</v>
      </c>
      <c r="G29" s="62">
        <v>37.9</v>
      </c>
      <c r="H29" s="62">
        <v>37.9</v>
      </c>
      <c r="I29" s="62">
        <v>37.9</v>
      </c>
      <c r="J29" s="62">
        <v>37.9</v>
      </c>
      <c r="K29" s="80">
        <f t="shared" ref="K29:O31" si="11">J29</f>
        <v>37.9</v>
      </c>
      <c r="L29" s="80">
        <f t="shared" si="11"/>
        <v>37.9</v>
      </c>
      <c r="M29" s="80">
        <f t="shared" si="11"/>
        <v>37.9</v>
      </c>
      <c r="N29" s="80">
        <f t="shared" si="11"/>
        <v>37.9</v>
      </c>
      <c r="O29" s="81">
        <f t="shared" si="11"/>
        <v>37.9</v>
      </c>
    </row>
    <row r="30" spans="2:15" x14ac:dyDescent="0.25">
      <c r="B30" t="s">
        <v>80</v>
      </c>
      <c r="E30">
        <f t="shared" ref="E30:E31" si="12">E29+1</f>
        <v>3</v>
      </c>
      <c r="F30" s="190">
        <v>37.9</v>
      </c>
      <c r="G30" s="62">
        <v>37.9</v>
      </c>
      <c r="H30" s="62">
        <v>37.9</v>
      </c>
      <c r="I30" s="62">
        <v>37.9</v>
      </c>
      <c r="J30" s="62">
        <v>37.9</v>
      </c>
      <c r="K30" s="80">
        <f t="shared" si="11"/>
        <v>37.9</v>
      </c>
      <c r="L30" s="80">
        <f t="shared" si="11"/>
        <v>37.9</v>
      </c>
      <c r="M30" s="80">
        <f t="shared" si="11"/>
        <v>37.9</v>
      </c>
      <c r="N30" s="80">
        <f t="shared" si="11"/>
        <v>37.9</v>
      </c>
      <c r="O30" s="81">
        <f t="shared" si="11"/>
        <v>37.9</v>
      </c>
    </row>
    <row r="31" spans="2:15" x14ac:dyDescent="0.25">
      <c r="B31" t="s">
        <v>81</v>
      </c>
      <c r="E31">
        <f t="shared" si="12"/>
        <v>4</v>
      </c>
      <c r="F31" s="191">
        <v>35</v>
      </c>
      <c r="G31" s="64">
        <v>35</v>
      </c>
      <c r="H31" s="64">
        <v>35</v>
      </c>
      <c r="I31" s="64">
        <v>35</v>
      </c>
      <c r="J31" s="64">
        <v>35</v>
      </c>
      <c r="K31" s="82">
        <f t="shared" si="11"/>
        <v>35</v>
      </c>
      <c r="L31" s="82">
        <f t="shared" si="11"/>
        <v>35</v>
      </c>
      <c r="M31" s="82">
        <f t="shared" si="11"/>
        <v>35</v>
      </c>
      <c r="N31" s="82">
        <f t="shared" si="11"/>
        <v>35</v>
      </c>
      <c r="O31" s="83">
        <f t="shared" si="11"/>
        <v>35</v>
      </c>
    </row>
    <row r="32" spans="2:15" x14ac:dyDescent="0.25">
      <c r="F32" s="22"/>
      <c r="G32" s="22"/>
      <c r="H32" s="22"/>
      <c r="I32" s="22"/>
      <c r="J32" s="22"/>
      <c r="K32" s="22"/>
      <c r="L32" s="22"/>
      <c r="M32" s="22"/>
      <c r="N32" s="22"/>
      <c r="O32" s="22"/>
    </row>
    <row r="33" spans="2:15" x14ac:dyDescent="0.25">
      <c r="B33" t="s">
        <v>141</v>
      </c>
      <c r="F33" s="47" cm="1">
        <f t="array" ref="F33">INDEX(F34:F37,OpScenario)</f>
        <v>0.08</v>
      </c>
      <c r="G33" s="47" cm="1">
        <f t="array" ref="G33">INDEX(G34:G37,OpScenario)</f>
        <v>0.08</v>
      </c>
      <c r="H33" s="47" cm="1">
        <f t="array" ref="H33">INDEX(H34:H37,OpScenario)</f>
        <v>0.08</v>
      </c>
      <c r="I33" s="47" cm="1">
        <f t="array" ref="I33">INDEX(I34:I37,OpScenario)</f>
        <v>0.08</v>
      </c>
      <c r="J33" s="47" cm="1">
        <f t="array" ref="J33">INDEX(J34:J37,OpScenario)</f>
        <v>0.08</v>
      </c>
      <c r="K33" s="47" cm="1">
        <f t="array" ref="K33">INDEX(K34:K37,OpScenario)</f>
        <v>0.08</v>
      </c>
      <c r="L33" s="47" cm="1">
        <f t="array" ref="L33">INDEX(L34:L37,OpScenario)</f>
        <v>0.08</v>
      </c>
      <c r="M33" s="47" cm="1">
        <f t="array" ref="M33">INDEX(M34:M37,OpScenario)</f>
        <v>0.08</v>
      </c>
      <c r="N33" s="47" cm="1">
        <f t="array" ref="N33">INDEX(N34:N37,OpScenario)</f>
        <v>0.08</v>
      </c>
      <c r="O33" s="47" cm="1">
        <f t="array" ref="O33">INDEX(O34:O37,OpScenario)</f>
        <v>0.08</v>
      </c>
    </row>
    <row r="34" spans="2:15" x14ac:dyDescent="0.25">
      <c r="B34" t="s">
        <v>78</v>
      </c>
      <c r="E34">
        <v>1</v>
      </c>
      <c r="F34" s="71">
        <v>0.08</v>
      </c>
      <c r="G34" s="72">
        <v>0.08</v>
      </c>
      <c r="H34" s="72">
        <v>0.08</v>
      </c>
      <c r="I34" s="72">
        <v>0.08</v>
      </c>
      <c r="J34" s="72">
        <v>0.08</v>
      </c>
      <c r="K34" s="48">
        <f>J34</f>
        <v>0.08</v>
      </c>
      <c r="L34" s="48">
        <f t="shared" ref="L34:O34" si="13">K34</f>
        <v>0.08</v>
      </c>
      <c r="M34" s="48">
        <f t="shared" si="13"/>
        <v>0.08</v>
      </c>
      <c r="N34" s="48">
        <f t="shared" si="13"/>
        <v>0.08</v>
      </c>
      <c r="O34" s="49">
        <f t="shared" si="13"/>
        <v>0.08</v>
      </c>
    </row>
    <row r="35" spans="2:15" x14ac:dyDescent="0.25">
      <c r="B35" t="s">
        <v>79</v>
      </c>
      <c r="E35">
        <f>E34+1</f>
        <v>2</v>
      </c>
      <c r="F35" s="73">
        <v>0.08</v>
      </c>
      <c r="G35" s="74">
        <v>0.08</v>
      </c>
      <c r="H35" s="74">
        <v>0.08</v>
      </c>
      <c r="I35" s="74">
        <v>0.08</v>
      </c>
      <c r="J35" s="74">
        <v>0.08</v>
      </c>
      <c r="K35" s="50">
        <f t="shared" ref="K35:O37" si="14">J35</f>
        <v>0.08</v>
      </c>
      <c r="L35" s="50">
        <f t="shared" si="14"/>
        <v>0.08</v>
      </c>
      <c r="M35" s="50">
        <f t="shared" si="14"/>
        <v>0.08</v>
      </c>
      <c r="N35" s="50">
        <f t="shared" si="14"/>
        <v>0.08</v>
      </c>
      <c r="O35" s="51">
        <f t="shared" si="14"/>
        <v>0.08</v>
      </c>
    </row>
    <row r="36" spans="2:15" x14ac:dyDescent="0.25">
      <c r="B36" t="s">
        <v>80</v>
      </c>
      <c r="E36">
        <f t="shared" ref="E36:E37" si="15">E35+1</f>
        <v>3</v>
      </c>
      <c r="F36" s="73">
        <v>0.08</v>
      </c>
      <c r="G36" s="74">
        <v>0.08</v>
      </c>
      <c r="H36" s="74">
        <v>0.08</v>
      </c>
      <c r="I36" s="74">
        <v>0.08</v>
      </c>
      <c r="J36" s="74">
        <v>0.08</v>
      </c>
      <c r="K36" s="50">
        <f t="shared" si="14"/>
        <v>0.08</v>
      </c>
      <c r="L36" s="50">
        <f t="shared" si="14"/>
        <v>0.08</v>
      </c>
      <c r="M36" s="50">
        <f t="shared" si="14"/>
        <v>0.08</v>
      </c>
      <c r="N36" s="50">
        <f t="shared" si="14"/>
        <v>0.08</v>
      </c>
      <c r="O36" s="51">
        <f t="shared" si="14"/>
        <v>0.08</v>
      </c>
    </row>
    <row r="37" spans="2:15" x14ac:dyDescent="0.25">
      <c r="B37" t="s">
        <v>81</v>
      </c>
      <c r="E37">
        <f t="shared" si="15"/>
        <v>4</v>
      </c>
      <c r="F37" s="75">
        <v>0.08</v>
      </c>
      <c r="G37" s="76">
        <v>0.08</v>
      </c>
      <c r="H37" s="76">
        <v>0.08</v>
      </c>
      <c r="I37" s="76">
        <v>0.08</v>
      </c>
      <c r="J37" s="76">
        <v>0.08</v>
      </c>
      <c r="K37" s="52">
        <f t="shared" si="14"/>
        <v>0.08</v>
      </c>
      <c r="L37" s="52">
        <f t="shared" si="14"/>
        <v>0.08</v>
      </c>
      <c r="M37" s="52">
        <f t="shared" si="14"/>
        <v>0.08</v>
      </c>
      <c r="N37" s="52">
        <f t="shared" si="14"/>
        <v>0.08</v>
      </c>
      <c r="O37" s="53">
        <f t="shared" si="14"/>
        <v>0.08</v>
      </c>
    </row>
    <row r="38" spans="2:15" x14ac:dyDescent="0.25">
      <c r="F38" s="45"/>
      <c r="G38" s="45"/>
      <c r="H38" s="45"/>
      <c r="I38" s="45"/>
      <c r="J38" s="45"/>
      <c r="K38" s="45"/>
      <c r="L38" s="45"/>
      <c r="M38" s="45"/>
      <c r="N38" s="45"/>
      <c r="O38" s="45"/>
    </row>
    <row r="39" spans="2:15" x14ac:dyDescent="0.25">
      <c r="B39" t="s">
        <v>142</v>
      </c>
      <c r="F39" s="47" cm="1">
        <f t="array" ref="F39">INDEX(F40:F43,OpScenario)</f>
        <v>2.9000000000000001E-2</v>
      </c>
      <c r="G39" s="47" cm="1">
        <f t="array" ref="G39">INDEX(G40:G43,OpScenario)</f>
        <v>2.9000000000000001E-2</v>
      </c>
      <c r="H39" s="47" cm="1">
        <f t="array" ref="H39">INDEX(H40:H43,OpScenario)</f>
        <v>2.9000000000000001E-2</v>
      </c>
      <c r="I39" s="47" cm="1">
        <f t="array" ref="I39">INDEX(I40:I43,OpScenario)</f>
        <v>2.9000000000000001E-2</v>
      </c>
      <c r="J39" s="47" cm="1">
        <f t="array" ref="J39">INDEX(J40:J43,OpScenario)</f>
        <v>2.9000000000000001E-2</v>
      </c>
      <c r="K39" s="47" cm="1">
        <f t="array" ref="K39">INDEX(K40:K43,OpScenario)</f>
        <v>2.9000000000000001E-2</v>
      </c>
      <c r="L39" s="47" cm="1">
        <f t="array" ref="L39">INDEX(L40:L43,OpScenario)</f>
        <v>2.9000000000000001E-2</v>
      </c>
      <c r="M39" s="47" cm="1">
        <f t="array" ref="M39">INDEX(M40:M43,OpScenario)</f>
        <v>2.9000000000000001E-2</v>
      </c>
      <c r="N39" s="47" cm="1">
        <f t="array" ref="N39">INDEX(N40:N43,OpScenario)</f>
        <v>2.9000000000000001E-2</v>
      </c>
      <c r="O39" s="47" cm="1">
        <f t="array" ref="O39">INDEX(O40:O43,OpScenario)</f>
        <v>2.9000000000000001E-2</v>
      </c>
    </row>
    <row r="40" spans="2:15" x14ac:dyDescent="0.25">
      <c r="B40" t="s">
        <v>78</v>
      </c>
      <c r="E40">
        <v>1</v>
      </c>
      <c r="F40" s="71">
        <v>2.9000000000000001E-2</v>
      </c>
      <c r="G40" s="72">
        <v>2.9000000000000001E-2</v>
      </c>
      <c r="H40" s="72">
        <v>2.9000000000000001E-2</v>
      </c>
      <c r="I40" s="72">
        <v>2.9000000000000001E-2</v>
      </c>
      <c r="J40" s="72">
        <v>2.9000000000000001E-2</v>
      </c>
      <c r="K40" s="48">
        <f>J40</f>
        <v>2.9000000000000001E-2</v>
      </c>
      <c r="L40" s="48">
        <f t="shared" ref="L40:O40" si="16">K40</f>
        <v>2.9000000000000001E-2</v>
      </c>
      <c r="M40" s="48">
        <f t="shared" si="16"/>
        <v>2.9000000000000001E-2</v>
      </c>
      <c r="N40" s="48">
        <f t="shared" si="16"/>
        <v>2.9000000000000001E-2</v>
      </c>
      <c r="O40" s="49">
        <f t="shared" si="16"/>
        <v>2.9000000000000001E-2</v>
      </c>
    </row>
    <row r="41" spans="2:15" x14ac:dyDescent="0.25">
      <c r="B41" t="s">
        <v>79</v>
      </c>
      <c r="E41">
        <f>E40+1</f>
        <v>2</v>
      </c>
      <c r="F41" s="73">
        <v>2.9000000000000001E-2</v>
      </c>
      <c r="G41" s="74">
        <v>2.9000000000000001E-2</v>
      </c>
      <c r="H41" s="74">
        <v>2.9000000000000001E-2</v>
      </c>
      <c r="I41" s="74">
        <v>2.9000000000000001E-2</v>
      </c>
      <c r="J41" s="74">
        <v>2.9000000000000001E-2</v>
      </c>
      <c r="K41" s="50">
        <f t="shared" ref="K41:O43" si="17">J41</f>
        <v>2.9000000000000001E-2</v>
      </c>
      <c r="L41" s="50">
        <f t="shared" si="17"/>
        <v>2.9000000000000001E-2</v>
      </c>
      <c r="M41" s="50">
        <f t="shared" si="17"/>
        <v>2.9000000000000001E-2</v>
      </c>
      <c r="N41" s="50">
        <f t="shared" si="17"/>
        <v>2.9000000000000001E-2</v>
      </c>
      <c r="O41" s="51">
        <f t="shared" si="17"/>
        <v>2.9000000000000001E-2</v>
      </c>
    </row>
    <row r="42" spans="2:15" x14ac:dyDescent="0.25">
      <c r="B42" t="s">
        <v>80</v>
      </c>
      <c r="E42">
        <f t="shared" ref="E42:E43" si="18">E41+1</f>
        <v>3</v>
      </c>
      <c r="F42" s="73">
        <v>2.9000000000000001E-2</v>
      </c>
      <c r="G42" s="74">
        <v>2.9000000000000001E-2</v>
      </c>
      <c r="H42" s="74">
        <v>2.9000000000000001E-2</v>
      </c>
      <c r="I42" s="74">
        <v>2.9000000000000001E-2</v>
      </c>
      <c r="J42" s="74">
        <v>2.9000000000000001E-2</v>
      </c>
      <c r="K42" s="50">
        <f t="shared" si="17"/>
        <v>2.9000000000000001E-2</v>
      </c>
      <c r="L42" s="50">
        <f t="shared" si="17"/>
        <v>2.9000000000000001E-2</v>
      </c>
      <c r="M42" s="50">
        <f t="shared" si="17"/>
        <v>2.9000000000000001E-2</v>
      </c>
      <c r="N42" s="50">
        <f t="shared" si="17"/>
        <v>2.9000000000000001E-2</v>
      </c>
      <c r="O42" s="51">
        <f t="shared" si="17"/>
        <v>2.9000000000000001E-2</v>
      </c>
    </row>
    <row r="43" spans="2:15" x14ac:dyDescent="0.25">
      <c r="B43" t="s">
        <v>81</v>
      </c>
      <c r="E43">
        <f t="shared" si="18"/>
        <v>4</v>
      </c>
      <c r="F43" s="75">
        <v>2.9000000000000001E-2</v>
      </c>
      <c r="G43" s="76">
        <v>2.9000000000000001E-2</v>
      </c>
      <c r="H43" s="76">
        <v>2.9000000000000001E-2</v>
      </c>
      <c r="I43" s="76">
        <v>2.9000000000000001E-2</v>
      </c>
      <c r="J43" s="76">
        <v>2.9000000000000001E-2</v>
      </c>
      <c r="K43" s="52">
        <f t="shared" si="17"/>
        <v>2.9000000000000001E-2</v>
      </c>
      <c r="L43" s="52">
        <f t="shared" si="17"/>
        <v>2.9000000000000001E-2</v>
      </c>
      <c r="M43" s="52">
        <f t="shared" si="17"/>
        <v>2.9000000000000001E-2</v>
      </c>
      <c r="N43" s="52">
        <f t="shared" si="17"/>
        <v>2.9000000000000001E-2</v>
      </c>
      <c r="O43" s="53">
        <f t="shared" si="17"/>
        <v>2.9000000000000001E-2</v>
      </c>
    </row>
    <row r="1000" spans="648:648" ht="15" x14ac:dyDescent="0.25">
      <c r="XX1000" s="248">
        <v>127155</v>
      </c>
    </row>
  </sheetData>
  <mergeCells count="1">
    <mergeCell ref="F3:O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8119C-3EB3-49A9-96FF-2B973E0AFC62}">
  <dimension ref="A1:XX1000"/>
  <sheetViews>
    <sheetView topLeftCell="A53" workbookViewId="0">
      <selection activeCell="D59" sqref="D59"/>
    </sheetView>
  </sheetViews>
  <sheetFormatPr defaultColWidth="8.796875" defaultRowHeight="13.8" x14ac:dyDescent="0.25"/>
  <cols>
    <col min="1" max="1" width="16.296875" bestFit="1" customWidth="1"/>
    <col min="2" max="2" width="22.69921875" bestFit="1" customWidth="1"/>
    <col min="4" max="4" width="45.5" customWidth="1"/>
    <col min="7" max="7" width="14.69921875" bestFit="1" customWidth="1"/>
    <col min="8" max="8" width="15.69921875" bestFit="1" customWidth="1"/>
  </cols>
  <sheetData>
    <row r="1" spans="1:9" x14ac:dyDescent="0.25">
      <c r="A1" t="s">
        <v>259</v>
      </c>
      <c r="B1" t="s">
        <v>260</v>
      </c>
      <c r="C1" t="s">
        <v>261</v>
      </c>
      <c r="D1" t="s">
        <v>262</v>
      </c>
      <c r="E1" t="s">
        <v>263</v>
      </c>
      <c r="F1" t="s">
        <v>264</v>
      </c>
      <c r="G1" t="s">
        <v>265</v>
      </c>
      <c r="H1" t="s">
        <v>266</v>
      </c>
    </row>
    <row r="2" spans="1:9" x14ac:dyDescent="0.25">
      <c r="A2" t="s">
        <v>267</v>
      </c>
      <c r="B2" t="s">
        <v>272</v>
      </c>
      <c r="C2" t="s">
        <v>273</v>
      </c>
      <c r="D2" t="s">
        <v>278</v>
      </c>
      <c r="E2">
        <v>1</v>
      </c>
      <c r="G2" t="s">
        <v>268</v>
      </c>
      <c r="H2" t="s">
        <v>279</v>
      </c>
      <c r="I2" t="s">
        <v>280</v>
      </c>
    </row>
    <row r="3" spans="1:9" x14ac:dyDescent="0.25">
      <c r="A3" t="s">
        <v>267</v>
      </c>
      <c r="B3" t="s">
        <v>272</v>
      </c>
      <c r="C3" t="s">
        <v>269</v>
      </c>
      <c r="D3" t="s">
        <v>278</v>
      </c>
      <c r="E3">
        <v>1</v>
      </c>
      <c r="G3" t="s">
        <v>268</v>
      </c>
      <c r="H3" t="s">
        <v>279</v>
      </c>
      <c r="I3" t="s">
        <v>280</v>
      </c>
    </row>
    <row r="4" spans="1:9" x14ac:dyDescent="0.25">
      <c r="A4" t="s">
        <v>267</v>
      </c>
      <c r="B4" t="s">
        <v>272</v>
      </c>
      <c r="C4" t="s">
        <v>270</v>
      </c>
      <c r="D4" t="s">
        <v>278</v>
      </c>
      <c r="E4">
        <v>1</v>
      </c>
      <c r="G4" t="s">
        <v>268</v>
      </c>
      <c r="H4" t="s">
        <v>279</v>
      </c>
      <c r="I4" t="s">
        <v>280</v>
      </c>
    </row>
    <row r="5" spans="1:9" x14ac:dyDescent="0.25">
      <c r="A5" t="s">
        <v>267</v>
      </c>
      <c r="B5" t="s">
        <v>272</v>
      </c>
      <c r="C5" t="s">
        <v>271</v>
      </c>
      <c r="D5" t="s">
        <v>278</v>
      </c>
      <c r="E5">
        <v>1</v>
      </c>
      <c r="G5" t="s">
        <v>268</v>
      </c>
      <c r="H5" t="s">
        <v>279</v>
      </c>
      <c r="I5" t="s">
        <v>280</v>
      </c>
    </row>
    <row r="6" spans="1:9" x14ac:dyDescent="0.25">
      <c r="A6" t="s">
        <v>267</v>
      </c>
      <c r="B6" t="s">
        <v>272</v>
      </c>
      <c r="C6" t="s">
        <v>274</v>
      </c>
      <c r="D6" t="s">
        <v>278</v>
      </c>
      <c r="E6">
        <v>1</v>
      </c>
      <c r="G6" t="s">
        <v>268</v>
      </c>
      <c r="H6" t="s">
        <v>279</v>
      </c>
      <c r="I6" t="s">
        <v>280</v>
      </c>
    </row>
    <row r="7" spans="1:9" x14ac:dyDescent="0.25">
      <c r="A7" t="s">
        <v>267</v>
      </c>
      <c r="B7" t="s">
        <v>272</v>
      </c>
      <c r="C7" t="s">
        <v>275</v>
      </c>
      <c r="D7" t="s">
        <v>278</v>
      </c>
      <c r="E7">
        <v>1</v>
      </c>
      <c r="G7" t="s">
        <v>268</v>
      </c>
      <c r="H7" t="s">
        <v>279</v>
      </c>
      <c r="I7" t="s">
        <v>280</v>
      </c>
    </row>
    <row r="8" spans="1:9" x14ac:dyDescent="0.25">
      <c r="A8" t="s">
        <v>267</v>
      </c>
      <c r="B8" t="s">
        <v>272</v>
      </c>
      <c r="C8" t="s">
        <v>276</v>
      </c>
      <c r="D8" t="s">
        <v>278</v>
      </c>
      <c r="E8">
        <v>1</v>
      </c>
      <c r="G8" t="s">
        <v>268</v>
      </c>
      <c r="H8" t="s">
        <v>279</v>
      </c>
      <c r="I8" t="s">
        <v>280</v>
      </c>
    </row>
    <row r="9" spans="1:9" x14ac:dyDescent="0.25">
      <c r="A9" t="s">
        <v>267</v>
      </c>
      <c r="B9" t="s">
        <v>272</v>
      </c>
      <c r="C9" t="s">
        <v>277</v>
      </c>
      <c r="D9" t="s">
        <v>278</v>
      </c>
      <c r="E9">
        <v>1</v>
      </c>
      <c r="G9" t="s">
        <v>268</v>
      </c>
      <c r="H9" t="s">
        <v>279</v>
      </c>
      <c r="I9" t="s">
        <v>280</v>
      </c>
    </row>
    <row r="10" spans="1:9" x14ac:dyDescent="0.25">
      <c r="A10" t="s">
        <v>267</v>
      </c>
      <c r="B10" t="s">
        <v>272</v>
      </c>
      <c r="C10" t="s">
        <v>281</v>
      </c>
      <c r="D10" t="s">
        <v>278</v>
      </c>
      <c r="E10">
        <v>1</v>
      </c>
      <c r="G10" t="s">
        <v>268</v>
      </c>
      <c r="H10" t="s">
        <v>287</v>
      </c>
      <c r="I10" t="s">
        <v>280</v>
      </c>
    </row>
    <row r="11" spans="1:9" x14ac:dyDescent="0.25">
      <c r="A11" t="s">
        <v>267</v>
      </c>
      <c r="B11" t="s">
        <v>272</v>
      </c>
      <c r="C11" t="s">
        <v>282</v>
      </c>
      <c r="D11" t="s">
        <v>278</v>
      </c>
      <c r="E11">
        <v>1</v>
      </c>
      <c r="G11" t="s">
        <v>268</v>
      </c>
      <c r="H11" t="s">
        <v>287</v>
      </c>
      <c r="I11" t="s">
        <v>280</v>
      </c>
    </row>
    <row r="12" spans="1:9" x14ac:dyDescent="0.25">
      <c r="A12" t="s">
        <v>267</v>
      </c>
      <c r="B12" t="s">
        <v>272</v>
      </c>
      <c r="C12" t="s">
        <v>283</v>
      </c>
      <c r="D12" t="s">
        <v>278</v>
      </c>
      <c r="E12">
        <v>1</v>
      </c>
      <c r="G12" t="s">
        <v>268</v>
      </c>
      <c r="H12" t="s">
        <v>287</v>
      </c>
      <c r="I12" t="s">
        <v>280</v>
      </c>
    </row>
    <row r="13" spans="1:9" x14ac:dyDescent="0.25">
      <c r="A13" t="s">
        <v>267</v>
      </c>
      <c r="B13" t="s">
        <v>272</v>
      </c>
      <c r="C13" t="s">
        <v>284</v>
      </c>
      <c r="D13" t="s">
        <v>278</v>
      </c>
      <c r="E13">
        <v>1</v>
      </c>
      <c r="G13" t="s">
        <v>268</v>
      </c>
      <c r="H13" t="s">
        <v>287</v>
      </c>
      <c r="I13" t="s">
        <v>280</v>
      </c>
    </row>
    <row r="14" spans="1:9" x14ac:dyDescent="0.25">
      <c r="A14" t="s">
        <v>267</v>
      </c>
      <c r="B14" t="s">
        <v>272</v>
      </c>
      <c r="C14" t="s">
        <v>285</v>
      </c>
      <c r="D14" t="s">
        <v>278</v>
      </c>
      <c r="E14">
        <v>1</v>
      </c>
      <c r="G14" t="s">
        <v>268</v>
      </c>
      <c r="H14" t="s">
        <v>287</v>
      </c>
      <c r="I14" t="s">
        <v>280</v>
      </c>
    </row>
    <row r="15" spans="1:9" x14ac:dyDescent="0.25">
      <c r="A15" t="s">
        <v>267</v>
      </c>
      <c r="B15" t="s">
        <v>272</v>
      </c>
      <c r="C15" t="s">
        <v>286</v>
      </c>
      <c r="D15" t="s">
        <v>278</v>
      </c>
      <c r="E15">
        <v>1</v>
      </c>
      <c r="G15" t="s">
        <v>268</v>
      </c>
      <c r="H15" t="s">
        <v>287</v>
      </c>
      <c r="I15" t="s">
        <v>280</v>
      </c>
    </row>
    <row r="16" spans="1:9" x14ac:dyDescent="0.25">
      <c r="A16" t="s">
        <v>267</v>
      </c>
      <c r="B16" t="s">
        <v>288</v>
      </c>
      <c r="C16" t="s">
        <v>289</v>
      </c>
      <c r="D16" t="s">
        <v>459</v>
      </c>
      <c r="E16">
        <v>1</v>
      </c>
      <c r="G16" t="s">
        <v>268</v>
      </c>
      <c r="H16" t="s">
        <v>298</v>
      </c>
      <c r="I16" t="s">
        <v>299</v>
      </c>
    </row>
    <row r="17" spans="1:10" x14ac:dyDescent="0.25">
      <c r="A17" t="s">
        <v>267</v>
      </c>
      <c r="B17" t="s">
        <v>288</v>
      </c>
      <c r="C17" t="s">
        <v>291</v>
      </c>
      <c r="D17" t="s">
        <v>459</v>
      </c>
      <c r="E17">
        <v>1</v>
      </c>
      <c r="G17" t="s">
        <v>268</v>
      </c>
      <c r="H17" t="s">
        <v>298</v>
      </c>
      <c r="I17" t="s">
        <v>299</v>
      </c>
    </row>
    <row r="18" spans="1:10" x14ac:dyDescent="0.25">
      <c r="A18" t="s">
        <v>267</v>
      </c>
      <c r="B18" t="s">
        <v>288</v>
      </c>
      <c r="C18" t="s">
        <v>292</v>
      </c>
      <c r="D18" t="s">
        <v>459</v>
      </c>
      <c r="E18">
        <v>1</v>
      </c>
      <c r="G18" t="s">
        <v>268</v>
      </c>
      <c r="H18" t="s">
        <v>298</v>
      </c>
      <c r="I18" t="s">
        <v>299</v>
      </c>
    </row>
    <row r="19" spans="1:10" x14ac:dyDescent="0.25">
      <c r="A19" t="s">
        <v>267</v>
      </c>
      <c r="B19" t="s">
        <v>288</v>
      </c>
      <c r="C19" t="s">
        <v>293</v>
      </c>
      <c r="D19" t="s">
        <v>459</v>
      </c>
      <c r="E19">
        <v>1</v>
      </c>
      <c r="G19" t="s">
        <v>268</v>
      </c>
      <c r="H19" t="s">
        <v>298</v>
      </c>
      <c r="I19" t="s">
        <v>299</v>
      </c>
    </row>
    <row r="20" spans="1:10" x14ac:dyDescent="0.25">
      <c r="A20" t="s">
        <v>267</v>
      </c>
      <c r="B20" t="s">
        <v>288</v>
      </c>
      <c r="C20" t="s">
        <v>294</v>
      </c>
      <c r="D20" t="s">
        <v>459</v>
      </c>
      <c r="E20">
        <v>1</v>
      </c>
      <c r="G20" t="s">
        <v>268</v>
      </c>
      <c r="H20" t="s">
        <v>298</v>
      </c>
      <c r="I20" t="s">
        <v>299</v>
      </c>
    </row>
    <row r="21" spans="1:10" x14ac:dyDescent="0.25">
      <c r="A21" t="s">
        <v>267</v>
      </c>
      <c r="B21" t="s">
        <v>288</v>
      </c>
      <c r="C21" t="s">
        <v>295</v>
      </c>
      <c r="D21" t="s">
        <v>459</v>
      </c>
      <c r="E21">
        <v>1</v>
      </c>
      <c r="G21" t="s">
        <v>268</v>
      </c>
      <c r="H21" t="s">
        <v>298</v>
      </c>
      <c r="I21" t="s">
        <v>299</v>
      </c>
    </row>
    <row r="22" spans="1:10" x14ac:dyDescent="0.25">
      <c r="A22" t="s">
        <v>267</v>
      </c>
      <c r="B22" t="s">
        <v>288</v>
      </c>
      <c r="C22" t="s">
        <v>296</v>
      </c>
      <c r="D22" t="s">
        <v>459</v>
      </c>
      <c r="E22">
        <v>1</v>
      </c>
      <c r="G22" t="s">
        <v>268</v>
      </c>
      <c r="H22" t="s">
        <v>298</v>
      </c>
      <c r="I22" t="s">
        <v>299</v>
      </c>
    </row>
    <row r="23" spans="1:10" x14ac:dyDescent="0.25">
      <c r="A23" t="s">
        <v>267</v>
      </c>
      <c r="B23" t="s">
        <v>288</v>
      </c>
      <c r="C23" t="s">
        <v>297</v>
      </c>
      <c r="D23" t="s">
        <v>459</v>
      </c>
      <c r="E23">
        <v>1</v>
      </c>
      <c r="G23" t="s">
        <v>268</v>
      </c>
      <c r="H23" t="s">
        <v>298</v>
      </c>
      <c r="I23" t="s">
        <v>299</v>
      </c>
    </row>
    <row r="24" spans="1:10" x14ac:dyDescent="0.25">
      <c r="A24" t="s">
        <v>267</v>
      </c>
      <c r="B24" t="s">
        <v>288</v>
      </c>
      <c r="C24" t="s">
        <v>300</v>
      </c>
      <c r="D24" t="s">
        <v>459</v>
      </c>
      <c r="E24">
        <v>1</v>
      </c>
      <c r="G24" t="s">
        <v>268</v>
      </c>
      <c r="H24" t="s">
        <v>301</v>
      </c>
    </row>
    <row r="25" spans="1:10" x14ac:dyDescent="0.25">
      <c r="A25" t="s">
        <v>267</v>
      </c>
      <c r="B25" t="s">
        <v>288</v>
      </c>
      <c r="C25" t="s">
        <v>302</v>
      </c>
      <c r="D25" t="s">
        <v>459</v>
      </c>
      <c r="E25">
        <v>1</v>
      </c>
      <c r="G25" t="s">
        <v>268</v>
      </c>
      <c r="H25" t="s">
        <v>303</v>
      </c>
    </row>
    <row r="26" spans="1:10" x14ac:dyDescent="0.25">
      <c r="A26" t="s">
        <v>267</v>
      </c>
      <c r="B26" t="s">
        <v>288</v>
      </c>
      <c r="C26" t="s">
        <v>304</v>
      </c>
      <c r="D26" t="s">
        <v>459</v>
      </c>
      <c r="E26">
        <v>1</v>
      </c>
      <c r="G26" t="s">
        <v>268</v>
      </c>
      <c r="H26" t="s">
        <v>305</v>
      </c>
    </row>
    <row r="27" spans="1:10" x14ac:dyDescent="0.25">
      <c r="A27" t="s">
        <v>267</v>
      </c>
      <c r="B27" t="s">
        <v>288</v>
      </c>
      <c r="C27" t="s">
        <v>306</v>
      </c>
      <c r="D27" t="s">
        <v>459</v>
      </c>
      <c r="E27">
        <v>1</v>
      </c>
      <c r="G27" t="s">
        <v>268</v>
      </c>
      <c r="H27" t="s">
        <v>307</v>
      </c>
      <c r="I27" t="s">
        <v>308</v>
      </c>
      <c r="J27" t="s">
        <v>309</v>
      </c>
    </row>
    <row r="28" spans="1:10" x14ac:dyDescent="0.25">
      <c r="A28" t="s">
        <v>267</v>
      </c>
      <c r="B28" t="s">
        <v>288</v>
      </c>
      <c r="C28" t="s">
        <v>310</v>
      </c>
      <c r="D28" t="s">
        <v>459</v>
      </c>
      <c r="E28">
        <v>1</v>
      </c>
      <c r="G28" t="s">
        <v>268</v>
      </c>
      <c r="H28" t="s">
        <v>311</v>
      </c>
    </row>
    <row r="29" spans="1:10" x14ac:dyDescent="0.25">
      <c r="A29" t="s">
        <v>267</v>
      </c>
      <c r="B29" t="s">
        <v>312</v>
      </c>
      <c r="C29" t="s">
        <v>313</v>
      </c>
      <c r="D29" t="s">
        <v>444</v>
      </c>
      <c r="E29">
        <v>1</v>
      </c>
      <c r="G29" t="s">
        <v>268</v>
      </c>
      <c r="H29" t="s">
        <v>315</v>
      </c>
      <c r="I29" t="s">
        <v>320</v>
      </c>
    </row>
    <row r="30" spans="1:10" x14ac:dyDescent="0.25">
      <c r="A30" t="s">
        <v>267</v>
      </c>
      <c r="B30" t="s">
        <v>312</v>
      </c>
      <c r="C30" t="s">
        <v>316</v>
      </c>
      <c r="D30" t="s">
        <v>314</v>
      </c>
      <c r="E30">
        <v>1</v>
      </c>
      <c r="G30" t="s">
        <v>268</v>
      </c>
      <c r="H30" t="s">
        <v>315</v>
      </c>
      <c r="I30" t="s">
        <v>319</v>
      </c>
    </row>
    <row r="31" spans="1:10" x14ac:dyDescent="0.25">
      <c r="A31" t="s">
        <v>267</v>
      </c>
      <c r="B31" t="s">
        <v>312</v>
      </c>
      <c r="C31" t="s">
        <v>317</v>
      </c>
      <c r="D31" t="s">
        <v>314</v>
      </c>
      <c r="E31">
        <v>1</v>
      </c>
      <c r="G31" t="s">
        <v>268</v>
      </c>
      <c r="H31" t="s">
        <v>315</v>
      </c>
      <c r="I31" t="s">
        <v>318</v>
      </c>
    </row>
    <row r="32" spans="1:10" x14ac:dyDescent="0.25">
      <c r="A32" t="s">
        <v>267</v>
      </c>
      <c r="B32" t="s">
        <v>312</v>
      </c>
      <c r="C32" t="s">
        <v>433</v>
      </c>
      <c r="D32" t="s">
        <v>444</v>
      </c>
      <c r="E32">
        <v>1</v>
      </c>
      <c r="G32" t="s">
        <v>268</v>
      </c>
      <c r="H32" t="s">
        <v>315</v>
      </c>
      <c r="I32" t="s">
        <v>321</v>
      </c>
    </row>
    <row r="33" spans="1:9" x14ac:dyDescent="0.25">
      <c r="A33" t="s">
        <v>267</v>
      </c>
      <c r="B33" t="s">
        <v>312</v>
      </c>
      <c r="C33" t="s">
        <v>322</v>
      </c>
      <c r="D33" t="s">
        <v>458</v>
      </c>
      <c r="E33">
        <v>1</v>
      </c>
      <c r="G33" t="s">
        <v>268</v>
      </c>
      <c r="H33" t="s">
        <v>328</v>
      </c>
      <c r="I33" t="s">
        <v>331</v>
      </c>
    </row>
    <row r="34" spans="1:9" x14ac:dyDescent="0.25">
      <c r="A34" t="s">
        <v>267</v>
      </c>
      <c r="B34" t="s">
        <v>312</v>
      </c>
      <c r="C34" t="s">
        <v>323</v>
      </c>
      <c r="D34" t="s">
        <v>458</v>
      </c>
      <c r="E34">
        <v>1</v>
      </c>
      <c r="G34" t="s">
        <v>268</v>
      </c>
      <c r="H34" t="s">
        <v>328</v>
      </c>
      <c r="I34" t="s">
        <v>331</v>
      </c>
    </row>
    <row r="35" spans="1:9" x14ac:dyDescent="0.25">
      <c r="A35" t="s">
        <v>267</v>
      </c>
      <c r="B35" t="s">
        <v>312</v>
      </c>
      <c r="C35" t="s">
        <v>324</v>
      </c>
      <c r="D35" t="s">
        <v>458</v>
      </c>
      <c r="E35">
        <v>1</v>
      </c>
      <c r="G35" t="s">
        <v>268</v>
      </c>
      <c r="H35" t="s">
        <v>328</v>
      </c>
      <c r="I35" t="s">
        <v>331</v>
      </c>
    </row>
    <row r="36" spans="1:9" x14ac:dyDescent="0.25">
      <c r="A36" t="s">
        <v>267</v>
      </c>
      <c r="B36" t="s">
        <v>312</v>
      </c>
      <c r="C36" t="s">
        <v>325</v>
      </c>
      <c r="D36" t="s">
        <v>458</v>
      </c>
      <c r="E36">
        <v>1</v>
      </c>
      <c r="G36" t="s">
        <v>268</v>
      </c>
      <c r="H36" t="s">
        <v>328</v>
      </c>
      <c r="I36" t="s">
        <v>331</v>
      </c>
    </row>
    <row r="37" spans="1:9" x14ac:dyDescent="0.25">
      <c r="A37" t="s">
        <v>267</v>
      </c>
      <c r="B37" t="s">
        <v>312</v>
      </c>
      <c r="C37" t="s">
        <v>326</v>
      </c>
      <c r="D37" t="s">
        <v>458</v>
      </c>
      <c r="E37">
        <v>1</v>
      </c>
      <c r="G37" t="s">
        <v>268</v>
      </c>
      <c r="H37" t="s">
        <v>328</v>
      </c>
      <c r="I37" t="s">
        <v>331</v>
      </c>
    </row>
    <row r="38" spans="1:9" x14ac:dyDescent="0.25">
      <c r="A38" t="s">
        <v>267</v>
      </c>
      <c r="B38" t="s">
        <v>312</v>
      </c>
      <c r="C38" t="s">
        <v>327</v>
      </c>
      <c r="D38" t="s">
        <v>458</v>
      </c>
      <c r="E38">
        <v>1</v>
      </c>
      <c r="G38" t="s">
        <v>268</v>
      </c>
      <c r="H38" t="s">
        <v>328</v>
      </c>
      <c r="I38" t="s">
        <v>331</v>
      </c>
    </row>
    <row r="39" spans="1:9" x14ac:dyDescent="0.25">
      <c r="A39" t="s">
        <v>267</v>
      </c>
      <c r="B39" t="s">
        <v>312</v>
      </c>
      <c r="C39" t="s">
        <v>329</v>
      </c>
      <c r="D39" t="s">
        <v>458</v>
      </c>
      <c r="E39">
        <v>1</v>
      </c>
      <c r="G39" t="s">
        <v>268</v>
      </c>
      <c r="H39" t="s">
        <v>328</v>
      </c>
      <c r="I39" t="s">
        <v>331</v>
      </c>
    </row>
    <row r="40" spans="1:9" x14ac:dyDescent="0.25">
      <c r="A40" t="s">
        <v>267</v>
      </c>
      <c r="B40" t="s">
        <v>312</v>
      </c>
      <c r="C40" t="s">
        <v>330</v>
      </c>
      <c r="D40" t="s">
        <v>458</v>
      </c>
      <c r="E40">
        <v>1</v>
      </c>
      <c r="G40" t="s">
        <v>268</v>
      </c>
      <c r="H40" t="s">
        <v>328</v>
      </c>
      <c r="I40" t="s">
        <v>331</v>
      </c>
    </row>
    <row r="41" spans="1:9" x14ac:dyDescent="0.25">
      <c r="A41" t="s">
        <v>267</v>
      </c>
      <c r="B41" t="s">
        <v>312</v>
      </c>
      <c r="C41" t="s">
        <v>332</v>
      </c>
      <c r="D41" t="s">
        <v>459</v>
      </c>
      <c r="E41">
        <v>1</v>
      </c>
      <c r="G41" t="s">
        <v>268</v>
      </c>
      <c r="H41" t="s">
        <v>333</v>
      </c>
    </row>
    <row r="42" spans="1:9" x14ac:dyDescent="0.25">
      <c r="A42" t="s">
        <v>267</v>
      </c>
      <c r="B42" t="s">
        <v>312</v>
      </c>
      <c r="C42" t="s">
        <v>334</v>
      </c>
      <c r="D42" t="s">
        <v>314</v>
      </c>
      <c r="E42">
        <v>1</v>
      </c>
      <c r="G42" t="s">
        <v>268</v>
      </c>
      <c r="H42" t="s">
        <v>335</v>
      </c>
    </row>
    <row r="43" spans="1:9" x14ac:dyDescent="0.25">
      <c r="A43" t="s">
        <v>267</v>
      </c>
      <c r="B43" t="s">
        <v>312</v>
      </c>
      <c r="C43" t="s">
        <v>336</v>
      </c>
      <c r="D43" t="s">
        <v>460</v>
      </c>
      <c r="E43">
        <v>2</v>
      </c>
      <c r="G43" t="s">
        <v>268</v>
      </c>
      <c r="H43" t="s">
        <v>337</v>
      </c>
    </row>
    <row r="44" spans="1:9" x14ac:dyDescent="0.25">
      <c r="A44" t="s">
        <v>267</v>
      </c>
      <c r="B44" t="s">
        <v>312</v>
      </c>
      <c r="C44" t="s">
        <v>338</v>
      </c>
      <c r="D44" t="s">
        <v>460</v>
      </c>
      <c r="E44">
        <v>1</v>
      </c>
      <c r="G44" t="s">
        <v>268</v>
      </c>
      <c r="H44" t="s">
        <v>339</v>
      </c>
    </row>
    <row r="45" spans="1:9" x14ac:dyDescent="0.25">
      <c r="A45" t="s">
        <v>267</v>
      </c>
      <c r="B45" t="s">
        <v>312</v>
      </c>
      <c r="C45" t="s">
        <v>340</v>
      </c>
      <c r="D45" t="s">
        <v>460</v>
      </c>
      <c r="E45">
        <v>1</v>
      </c>
      <c r="G45" t="s">
        <v>268</v>
      </c>
      <c r="H45" t="s">
        <v>339</v>
      </c>
    </row>
    <row r="46" spans="1:9" x14ac:dyDescent="0.25">
      <c r="A46" t="s">
        <v>267</v>
      </c>
      <c r="B46" t="s">
        <v>312</v>
      </c>
      <c r="C46" t="s">
        <v>341</v>
      </c>
      <c r="D46" t="s">
        <v>460</v>
      </c>
      <c r="E46">
        <v>1</v>
      </c>
      <c r="G46" t="s">
        <v>268</v>
      </c>
      <c r="H46" t="s">
        <v>339</v>
      </c>
    </row>
    <row r="47" spans="1:9" x14ac:dyDescent="0.25">
      <c r="A47" t="s">
        <v>267</v>
      </c>
      <c r="B47" t="s">
        <v>312</v>
      </c>
      <c r="C47" t="s">
        <v>342</v>
      </c>
      <c r="D47" t="s">
        <v>460</v>
      </c>
      <c r="E47">
        <v>1</v>
      </c>
      <c r="G47" t="s">
        <v>268</v>
      </c>
      <c r="H47" t="s">
        <v>343</v>
      </c>
    </row>
    <row r="48" spans="1:9" x14ac:dyDescent="0.25">
      <c r="A48" t="s">
        <v>267</v>
      </c>
      <c r="B48" t="s">
        <v>312</v>
      </c>
      <c r="C48" t="s">
        <v>344</v>
      </c>
      <c r="D48" t="s">
        <v>460</v>
      </c>
      <c r="E48">
        <v>1</v>
      </c>
      <c r="G48" t="s">
        <v>268</v>
      </c>
      <c r="H48" t="s">
        <v>339</v>
      </c>
    </row>
    <row r="49" spans="1:11" x14ac:dyDescent="0.25">
      <c r="A49" t="s">
        <v>267</v>
      </c>
      <c r="B49" t="s">
        <v>312</v>
      </c>
      <c r="C49" t="s">
        <v>345</v>
      </c>
      <c r="D49" t="s">
        <v>460</v>
      </c>
      <c r="E49">
        <v>1</v>
      </c>
      <c r="G49" t="s">
        <v>268</v>
      </c>
      <c r="H49" t="s">
        <v>339</v>
      </c>
    </row>
    <row r="50" spans="1:11" x14ac:dyDescent="0.25">
      <c r="A50" t="s">
        <v>267</v>
      </c>
      <c r="B50" t="s">
        <v>312</v>
      </c>
      <c r="C50" t="s">
        <v>346</v>
      </c>
      <c r="D50" t="s">
        <v>460</v>
      </c>
      <c r="E50">
        <v>1</v>
      </c>
      <c r="G50" t="s">
        <v>268</v>
      </c>
      <c r="H50" t="s">
        <v>343</v>
      </c>
    </row>
    <row r="51" spans="1:11" x14ac:dyDescent="0.25">
      <c r="A51" t="s">
        <v>267</v>
      </c>
      <c r="B51" t="s">
        <v>312</v>
      </c>
      <c r="C51" t="s">
        <v>347</v>
      </c>
      <c r="D51" t="s">
        <v>460</v>
      </c>
      <c r="E51">
        <v>1</v>
      </c>
      <c r="G51" t="s">
        <v>268</v>
      </c>
      <c r="H51" t="s">
        <v>339</v>
      </c>
    </row>
    <row r="52" spans="1:11" x14ac:dyDescent="0.25">
      <c r="A52" t="s">
        <v>267</v>
      </c>
      <c r="B52" t="s">
        <v>348</v>
      </c>
      <c r="C52" t="s">
        <v>349</v>
      </c>
      <c r="D52" t="s">
        <v>460</v>
      </c>
      <c r="E52">
        <v>1</v>
      </c>
      <c r="G52" t="s">
        <v>268</v>
      </c>
      <c r="H52" t="s">
        <v>355</v>
      </c>
    </row>
    <row r="53" spans="1:11" x14ac:dyDescent="0.25">
      <c r="A53" t="s">
        <v>267</v>
      </c>
      <c r="B53" t="s">
        <v>348</v>
      </c>
      <c r="C53" t="s">
        <v>350</v>
      </c>
      <c r="D53" t="s">
        <v>460</v>
      </c>
      <c r="E53">
        <v>1</v>
      </c>
      <c r="G53" t="s">
        <v>268</v>
      </c>
      <c r="H53" t="s">
        <v>355</v>
      </c>
      <c r="I53" t="s">
        <v>356</v>
      </c>
    </row>
    <row r="54" spans="1:11" x14ac:dyDescent="0.25">
      <c r="A54" t="s">
        <v>267</v>
      </c>
      <c r="B54" t="s">
        <v>348</v>
      </c>
      <c r="C54" t="s">
        <v>351</v>
      </c>
      <c r="D54" t="s">
        <v>460</v>
      </c>
      <c r="E54">
        <v>1</v>
      </c>
      <c r="G54" t="s">
        <v>268</v>
      </c>
      <c r="H54" t="s">
        <v>355</v>
      </c>
      <c r="I54" t="s">
        <v>356</v>
      </c>
    </row>
    <row r="55" spans="1:11" x14ac:dyDescent="0.25">
      <c r="A55" t="s">
        <v>267</v>
      </c>
      <c r="B55" t="s">
        <v>348</v>
      </c>
      <c r="C55" t="s">
        <v>352</v>
      </c>
      <c r="D55" t="s">
        <v>460</v>
      </c>
      <c r="E55">
        <v>1</v>
      </c>
      <c r="G55" t="s">
        <v>268</v>
      </c>
      <c r="H55" t="s">
        <v>355</v>
      </c>
    </row>
    <row r="56" spans="1:11" x14ac:dyDescent="0.25">
      <c r="A56" t="s">
        <v>267</v>
      </c>
      <c r="B56" t="s">
        <v>348</v>
      </c>
      <c r="C56" t="s">
        <v>353</v>
      </c>
      <c r="D56" t="s">
        <v>460</v>
      </c>
      <c r="E56">
        <v>1</v>
      </c>
      <c r="G56" t="s">
        <v>268</v>
      </c>
      <c r="H56" t="s">
        <v>355</v>
      </c>
    </row>
    <row r="57" spans="1:11" x14ac:dyDescent="0.25">
      <c r="A57" t="s">
        <v>267</v>
      </c>
      <c r="B57" t="s">
        <v>348</v>
      </c>
      <c r="C57" t="s">
        <v>354</v>
      </c>
      <c r="D57" t="s">
        <v>460</v>
      </c>
      <c r="E57">
        <v>1</v>
      </c>
      <c r="G57" t="s">
        <v>268</v>
      </c>
      <c r="H57" t="s">
        <v>355</v>
      </c>
    </row>
    <row r="58" spans="1:11" x14ac:dyDescent="0.25">
      <c r="A58" t="s">
        <v>267</v>
      </c>
      <c r="B58" t="s">
        <v>357</v>
      </c>
      <c r="C58" t="s">
        <v>358</v>
      </c>
      <c r="D58" t="s">
        <v>459</v>
      </c>
      <c r="E58">
        <v>5</v>
      </c>
      <c r="G58" t="s">
        <v>268</v>
      </c>
      <c r="H58" t="s">
        <v>359</v>
      </c>
      <c r="I58" t="s">
        <v>360</v>
      </c>
    </row>
    <row r="59" spans="1:11" x14ac:dyDescent="0.25">
      <c r="A59" t="s">
        <v>267</v>
      </c>
      <c r="B59" t="s">
        <v>357</v>
      </c>
      <c r="C59" t="s">
        <v>361</v>
      </c>
      <c r="D59" t="s">
        <v>459</v>
      </c>
      <c r="E59">
        <v>1</v>
      </c>
      <c r="G59" t="s">
        <v>268</v>
      </c>
      <c r="H59" t="s">
        <v>362</v>
      </c>
    </row>
    <row r="60" spans="1:11" x14ac:dyDescent="0.25">
      <c r="A60" t="s">
        <v>267</v>
      </c>
      <c r="B60" t="s">
        <v>357</v>
      </c>
      <c r="C60" t="s">
        <v>363</v>
      </c>
      <c r="D60" t="s">
        <v>459</v>
      </c>
      <c r="E60">
        <v>5</v>
      </c>
      <c r="G60" t="s">
        <v>268</v>
      </c>
      <c r="H60" t="s">
        <v>364</v>
      </c>
    </row>
    <row r="61" spans="1:11" x14ac:dyDescent="0.25">
      <c r="A61" t="s">
        <v>267</v>
      </c>
      <c r="B61" t="s">
        <v>357</v>
      </c>
      <c r="C61" t="s">
        <v>365</v>
      </c>
      <c r="D61" t="s">
        <v>459</v>
      </c>
      <c r="E61">
        <v>1</v>
      </c>
      <c r="G61" t="s">
        <v>268</v>
      </c>
      <c r="H61" t="s">
        <v>382</v>
      </c>
    </row>
    <row r="62" spans="1:11" x14ac:dyDescent="0.25">
      <c r="A62" t="s">
        <v>267</v>
      </c>
      <c r="B62" t="s">
        <v>357</v>
      </c>
      <c r="C62" t="s">
        <v>366</v>
      </c>
      <c r="D62" t="s">
        <v>459</v>
      </c>
      <c r="E62">
        <v>1</v>
      </c>
      <c r="G62" t="s">
        <v>268</v>
      </c>
      <c r="H62" t="s">
        <v>362</v>
      </c>
    </row>
    <row r="63" spans="1:11" x14ac:dyDescent="0.25">
      <c r="A63" t="s">
        <v>267</v>
      </c>
      <c r="B63" t="s">
        <v>357</v>
      </c>
      <c r="C63" t="s">
        <v>367</v>
      </c>
      <c r="D63" t="s">
        <v>459</v>
      </c>
      <c r="E63">
        <v>5</v>
      </c>
      <c r="G63" t="s">
        <v>268</v>
      </c>
      <c r="H63" t="s">
        <v>368</v>
      </c>
    </row>
    <row r="64" spans="1:11" x14ac:dyDescent="0.25">
      <c r="A64" t="s">
        <v>267</v>
      </c>
      <c r="B64" t="s">
        <v>357</v>
      </c>
      <c r="C64" t="s">
        <v>369</v>
      </c>
      <c r="D64" t="s">
        <v>459</v>
      </c>
      <c r="E64">
        <v>5</v>
      </c>
      <c r="G64" t="s">
        <v>268</v>
      </c>
      <c r="H64" t="s">
        <v>364</v>
      </c>
      <c r="I64" t="s">
        <v>370</v>
      </c>
      <c r="J64" t="s">
        <v>371</v>
      </c>
      <c r="K64" t="s">
        <v>376</v>
      </c>
    </row>
    <row r="65" spans="1:11" x14ac:dyDescent="0.25">
      <c r="A65" t="s">
        <v>267</v>
      </c>
      <c r="B65" t="s">
        <v>357</v>
      </c>
      <c r="C65" t="s">
        <v>381</v>
      </c>
      <c r="D65" t="s">
        <v>459</v>
      </c>
      <c r="E65">
        <v>1</v>
      </c>
      <c r="G65" t="s">
        <v>268</v>
      </c>
      <c r="H65" t="s">
        <v>382</v>
      </c>
    </row>
    <row r="66" spans="1:11" x14ac:dyDescent="0.25">
      <c r="A66" t="s">
        <v>267</v>
      </c>
      <c r="B66" t="s">
        <v>357</v>
      </c>
      <c r="C66" t="s">
        <v>372</v>
      </c>
      <c r="D66" t="s">
        <v>459</v>
      </c>
      <c r="E66">
        <v>3</v>
      </c>
      <c r="G66" t="s">
        <v>268</v>
      </c>
      <c r="H66" t="s">
        <v>373</v>
      </c>
    </row>
    <row r="67" spans="1:11" x14ac:dyDescent="0.25">
      <c r="A67" t="s">
        <v>267</v>
      </c>
      <c r="B67" t="s">
        <v>357</v>
      </c>
      <c r="C67" t="s">
        <v>374</v>
      </c>
      <c r="D67" t="s">
        <v>459</v>
      </c>
      <c r="E67">
        <v>3</v>
      </c>
      <c r="G67" t="s">
        <v>268</v>
      </c>
      <c r="H67" t="s">
        <v>375</v>
      </c>
    </row>
    <row r="68" spans="1:11" x14ac:dyDescent="0.25">
      <c r="A68" t="s">
        <v>267</v>
      </c>
      <c r="B68" t="s">
        <v>357</v>
      </c>
      <c r="C68" t="s">
        <v>377</v>
      </c>
      <c r="D68" t="s">
        <v>459</v>
      </c>
      <c r="E68">
        <v>5</v>
      </c>
      <c r="G68" t="s">
        <v>268</v>
      </c>
      <c r="H68" t="s">
        <v>362</v>
      </c>
    </row>
    <row r="69" spans="1:11" x14ac:dyDescent="0.25">
      <c r="A69" t="s">
        <v>267</v>
      </c>
      <c r="B69" t="s">
        <v>357</v>
      </c>
      <c r="C69" t="s">
        <v>378</v>
      </c>
      <c r="D69" t="s">
        <v>459</v>
      </c>
      <c r="E69">
        <v>5</v>
      </c>
      <c r="G69" t="s">
        <v>268</v>
      </c>
      <c r="H69" t="s">
        <v>368</v>
      </c>
    </row>
    <row r="70" spans="1:11" x14ac:dyDescent="0.25">
      <c r="A70" t="s">
        <v>267</v>
      </c>
      <c r="B70" t="s">
        <v>357</v>
      </c>
      <c r="C70" t="s">
        <v>379</v>
      </c>
      <c r="D70" t="s">
        <v>459</v>
      </c>
      <c r="E70">
        <v>3</v>
      </c>
      <c r="G70" t="s">
        <v>268</v>
      </c>
      <c r="H70" t="s">
        <v>364</v>
      </c>
      <c r="I70" t="s">
        <v>389</v>
      </c>
      <c r="J70" t="s">
        <v>371</v>
      </c>
      <c r="K70" t="s">
        <v>376</v>
      </c>
    </row>
    <row r="71" spans="1:11" x14ac:dyDescent="0.25">
      <c r="A71" t="s">
        <v>267</v>
      </c>
      <c r="B71" t="s">
        <v>357</v>
      </c>
      <c r="C71" t="s">
        <v>380</v>
      </c>
      <c r="D71" t="s">
        <v>459</v>
      </c>
      <c r="E71">
        <v>3</v>
      </c>
      <c r="G71" t="s">
        <v>268</v>
      </c>
      <c r="H71" t="s">
        <v>382</v>
      </c>
    </row>
    <row r="72" spans="1:11" x14ac:dyDescent="0.25">
      <c r="A72" t="s">
        <v>267</v>
      </c>
      <c r="B72" t="s">
        <v>357</v>
      </c>
      <c r="C72" t="s">
        <v>461</v>
      </c>
      <c r="D72" t="s">
        <v>459</v>
      </c>
      <c r="E72">
        <v>3</v>
      </c>
      <c r="G72" t="s">
        <v>268</v>
      </c>
      <c r="H72" t="s">
        <v>373</v>
      </c>
    </row>
    <row r="73" spans="1:11" x14ac:dyDescent="0.25">
      <c r="A73" t="s">
        <v>267</v>
      </c>
      <c r="B73" t="s">
        <v>357</v>
      </c>
      <c r="C73" t="s">
        <v>462</v>
      </c>
      <c r="D73" t="s">
        <v>459</v>
      </c>
      <c r="E73">
        <v>3</v>
      </c>
      <c r="G73" t="s">
        <v>268</v>
      </c>
      <c r="H73" t="s">
        <v>375</v>
      </c>
    </row>
    <row r="74" spans="1:11" x14ac:dyDescent="0.25">
      <c r="A74" t="s">
        <v>267</v>
      </c>
      <c r="B74" t="s">
        <v>357</v>
      </c>
      <c r="C74" t="s">
        <v>445</v>
      </c>
      <c r="D74" t="s">
        <v>290</v>
      </c>
      <c r="E74">
        <v>1</v>
      </c>
      <c r="G74" t="s">
        <v>268</v>
      </c>
      <c r="H74" t="s">
        <v>383</v>
      </c>
    </row>
    <row r="75" spans="1:11" x14ac:dyDescent="0.25">
      <c r="A75" t="s">
        <v>267</v>
      </c>
      <c r="B75" t="s">
        <v>357</v>
      </c>
      <c r="C75" t="s">
        <v>384</v>
      </c>
      <c r="D75" t="s">
        <v>387</v>
      </c>
      <c r="E75">
        <v>3</v>
      </c>
      <c r="G75" t="s">
        <v>268</v>
      </c>
      <c r="H75" t="s">
        <v>385</v>
      </c>
      <c r="I75" t="s">
        <v>386</v>
      </c>
    </row>
    <row r="76" spans="1:11" x14ac:dyDescent="0.25">
      <c r="A76" t="s">
        <v>267</v>
      </c>
      <c r="B76" t="s">
        <v>357</v>
      </c>
      <c r="C76" t="s">
        <v>390</v>
      </c>
      <c r="D76" t="s">
        <v>290</v>
      </c>
      <c r="E76">
        <v>1</v>
      </c>
      <c r="G76" t="s">
        <v>268</v>
      </c>
      <c r="H76" t="s">
        <v>388</v>
      </c>
    </row>
    <row r="77" spans="1:11" x14ac:dyDescent="0.25">
      <c r="A77" t="s">
        <v>267</v>
      </c>
      <c r="B77" t="s">
        <v>357</v>
      </c>
      <c r="C77" t="s">
        <v>391</v>
      </c>
      <c r="D77" t="s">
        <v>387</v>
      </c>
      <c r="E77">
        <v>3</v>
      </c>
      <c r="G77" t="s">
        <v>268</v>
      </c>
      <c r="H77" t="s">
        <v>393</v>
      </c>
      <c r="I77" t="s">
        <v>386</v>
      </c>
    </row>
    <row r="78" spans="1:11" x14ac:dyDescent="0.25">
      <c r="A78" t="s">
        <v>267</v>
      </c>
      <c r="B78" t="s">
        <v>357</v>
      </c>
      <c r="C78" t="s">
        <v>392</v>
      </c>
      <c r="D78" t="s">
        <v>290</v>
      </c>
      <c r="E78">
        <v>1</v>
      </c>
      <c r="G78" t="s">
        <v>268</v>
      </c>
      <c r="H78" t="s">
        <v>388</v>
      </c>
    </row>
    <row r="79" spans="1:11" x14ac:dyDescent="0.25">
      <c r="A79" t="s">
        <v>267</v>
      </c>
      <c r="B79" t="s">
        <v>394</v>
      </c>
      <c r="C79" t="s">
        <v>395</v>
      </c>
      <c r="D79" t="s">
        <v>290</v>
      </c>
      <c r="E79">
        <v>1</v>
      </c>
      <c r="G79" t="s">
        <v>268</v>
      </c>
      <c r="H79" t="s">
        <v>396</v>
      </c>
    </row>
    <row r="80" spans="1:11" x14ac:dyDescent="0.25">
      <c r="A80" t="s">
        <v>267</v>
      </c>
      <c r="B80" t="s">
        <v>394</v>
      </c>
      <c r="C80" t="s">
        <v>397</v>
      </c>
      <c r="D80" t="s">
        <v>290</v>
      </c>
      <c r="E80">
        <v>1</v>
      </c>
      <c r="G80" t="s">
        <v>268</v>
      </c>
      <c r="H80" t="s">
        <v>414</v>
      </c>
    </row>
    <row r="81" spans="1:11" x14ac:dyDescent="0.25">
      <c r="A81" t="s">
        <v>267</v>
      </c>
      <c r="B81" t="s">
        <v>394</v>
      </c>
      <c r="C81" t="s">
        <v>398</v>
      </c>
      <c r="D81" t="s">
        <v>451</v>
      </c>
      <c r="E81">
        <v>1</v>
      </c>
      <c r="G81" t="s">
        <v>268</v>
      </c>
      <c r="H81" t="s">
        <v>405</v>
      </c>
    </row>
    <row r="82" spans="1:11" x14ac:dyDescent="0.25">
      <c r="A82" t="s">
        <v>267</v>
      </c>
      <c r="B82" t="s">
        <v>394</v>
      </c>
      <c r="C82" t="s">
        <v>399</v>
      </c>
      <c r="D82" t="s">
        <v>451</v>
      </c>
      <c r="E82">
        <v>1</v>
      </c>
      <c r="G82" t="s">
        <v>268</v>
      </c>
      <c r="H82" t="s">
        <v>405</v>
      </c>
    </row>
    <row r="83" spans="1:11" x14ac:dyDescent="0.25">
      <c r="A83" t="s">
        <v>267</v>
      </c>
      <c r="B83" t="s">
        <v>394</v>
      </c>
      <c r="C83" t="s">
        <v>400</v>
      </c>
      <c r="D83" t="s">
        <v>451</v>
      </c>
      <c r="E83">
        <v>1</v>
      </c>
      <c r="G83" t="s">
        <v>268</v>
      </c>
      <c r="H83" t="s">
        <v>405</v>
      </c>
    </row>
    <row r="84" spans="1:11" x14ac:dyDescent="0.25">
      <c r="A84" t="s">
        <v>267</v>
      </c>
      <c r="B84" t="s">
        <v>394</v>
      </c>
      <c r="C84" t="s">
        <v>401</v>
      </c>
      <c r="D84" t="s">
        <v>451</v>
      </c>
      <c r="E84">
        <v>1</v>
      </c>
      <c r="G84" t="s">
        <v>268</v>
      </c>
      <c r="H84" t="s">
        <v>405</v>
      </c>
    </row>
    <row r="85" spans="1:11" x14ac:dyDescent="0.25">
      <c r="A85" t="s">
        <v>267</v>
      </c>
      <c r="B85" t="s">
        <v>394</v>
      </c>
      <c r="C85" t="s">
        <v>402</v>
      </c>
      <c r="D85" t="s">
        <v>451</v>
      </c>
      <c r="E85">
        <v>1</v>
      </c>
      <c r="G85" t="s">
        <v>268</v>
      </c>
      <c r="H85" t="s">
        <v>405</v>
      </c>
    </row>
    <row r="86" spans="1:11" x14ac:dyDescent="0.25">
      <c r="A86" t="s">
        <v>267</v>
      </c>
      <c r="B86" t="s">
        <v>394</v>
      </c>
      <c r="C86" t="s">
        <v>403</v>
      </c>
      <c r="D86" t="s">
        <v>451</v>
      </c>
      <c r="E86">
        <v>1</v>
      </c>
      <c r="G86" t="s">
        <v>268</v>
      </c>
      <c r="H86" t="s">
        <v>405</v>
      </c>
    </row>
    <row r="87" spans="1:11" x14ac:dyDescent="0.25">
      <c r="A87" t="s">
        <v>267</v>
      </c>
      <c r="B87" t="s">
        <v>394</v>
      </c>
      <c r="C87" t="s">
        <v>404</v>
      </c>
      <c r="D87" t="s">
        <v>451</v>
      </c>
      <c r="E87">
        <v>1</v>
      </c>
      <c r="G87" t="s">
        <v>268</v>
      </c>
      <c r="H87" t="s">
        <v>405</v>
      </c>
    </row>
    <row r="88" spans="1:11" x14ac:dyDescent="0.25">
      <c r="A88" t="s">
        <v>267</v>
      </c>
      <c r="B88" t="s">
        <v>394</v>
      </c>
      <c r="C88" t="s">
        <v>406</v>
      </c>
      <c r="D88" t="s">
        <v>451</v>
      </c>
      <c r="E88">
        <v>1</v>
      </c>
      <c r="G88" t="s">
        <v>268</v>
      </c>
      <c r="H88" t="s">
        <v>407</v>
      </c>
    </row>
    <row r="89" spans="1:11" x14ac:dyDescent="0.25">
      <c r="A89" t="s">
        <v>267</v>
      </c>
      <c r="B89" t="s">
        <v>394</v>
      </c>
      <c r="C89" t="s">
        <v>408</v>
      </c>
      <c r="D89" t="s">
        <v>451</v>
      </c>
      <c r="E89">
        <v>1</v>
      </c>
      <c r="G89" t="s">
        <v>268</v>
      </c>
      <c r="H89" t="s">
        <v>409</v>
      </c>
    </row>
    <row r="90" spans="1:11" x14ac:dyDescent="0.25">
      <c r="A90" t="s">
        <v>267</v>
      </c>
      <c r="B90" t="s">
        <v>394</v>
      </c>
      <c r="C90" t="s">
        <v>410</v>
      </c>
      <c r="D90" t="s">
        <v>451</v>
      </c>
      <c r="E90">
        <v>1</v>
      </c>
      <c r="G90" t="s">
        <v>268</v>
      </c>
      <c r="H90" t="s">
        <v>411</v>
      </c>
    </row>
    <row r="91" spans="1:11" x14ac:dyDescent="0.25">
      <c r="A91" t="s">
        <v>267</v>
      </c>
      <c r="B91" t="s">
        <v>394</v>
      </c>
      <c r="C91" t="s">
        <v>412</v>
      </c>
      <c r="D91" t="s">
        <v>451</v>
      </c>
      <c r="E91">
        <v>1</v>
      </c>
      <c r="G91" t="s">
        <v>268</v>
      </c>
      <c r="H91" t="s">
        <v>413</v>
      </c>
    </row>
    <row r="92" spans="1:11" x14ac:dyDescent="0.25">
      <c r="A92" t="s">
        <v>267</v>
      </c>
      <c r="B92" t="s">
        <v>394</v>
      </c>
      <c r="C92" t="s">
        <v>415</v>
      </c>
      <c r="D92" t="s">
        <v>416</v>
      </c>
      <c r="E92">
        <v>10</v>
      </c>
      <c r="G92" t="s">
        <v>268</v>
      </c>
      <c r="H92" t="s">
        <v>417</v>
      </c>
      <c r="I92" t="s">
        <v>418</v>
      </c>
      <c r="J92" t="s">
        <v>419</v>
      </c>
      <c r="K92" t="s">
        <v>420</v>
      </c>
    </row>
    <row r="93" spans="1:11" x14ac:dyDescent="0.25">
      <c r="A93" t="s">
        <v>267</v>
      </c>
      <c r="B93" t="s">
        <v>394</v>
      </c>
      <c r="C93" t="s">
        <v>431</v>
      </c>
      <c r="D93" t="s">
        <v>452</v>
      </c>
      <c r="E93">
        <v>7</v>
      </c>
      <c r="G93" t="s">
        <v>268</v>
      </c>
      <c r="H93" t="s">
        <v>423</v>
      </c>
    </row>
    <row r="94" spans="1:11" x14ac:dyDescent="0.25">
      <c r="A94" t="s">
        <v>267</v>
      </c>
      <c r="B94" t="s">
        <v>394</v>
      </c>
      <c r="C94" t="s">
        <v>432</v>
      </c>
      <c r="D94" t="s">
        <v>453</v>
      </c>
      <c r="E94">
        <v>10</v>
      </c>
      <c r="G94" t="s">
        <v>268</v>
      </c>
      <c r="H94" t="s">
        <v>421</v>
      </c>
      <c r="I94" t="s">
        <v>422</v>
      </c>
    </row>
    <row r="95" spans="1:11" x14ac:dyDescent="0.25">
      <c r="A95" t="s">
        <v>267</v>
      </c>
      <c r="B95" t="s">
        <v>394</v>
      </c>
      <c r="C95" t="s">
        <v>448</v>
      </c>
      <c r="D95" t="s">
        <v>454</v>
      </c>
      <c r="E95">
        <v>7</v>
      </c>
      <c r="G95" t="s">
        <v>268</v>
      </c>
      <c r="H95" t="s">
        <v>421</v>
      </c>
      <c r="I95" t="s">
        <v>449</v>
      </c>
      <c r="J95" t="s">
        <v>450</v>
      </c>
    </row>
    <row r="96" spans="1:11" x14ac:dyDescent="0.25">
      <c r="A96" t="s">
        <v>267</v>
      </c>
      <c r="B96" t="s">
        <v>424</v>
      </c>
      <c r="C96" t="s">
        <v>425</v>
      </c>
      <c r="D96" t="s">
        <v>416</v>
      </c>
      <c r="E96">
        <v>1</v>
      </c>
      <c r="G96" t="s">
        <v>268</v>
      </c>
      <c r="H96" t="s">
        <v>426</v>
      </c>
    </row>
    <row r="97" spans="1:8" x14ac:dyDescent="0.25">
      <c r="A97" t="s">
        <v>267</v>
      </c>
      <c r="B97" t="s">
        <v>424</v>
      </c>
      <c r="C97" t="s">
        <v>427</v>
      </c>
      <c r="D97" t="s">
        <v>416</v>
      </c>
      <c r="E97">
        <v>1</v>
      </c>
      <c r="G97" t="s">
        <v>268</v>
      </c>
      <c r="H97" t="s">
        <v>426</v>
      </c>
    </row>
    <row r="98" spans="1:8" x14ac:dyDescent="0.25">
      <c r="A98" t="s">
        <v>267</v>
      </c>
      <c r="B98" t="s">
        <v>424</v>
      </c>
      <c r="C98" t="s">
        <v>428</v>
      </c>
      <c r="D98" t="s">
        <v>416</v>
      </c>
      <c r="E98">
        <v>1</v>
      </c>
      <c r="G98" t="s">
        <v>268</v>
      </c>
      <c r="H98" t="s">
        <v>426</v>
      </c>
    </row>
    <row r="99" spans="1:8" x14ac:dyDescent="0.25">
      <c r="A99" t="s">
        <v>267</v>
      </c>
      <c r="B99" t="s">
        <v>424</v>
      </c>
      <c r="C99" t="s">
        <v>429</v>
      </c>
      <c r="D99" t="s">
        <v>387</v>
      </c>
      <c r="E99">
        <v>10</v>
      </c>
      <c r="G99" t="s">
        <v>268</v>
      </c>
      <c r="H99" t="s">
        <v>430</v>
      </c>
    </row>
    <row r="1000" spans="648:648" ht="15" x14ac:dyDescent="0.25">
      <c r="XX1000" s="248">
        <v>127155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F432E-38DD-4099-B480-E3446CD2A466}">
  <dimension ref="D7:R57"/>
  <sheetViews>
    <sheetView showGridLines="0" zoomScale="85" zoomScaleNormal="85" workbookViewId="0">
      <selection activeCell="D5" sqref="D5"/>
    </sheetView>
  </sheetViews>
  <sheetFormatPr defaultColWidth="8.796875" defaultRowHeight="13.8" x14ac:dyDescent="0.25"/>
  <cols>
    <col min="1" max="1" width="1.69921875" customWidth="1"/>
  </cols>
  <sheetData>
    <row r="7" spans="4:18" x14ac:dyDescent="0.25">
      <c r="D7" t="s">
        <v>256</v>
      </c>
      <c r="E7">
        <v>1</v>
      </c>
    </row>
    <row r="8" spans="4:18" x14ac:dyDescent="0.25">
      <c r="D8" t="s">
        <v>257</v>
      </c>
      <c r="E8">
        <v>1</v>
      </c>
    </row>
    <row r="10" spans="4:18" x14ac:dyDescent="0.25">
      <c r="E10" s="249" t="s">
        <v>250</v>
      </c>
      <c r="F10" s="249"/>
      <c r="G10" s="249"/>
      <c r="H10" s="249"/>
      <c r="I10" s="249"/>
      <c r="J10" s="249"/>
      <c r="K10" s="215"/>
      <c r="L10" s="215"/>
      <c r="M10" s="249" t="s">
        <v>255</v>
      </c>
      <c r="N10" s="249"/>
      <c r="O10" s="249"/>
      <c r="P10" s="249"/>
      <c r="Q10" s="249"/>
      <c r="R10" s="249"/>
    </row>
    <row r="11" spans="4:18" x14ac:dyDescent="0.25">
      <c r="E11" s="30"/>
      <c r="F11" s="254" t="s">
        <v>48</v>
      </c>
      <c r="G11" s="254"/>
      <c r="H11" s="254"/>
      <c r="I11" s="254"/>
      <c r="J11" s="254"/>
      <c r="N11" s="255" t="s">
        <v>46</v>
      </c>
      <c r="O11" s="255"/>
      <c r="P11" s="255"/>
      <c r="Q11" s="255"/>
      <c r="R11" s="255"/>
    </row>
    <row r="12" spans="4:18" x14ac:dyDescent="0.25">
      <c r="E12" s="113">
        <v>0.18562465434690734</v>
      </c>
      <c r="F12" s="216">
        <v>8.5</v>
      </c>
      <c r="G12" s="216">
        <v>9</v>
      </c>
      <c r="H12" s="216">
        <v>9.5</v>
      </c>
      <c r="I12" s="216">
        <v>10</v>
      </c>
      <c r="J12" s="216">
        <v>10.5</v>
      </c>
      <c r="N12" s="218">
        <v>2023</v>
      </c>
      <c r="O12" s="218">
        <v>2024</v>
      </c>
      <c r="P12" s="218">
        <v>2025</v>
      </c>
      <c r="Q12" s="218">
        <v>2026</v>
      </c>
      <c r="R12" s="218">
        <v>2027</v>
      </c>
    </row>
    <row r="13" spans="4:18" x14ac:dyDescent="0.25">
      <c r="E13" s="217">
        <v>8</v>
      </c>
      <c r="F13" s="56">
        <v>0.26030597418907764</v>
      </c>
      <c r="G13" s="56">
        <v>0.27987969809410296</v>
      </c>
      <c r="H13" s="56">
        <v>0.29832446629941023</v>
      </c>
      <c r="I13" s="56">
        <v>0.31577699670118187</v>
      </c>
      <c r="J13" s="56">
        <v>0.33234986623968821</v>
      </c>
      <c r="N13" s="113">
        <v>0.22573004032238342</v>
      </c>
      <c r="O13" s="113">
        <v>0.20358625844990241</v>
      </c>
      <c r="P13" s="113">
        <v>0.18562465434690734</v>
      </c>
      <c r="Q13" s="113">
        <v>0.17271939389058133</v>
      </c>
      <c r="R13" s="113">
        <v>0.16279435465581904</v>
      </c>
    </row>
    <row r="14" spans="4:18" x14ac:dyDescent="0.25">
      <c r="E14" s="217">
        <v>8.5</v>
      </c>
      <c r="F14" s="219">
        <v>0.21689718873137442</v>
      </c>
      <c r="G14" s="219">
        <v>0.23579673382779665</v>
      </c>
      <c r="H14" s="219">
        <v>0.25360620791023236</v>
      </c>
      <c r="I14" s="219">
        <v>0.2704576198747477</v>
      </c>
      <c r="J14" s="219">
        <v>0.28645966918741839</v>
      </c>
      <c r="M14" s="217">
        <v>8.5</v>
      </c>
      <c r="N14" s="219">
        <v>0.15468727730312271</v>
      </c>
      <c r="O14" s="219">
        <v>0.15577643400109187</v>
      </c>
      <c r="P14" s="219">
        <v>0.15090632103643453</v>
      </c>
      <c r="Q14" s="219">
        <v>0.14622964394012561</v>
      </c>
      <c r="R14" s="219">
        <v>0.14186154536004425</v>
      </c>
    </row>
    <row r="15" spans="4:18" x14ac:dyDescent="0.25">
      <c r="D15" s="31" t="s">
        <v>132</v>
      </c>
      <c r="E15" s="217">
        <v>9</v>
      </c>
      <c r="F15" s="219">
        <v>0.18115223661688917</v>
      </c>
      <c r="G15" s="219">
        <v>0.19949662936699375</v>
      </c>
      <c r="H15" s="219">
        <v>0.21678297067864283</v>
      </c>
      <c r="I15" s="219">
        <v>0.23313939184301602</v>
      </c>
      <c r="J15" s="219">
        <v>0.24867139940584226</v>
      </c>
      <c r="L15" s="31" t="s">
        <v>252</v>
      </c>
      <c r="M15" s="217">
        <v>9</v>
      </c>
      <c r="N15" s="219">
        <v>0.19126783977073214</v>
      </c>
      <c r="O15" s="219">
        <v>0.18040733464277237</v>
      </c>
      <c r="P15" s="219">
        <v>0.1687809665833031</v>
      </c>
      <c r="Q15" s="219">
        <v>0.15985250623753311</v>
      </c>
      <c r="R15" s="219">
        <v>0.15261297151698394</v>
      </c>
    </row>
    <row r="16" spans="4:18" x14ac:dyDescent="0.25">
      <c r="D16" s="31" t="s">
        <v>251</v>
      </c>
      <c r="E16" s="217">
        <v>9.5</v>
      </c>
      <c r="F16" s="219">
        <v>0.15090632103643453</v>
      </c>
      <c r="G16" s="219">
        <v>0.1687809665833031</v>
      </c>
      <c r="H16" s="225">
        <v>0.18562465434690734</v>
      </c>
      <c r="I16" s="219">
        <v>0.20156223456125688</v>
      </c>
      <c r="J16" s="219">
        <v>0.21669651203054285</v>
      </c>
      <c r="L16" s="31" t="s">
        <v>251</v>
      </c>
      <c r="M16" s="217">
        <v>9.5</v>
      </c>
      <c r="N16" s="219">
        <v>0.22573004032238342</v>
      </c>
      <c r="O16" s="225">
        <v>0.20358625844990241</v>
      </c>
      <c r="P16" s="225">
        <v>0.18562465434690734</v>
      </c>
      <c r="Q16" s="225">
        <v>0.17271939389058133</v>
      </c>
      <c r="R16" s="219">
        <v>0.16279435465581904</v>
      </c>
    </row>
    <row r="17" spans="4:18" x14ac:dyDescent="0.25">
      <c r="E17" s="217">
        <v>10</v>
      </c>
      <c r="F17" s="219">
        <v>0.12478354812834791</v>
      </c>
      <c r="G17" s="219">
        <v>0.14225248271741919</v>
      </c>
      <c r="H17" s="219">
        <v>0.15871385976243801</v>
      </c>
      <c r="I17" s="219">
        <v>0.17428969567928743</v>
      </c>
      <c r="J17" s="219">
        <v>0.189080461878669</v>
      </c>
      <c r="M17" s="217">
        <v>10</v>
      </c>
      <c r="N17" s="219">
        <v>0.25835625169434517</v>
      </c>
      <c r="O17" s="219">
        <v>0.22549847149133839</v>
      </c>
      <c r="P17" s="219">
        <v>0.20156223456125688</v>
      </c>
      <c r="Q17" s="219">
        <v>0.18491687044601135</v>
      </c>
      <c r="R17" s="219">
        <v>0.1724673848833076</v>
      </c>
    </row>
    <row r="18" spans="4:18" x14ac:dyDescent="0.25">
      <c r="E18" s="217">
        <v>10.5</v>
      </c>
      <c r="F18" s="219">
        <v>0.10185793757442663</v>
      </c>
      <c r="G18" s="219">
        <v>0.11897081610977445</v>
      </c>
      <c r="H18" s="219">
        <v>0.13509667338448228</v>
      </c>
      <c r="I18" s="219">
        <v>0.15035503884450541</v>
      </c>
      <c r="J18" s="219">
        <v>0.16484433606523452</v>
      </c>
      <c r="M18" s="217">
        <v>10.5</v>
      </c>
      <c r="N18" s="219">
        <v>0.28937304919844076</v>
      </c>
      <c r="O18" s="219">
        <v>0.24629460035817918</v>
      </c>
      <c r="P18" s="219">
        <v>0.21669651203054285</v>
      </c>
      <c r="Q18" s="219">
        <v>0.19651707653846162</v>
      </c>
      <c r="R18" s="219">
        <v>0.18168404413303962</v>
      </c>
    </row>
    <row r="20" spans="4:18" x14ac:dyDescent="0.25">
      <c r="D20" t="s">
        <v>256</v>
      </c>
      <c r="E20">
        <v>2</v>
      </c>
    </row>
    <row r="21" spans="4:18" x14ac:dyDescent="0.25">
      <c r="D21" t="s">
        <v>257</v>
      </c>
      <c r="E21">
        <v>1</v>
      </c>
    </row>
    <row r="23" spans="4:18" x14ac:dyDescent="0.25">
      <c r="E23" s="249" t="s">
        <v>250</v>
      </c>
      <c r="F23" s="249"/>
      <c r="G23" s="249"/>
      <c r="H23" s="249"/>
      <c r="I23" s="249"/>
      <c r="J23" s="249"/>
      <c r="K23" s="215"/>
      <c r="L23" s="215"/>
      <c r="M23" s="249" t="s">
        <v>255</v>
      </c>
      <c r="N23" s="249"/>
      <c r="O23" s="249"/>
      <c r="P23" s="249"/>
      <c r="Q23" s="249"/>
      <c r="R23" s="249"/>
    </row>
    <row r="24" spans="4:18" x14ac:dyDescent="0.25">
      <c r="E24" s="30"/>
      <c r="F24" s="254" t="s">
        <v>48</v>
      </c>
      <c r="G24" s="254"/>
      <c r="H24" s="254"/>
      <c r="I24" s="254"/>
      <c r="J24" s="254"/>
      <c r="N24" s="255" t="s">
        <v>46</v>
      </c>
      <c r="O24" s="255"/>
      <c r="P24" s="255"/>
      <c r="Q24" s="255"/>
      <c r="R24" s="255"/>
    </row>
    <row r="25" spans="4:18" x14ac:dyDescent="0.25">
      <c r="E25" s="113">
        <v>0.19571235432166789</v>
      </c>
      <c r="F25" s="216">
        <v>8.5</v>
      </c>
      <c r="G25" s="216">
        <v>9</v>
      </c>
      <c r="H25" s="216">
        <v>9.5</v>
      </c>
      <c r="I25" s="216">
        <v>10</v>
      </c>
      <c r="J25" s="216">
        <v>10.5</v>
      </c>
      <c r="N25" s="218">
        <v>2023</v>
      </c>
      <c r="O25" s="218">
        <v>2024</v>
      </c>
      <c r="P25" s="218">
        <v>2025</v>
      </c>
      <c r="Q25" s="218">
        <v>2026</v>
      </c>
      <c r="R25" s="218">
        <v>2027</v>
      </c>
    </row>
    <row r="26" spans="4:18" x14ac:dyDescent="0.25">
      <c r="E26" s="217">
        <v>8</v>
      </c>
      <c r="F26" s="56">
        <v>0.2839349295318403</v>
      </c>
      <c r="G26" s="56">
        <v>0.30510807343043633</v>
      </c>
      <c r="H26" s="56">
        <v>0.32499020534839751</v>
      </c>
      <c r="I26" s="56">
        <v>0.34374598040155302</v>
      </c>
      <c r="J26" s="56">
        <v>0.36150953514252104</v>
      </c>
      <c r="N26" s="113">
        <v>0.24006495383200099</v>
      </c>
      <c r="O26" s="113">
        <v>0.21546446475455139</v>
      </c>
      <c r="P26" s="113">
        <v>0.19571235432166789</v>
      </c>
      <c r="Q26" s="113">
        <v>0.18155881061463242</v>
      </c>
      <c r="R26" s="113">
        <v>0.17067792078298538</v>
      </c>
    </row>
    <row r="27" spans="4:18" x14ac:dyDescent="0.25">
      <c r="E27" s="217">
        <v>8.5</v>
      </c>
      <c r="F27" s="219">
        <v>0.23314639821269556</v>
      </c>
      <c r="G27" s="219">
        <v>0.25348199743256727</v>
      </c>
      <c r="H27" s="219">
        <v>0.27257765312515203</v>
      </c>
      <c r="I27" s="219">
        <v>0.29059150718928706</v>
      </c>
      <c r="J27" s="219">
        <v>0.30765239014314827</v>
      </c>
      <c r="M27" s="217">
        <v>8.5</v>
      </c>
      <c r="N27" s="219">
        <v>0.16340015234633376</v>
      </c>
      <c r="O27" s="219">
        <v>0.16420272104448119</v>
      </c>
      <c r="P27" s="219">
        <v>0.15866279704687702</v>
      </c>
      <c r="Q27" s="219">
        <v>0.15340235845688333</v>
      </c>
      <c r="R27" s="219">
        <v>0.14850090058900767</v>
      </c>
    </row>
    <row r="28" spans="4:18" x14ac:dyDescent="0.25">
      <c r="D28" s="31" t="s">
        <v>132</v>
      </c>
      <c r="E28" s="217">
        <v>9</v>
      </c>
      <c r="F28" s="219">
        <v>0.19243987100576265</v>
      </c>
      <c r="G28" s="219">
        <v>0.21210418608287296</v>
      </c>
      <c r="H28" s="219">
        <v>0.23056948853562997</v>
      </c>
      <c r="I28" s="219">
        <v>0.24798869995397577</v>
      </c>
      <c r="J28" s="219">
        <v>0.26448639811326435</v>
      </c>
      <c r="L28" s="31" t="s">
        <v>252</v>
      </c>
      <c r="M28" s="217">
        <v>9</v>
      </c>
      <c r="N28" s="219">
        <v>0.20295402324800049</v>
      </c>
      <c r="O28" s="219">
        <v>0.19066098696313816</v>
      </c>
      <c r="P28" s="219">
        <v>0.17777010036715768</v>
      </c>
      <c r="Q28" s="219">
        <v>0.16790467152442257</v>
      </c>
      <c r="R28" s="219">
        <v>0.15990729742023047</v>
      </c>
    </row>
    <row r="29" spans="4:18" x14ac:dyDescent="0.25">
      <c r="D29" s="31" t="s">
        <v>251</v>
      </c>
      <c r="E29" s="217">
        <v>9.5</v>
      </c>
      <c r="F29" s="219">
        <v>0.15866279704686681</v>
      </c>
      <c r="G29" s="219">
        <v>0.17777010036715746</v>
      </c>
      <c r="H29" s="225">
        <v>0.19571235432166789</v>
      </c>
      <c r="I29" s="219">
        <v>0.21263814883351428</v>
      </c>
      <c r="J29" s="219">
        <v>0.22866853288820876</v>
      </c>
      <c r="L29" s="31" t="s">
        <v>251</v>
      </c>
      <c r="M29" s="217">
        <v>9.5</v>
      </c>
      <c r="N29" s="219">
        <v>0.24006495383200099</v>
      </c>
      <c r="O29" s="225">
        <v>0.21546446475455139</v>
      </c>
      <c r="P29" s="225">
        <v>0.19571235432166789</v>
      </c>
      <c r="Q29" s="225">
        <v>0.18155881061463219</v>
      </c>
      <c r="R29" s="219">
        <v>0.1706779207829856</v>
      </c>
    </row>
    <row r="30" spans="4:18" x14ac:dyDescent="0.25">
      <c r="E30" s="217">
        <v>10</v>
      </c>
      <c r="F30" s="219">
        <v>0.1299193154461562</v>
      </c>
      <c r="G30" s="219">
        <v>0.14855261509580298</v>
      </c>
      <c r="H30" s="219">
        <v>0.16604976729094578</v>
      </c>
      <c r="I30" s="219">
        <v>0.18255567581903454</v>
      </c>
      <c r="J30" s="219">
        <v>0.1981883867589409</v>
      </c>
      <c r="M30" s="217">
        <v>10</v>
      </c>
      <c r="N30" s="219">
        <v>0.27507844166906992</v>
      </c>
      <c r="O30" s="219">
        <v>0.23883619443439819</v>
      </c>
      <c r="P30" s="219">
        <v>0.21263814883351428</v>
      </c>
      <c r="Q30" s="219">
        <v>0.19446679420708413</v>
      </c>
      <c r="R30" s="219">
        <v>0.18088488831337068</v>
      </c>
    </row>
    <row r="31" spans="4:18" x14ac:dyDescent="0.25">
      <c r="E31" s="217">
        <v>10.5</v>
      </c>
      <c r="F31" s="219">
        <v>0.1049851251221845</v>
      </c>
      <c r="G31" s="219">
        <v>0.12320723944168899</v>
      </c>
      <c r="H31" s="219">
        <v>0.14031827794738194</v>
      </c>
      <c r="I31" s="219">
        <v>0.15645994678673403</v>
      </c>
      <c r="J31" s="219">
        <v>0.17174768708062715</v>
      </c>
      <c r="M31" s="217">
        <v>10.5</v>
      </c>
      <c r="N31" s="219">
        <v>0.30826787034345871</v>
      </c>
      <c r="O31" s="219">
        <v>0.26095533012708172</v>
      </c>
      <c r="P31" s="219">
        <v>0.22866853288820876</v>
      </c>
      <c r="Q31" s="219">
        <v>0.2067128378674743</v>
      </c>
      <c r="R31" s="219">
        <v>0.19058845296245019</v>
      </c>
    </row>
    <row r="33" spans="4:18" x14ac:dyDescent="0.25">
      <c r="D33" t="s">
        <v>256</v>
      </c>
      <c r="E33">
        <v>3</v>
      </c>
    </row>
    <row r="34" spans="4:18" x14ac:dyDescent="0.25">
      <c r="D34" t="s">
        <v>257</v>
      </c>
      <c r="E34">
        <v>1</v>
      </c>
    </row>
    <row r="36" spans="4:18" x14ac:dyDescent="0.25">
      <c r="E36" s="249" t="s">
        <v>250</v>
      </c>
      <c r="F36" s="249"/>
      <c r="G36" s="249"/>
      <c r="H36" s="249"/>
      <c r="I36" s="249"/>
      <c r="J36" s="249"/>
      <c r="K36" s="215"/>
      <c r="L36" s="215"/>
      <c r="M36" s="249" t="s">
        <v>255</v>
      </c>
      <c r="N36" s="249"/>
      <c r="O36" s="249"/>
      <c r="P36" s="249"/>
      <c r="Q36" s="249"/>
      <c r="R36" s="249"/>
    </row>
    <row r="37" spans="4:18" x14ac:dyDescent="0.25">
      <c r="E37" s="30"/>
      <c r="F37" s="254" t="s">
        <v>48</v>
      </c>
      <c r="G37" s="254"/>
      <c r="H37" s="254"/>
      <c r="I37" s="254"/>
      <c r="J37" s="254"/>
      <c r="N37" s="255" t="s">
        <v>46</v>
      </c>
      <c r="O37" s="255"/>
      <c r="P37" s="255"/>
      <c r="Q37" s="255"/>
      <c r="R37" s="255"/>
    </row>
    <row r="38" spans="4:18" x14ac:dyDescent="0.25">
      <c r="E38" s="113">
        <v>0.20878682649126667</v>
      </c>
      <c r="F38" s="216">
        <v>8.5</v>
      </c>
      <c r="G38" s="216">
        <v>9</v>
      </c>
      <c r="H38" s="216">
        <v>9.5</v>
      </c>
      <c r="I38" s="216">
        <v>10</v>
      </c>
      <c r="J38" s="216">
        <v>10.5</v>
      </c>
      <c r="N38" s="218">
        <v>2023</v>
      </c>
      <c r="O38" s="218">
        <v>2024</v>
      </c>
      <c r="P38" s="218">
        <v>2025</v>
      </c>
      <c r="Q38" s="218">
        <v>2026</v>
      </c>
      <c r="R38" s="218">
        <v>2027</v>
      </c>
    </row>
    <row r="39" spans="4:18" x14ac:dyDescent="0.25">
      <c r="E39" s="217">
        <v>8</v>
      </c>
      <c r="F39" s="56">
        <v>0.315912848549738</v>
      </c>
      <c r="G39" s="56">
        <v>0.33891379492800877</v>
      </c>
      <c r="H39" s="56">
        <v>0.36043489214790481</v>
      </c>
      <c r="I39" s="56">
        <v>0.38067452950172576</v>
      </c>
      <c r="J39" s="56">
        <v>0.39979257372177623</v>
      </c>
      <c r="N39" s="113">
        <v>0.2585037474271521</v>
      </c>
      <c r="O39" s="113">
        <v>0.2308245573184462</v>
      </c>
      <c r="P39" s="113">
        <v>0.20878682649126667</v>
      </c>
      <c r="Q39" s="113">
        <v>0.19300938215361496</v>
      </c>
      <c r="R39" s="113">
        <v>0.18096059679408438</v>
      </c>
    </row>
    <row r="40" spans="4:18" x14ac:dyDescent="0.25">
      <c r="E40" s="217">
        <v>8.5</v>
      </c>
      <c r="F40" s="219">
        <v>0.25477246175134693</v>
      </c>
      <c r="G40" s="219">
        <v>0.27670473039685994</v>
      </c>
      <c r="H40" s="219">
        <v>0.29722590712999808</v>
      </c>
      <c r="I40" s="219">
        <v>0.3165251636304931</v>
      </c>
      <c r="J40" s="219">
        <v>0.33475493882903917</v>
      </c>
      <c r="M40" s="217">
        <v>8.5</v>
      </c>
      <c r="N40" s="219">
        <v>0.17542720587052152</v>
      </c>
      <c r="O40" s="219">
        <v>0.17574839927651809</v>
      </c>
      <c r="P40" s="219">
        <v>0.16922766779770915</v>
      </c>
      <c r="Q40" s="219">
        <v>0.16309901562725226</v>
      </c>
      <c r="R40" s="219">
        <v>0.1575106864482656</v>
      </c>
    </row>
    <row r="41" spans="4:18" x14ac:dyDescent="0.25">
      <c r="D41" s="31" t="s">
        <v>132</v>
      </c>
      <c r="E41" s="217">
        <v>9</v>
      </c>
      <c r="F41" s="219">
        <v>0.2074958918052261</v>
      </c>
      <c r="G41" s="219">
        <v>0.22860180948814879</v>
      </c>
      <c r="H41" s="219">
        <v>0.2483498015445782</v>
      </c>
      <c r="I41" s="219">
        <v>0.2669219121390527</v>
      </c>
      <c r="J41" s="219">
        <v>0.2844648367166458</v>
      </c>
      <c r="L41" s="31" t="s">
        <v>252</v>
      </c>
      <c r="M41" s="217">
        <v>9</v>
      </c>
      <c r="N41" s="219">
        <v>0.21838163978505443</v>
      </c>
      <c r="O41" s="219">
        <v>0.20423079182230852</v>
      </c>
      <c r="P41" s="219">
        <v>0.18966469211997228</v>
      </c>
      <c r="Q41" s="219">
        <v>0.17852843117712403</v>
      </c>
      <c r="R41" s="219">
        <v>0.16958811116712225</v>
      </c>
    </row>
    <row r="42" spans="4:18" x14ac:dyDescent="0.25">
      <c r="D42" s="31" t="s">
        <v>251</v>
      </c>
      <c r="E42" s="217">
        <v>9.5</v>
      </c>
      <c r="F42" s="219">
        <v>0.16922766779770915</v>
      </c>
      <c r="G42" s="219">
        <v>0.18966469211997228</v>
      </c>
      <c r="H42" s="225">
        <v>0.20878682649126667</v>
      </c>
      <c r="I42" s="219">
        <v>0.22677034569345644</v>
      </c>
      <c r="J42" s="219">
        <v>0.24375729606858942</v>
      </c>
      <c r="L42" s="31" t="s">
        <v>251</v>
      </c>
      <c r="M42" s="217">
        <v>9.5</v>
      </c>
      <c r="N42" s="219">
        <v>0.2585037474271521</v>
      </c>
      <c r="O42" s="225">
        <v>0.2308245573184462</v>
      </c>
      <c r="P42" s="225">
        <v>0.20878682649126667</v>
      </c>
      <c r="Q42" s="225">
        <v>0.19300938215361496</v>
      </c>
      <c r="R42" s="219">
        <v>0.18096059679408438</v>
      </c>
    </row>
    <row r="43" spans="4:18" x14ac:dyDescent="0.25">
      <c r="E43" s="217">
        <v>10</v>
      </c>
      <c r="F43" s="219">
        <v>0.13724872470618665</v>
      </c>
      <c r="G43" s="219">
        <v>0.15712678651284695</v>
      </c>
      <c r="H43" s="219">
        <v>0.17572592124459074</v>
      </c>
      <c r="I43" s="219">
        <v>0.1932175824870519</v>
      </c>
      <c r="J43" s="219">
        <v>0.20973993154091053</v>
      </c>
      <c r="M43" s="217">
        <v>10</v>
      </c>
      <c r="N43" s="219">
        <v>0.29621878279285663</v>
      </c>
      <c r="O43" s="219">
        <v>0.25579835260293993</v>
      </c>
      <c r="P43" s="219">
        <v>0.22677034569345644</v>
      </c>
      <c r="Q43" s="219">
        <v>0.20666137880219559</v>
      </c>
      <c r="R43" s="219">
        <v>0.19171164180259903</v>
      </c>
    </row>
    <row r="44" spans="4:18" x14ac:dyDescent="0.25">
      <c r="E44" s="217">
        <v>10.5</v>
      </c>
      <c r="F44" s="219">
        <v>0.10989074638809559</v>
      </c>
      <c r="G44" s="219">
        <v>0.12929061589431723</v>
      </c>
      <c r="H44" s="219">
        <v>0.14744232456013062</v>
      </c>
      <c r="I44" s="219">
        <v>0.164513201429908</v>
      </c>
      <c r="J44" s="219">
        <v>0.1806380841588977</v>
      </c>
      <c r="M44" s="217">
        <v>10.5</v>
      </c>
      <c r="N44" s="219">
        <v>0.33185821311115782</v>
      </c>
      <c r="O44" s="219">
        <v>0.27936526216871727</v>
      </c>
      <c r="P44" s="219">
        <v>0.24375729606858942</v>
      </c>
      <c r="Q44" s="219">
        <v>0.21958214665183573</v>
      </c>
      <c r="R44" s="219">
        <v>0.20191043633459027</v>
      </c>
    </row>
    <row r="46" spans="4:18" x14ac:dyDescent="0.25">
      <c r="D46" t="s">
        <v>256</v>
      </c>
      <c r="E46">
        <v>4</v>
      </c>
    </row>
    <row r="47" spans="4:18" x14ac:dyDescent="0.25">
      <c r="D47" t="s">
        <v>257</v>
      </c>
      <c r="E47">
        <v>1</v>
      </c>
    </row>
    <row r="49" spans="4:18" x14ac:dyDescent="0.25">
      <c r="E49" s="249" t="s">
        <v>250</v>
      </c>
      <c r="F49" s="249"/>
      <c r="G49" s="249"/>
      <c r="H49" s="249"/>
      <c r="I49" s="249"/>
      <c r="J49" s="249"/>
      <c r="K49" s="215"/>
      <c r="L49" s="215"/>
      <c r="M49" s="249" t="s">
        <v>255</v>
      </c>
      <c r="N49" s="249"/>
      <c r="O49" s="249"/>
      <c r="P49" s="249"/>
      <c r="Q49" s="249"/>
      <c r="R49" s="249"/>
    </row>
    <row r="50" spans="4:18" x14ac:dyDescent="0.25">
      <c r="E50" s="30"/>
      <c r="F50" s="254" t="s">
        <v>48</v>
      </c>
      <c r="G50" s="254"/>
      <c r="H50" s="254"/>
      <c r="I50" s="254"/>
      <c r="J50" s="254"/>
      <c r="N50" s="255" t="s">
        <v>46</v>
      </c>
      <c r="O50" s="255"/>
      <c r="P50" s="255"/>
      <c r="Q50" s="255"/>
      <c r="R50" s="255"/>
    </row>
    <row r="51" spans="4:18" x14ac:dyDescent="0.25">
      <c r="E51" s="113">
        <v>0.20671389253781225</v>
      </c>
      <c r="F51" s="216">
        <v>8.5</v>
      </c>
      <c r="G51" s="216">
        <v>9</v>
      </c>
      <c r="H51" s="216">
        <v>9.5</v>
      </c>
      <c r="I51" s="216">
        <v>10</v>
      </c>
      <c r="J51" s="216">
        <v>10.5</v>
      </c>
      <c r="N51" s="218">
        <v>2023</v>
      </c>
      <c r="O51" s="218">
        <v>2024</v>
      </c>
      <c r="P51" s="218">
        <v>2025</v>
      </c>
      <c r="Q51" s="218">
        <v>2026</v>
      </c>
      <c r="R51" s="218">
        <v>2027</v>
      </c>
    </row>
    <row r="52" spans="4:18" x14ac:dyDescent="0.25">
      <c r="E52" s="217">
        <v>8</v>
      </c>
      <c r="F52" s="56">
        <v>0.33528862611656374</v>
      </c>
      <c r="G52" s="56">
        <v>0.36229344256082863</v>
      </c>
      <c r="H52" s="56">
        <v>0.38731262491152663</v>
      </c>
      <c r="I52" s="56">
        <v>0.41064723786945523</v>
      </c>
      <c r="J52" s="56">
        <v>0.43253281552659395</v>
      </c>
      <c r="N52" s="113">
        <v>0.2467854793836961</v>
      </c>
      <c r="O52" s="113">
        <v>0.22579565022164849</v>
      </c>
      <c r="P52" s="113">
        <v>0.20671389253781225</v>
      </c>
      <c r="Q52" s="113">
        <v>0.19262914720098734</v>
      </c>
      <c r="R52" s="113">
        <v>0.18161932949288784</v>
      </c>
    </row>
    <row r="53" spans="4:18" x14ac:dyDescent="0.25">
      <c r="E53" s="217">
        <v>8.5</v>
      </c>
      <c r="F53" s="219">
        <v>0.26010054197966648</v>
      </c>
      <c r="G53" s="219">
        <v>0.28558475802777461</v>
      </c>
      <c r="H53" s="219">
        <v>0.30919514804128734</v>
      </c>
      <c r="I53" s="219">
        <v>0.33121582421590889</v>
      </c>
      <c r="J53" s="219">
        <v>0.35186905807776503</v>
      </c>
      <c r="M53" s="217">
        <v>8.5</v>
      </c>
      <c r="N53" s="219">
        <v>0.15042985350484717</v>
      </c>
      <c r="O53" s="219">
        <v>0.16238820133093035</v>
      </c>
      <c r="P53" s="219">
        <v>0.16146231696343394</v>
      </c>
      <c r="Q53" s="219">
        <v>0.15862834385450442</v>
      </c>
      <c r="R53" s="219">
        <v>0.15511754674626888</v>
      </c>
    </row>
    <row r="54" spans="4:18" x14ac:dyDescent="0.25">
      <c r="D54" s="31" t="s">
        <v>132</v>
      </c>
      <c r="E54" s="217">
        <v>9</v>
      </c>
      <c r="F54" s="219">
        <v>0.20479749674442527</v>
      </c>
      <c r="G54" s="219">
        <v>0.22916326652313868</v>
      </c>
      <c r="H54" s="219">
        <v>0.25173744837198919</v>
      </c>
      <c r="I54" s="219">
        <v>0.2727916854325878</v>
      </c>
      <c r="J54" s="219">
        <v>0.29253849421698774</v>
      </c>
      <c r="L54" s="31" t="s">
        <v>252</v>
      </c>
      <c r="M54" s="217">
        <v>9</v>
      </c>
      <c r="N54" s="219">
        <v>0.20054104445055976</v>
      </c>
      <c r="O54" s="219">
        <v>0.19535270001906047</v>
      </c>
      <c r="P54" s="219">
        <v>0.18495167803048362</v>
      </c>
      <c r="Q54" s="219">
        <v>0.17624266581222159</v>
      </c>
      <c r="R54" s="219">
        <v>0.1688188630373324</v>
      </c>
    </row>
    <row r="55" spans="4:18" x14ac:dyDescent="0.25">
      <c r="D55" s="31" t="s">
        <v>251</v>
      </c>
      <c r="E55" s="217">
        <v>9.5</v>
      </c>
      <c r="F55" s="219">
        <v>0.16146231696343394</v>
      </c>
      <c r="G55" s="219">
        <v>0.18495167803048362</v>
      </c>
      <c r="H55" s="225">
        <v>0.20671389253781225</v>
      </c>
      <c r="I55" s="219">
        <v>0.22701083291583357</v>
      </c>
      <c r="J55" s="219">
        <v>0.24604737171158342</v>
      </c>
      <c r="L55" s="31" t="s">
        <v>251</v>
      </c>
      <c r="M55" s="217">
        <v>9.5</v>
      </c>
      <c r="N55" s="219">
        <v>0.2467854793836961</v>
      </c>
      <c r="O55" s="225">
        <v>0.22579565022164849</v>
      </c>
      <c r="P55" s="225">
        <v>0.20671389253781225</v>
      </c>
      <c r="Q55" s="225">
        <v>0.19262914720098734</v>
      </c>
      <c r="R55" s="219">
        <v>0.18161932949288784</v>
      </c>
    </row>
    <row r="56" spans="4:18" x14ac:dyDescent="0.25">
      <c r="E56" s="217">
        <v>10</v>
      </c>
      <c r="F56" s="219">
        <v>0.12606610562311138</v>
      </c>
      <c r="G56" s="219">
        <v>0.14883961532856804</v>
      </c>
      <c r="H56" s="219">
        <v>0.1699386142143855</v>
      </c>
      <c r="I56" s="219">
        <v>0.18961699402447429</v>
      </c>
      <c r="J56" s="219">
        <v>0.20807338369224126</v>
      </c>
      <c r="M56" s="217">
        <v>10</v>
      </c>
      <c r="N56" s="219">
        <v>0.2898325074224033</v>
      </c>
      <c r="O56" s="219">
        <v>0.25412581743557894</v>
      </c>
      <c r="P56" s="219">
        <v>0.22701083291583357</v>
      </c>
      <c r="Q56" s="219">
        <v>0.20796164962416075</v>
      </c>
      <c r="R56" s="219">
        <v>0.19363819290219086</v>
      </c>
    </row>
    <row r="57" spans="4:18" x14ac:dyDescent="0.25">
      <c r="E57" s="217">
        <v>10.5</v>
      </c>
      <c r="F57" s="219">
        <v>9.6292915981183391E-2</v>
      </c>
      <c r="G57" s="219">
        <v>0.11846429405236325</v>
      </c>
      <c r="H57" s="219">
        <v>0.13900543537545795</v>
      </c>
      <c r="I57" s="219">
        <v>0.15816351879103618</v>
      </c>
      <c r="J57" s="219">
        <v>0.17613192148456358</v>
      </c>
      <c r="M57" s="217">
        <v>10.5</v>
      </c>
      <c r="N57" s="219">
        <v>0.33018336930303205</v>
      </c>
      <c r="O57" s="219">
        <v>0.28065659421085498</v>
      </c>
      <c r="P57" s="219">
        <v>0.24604737171158342</v>
      </c>
      <c r="Q57" s="219">
        <v>0.22237869788850451</v>
      </c>
      <c r="R57" s="219">
        <v>0.20497202185491648</v>
      </c>
    </row>
  </sheetData>
  <mergeCells count="16">
    <mergeCell ref="E10:J10"/>
    <mergeCell ref="M10:R10"/>
    <mergeCell ref="F11:J11"/>
    <mergeCell ref="N11:R11"/>
    <mergeCell ref="E23:J23"/>
    <mergeCell ref="M23:R23"/>
    <mergeCell ref="E49:J49"/>
    <mergeCell ref="M49:R49"/>
    <mergeCell ref="F50:J50"/>
    <mergeCell ref="N50:R50"/>
    <mergeCell ref="F24:J24"/>
    <mergeCell ref="N24:R24"/>
    <mergeCell ref="E36:J36"/>
    <mergeCell ref="M36:R36"/>
    <mergeCell ref="F37:J37"/>
    <mergeCell ref="N37:R3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5</vt:i4>
      </vt:variant>
    </vt:vector>
  </HeadingPairs>
  <TitlesOfParts>
    <vt:vector size="16" baseType="lpstr">
      <vt:lpstr>Summary</vt:lpstr>
      <vt:lpstr>IncStmt</vt:lpstr>
      <vt:lpstr>BalSheet</vt:lpstr>
      <vt:lpstr>CFStmt</vt:lpstr>
      <vt:lpstr>RetAnalysis</vt:lpstr>
      <vt:lpstr>DebtSched</vt:lpstr>
      <vt:lpstr>Financing</vt:lpstr>
      <vt:lpstr>Assumptions1</vt:lpstr>
      <vt:lpstr>Assumptions2</vt:lpstr>
      <vt:lpstr>Grading</vt:lpstr>
      <vt:lpstr>Sheet1</vt:lpstr>
      <vt:lpstr>CashBalRepay</vt:lpstr>
      <vt:lpstr>CashSweep</vt:lpstr>
      <vt:lpstr>EntryMultiple</vt:lpstr>
      <vt:lpstr>FinStructure</vt:lpstr>
      <vt:lpstr>OpScenario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Chuck Brobst</dc:creator>
  <cp:lastModifiedBy>Sharanh Mantri</cp:lastModifiedBy>
  <dcterms:created xsi:type="dcterms:W3CDTF">2020-10-17T20:47:27Z</dcterms:created>
  <dcterms:modified xsi:type="dcterms:W3CDTF">2024-11-07T21:26:38Z</dcterms:modified>
</cp:coreProperties>
</file>