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charlie/Desktop/2025_fall/Real Client Portfolio/tech file/"/>
    </mc:Choice>
  </mc:AlternateContent>
  <xr:revisionPtr revIDLastSave="0" documentId="8_{93294B52-DD9B-5A49-85F3-AEEB817EA044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2" l="1"/>
  <c r="D77" i="2"/>
  <c r="C77" i="2"/>
  <c r="D76" i="2"/>
  <c r="E76" i="2"/>
  <c r="F76" i="2"/>
  <c r="C76" i="2"/>
  <c r="D67" i="2"/>
  <c r="E67" i="2"/>
  <c r="F67" i="2"/>
  <c r="C67" i="2"/>
  <c r="D61" i="2"/>
  <c r="E61" i="2"/>
  <c r="F61" i="2"/>
  <c r="C61" i="2"/>
  <c r="D60" i="2"/>
  <c r="E60" i="2"/>
  <c r="F60" i="2"/>
  <c r="C60" i="2"/>
  <c r="D55" i="2"/>
  <c r="E55" i="2"/>
  <c r="F55" i="2"/>
  <c r="C55" i="2"/>
  <c r="D54" i="2"/>
  <c r="F75" i="2"/>
  <c r="E41" i="1" a="1"/>
  <c r="E41" i="1" s="1"/>
  <c r="F111" i="2"/>
  <c r="F110" i="2" s="1"/>
  <c r="F77" i="2" s="1"/>
  <c r="H111" i="2"/>
  <c r="D75" i="2"/>
  <c r="C75" i="2"/>
  <c r="G111" i="2" l="1"/>
  <c r="F28" i="2"/>
  <c r="F17" i="2"/>
  <c r="F11" i="2"/>
  <c r="F57" i="2" s="1"/>
  <c r="C17" i="2"/>
  <c r="C63" i="2" s="1"/>
  <c r="C11" i="2"/>
  <c r="C57" i="2" s="1"/>
  <c r="C111" i="2"/>
  <c r="D111" i="2"/>
  <c r="E17" i="2"/>
  <c r="E63" i="2" s="1"/>
  <c r="D17" i="2"/>
  <c r="D63" i="2" s="1"/>
  <c r="F26" i="1" a="1"/>
  <c r="F26" i="1" s="1"/>
  <c r="I61" i="2" s="1"/>
  <c r="G26" i="1" a="1"/>
  <c r="G26" i="1" s="1"/>
  <c r="J61" i="2" s="1"/>
  <c r="H26" i="1" a="1"/>
  <c r="H26" i="1" s="1"/>
  <c r="K61" i="2" s="1"/>
  <c r="I26" i="1" a="1"/>
  <c r="I26" i="1" s="1"/>
  <c r="L61" i="2" s="1"/>
  <c r="J26" i="1" a="1"/>
  <c r="J26" i="1" s="1"/>
  <c r="M61" i="2" s="1"/>
  <c r="K26" i="1" a="1"/>
  <c r="K26" i="1" s="1"/>
  <c r="N61" i="2" s="1"/>
  <c r="L26" i="1" a="1"/>
  <c r="L26" i="1" s="1"/>
  <c r="O61" i="2" s="1"/>
  <c r="M26" i="1" a="1"/>
  <c r="M26" i="1" s="1"/>
  <c r="P61" i="2" s="1"/>
  <c r="N26" i="1" a="1"/>
  <c r="N26" i="1" s="1"/>
  <c r="Q61" i="2" s="1"/>
  <c r="O26" i="1" a="1"/>
  <c r="O26" i="1" s="1"/>
  <c r="R61" i="2" s="1"/>
  <c r="E26" i="1" a="1"/>
  <c r="E26" i="1" s="1"/>
  <c r="H61" i="2" s="1"/>
  <c r="D11" i="2"/>
  <c r="D57" i="2" s="1"/>
  <c r="E11" i="2"/>
  <c r="E57" i="2" s="1"/>
  <c r="C84" i="2"/>
  <c r="C88" i="2" s="1"/>
  <c r="I89" i="2"/>
  <c r="H89" i="2"/>
  <c r="D28" i="2"/>
  <c r="C28" i="2"/>
  <c r="D96" i="2"/>
  <c r="C96" i="2"/>
  <c r="H52" i="2"/>
  <c r="I6" i="2"/>
  <c r="J6" i="2" s="1"/>
  <c r="K6" i="2" s="1"/>
  <c r="L6" i="2" s="1"/>
  <c r="M6" i="2" s="1"/>
  <c r="N6" i="2" s="1"/>
  <c r="O6" i="2" s="1"/>
  <c r="P6" i="2" s="1"/>
  <c r="Q6" i="2" s="1"/>
  <c r="R6" i="2" s="1"/>
  <c r="R52" i="2" s="1"/>
  <c r="G5" i="1"/>
  <c r="H5" i="1" s="1"/>
  <c r="I5" i="1" s="1"/>
  <c r="J5" i="1" s="1"/>
  <c r="K5" i="1" s="1"/>
  <c r="L5" i="1" s="1"/>
  <c r="M5" i="1" s="1"/>
  <c r="N5" i="1" s="1"/>
  <c r="O5" i="1" s="1"/>
  <c r="F36" i="1" a="1"/>
  <c r="F36" i="1" s="1"/>
  <c r="I67" i="2" s="1"/>
  <c r="G36" i="1" a="1"/>
  <c r="G36" i="1" s="1"/>
  <c r="J67" i="2" s="1"/>
  <c r="H36" i="1" a="1"/>
  <c r="H36" i="1" s="1"/>
  <c r="K67" i="2" s="1"/>
  <c r="I36" i="1" a="1"/>
  <c r="I36" i="1" s="1"/>
  <c r="L67" i="2" s="1"/>
  <c r="J36" i="1" a="1"/>
  <c r="J36" i="1" s="1"/>
  <c r="M67" i="2" s="1"/>
  <c r="K36" i="1" a="1"/>
  <c r="K36" i="1" s="1"/>
  <c r="N67" i="2" s="1"/>
  <c r="L36" i="1" a="1"/>
  <c r="L36" i="1" s="1"/>
  <c r="O67" i="2" s="1"/>
  <c r="M36" i="1" a="1"/>
  <c r="M36" i="1" s="1"/>
  <c r="P67" i="2" s="1"/>
  <c r="N36" i="1" a="1"/>
  <c r="N36" i="1" s="1"/>
  <c r="Q67" i="2" s="1"/>
  <c r="O36" i="1" a="1"/>
  <c r="O36" i="1" s="1"/>
  <c r="R67" i="2" s="1"/>
  <c r="E36" i="1" a="1"/>
  <c r="E36" i="1" s="1"/>
  <c r="H67" i="2" s="1"/>
  <c r="F31" i="1" a="1"/>
  <c r="F31" i="1" s="1"/>
  <c r="I76" i="2" s="1"/>
  <c r="G31" i="1" a="1"/>
  <c r="G31" i="1" s="1"/>
  <c r="J76" i="2" s="1"/>
  <c r="H31" i="1" a="1"/>
  <c r="H31" i="1" s="1"/>
  <c r="K76" i="2" s="1"/>
  <c r="I31" i="1" a="1"/>
  <c r="I31" i="1" s="1"/>
  <c r="L76" i="2" s="1"/>
  <c r="J31" i="1" a="1"/>
  <c r="J31" i="1" s="1"/>
  <c r="M76" i="2" s="1"/>
  <c r="K31" i="1" a="1"/>
  <c r="K31" i="1" s="1"/>
  <c r="N76" i="2" s="1"/>
  <c r="L31" i="1" a="1"/>
  <c r="L31" i="1" s="1"/>
  <c r="O76" i="2" s="1"/>
  <c r="M31" i="1" a="1"/>
  <c r="M31" i="1" s="1"/>
  <c r="P76" i="2" s="1"/>
  <c r="N31" i="1" a="1"/>
  <c r="N31" i="1" s="1"/>
  <c r="Q76" i="2" s="1"/>
  <c r="O31" i="1" a="1"/>
  <c r="O31" i="1" s="1"/>
  <c r="R76" i="2" s="1"/>
  <c r="E31" i="1" a="1"/>
  <c r="E31" i="1" s="1"/>
  <c r="H76" i="2" s="1"/>
  <c r="F21" i="1" a="1"/>
  <c r="F21" i="1" s="1"/>
  <c r="I60" i="2" s="1"/>
  <c r="G21" i="1" a="1"/>
  <c r="G21" i="1" s="1"/>
  <c r="J60" i="2" s="1"/>
  <c r="H21" i="1" a="1"/>
  <c r="H21" i="1" s="1"/>
  <c r="K60" i="2" s="1"/>
  <c r="I21" i="1" a="1"/>
  <c r="I21" i="1" s="1"/>
  <c r="L60" i="2" s="1"/>
  <c r="J21" i="1" a="1"/>
  <c r="J21" i="1" s="1"/>
  <c r="M60" i="2" s="1"/>
  <c r="K21" i="1" a="1"/>
  <c r="K21" i="1" s="1"/>
  <c r="N60" i="2" s="1"/>
  <c r="L21" i="1" a="1"/>
  <c r="L21" i="1" s="1"/>
  <c r="O60" i="2" s="1"/>
  <c r="M21" i="1" a="1"/>
  <c r="M21" i="1" s="1"/>
  <c r="P60" i="2" s="1"/>
  <c r="N21" i="1" a="1"/>
  <c r="N21" i="1" s="1"/>
  <c r="Q60" i="2" s="1"/>
  <c r="O21" i="1" a="1"/>
  <c r="O21" i="1" s="1"/>
  <c r="R60" i="2" s="1"/>
  <c r="E21" i="1" a="1"/>
  <c r="E21" i="1" s="1"/>
  <c r="H60" i="2" s="1"/>
  <c r="F14" i="1" a="1"/>
  <c r="F14" i="1" s="1"/>
  <c r="F13" i="1" s="1"/>
  <c r="I57" i="2" s="1"/>
  <c r="G14" i="1" a="1"/>
  <c r="G14" i="1" s="1"/>
  <c r="J55" i="2" s="1"/>
  <c r="H14" i="1" a="1"/>
  <c r="H14" i="1" s="1"/>
  <c r="H13" i="1" s="1"/>
  <c r="K57" i="2" s="1"/>
  <c r="I14" i="1" a="1"/>
  <c r="I14" i="1" s="1"/>
  <c r="I13" i="1" s="1"/>
  <c r="L57" i="2" s="1"/>
  <c r="J14" i="1" a="1"/>
  <c r="J14" i="1" s="1"/>
  <c r="J13" i="1" s="1"/>
  <c r="M57" i="2" s="1"/>
  <c r="K14" i="1" a="1"/>
  <c r="K14" i="1" s="1"/>
  <c r="K13" i="1" s="1"/>
  <c r="N57" i="2" s="1"/>
  <c r="L14" i="1" a="1"/>
  <c r="L14" i="1" s="1"/>
  <c r="L13" i="1" s="1"/>
  <c r="O57" i="2" s="1"/>
  <c r="M14" i="1" a="1"/>
  <c r="M14" i="1" s="1"/>
  <c r="M13" i="1" s="1"/>
  <c r="P57" i="2" s="1"/>
  <c r="N14" i="1" a="1"/>
  <c r="N14" i="1" s="1"/>
  <c r="N13" i="1" s="1"/>
  <c r="Q57" i="2" s="1"/>
  <c r="O14" i="1" a="1"/>
  <c r="O14" i="1" s="1"/>
  <c r="O13" i="1" s="1"/>
  <c r="R57" i="2" s="1"/>
  <c r="E14" i="1" a="1"/>
  <c r="E14" i="1" s="1"/>
  <c r="E13" i="1" s="1"/>
  <c r="H57" i="2" s="1"/>
  <c r="F8" i="1"/>
  <c r="I54" i="2" s="1"/>
  <c r="G8" i="1"/>
  <c r="J54" i="2" s="1"/>
  <c r="H8" i="1"/>
  <c r="K54" i="2" s="1"/>
  <c r="I8" i="1"/>
  <c r="L54" i="2" s="1"/>
  <c r="J8" i="1"/>
  <c r="M54" i="2" s="1"/>
  <c r="K8" i="1"/>
  <c r="N54" i="2" s="1"/>
  <c r="L8" i="1"/>
  <c r="O54" i="2" s="1"/>
  <c r="M8" i="1"/>
  <c r="P54" i="2" s="1"/>
  <c r="N8" i="1"/>
  <c r="Q54" i="2" s="1"/>
  <c r="O8" i="1"/>
  <c r="R54" i="2" s="1"/>
  <c r="E8" i="1"/>
  <c r="H54" i="2" s="1"/>
  <c r="H8" i="2" s="1"/>
  <c r="H30" i="2" s="1"/>
  <c r="G30" i="2" s="1"/>
  <c r="H15" i="2" l="1"/>
  <c r="G15" i="2" s="1"/>
  <c r="D19" i="2"/>
  <c r="F19" i="2"/>
  <c r="F63" i="2"/>
  <c r="C19" i="2"/>
  <c r="S33" i="2"/>
  <c r="E19" i="2"/>
  <c r="Q55" i="2"/>
  <c r="P55" i="2"/>
  <c r="O55" i="2"/>
  <c r="G13" i="1"/>
  <c r="J57" i="2" s="1"/>
  <c r="N55" i="2"/>
  <c r="M55" i="2"/>
  <c r="L55" i="2"/>
  <c r="K55" i="2"/>
  <c r="I55" i="2"/>
  <c r="R55" i="2"/>
  <c r="H55" i="2"/>
  <c r="H9" i="2" s="1"/>
  <c r="I33" i="2"/>
  <c r="H33" i="2"/>
  <c r="J89" i="2"/>
  <c r="K89" i="2" s="1"/>
  <c r="L89" i="2" s="1"/>
  <c r="M89" i="2" s="1"/>
  <c r="N89" i="2" s="1"/>
  <c r="O89" i="2" s="1"/>
  <c r="P89" i="2" s="1"/>
  <c r="Q89" i="2" s="1"/>
  <c r="R89" i="2" s="1"/>
  <c r="R33" i="2" s="1"/>
  <c r="H21" i="2"/>
  <c r="G21" i="2" s="1"/>
  <c r="H29" i="2"/>
  <c r="Q52" i="2"/>
  <c r="P52" i="2"/>
  <c r="N52" i="2"/>
  <c r="O52" i="2"/>
  <c r="M52" i="2"/>
  <c r="R96" i="2"/>
  <c r="R97" i="2" s="1"/>
  <c r="K52" i="2"/>
  <c r="L52" i="2"/>
  <c r="Q96" i="2"/>
  <c r="Q97" i="2" s="1"/>
  <c r="P96" i="2"/>
  <c r="P97" i="2" s="1"/>
  <c r="J52" i="2"/>
  <c r="O96" i="2"/>
  <c r="O97" i="2" s="1"/>
  <c r="M96" i="2"/>
  <c r="M97" i="2" s="1"/>
  <c r="N96" i="2"/>
  <c r="N97" i="2" s="1"/>
  <c r="G8" i="2"/>
  <c r="L96" i="2"/>
  <c r="L97" i="2" s="1"/>
  <c r="K96" i="2"/>
  <c r="K97" i="2" s="1"/>
  <c r="H14" i="2"/>
  <c r="I52" i="2"/>
  <c r="J96" i="2"/>
  <c r="J97" i="2" s="1"/>
  <c r="I96" i="2"/>
  <c r="I97" i="2" s="1"/>
  <c r="H98" i="2" l="1"/>
  <c r="J98" i="2"/>
  <c r="K98" i="2"/>
  <c r="L98" i="2"/>
  <c r="M98" i="2"/>
  <c r="N98" i="2"/>
  <c r="O98" i="2"/>
  <c r="P98" i="2"/>
  <c r="Q98" i="2"/>
  <c r="R98" i="2"/>
  <c r="I98" i="2"/>
  <c r="G54" i="2"/>
  <c r="G61" i="2"/>
  <c r="G67" i="2"/>
  <c r="C65" i="2"/>
  <c r="C23" i="2"/>
  <c r="H110" i="2"/>
  <c r="F23" i="2"/>
  <c r="F65" i="2"/>
  <c r="E23" i="2"/>
  <c r="E65" i="2"/>
  <c r="D65" i="2"/>
  <c r="D23" i="2"/>
  <c r="P33" i="2"/>
  <c r="Q33" i="2"/>
  <c r="O33" i="2"/>
  <c r="N33" i="2"/>
  <c r="L33" i="2"/>
  <c r="M33" i="2"/>
  <c r="K33" i="2"/>
  <c r="J33" i="2"/>
  <c r="G9" i="2"/>
  <c r="H11" i="2"/>
  <c r="G29" i="2"/>
  <c r="G76" i="2" s="1"/>
  <c r="I8" i="2"/>
  <c r="H17" i="2"/>
  <c r="H63" i="2" s="1"/>
  <c r="G14" i="2"/>
  <c r="I15" i="2" l="1"/>
  <c r="I30" i="2"/>
  <c r="H74" i="2"/>
  <c r="G74" i="2" s="1"/>
  <c r="H77" i="2"/>
  <c r="G17" i="2"/>
  <c r="G63" i="2" s="1"/>
  <c r="G60" i="2"/>
  <c r="G11" i="2"/>
  <c r="G57" i="2" s="1"/>
  <c r="G55" i="2"/>
  <c r="E24" i="2"/>
  <c r="E26" i="2" s="1"/>
  <c r="E69" i="2"/>
  <c r="C69" i="2"/>
  <c r="C24" i="2"/>
  <c r="C26" i="2" s="1"/>
  <c r="D69" i="2"/>
  <c r="D24" i="2"/>
  <c r="D26" i="2" s="1"/>
  <c r="F24" i="2"/>
  <c r="F26" i="2" s="1"/>
  <c r="F69" i="2"/>
  <c r="H113" i="2"/>
  <c r="I29" i="2"/>
  <c r="J8" i="2"/>
  <c r="I21" i="2"/>
  <c r="I14" i="2"/>
  <c r="I17" i="2" s="1"/>
  <c r="I63" i="2" s="1"/>
  <c r="I9" i="2"/>
  <c r="I11" i="2" s="1"/>
  <c r="H19" i="2"/>
  <c r="G75" i="2" l="1"/>
  <c r="J15" i="2"/>
  <c r="K99" i="2"/>
  <c r="L99" i="2"/>
  <c r="M99" i="2"/>
  <c r="N99" i="2"/>
  <c r="O99" i="2"/>
  <c r="P99" i="2"/>
  <c r="Q99" i="2"/>
  <c r="R99" i="2"/>
  <c r="I99" i="2"/>
  <c r="I110" i="2" s="1"/>
  <c r="I77" i="2" s="1"/>
  <c r="J99" i="2"/>
  <c r="J30" i="2"/>
  <c r="G19" i="2"/>
  <c r="G65" i="2" s="1"/>
  <c r="D32" i="2"/>
  <c r="D72" i="2"/>
  <c r="C72" i="2"/>
  <c r="C32" i="2"/>
  <c r="F32" i="2"/>
  <c r="F72" i="2"/>
  <c r="E32" i="2"/>
  <c r="E72" i="2"/>
  <c r="H28" i="2"/>
  <c r="G113" i="2"/>
  <c r="J29" i="2"/>
  <c r="H23" i="2"/>
  <c r="H65" i="2"/>
  <c r="I19" i="2"/>
  <c r="K8" i="2"/>
  <c r="J14" i="2"/>
  <c r="J17" i="2" s="1"/>
  <c r="J63" i="2" s="1"/>
  <c r="J21" i="2"/>
  <c r="J9" i="2"/>
  <c r="J11" i="2" s="1"/>
  <c r="I74" i="2" l="1"/>
  <c r="K15" i="2"/>
  <c r="K30" i="2"/>
  <c r="K100" i="2"/>
  <c r="M100" i="2"/>
  <c r="O100" i="2"/>
  <c r="R100" i="2"/>
  <c r="J100" i="2"/>
  <c r="J110" i="2" s="1"/>
  <c r="J77" i="2" s="1"/>
  <c r="L100" i="2"/>
  <c r="N100" i="2"/>
  <c r="P100" i="2"/>
  <c r="Q100" i="2"/>
  <c r="G28" i="2"/>
  <c r="G110" i="2"/>
  <c r="G77" i="2" s="1"/>
  <c r="J19" i="2"/>
  <c r="J65" i="2" s="1"/>
  <c r="I113" i="2"/>
  <c r="I28" i="2" s="1"/>
  <c r="K29" i="2"/>
  <c r="L8" i="2"/>
  <c r="K14" i="2"/>
  <c r="K17" i="2" s="1"/>
  <c r="K63" i="2" s="1"/>
  <c r="K21" i="2"/>
  <c r="K9" i="2"/>
  <c r="K11" i="2" s="1"/>
  <c r="I65" i="2"/>
  <c r="I23" i="2"/>
  <c r="G23" i="2"/>
  <c r="G69" i="2" s="1"/>
  <c r="H69" i="2"/>
  <c r="H24" i="2"/>
  <c r="G24" i="2" s="1"/>
  <c r="L15" i="2" l="1"/>
  <c r="L30" i="2"/>
  <c r="R101" i="2"/>
  <c r="M101" i="2"/>
  <c r="N101" i="2"/>
  <c r="Q101" i="2"/>
  <c r="K101" i="2"/>
  <c r="K110" i="2" s="1"/>
  <c r="K77" i="2" s="1"/>
  <c r="L101" i="2"/>
  <c r="O101" i="2"/>
  <c r="P101" i="2"/>
  <c r="J23" i="2"/>
  <c r="J24" i="2" s="1"/>
  <c r="J26" i="2" s="1"/>
  <c r="J113" i="2"/>
  <c r="J28" i="2" s="1"/>
  <c r="J74" i="2"/>
  <c r="J75" i="2" s="1"/>
  <c r="K19" i="2"/>
  <c r="K23" i="2" s="1"/>
  <c r="L29" i="2"/>
  <c r="H26" i="2"/>
  <c r="H32" i="2" s="1"/>
  <c r="H35" i="2" s="1"/>
  <c r="I24" i="2"/>
  <c r="I26" i="2" s="1"/>
  <c r="I69" i="2"/>
  <c r="M8" i="2"/>
  <c r="L9" i="2"/>
  <c r="L11" i="2" s="1"/>
  <c r="L21" i="2"/>
  <c r="L14" i="2"/>
  <c r="M15" i="2" l="1"/>
  <c r="M30" i="2"/>
  <c r="N102" i="2"/>
  <c r="R102" i="2"/>
  <c r="O102" i="2"/>
  <c r="L102" i="2"/>
  <c r="L110" i="2" s="1"/>
  <c r="L77" i="2" s="1"/>
  <c r="P102" i="2"/>
  <c r="M102" i="2"/>
  <c r="Q102" i="2"/>
  <c r="J69" i="2"/>
  <c r="K65" i="2"/>
  <c r="G26" i="2"/>
  <c r="K113" i="2"/>
  <c r="K28" i="2" s="1"/>
  <c r="I72" i="2"/>
  <c r="I32" i="2"/>
  <c r="I35" i="2" s="1"/>
  <c r="J72" i="2"/>
  <c r="J32" i="2"/>
  <c r="J35" i="2" s="1"/>
  <c r="M29" i="2"/>
  <c r="H72" i="2"/>
  <c r="N8" i="2"/>
  <c r="M9" i="2"/>
  <c r="M11" i="2" s="1"/>
  <c r="M14" i="2"/>
  <c r="M21" i="2"/>
  <c r="K69" i="2"/>
  <c r="K24" i="2"/>
  <c r="K26" i="2" s="1"/>
  <c r="L17" i="2"/>
  <c r="L63" i="2" s="1"/>
  <c r="N15" i="2" l="1"/>
  <c r="N30" i="2"/>
  <c r="P103" i="2"/>
  <c r="Q103" i="2"/>
  <c r="M103" i="2"/>
  <c r="M110" i="2" s="1"/>
  <c r="M77" i="2" s="1"/>
  <c r="N103" i="2"/>
  <c r="O103" i="2"/>
  <c r="R103" i="2"/>
  <c r="G32" i="2"/>
  <c r="G72" i="2"/>
  <c r="L113" i="2"/>
  <c r="L28" i="2" s="1"/>
  <c r="L74" i="2"/>
  <c r="L75" i="2" s="1"/>
  <c r="K72" i="2"/>
  <c r="K32" i="2"/>
  <c r="K35" i="2" s="1"/>
  <c r="N29" i="2"/>
  <c r="M17" i="2"/>
  <c r="M63" i="2" s="1"/>
  <c r="O8" i="2"/>
  <c r="N9" i="2"/>
  <c r="N11" i="2" s="1"/>
  <c r="N14" i="2"/>
  <c r="N17" i="2" s="1"/>
  <c r="N63" i="2" s="1"/>
  <c r="N21" i="2"/>
  <c r="L19" i="2"/>
  <c r="O15" i="2" l="1"/>
  <c r="O30" i="2"/>
  <c r="O104" i="2"/>
  <c r="Q104" i="2"/>
  <c r="N104" i="2"/>
  <c r="N110" i="2" s="1"/>
  <c r="P104" i="2"/>
  <c r="R104" i="2"/>
  <c r="M113" i="2"/>
  <c r="M28" i="2" s="1"/>
  <c r="M19" i="2"/>
  <c r="M65" i="2" s="1"/>
  <c r="O29" i="2"/>
  <c r="N19" i="2"/>
  <c r="N65" i="2" s="1"/>
  <c r="L65" i="2"/>
  <c r="L23" i="2"/>
  <c r="P8" i="2"/>
  <c r="O9" i="2"/>
  <c r="O11" i="2" s="1"/>
  <c r="O14" i="2"/>
  <c r="O21" i="2"/>
  <c r="P15" i="2" l="1"/>
  <c r="P30" i="2"/>
  <c r="Q105" i="2"/>
  <c r="O105" i="2"/>
  <c r="O110" i="2" s="1"/>
  <c r="O77" i="2" s="1"/>
  <c r="P105" i="2"/>
  <c r="R105" i="2"/>
  <c r="N74" i="2"/>
  <c r="N75" i="2" s="1"/>
  <c r="N77" i="2"/>
  <c r="M23" i="2"/>
  <c r="M24" i="2" s="1"/>
  <c r="M26" i="2" s="1"/>
  <c r="N113" i="2"/>
  <c r="N28" i="2" s="1"/>
  <c r="N23" i="2"/>
  <c r="N69" i="2" s="1"/>
  <c r="P29" i="2"/>
  <c r="O17" i="2"/>
  <c r="O63" i="2" s="1"/>
  <c r="Q8" i="2"/>
  <c r="Q30" i="2" s="1"/>
  <c r="P9" i="2"/>
  <c r="P11" i="2" s="1"/>
  <c r="P14" i="2"/>
  <c r="P21" i="2"/>
  <c r="L24" i="2"/>
  <c r="L26" i="2" s="1"/>
  <c r="L69" i="2"/>
  <c r="Q15" i="2" l="1"/>
  <c r="Q106" i="2"/>
  <c r="R106" i="2"/>
  <c r="P106" i="2"/>
  <c r="P110" i="2"/>
  <c r="M69" i="2"/>
  <c r="O113" i="2"/>
  <c r="O28" i="2" s="1"/>
  <c r="N24" i="2"/>
  <c r="N26" i="2" s="1"/>
  <c r="N72" i="2" s="1"/>
  <c r="O19" i="2"/>
  <c r="O65" i="2" s="1"/>
  <c r="L72" i="2"/>
  <c r="L32" i="2"/>
  <c r="L35" i="2" s="1"/>
  <c r="Q29" i="2"/>
  <c r="M72" i="2"/>
  <c r="M32" i="2"/>
  <c r="M35" i="2" s="1"/>
  <c r="P17" i="2"/>
  <c r="P63" i="2" s="1"/>
  <c r="R8" i="2"/>
  <c r="R15" i="2" s="1"/>
  <c r="Q9" i="2"/>
  <c r="Q11" i="2" s="1"/>
  <c r="Q21" i="2"/>
  <c r="Q14" i="2"/>
  <c r="Q17" i="2" s="1"/>
  <c r="Q63" i="2" s="1"/>
  <c r="R30" i="2" l="1"/>
  <c r="R107" i="2"/>
  <c r="Q107" i="2"/>
  <c r="Q110" i="2" s="1"/>
  <c r="Q77" i="2" s="1"/>
  <c r="P74" i="2"/>
  <c r="P75" i="2" s="1"/>
  <c r="P77" i="2"/>
  <c r="Q19" i="2"/>
  <c r="Q65" i="2" s="1"/>
  <c r="N32" i="2"/>
  <c r="N35" i="2" s="1"/>
  <c r="P113" i="2"/>
  <c r="P28" i="2" s="1"/>
  <c r="O23" i="2"/>
  <c r="O24" i="2" s="1"/>
  <c r="O26" i="2" s="1"/>
  <c r="O32" i="2" s="1"/>
  <c r="O35" i="2" s="1"/>
  <c r="R29" i="2"/>
  <c r="R108" i="2" s="1"/>
  <c r="P19" i="2"/>
  <c r="P65" i="2" s="1"/>
  <c r="R9" i="2"/>
  <c r="R11" i="2" s="1"/>
  <c r="R14" i="2"/>
  <c r="R21" i="2"/>
  <c r="Q23" i="2" l="1"/>
  <c r="Q24" i="2" s="1"/>
  <c r="Q26" i="2" s="1"/>
  <c r="O69" i="2"/>
  <c r="R110" i="2"/>
  <c r="R77" i="2" s="1"/>
  <c r="Q113" i="2"/>
  <c r="Q28" i="2" s="1"/>
  <c r="O72" i="2"/>
  <c r="P23" i="2"/>
  <c r="P69" i="2" s="1"/>
  <c r="R17" i="2"/>
  <c r="R63" i="2" s="1"/>
  <c r="Q69" i="2" l="1"/>
  <c r="R19" i="2"/>
  <c r="R23" i="2" s="1"/>
  <c r="R113" i="2"/>
  <c r="R28" i="2" s="1"/>
  <c r="R74" i="2"/>
  <c r="R75" i="2" s="1"/>
  <c r="Q72" i="2"/>
  <c r="Q32" i="2"/>
  <c r="Q35" i="2" s="1"/>
  <c r="P24" i="2"/>
  <c r="P26" i="2" s="1"/>
  <c r="R65" i="2" l="1"/>
  <c r="P72" i="2"/>
  <c r="P32" i="2"/>
  <c r="P35" i="2" s="1"/>
  <c r="R69" i="2"/>
  <c r="R24" i="2"/>
  <c r="R26" i="2" s="1"/>
  <c r="S32" i="2" s="1"/>
  <c r="S35" i="2" l="1"/>
  <c r="R72" i="2"/>
  <c r="R32" i="2"/>
  <c r="R35" i="2" s="1"/>
  <c r="D37" i="2" l="1"/>
  <c r="D41" i="2" s="1"/>
  <c r="D44" i="2" s="1"/>
  <c r="G44" i="2" s="1"/>
  <c r="I75" i="2" l="1"/>
  <c r="K74" i="2" l="1"/>
  <c r="K75" i="2" l="1"/>
  <c r="M74" i="2"/>
  <c r="M75" i="2" l="1"/>
  <c r="O74" i="2"/>
  <c r="Q74" i="2" l="1"/>
  <c r="Q75" i="2" s="1"/>
  <c r="O7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tc={854AA00B-E976-4BE0-808D-8F5DA222CFDF}</author>
  </authors>
  <commentList>
    <comment ref="H96" authorId="0" shapeId="0" xr:uid="{854AA00B-E976-4BE0-808D-8F5DA222CFD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2025_Q4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<sst xmlns="http://schemas.openxmlformats.org/spreadsheetml/2006/main" count="112" uniqueCount="77">
  <si>
    <t>Operating Scenario</t>
  </si>
  <si>
    <t>Option Selection</t>
  </si>
  <si>
    <t>Projected</t>
  </si>
  <si>
    <t>Total Revenue Growth</t>
  </si>
  <si>
    <t>Base</t>
  </si>
  <si>
    <t>Bull</t>
  </si>
  <si>
    <t>Bear</t>
  </si>
  <si>
    <t>Gross Margin</t>
  </si>
  <si>
    <t>COGS</t>
  </si>
  <si>
    <t>Operating Expense</t>
  </si>
  <si>
    <t>SG&amp;A</t>
  </si>
  <si>
    <t>R&amp;D</t>
  </si>
  <si>
    <t>CapEx</t>
  </si>
  <si>
    <t>Other Income</t>
  </si>
  <si>
    <t>2025_Q4</t>
  </si>
  <si>
    <t>Revenue</t>
  </si>
  <si>
    <t>Cost of Goods Sold</t>
  </si>
  <si>
    <t>Operating Expenses:</t>
  </si>
  <si>
    <t>Total Operating Expenses</t>
  </si>
  <si>
    <t>Operating Income</t>
  </si>
  <si>
    <t>Other Income/(Expense)</t>
  </si>
  <si>
    <t>Pretax Income</t>
  </si>
  <si>
    <t>Income Taxes</t>
  </si>
  <si>
    <t>Net Income</t>
  </si>
  <si>
    <t>+  Depreciation &amp; Amortization</t>
  </si>
  <si>
    <t>-   Capital Expenditures</t>
  </si>
  <si>
    <t>-   Working Capital Additions</t>
  </si>
  <si>
    <t>Free Cash Flow</t>
  </si>
  <si>
    <t>Present Value Factor</t>
  </si>
  <si>
    <t>PV Free Cash Flow</t>
  </si>
  <si>
    <t>Value of Firm</t>
  </si>
  <si>
    <t>Less:  Debt Outstanding</t>
  </si>
  <si>
    <t>Plus:  Cash</t>
  </si>
  <si>
    <t>Equity Value</t>
  </si>
  <si>
    <t>Shares Outstanding</t>
  </si>
  <si>
    <t>Value Per Share</t>
  </si>
  <si>
    <t>2024_Q4</t>
  </si>
  <si>
    <t>2025_Q1-3</t>
  </si>
  <si>
    <t>Revenue Growth</t>
  </si>
  <si>
    <t>Income Tax Rate</t>
  </si>
  <si>
    <t>Net PP&amp;E</t>
  </si>
  <si>
    <t>Revenue/Net PP&amp;E</t>
  </si>
  <si>
    <t>Capital Expenditure % of Rev</t>
  </si>
  <si>
    <t>Depreciation/Revenue</t>
  </si>
  <si>
    <t>Working Capital/Revenue</t>
  </si>
  <si>
    <t>Discount Rate:</t>
  </si>
  <si>
    <t>Risk-Free Rate</t>
  </si>
  <si>
    <t>Risk Premium</t>
  </si>
  <si>
    <t>Beta</t>
  </si>
  <si>
    <t>K(e)</t>
  </si>
  <si>
    <t>K(d)</t>
  </si>
  <si>
    <t>Tax Rate</t>
  </si>
  <si>
    <t>Debt/Capital</t>
  </si>
  <si>
    <t>WACC</t>
  </si>
  <si>
    <t>2026 Capital Expenditures</t>
  </si>
  <si>
    <t>2027 Capital Expenditures</t>
  </si>
  <si>
    <t>2028 Capital Expenditures</t>
  </si>
  <si>
    <t>2029 Capital Expenditures</t>
  </si>
  <si>
    <t>2030 Capital Expenditures</t>
  </si>
  <si>
    <t>2031 Capital Expenditures</t>
  </si>
  <si>
    <t>2032 Capital Expenditures</t>
  </si>
  <si>
    <t>2033 Capital Expenditures</t>
  </si>
  <si>
    <t>2034 Capital Expenditures</t>
  </si>
  <si>
    <t>2035 Capital Expenditures</t>
  </si>
  <si>
    <t>Total Depreciation Schedule</t>
  </si>
  <si>
    <t>Intangible Amortization</t>
  </si>
  <si>
    <t>Total Depreciation &amp; Amortization</t>
  </si>
  <si>
    <t>2025_4 Capital Expenditures</t>
  </si>
  <si>
    <t>2025_Q1-3 Net PP&amp;E</t>
  </si>
  <si>
    <t>2025_com</t>
  </si>
  <si>
    <t>ROIC</t>
  </si>
  <si>
    <t>Current Market Price</t>
  </si>
  <si>
    <t>% Change</t>
  </si>
  <si>
    <t>Pepsico</t>
  </si>
  <si>
    <t>Disconted Cash Flow Model</t>
  </si>
  <si>
    <t>Depriciation &amp; Amortization Schedule</t>
  </si>
  <si>
    <t>Ratios and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</si>
</sst>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%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7" fillId="34" borderId="0"/>
    <xf numFmtId="0" fontId="18" fillId="34" borderId="10">
      <alignment horizontal="right"/>
    </xf>
    <xf numFmtId="0" fontId="20" fillId="4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4" fillId="33" borderId="0" xfId="0" applyFont="1" applyFill="1"/>
    <xf numFmtId="9" fontId="0" fillId="0" borderId="0" xfId="0" applyNumberFormat="1"/>
    <xf numFmtId="0" fontId="16" fillId="0" borderId="0" xfId="0" applyFont="1"/>
    <xf numFmtId="0" fontId="16" fillId="0" borderId="0" xfId="0" quotePrefix="1" applyFont="1"/>
    <xf numFmtId="10" fontId="0" fillId="0" borderId="0" xfId="0" applyNumberFormat="1"/>
    <xf numFmtId="44" fontId="0" fillId="0" borderId="0" xfId="0" applyNumberFormat="1"/>
    <xf numFmtId="10" fontId="0" fillId="0" borderId="0" xfId="2" applyNumberFormat="1" applyFont="1"/>
    <xf numFmtId="44" fontId="0" fillId="0" borderId="0" xfId="1" applyFont="1"/>
    <xf numFmtId="166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2" fontId="0" fillId="0" borderId="0" xfId="2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46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6" xr:uid="{8A949352-6AAB-4064-86D6-19F4BA20CE5B}"/>
    <cellStyle name="60% - Accent2 2" xfId="37" xr:uid="{6D59D102-C474-4A84-84DF-34FCBD52DB10}"/>
    <cellStyle name="60% - Accent3 2" xfId="38" xr:uid="{52B6E613-F059-4CBE-9100-7423B0469A1D}"/>
    <cellStyle name="60% - Accent4 2" xfId="39" xr:uid="{5FF53C7B-3C33-4491-A702-F82541028B8C}"/>
    <cellStyle name="60% - Accent5 2" xfId="40" xr:uid="{83A66D2F-593D-43D9-80E1-3328ADAB6109}"/>
    <cellStyle name="60% - Accent6 2" xfId="41" xr:uid="{9E6CABF2-028A-4CD9-8C6A-14BE199194F7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blp_column_header" xfId="42" xr:uid="{0F9184DC-0A5C-44B7-A20E-B5C247B6ED1F}"/>
    <cellStyle name="Calculation" xfId="11" builtinId="22" customBuiltin="1"/>
    <cellStyle name="Check Cell" xfId="13" builtinId="23" customBuiltin="1"/>
    <cellStyle name="Currency" xfId="1" builtinId="4"/>
    <cellStyle name="Explanatory Text" xfId="16" builtinId="53" customBuiltin="1"/>
    <cellStyle name="fa_column_header_bottom" xfId="43" xr:uid="{2B095C09-7DA2-4904-AA6A-7C08FD8D36FD}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44" xr:uid="{947FB931-B8DA-4608-ACB3-2C003CB1374A}"/>
    <cellStyle name="Normal" xfId="0" builtinId="0"/>
    <cellStyle name="Note" xfId="15" builtinId="10" customBuiltin="1"/>
    <cellStyle name="Output" xfId="10" builtinId="21" customBuiltin="1"/>
    <cellStyle name="Percent" xfId="2" builtinId="5"/>
    <cellStyle name="Title 2" xfId="45" xr:uid="{D6E23C2F-DF94-4AC0-BAF8-5CEF04E27906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rang Mantri" id="{3190136C-E557-405C-B2A4-4AD1D787FFF4}" userId="34eced2a3abf09b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6" dT="2025-11-13T23:33:58.81" personId="{3190136C-E557-405C-B2A4-4AD1D787FFF4}" id="{854AA00B-E976-4BE0-808D-8F5DA222CFDF}">
    <text>2025_Q4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4"/>
  <sheetViews>
    <sheetView showGridLines="0" tabSelected="1" workbookViewId="0">
      <selection activeCell="D4" sqref="D4"/>
    </sheetView>
  </sheetViews>
  <sheetFormatPr baseColWidth="10" defaultColWidth="8.83203125" defaultRowHeight="15" x14ac:dyDescent="0.2"/>
  <sheetData>
    <row r="2" spans="1:15" x14ac:dyDescent="0.2">
      <c r="B2" s="15" t="s">
        <v>1</v>
      </c>
      <c r="C2" s="15"/>
      <c r="D2" s="15"/>
      <c r="E2" s="15"/>
    </row>
    <row r="3" spans="1:15" x14ac:dyDescent="0.2">
      <c r="B3" s="15" t="s">
        <v>0</v>
      </c>
      <c r="C3" s="15"/>
      <c r="D3" s="15">
        <v>1</v>
      </c>
      <c r="E3" s="15"/>
    </row>
    <row r="4" spans="1:15" x14ac:dyDescent="0.2">
      <c r="I4" s="15" t="s">
        <v>2</v>
      </c>
      <c r="J4" s="15"/>
      <c r="K4" s="15"/>
    </row>
    <row r="5" spans="1:15" x14ac:dyDescent="0.2">
      <c r="E5" t="s">
        <v>14</v>
      </c>
      <c r="F5">
        <v>2026</v>
      </c>
      <c r="G5">
        <f t="shared" ref="G5:O5" si="0">F5+1</f>
        <v>2027</v>
      </c>
      <c r="H5">
        <f t="shared" si="0"/>
        <v>2028</v>
      </c>
      <c r="I5">
        <f t="shared" si="0"/>
        <v>2029</v>
      </c>
      <c r="J5">
        <f t="shared" si="0"/>
        <v>2030</v>
      </c>
      <c r="K5">
        <f t="shared" si="0"/>
        <v>2031</v>
      </c>
      <c r="L5">
        <f t="shared" si="0"/>
        <v>2032</v>
      </c>
      <c r="M5">
        <f t="shared" si="0"/>
        <v>2033</v>
      </c>
      <c r="N5">
        <f t="shared" si="0"/>
        <v>2034</v>
      </c>
      <c r="O5">
        <f t="shared" si="0"/>
        <v>2035</v>
      </c>
    </row>
    <row r="8" spans="1:15" x14ac:dyDescent="0.2">
      <c r="A8" t="s">
        <v>3</v>
      </c>
      <c r="E8" s="8">
        <f>CHOOSE($D$3,E9,E10,E11)</f>
        <v>0.02</v>
      </c>
      <c r="F8" s="8">
        <f t="shared" ref="F8:O8" si="1">CHOOSE($D$3,F9,F10,F11)</f>
        <v>0.01</v>
      </c>
      <c r="G8" s="8">
        <f t="shared" si="1"/>
        <v>0.02</v>
      </c>
      <c r="H8" s="8">
        <f t="shared" si="1"/>
        <v>0.02</v>
      </c>
      <c r="I8" s="8">
        <f t="shared" si="1"/>
        <v>0.01</v>
      </c>
      <c r="J8" s="8">
        <f t="shared" si="1"/>
        <v>0.01</v>
      </c>
      <c r="K8" s="8">
        <f t="shared" si="1"/>
        <v>0.01</v>
      </c>
      <c r="L8" s="8">
        <f t="shared" si="1"/>
        <v>0.01</v>
      </c>
      <c r="M8" s="8">
        <f t="shared" si="1"/>
        <v>0.01</v>
      </c>
      <c r="N8" s="8">
        <f t="shared" si="1"/>
        <v>0.01</v>
      </c>
      <c r="O8" s="8">
        <f t="shared" si="1"/>
        <v>0.01</v>
      </c>
    </row>
    <row r="9" spans="1:15" x14ac:dyDescent="0.2">
      <c r="A9" t="s">
        <v>4</v>
      </c>
      <c r="E9" s="8">
        <v>0.02</v>
      </c>
      <c r="F9" s="8">
        <v>0.01</v>
      </c>
      <c r="G9" s="8">
        <v>0.02</v>
      </c>
      <c r="H9" s="8">
        <v>0.02</v>
      </c>
      <c r="I9" s="8">
        <v>0.01</v>
      </c>
      <c r="J9" s="8">
        <v>0.01</v>
      </c>
      <c r="K9" s="8">
        <v>0.01</v>
      </c>
      <c r="L9" s="8">
        <v>0.01</v>
      </c>
      <c r="M9" s="8">
        <v>0.01</v>
      </c>
      <c r="N9" s="8">
        <v>0.01</v>
      </c>
      <c r="O9" s="8">
        <v>0.01</v>
      </c>
    </row>
    <row r="10" spans="1:15" x14ac:dyDescent="0.2">
      <c r="A10" t="s">
        <v>5</v>
      </c>
      <c r="E10" s="8">
        <v>0.02</v>
      </c>
      <c r="F10" s="8">
        <v>0.02</v>
      </c>
      <c r="G10" s="8">
        <v>3.5000000000000003E-2</v>
      </c>
      <c r="H10" s="8">
        <v>3.5000000000000003E-2</v>
      </c>
      <c r="I10" s="8">
        <v>3.5000000000000003E-2</v>
      </c>
      <c r="J10" s="8">
        <v>3.5000000000000003E-2</v>
      </c>
      <c r="K10" s="8">
        <v>0.03</v>
      </c>
      <c r="L10" s="8">
        <v>0.03</v>
      </c>
      <c r="M10" s="8">
        <v>0.03</v>
      </c>
      <c r="N10" s="8">
        <v>2.5000000000000001E-2</v>
      </c>
      <c r="O10" s="8">
        <v>2.5000000000000001E-2</v>
      </c>
    </row>
    <row r="11" spans="1:15" x14ac:dyDescent="0.2">
      <c r="A11" t="s">
        <v>6</v>
      </c>
      <c r="E11" s="8">
        <v>0.01</v>
      </c>
      <c r="F11" s="8">
        <v>-0.01</v>
      </c>
      <c r="G11" s="8">
        <v>-5.0000000000000001E-3</v>
      </c>
      <c r="H11" s="8">
        <v>0</v>
      </c>
      <c r="I11" s="8">
        <v>5.0000000000000001E-3</v>
      </c>
      <c r="J11" s="8">
        <v>5.0000000000000001E-3</v>
      </c>
      <c r="K11" s="8">
        <v>5.0000000000000001E-3</v>
      </c>
      <c r="L11" s="8">
        <v>5.0000000000000001E-3</v>
      </c>
      <c r="M11" s="8">
        <v>5.0000000000000001E-3</v>
      </c>
      <c r="N11" s="8">
        <v>5.0000000000000001E-3</v>
      </c>
      <c r="O11" s="8">
        <v>5.0000000000000001E-3</v>
      </c>
    </row>
    <row r="13" spans="1:15" x14ac:dyDescent="0.2">
      <c r="A13" t="s">
        <v>7</v>
      </c>
      <c r="E13" s="6">
        <f>1-E14</f>
        <v>0.54400000000000004</v>
      </c>
      <c r="F13" s="6">
        <f t="shared" ref="F13:O13" si="2">1-F14</f>
        <v>0.54600000000000004</v>
      </c>
      <c r="G13" s="6">
        <f t="shared" si="2"/>
        <v>0.54749999999999999</v>
      </c>
      <c r="H13" s="6">
        <f t="shared" si="2"/>
        <v>0.54749999999999999</v>
      </c>
      <c r="I13" s="6">
        <f t="shared" si="2"/>
        <v>0.54749999999999999</v>
      </c>
      <c r="J13" s="6">
        <f t="shared" si="2"/>
        <v>0.54749999999999999</v>
      </c>
      <c r="K13" s="6">
        <f t="shared" si="2"/>
        <v>0.54749999999999999</v>
      </c>
      <c r="L13" s="6">
        <f t="shared" si="2"/>
        <v>0.54749999999999999</v>
      </c>
      <c r="M13" s="6">
        <f t="shared" si="2"/>
        <v>0.54749999999999999</v>
      </c>
      <c r="N13" s="6">
        <f t="shared" si="2"/>
        <v>0.54749999999999999</v>
      </c>
      <c r="O13" s="6">
        <f t="shared" si="2"/>
        <v>0.54749999999999999</v>
      </c>
    </row>
    <row r="14" spans="1:15" x14ac:dyDescent="0.2">
      <c r="A14" t="s">
        <v>8</v>
      </c>
      <c r="E14" s="6" cm="1">
        <f t="array" ref="E14">INDEX(E15:E18,$D$3)</f>
        <v>0.45600000000000002</v>
      </c>
      <c r="F14" s="6" cm="1">
        <f t="array" ref="F14">INDEX(F15:F18,$D$3)</f>
        <v>0.45400000000000001</v>
      </c>
      <c r="G14" s="6" cm="1">
        <f t="array" ref="G14">INDEX(G15:G18,$D$3)</f>
        <v>0.45250000000000001</v>
      </c>
      <c r="H14" s="6" cm="1">
        <f t="array" ref="H14">INDEX(H15:H18,$D$3)</f>
        <v>0.45250000000000001</v>
      </c>
      <c r="I14" s="6" cm="1">
        <f t="array" ref="I14">INDEX(I15:I18,$D$3)</f>
        <v>0.45250000000000001</v>
      </c>
      <c r="J14" s="6" cm="1">
        <f t="array" ref="J14">INDEX(J15:J18,$D$3)</f>
        <v>0.45250000000000001</v>
      </c>
      <c r="K14" s="6" cm="1">
        <f t="array" ref="K14">INDEX(K15:K18,$D$3)</f>
        <v>0.45250000000000001</v>
      </c>
      <c r="L14" s="6" cm="1">
        <f t="array" ref="L14">INDEX(L15:L18,$D$3)</f>
        <v>0.45250000000000001</v>
      </c>
      <c r="M14" s="6" cm="1">
        <f t="array" ref="M14">INDEX(M15:M18,$D$3)</f>
        <v>0.45250000000000001</v>
      </c>
      <c r="N14" s="6" cm="1">
        <f t="array" ref="N14">INDEX(N15:N18,$D$3)</f>
        <v>0.45250000000000001</v>
      </c>
      <c r="O14" s="6" cm="1">
        <f t="array" ref="O14">INDEX(O15:O18,$D$3)</f>
        <v>0.45250000000000001</v>
      </c>
    </row>
    <row r="15" spans="1:15" x14ac:dyDescent="0.2">
      <c r="A15" t="s">
        <v>4</v>
      </c>
      <c r="E15" s="6">
        <v>0.45600000000000002</v>
      </c>
      <c r="F15" s="6">
        <v>0.45400000000000001</v>
      </c>
      <c r="G15" s="6">
        <v>0.45250000000000001</v>
      </c>
      <c r="H15" s="6">
        <v>0.45250000000000001</v>
      </c>
      <c r="I15" s="6">
        <v>0.45250000000000001</v>
      </c>
      <c r="J15" s="6">
        <v>0.45250000000000001</v>
      </c>
      <c r="K15" s="6">
        <v>0.45250000000000001</v>
      </c>
      <c r="L15" s="6">
        <v>0.45250000000000001</v>
      </c>
      <c r="M15" s="6">
        <v>0.45250000000000001</v>
      </c>
      <c r="N15" s="6">
        <v>0.45250000000000001</v>
      </c>
      <c r="O15" s="6">
        <v>0.45250000000000001</v>
      </c>
    </row>
    <row r="16" spans="1:15" x14ac:dyDescent="0.2">
      <c r="A16" t="s">
        <v>5</v>
      </c>
      <c r="E16" s="6">
        <v>0.45550000000000002</v>
      </c>
      <c r="F16" s="6">
        <v>0.45350000000000001</v>
      </c>
      <c r="G16" s="6">
        <v>0.45200000000000001</v>
      </c>
      <c r="H16" s="6">
        <v>0.45100000000000001</v>
      </c>
      <c r="I16" s="6">
        <v>0.45050000000000001</v>
      </c>
      <c r="J16" s="6">
        <v>0.45050000000000001</v>
      </c>
      <c r="K16" s="6">
        <v>0.45050000000000001</v>
      </c>
      <c r="L16" s="6">
        <v>0.45050000000000001</v>
      </c>
      <c r="M16" s="6">
        <v>0.45050000000000001</v>
      </c>
      <c r="N16" s="6">
        <v>0.45050000000000001</v>
      </c>
      <c r="O16" s="6">
        <v>0.45050000000000001</v>
      </c>
    </row>
    <row r="17" spans="1:15" x14ac:dyDescent="0.2">
      <c r="A17" t="s">
        <v>6</v>
      </c>
      <c r="E17" s="6">
        <v>0.46</v>
      </c>
      <c r="F17" s="6">
        <v>0.45600000000000002</v>
      </c>
      <c r="G17" s="6">
        <v>0.45700000000000002</v>
      </c>
      <c r="H17" s="6">
        <v>0.45650000000000002</v>
      </c>
      <c r="I17" s="6">
        <v>0.45600000000000002</v>
      </c>
      <c r="J17" s="6">
        <v>0.45600000000000002</v>
      </c>
      <c r="K17" s="6">
        <v>0.45600000000000002</v>
      </c>
      <c r="L17" s="6">
        <v>0.45600000000000002</v>
      </c>
      <c r="M17" s="6">
        <v>0.45600000000000002</v>
      </c>
      <c r="N17" s="6">
        <v>0.45600000000000002</v>
      </c>
      <c r="O17" s="6">
        <v>0.45600000000000002</v>
      </c>
    </row>
    <row r="19" spans="1:15" x14ac:dyDescent="0.2">
      <c r="A19" s="2" t="s">
        <v>9</v>
      </c>
    </row>
    <row r="21" spans="1:15" x14ac:dyDescent="0.2">
      <c r="A21" t="s">
        <v>10</v>
      </c>
      <c r="E21" s="6" cm="1">
        <f t="array" ref="E21">INDEX(E22:E24,$D$3)</f>
        <v>0.39650000000000002</v>
      </c>
      <c r="F21" s="6" cm="1">
        <f t="array" ref="F21">INDEX(F22:F24,$D$3)</f>
        <v>0.38250000000000001</v>
      </c>
      <c r="G21" s="6" cm="1">
        <f t="array" ref="G21">INDEX(G22:G24,$D$3)</f>
        <v>0.38179999999999997</v>
      </c>
      <c r="H21" s="6" cm="1">
        <f t="array" ref="H21">INDEX(H22:H24,$D$3)</f>
        <v>0.3805</v>
      </c>
      <c r="I21" s="6" cm="1">
        <f t="array" ref="I21">INDEX(I22:I24,$D$3)</f>
        <v>0.3805</v>
      </c>
      <c r="J21" s="6" cm="1">
        <f t="array" ref="J21">INDEX(J22:J24,$D$3)</f>
        <v>0.3805</v>
      </c>
      <c r="K21" s="6" cm="1">
        <f t="array" ref="K21">INDEX(K22:K24,$D$3)</f>
        <v>0.3805</v>
      </c>
      <c r="L21" s="6" cm="1">
        <f t="array" ref="L21">INDEX(L22:L24,$D$3)</f>
        <v>0.3805</v>
      </c>
      <c r="M21" s="6" cm="1">
        <f t="array" ref="M21">INDEX(M22:M24,$D$3)</f>
        <v>0.3805</v>
      </c>
      <c r="N21" s="6" cm="1">
        <f t="array" ref="N21">INDEX(N22:N24,$D$3)</f>
        <v>0.3805</v>
      </c>
      <c r="O21" s="6" cm="1">
        <f t="array" ref="O21">INDEX(O22:O24,$D$3)</f>
        <v>0.3805</v>
      </c>
    </row>
    <row r="22" spans="1:15" x14ac:dyDescent="0.2">
      <c r="A22" t="s">
        <v>4</v>
      </c>
      <c r="E22" s="6">
        <v>0.39650000000000002</v>
      </c>
      <c r="F22" s="6">
        <v>0.38250000000000001</v>
      </c>
      <c r="G22" s="6">
        <v>0.38179999999999997</v>
      </c>
      <c r="H22" s="6">
        <v>0.3805</v>
      </c>
      <c r="I22" s="6">
        <v>0.3805</v>
      </c>
      <c r="J22" s="6">
        <v>0.3805</v>
      </c>
      <c r="K22" s="6">
        <v>0.3805</v>
      </c>
      <c r="L22" s="6">
        <v>0.3805</v>
      </c>
      <c r="M22" s="6">
        <v>0.3805</v>
      </c>
      <c r="N22" s="6">
        <v>0.3805</v>
      </c>
      <c r="O22" s="6">
        <v>0.3805</v>
      </c>
    </row>
    <row r="23" spans="1:15" x14ac:dyDescent="0.2">
      <c r="A23" t="s">
        <v>5</v>
      </c>
      <c r="E23" s="6">
        <v>0.39550000000000002</v>
      </c>
      <c r="F23" s="6">
        <v>0.38219999999999998</v>
      </c>
      <c r="G23" s="6">
        <v>0.38100000000000001</v>
      </c>
      <c r="H23" s="6">
        <v>0.3805</v>
      </c>
      <c r="I23" s="6">
        <v>0.3805</v>
      </c>
      <c r="J23" s="6">
        <v>0.3805</v>
      </c>
      <c r="K23" s="6">
        <v>0.3805</v>
      </c>
      <c r="L23" s="6">
        <v>0.3805</v>
      </c>
      <c r="M23" s="6">
        <v>0.3805</v>
      </c>
      <c r="N23" s="6">
        <v>0.3805</v>
      </c>
      <c r="O23" s="6">
        <v>0.3805</v>
      </c>
    </row>
    <row r="24" spans="1:15" x14ac:dyDescent="0.2">
      <c r="A24" t="s">
        <v>6</v>
      </c>
      <c r="E24" s="6">
        <v>0.4</v>
      </c>
      <c r="F24" s="6">
        <v>0.39050000000000001</v>
      </c>
      <c r="G24" s="6">
        <v>0.39700000000000002</v>
      </c>
      <c r="H24" s="6">
        <v>0.39700000000000002</v>
      </c>
      <c r="I24" s="6">
        <v>0.39550000000000002</v>
      </c>
      <c r="J24" s="6">
        <v>0.39500000000000002</v>
      </c>
      <c r="K24" s="6">
        <v>0.39450000000000002</v>
      </c>
      <c r="L24" s="6">
        <v>0.39450000000000002</v>
      </c>
      <c r="M24" s="6">
        <v>0.39450000000000002</v>
      </c>
      <c r="N24" s="6">
        <v>0.39450000000000002</v>
      </c>
      <c r="O24" s="6">
        <v>0.39450000000000002</v>
      </c>
    </row>
    <row r="26" spans="1:15" x14ac:dyDescent="0.2">
      <c r="A26" t="s">
        <v>11</v>
      </c>
      <c r="E26" s="6" cm="1">
        <f t="array" ref="E26">INDEX(E27:E29,$D$3)</f>
        <v>0.01</v>
      </c>
      <c r="F26" s="6" cm="1">
        <f t="array" ref="F26">INDEX(F27:F29,$D$3)</f>
        <v>0.01</v>
      </c>
      <c r="G26" s="6" cm="1">
        <f t="array" ref="G26">INDEX(G27:G29,$D$3)</f>
        <v>0.01</v>
      </c>
      <c r="H26" s="6" cm="1">
        <f t="array" ref="H26">INDEX(H27:H29,$D$3)</f>
        <v>0.01</v>
      </c>
      <c r="I26" s="6" cm="1">
        <f t="array" ref="I26">INDEX(I27:I29,$D$3)</f>
        <v>8.0000000000000002E-3</v>
      </c>
      <c r="J26" s="6" cm="1">
        <f t="array" ref="J26">INDEX(J27:J29,$D$3)</f>
        <v>8.0000000000000002E-3</v>
      </c>
      <c r="K26" s="6" cm="1">
        <f t="array" ref="K26">INDEX(K27:K29,$D$3)</f>
        <v>8.0000000000000002E-3</v>
      </c>
      <c r="L26" s="6" cm="1">
        <f t="array" ref="L26">INDEX(L27:L29,$D$3)</f>
        <v>8.0000000000000002E-3</v>
      </c>
      <c r="M26" s="6" cm="1">
        <f t="array" ref="M26">INDEX(M27:M29,$D$3)</f>
        <v>8.0000000000000002E-3</v>
      </c>
      <c r="N26" s="6" cm="1">
        <f t="array" ref="N26">INDEX(N27:N29,$D$3)</f>
        <v>8.0000000000000002E-3</v>
      </c>
      <c r="O26" s="6" cm="1">
        <f t="array" ref="O26">INDEX(O27:O29,$D$3)</f>
        <v>8.0000000000000002E-3</v>
      </c>
    </row>
    <row r="27" spans="1:15" x14ac:dyDescent="0.2">
      <c r="A27" t="s">
        <v>4</v>
      </c>
      <c r="E27" s="6">
        <v>0.01</v>
      </c>
      <c r="F27" s="6">
        <v>0.01</v>
      </c>
      <c r="G27" s="6">
        <v>0.01</v>
      </c>
      <c r="H27" s="6">
        <v>0.01</v>
      </c>
      <c r="I27" s="6">
        <v>8.0000000000000002E-3</v>
      </c>
      <c r="J27" s="6">
        <v>8.0000000000000002E-3</v>
      </c>
      <c r="K27" s="6">
        <v>8.0000000000000002E-3</v>
      </c>
      <c r="L27" s="6">
        <v>8.0000000000000002E-3</v>
      </c>
      <c r="M27" s="6">
        <v>8.0000000000000002E-3</v>
      </c>
      <c r="N27" s="6">
        <v>8.0000000000000002E-3</v>
      </c>
      <c r="O27" s="6">
        <v>8.0000000000000002E-3</v>
      </c>
    </row>
    <row r="28" spans="1:15" x14ac:dyDescent="0.2">
      <c r="A28" t="s">
        <v>5</v>
      </c>
      <c r="E28" s="6">
        <v>0.01</v>
      </c>
      <c r="F28" s="6">
        <v>0.01</v>
      </c>
      <c r="G28" s="6">
        <v>0.01</v>
      </c>
      <c r="H28" s="6">
        <v>8.0000000000000002E-3</v>
      </c>
      <c r="I28" s="6">
        <v>8.0000000000000002E-3</v>
      </c>
      <c r="J28" s="6">
        <v>8.0000000000000002E-3</v>
      </c>
      <c r="K28" s="6">
        <v>8.0000000000000002E-3</v>
      </c>
      <c r="L28" s="6">
        <v>8.0000000000000002E-3</v>
      </c>
      <c r="M28" s="6">
        <v>8.0000000000000002E-3</v>
      </c>
      <c r="N28" s="6">
        <v>8.0000000000000002E-3</v>
      </c>
      <c r="O28" s="6">
        <v>8.0000000000000002E-3</v>
      </c>
    </row>
    <row r="29" spans="1:15" x14ac:dyDescent="0.2">
      <c r="A29" t="s">
        <v>6</v>
      </c>
      <c r="E29" s="6">
        <v>0.01</v>
      </c>
      <c r="F29" s="6">
        <v>1.2999999999999999E-2</v>
      </c>
      <c r="G29" s="6">
        <v>1.2999999999999999E-2</v>
      </c>
      <c r="H29" s="6">
        <v>1.2999999999999999E-2</v>
      </c>
      <c r="I29" s="6">
        <v>1.2999999999999999E-2</v>
      </c>
      <c r="J29" s="6">
        <v>0.01</v>
      </c>
      <c r="K29" s="6">
        <v>0.01</v>
      </c>
      <c r="L29" s="6">
        <v>0.01</v>
      </c>
      <c r="M29" s="6">
        <v>0.01</v>
      </c>
      <c r="N29" s="6">
        <v>0.01</v>
      </c>
      <c r="O29" s="6">
        <v>0.01</v>
      </c>
    </row>
    <row r="31" spans="1:15" x14ac:dyDescent="0.2">
      <c r="A31" t="s">
        <v>12</v>
      </c>
      <c r="E31" s="6" cm="1">
        <f t="array" ref="E31">INDEX(E32:E34,$D$3)</f>
        <v>6.7000000000000004E-2</v>
      </c>
      <c r="F31" s="6" cm="1">
        <f t="array" ref="F31">INDEX(F32:F34,$D$3)</f>
        <v>5.5E-2</v>
      </c>
      <c r="G31" s="6" cm="1">
        <f t="array" ref="G31">INDEX(G32:G34,$D$3)</f>
        <v>5.5E-2</v>
      </c>
      <c r="H31" s="6" cm="1">
        <f t="array" ref="H31">INDEX(H32:H34,$D$3)</f>
        <v>5.5E-2</v>
      </c>
      <c r="I31" s="6" cm="1">
        <f t="array" ref="I31">INDEX(I32:I34,$D$3)</f>
        <v>5.5E-2</v>
      </c>
      <c r="J31" s="6" cm="1">
        <f t="array" ref="J31">INDEX(J32:J34,$D$3)</f>
        <v>0.05</v>
      </c>
      <c r="K31" s="6" cm="1">
        <f t="array" ref="K31">INDEX(K32:K34,$D$3)</f>
        <v>0.05</v>
      </c>
      <c r="L31" s="6" cm="1">
        <f t="array" ref="L31">INDEX(L32:L34,$D$3)</f>
        <v>0.05</v>
      </c>
      <c r="M31" s="6" cm="1">
        <f t="array" ref="M31">INDEX(M32:M34,$D$3)</f>
        <v>0.05</v>
      </c>
      <c r="N31" s="6" cm="1">
        <f t="array" ref="N31">INDEX(N32:N34,$D$3)</f>
        <v>0.05</v>
      </c>
      <c r="O31" s="6" cm="1">
        <f t="array" ref="O31">INDEX(O32:O34,$D$3)</f>
        <v>0.05</v>
      </c>
    </row>
    <row r="32" spans="1:15" x14ac:dyDescent="0.2">
      <c r="A32" t="s">
        <v>4</v>
      </c>
      <c r="E32" s="6">
        <v>6.7000000000000004E-2</v>
      </c>
      <c r="F32" s="6">
        <v>5.5E-2</v>
      </c>
      <c r="G32" s="6">
        <v>5.5E-2</v>
      </c>
      <c r="H32" s="6">
        <v>5.5E-2</v>
      </c>
      <c r="I32" s="6">
        <v>5.5E-2</v>
      </c>
      <c r="J32" s="6">
        <v>0.05</v>
      </c>
      <c r="K32" s="6">
        <v>0.05</v>
      </c>
      <c r="L32" s="6">
        <v>0.05</v>
      </c>
      <c r="M32" s="6">
        <v>0.05</v>
      </c>
      <c r="N32" s="6">
        <v>0.05</v>
      </c>
      <c r="O32" s="6">
        <v>0.05</v>
      </c>
    </row>
    <row r="33" spans="1:15" x14ac:dyDescent="0.2">
      <c r="A33" t="s">
        <v>5</v>
      </c>
      <c r="E33" s="6">
        <v>6.5000000000000002E-2</v>
      </c>
      <c r="F33" s="6">
        <v>5.5E-2</v>
      </c>
      <c r="G33" s="6">
        <v>5.5E-2</v>
      </c>
      <c r="H33" s="6">
        <v>0.05</v>
      </c>
      <c r="I33" s="6">
        <v>0.05</v>
      </c>
      <c r="J33" s="6">
        <v>0.05</v>
      </c>
      <c r="K33" s="6">
        <v>0.05</v>
      </c>
      <c r="L33" s="6">
        <v>0.05</v>
      </c>
      <c r="M33" s="6">
        <v>0.05</v>
      </c>
      <c r="N33" s="6">
        <v>0.05</v>
      </c>
      <c r="O33" s="6">
        <v>0.05</v>
      </c>
    </row>
    <row r="34" spans="1:15" x14ac:dyDescent="0.2">
      <c r="A34" t="s">
        <v>6</v>
      </c>
      <c r="E34" s="6">
        <v>6.8000000000000005E-2</v>
      </c>
      <c r="F34" s="6">
        <v>5.7000000000000002E-2</v>
      </c>
      <c r="G34" s="6">
        <v>5.7000000000000002E-2</v>
      </c>
      <c r="H34" s="6">
        <v>5.7000000000000002E-2</v>
      </c>
      <c r="I34" s="6">
        <v>5.5E-2</v>
      </c>
      <c r="J34" s="6">
        <v>5.5E-2</v>
      </c>
      <c r="K34" s="6">
        <v>0.05</v>
      </c>
      <c r="L34" s="6">
        <v>0.05</v>
      </c>
      <c r="M34" s="6">
        <v>0.05</v>
      </c>
      <c r="N34" s="6">
        <v>0.05</v>
      </c>
      <c r="O34" s="6">
        <v>0.05</v>
      </c>
    </row>
    <row r="36" spans="1:15" x14ac:dyDescent="0.2">
      <c r="A36" t="s">
        <v>13</v>
      </c>
      <c r="E36" s="3" cm="1">
        <f t="array" ref="E36">INDEX(E37:E39,$D$3)</f>
        <v>0</v>
      </c>
      <c r="F36" s="3" cm="1">
        <f t="array" ref="F36">INDEX(F37:F39,$D$3)</f>
        <v>0</v>
      </c>
      <c r="G36" s="3" cm="1">
        <f t="array" ref="G36">INDEX(G37:G39,$D$3)</f>
        <v>0</v>
      </c>
      <c r="H36" s="3" cm="1">
        <f t="array" ref="H36">INDEX(H37:H39,$D$3)</f>
        <v>0</v>
      </c>
      <c r="I36" s="3" cm="1">
        <f t="array" ref="I36">INDEX(I37:I39,$D$3)</f>
        <v>0</v>
      </c>
      <c r="J36" s="3" cm="1">
        <f t="array" ref="J36">INDEX(J37:J39,$D$3)</f>
        <v>0</v>
      </c>
      <c r="K36" s="3" cm="1">
        <f t="array" ref="K36">INDEX(K37:K39,$D$3)</f>
        <v>0</v>
      </c>
      <c r="L36" s="3" cm="1">
        <f t="array" ref="L36">INDEX(L37:L39,$D$3)</f>
        <v>0</v>
      </c>
      <c r="M36" s="3" cm="1">
        <f t="array" ref="M36">INDEX(M37:M39,$D$3)</f>
        <v>0</v>
      </c>
      <c r="N36" s="3" cm="1">
        <f t="array" ref="N36">INDEX(N37:N39,$D$3)</f>
        <v>0</v>
      </c>
      <c r="O36" s="3" cm="1">
        <f t="array" ref="O36">INDEX(O37:O39,$D$3)</f>
        <v>0</v>
      </c>
    </row>
    <row r="37" spans="1:15" x14ac:dyDescent="0.2">
      <c r="A37" t="s">
        <v>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2">
      <c r="A38" t="s">
        <v>5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spans="1:15" x14ac:dyDescent="0.2">
      <c r="A39" t="s">
        <v>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1" spans="1:15" x14ac:dyDescent="0.2">
      <c r="A41" t="s">
        <v>70</v>
      </c>
      <c r="E41" s="6" cm="1">
        <f t="array" ref="E41">INDEX(E42:E44,$D$3)</f>
        <v>0.17499999999999999</v>
      </c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">
      <c r="A42" t="s">
        <v>4</v>
      </c>
      <c r="E42" s="6">
        <v>0.17499999999999999</v>
      </c>
    </row>
    <row r="43" spans="1:15" x14ac:dyDescent="0.2">
      <c r="A43" t="s">
        <v>5</v>
      </c>
      <c r="E43" s="6">
        <v>0.21</v>
      </c>
    </row>
    <row r="44" spans="1:15" x14ac:dyDescent="0.2">
      <c r="A44" t="s">
        <v>6</v>
      </c>
      <c r="E44" s="6">
        <v>0.17</v>
      </c>
    </row>
  </sheetData>
  <mergeCells count="4">
    <mergeCell ref="B2:E2"/>
    <mergeCell ref="B3:C3"/>
    <mergeCell ref="D3:E3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C35F-72B3-494C-A156-2DF3A78AE6DF}">
  <dimension ref="A2:S113"/>
  <sheetViews>
    <sheetView showGridLines="0" topLeftCell="A29" workbookViewId="0">
      <selection activeCell="I42" sqref="I42"/>
    </sheetView>
  </sheetViews>
  <sheetFormatPr baseColWidth="10" defaultColWidth="8.83203125" defaultRowHeight="15" x14ac:dyDescent="0.2"/>
  <cols>
    <col min="1" max="1" width="28.6640625" customWidth="1"/>
    <col min="3" max="3" width="10.6640625" bestFit="1" customWidth="1"/>
    <col min="4" max="4" width="11.6640625" bestFit="1" customWidth="1"/>
    <col min="5" max="5" width="10.6640625" bestFit="1" customWidth="1"/>
    <col min="6" max="6" width="10.83203125" customWidth="1"/>
    <col min="7" max="7" width="11.1640625" customWidth="1"/>
    <col min="8" max="8" width="10.6640625" bestFit="1" customWidth="1"/>
    <col min="9" max="9" width="11.83203125" customWidth="1"/>
    <col min="10" max="10" width="10.83203125" customWidth="1"/>
    <col min="11" max="11" width="10.5" customWidth="1"/>
    <col min="12" max="12" width="11.33203125" customWidth="1"/>
    <col min="13" max="13" width="12.6640625" customWidth="1"/>
    <col min="14" max="14" width="13.6640625" customWidth="1"/>
    <col min="15" max="15" width="11.6640625" customWidth="1"/>
    <col min="16" max="18" width="11.1640625" customWidth="1"/>
  </cols>
  <sheetData>
    <row r="2" spans="1:18" x14ac:dyDescent="0.2">
      <c r="J2" s="15" t="s">
        <v>73</v>
      </c>
      <c r="K2" s="15"/>
    </row>
    <row r="3" spans="1:18" x14ac:dyDescent="0.2">
      <c r="I3" s="15" t="s">
        <v>74</v>
      </c>
      <c r="J3" s="15"/>
      <c r="K3" s="15"/>
      <c r="L3" s="15"/>
    </row>
    <row r="6" spans="1:18" x14ac:dyDescent="0.2">
      <c r="C6">
        <v>2023</v>
      </c>
      <c r="D6">
        <v>2024</v>
      </c>
      <c r="E6" t="s">
        <v>36</v>
      </c>
      <c r="F6" t="s">
        <v>37</v>
      </c>
      <c r="G6">
        <v>2025</v>
      </c>
      <c r="H6" t="s">
        <v>14</v>
      </c>
      <c r="I6">
        <f>G6+1</f>
        <v>2026</v>
      </c>
      <c r="J6">
        <f t="shared" ref="J6:R6" si="0">I6+1</f>
        <v>2027</v>
      </c>
      <c r="K6">
        <f t="shared" si="0"/>
        <v>2028</v>
      </c>
      <c r="L6">
        <f t="shared" si="0"/>
        <v>2029</v>
      </c>
      <c r="M6">
        <f t="shared" si="0"/>
        <v>2030</v>
      </c>
      <c r="N6">
        <f t="shared" si="0"/>
        <v>2031</v>
      </c>
      <c r="O6">
        <f t="shared" si="0"/>
        <v>2032</v>
      </c>
      <c r="P6">
        <f t="shared" si="0"/>
        <v>2033</v>
      </c>
      <c r="Q6">
        <f t="shared" si="0"/>
        <v>2034</v>
      </c>
      <c r="R6">
        <f t="shared" si="0"/>
        <v>2035</v>
      </c>
    </row>
    <row r="8" spans="1:18" x14ac:dyDescent="0.2">
      <c r="A8" s="4" t="s">
        <v>15</v>
      </c>
      <c r="C8">
        <v>91471</v>
      </c>
      <c r="D8">
        <v>91854</v>
      </c>
      <c r="E8">
        <v>27784</v>
      </c>
      <c r="F8">
        <v>64582</v>
      </c>
      <c r="G8">
        <f>F8+H8</f>
        <v>92921.68</v>
      </c>
      <c r="H8">
        <f>E8*(1+H54)</f>
        <v>28339.68</v>
      </c>
      <c r="I8">
        <f>G8*(1+I54)</f>
        <v>93850.896799999988</v>
      </c>
      <c r="J8">
        <f t="shared" ref="J8:R8" si="1">I8*(1+J54)</f>
        <v>95727.914735999992</v>
      </c>
      <c r="K8">
        <f t="shared" si="1"/>
        <v>97642.473030719993</v>
      </c>
      <c r="L8">
        <f t="shared" si="1"/>
        <v>98618.897761027198</v>
      </c>
      <c r="M8">
        <f t="shared" si="1"/>
        <v>99605.086738637474</v>
      </c>
      <c r="N8">
        <f t="shared" si="1"/>
        <v>100601.13760602385</v>
      </c>
      <c r="O8">
        <f t="shared" si="1"/>
        <v>101607.14898208409</v>
      </c>
      <c r="P8">
        <f t="shared" si="1"/>
        <v>102623.22047190493</v>
      </c>
      <c r="Q8">
        <f t="shared" si="1"/>
        <v>103649.45267662399</v>
      </c>
      <c r="R8">
        <f t="shared" si="1"/>
        <v>104685.94720339023</v>
      </c>
    </row>
    <row r="9" spans="1:18" x14ac:dyDescent="0.2">
      <c r="A9" s="4" t="s">
        <v>16</v>
      </c>
      <c r="C9">
        <v>41865</v>
      </c>
      <c r="D9">
        <v>41409</v>
      </c>
      <c r="E9">
        <v>12857</v>
      </c>
      <c r="F9">
        <v>29377</v>
      </c>
      <c r="G9">
        <f>F9+H9</f>
        <v>42299.894079999998</v>
      </c>
      <c r="H9">
        <f t="shared" ref="H9:R9" si="2">H8*H55</f>
        <v>12922.89408</v>
      </c>
      <c r="I9">
        <f t="shared" si="2"/>
        <v>42608.307147199994</v>
      </c>
      <c r="J9">
        <f t="shared" si="2"/>
        <v>43316.88141804</v>
      </c>
      <c r="K9">
        <f t="shared" si="2"/>
        <v>44183.219046400802</v>
      </c>
      <c r="L9">
        <f t="shared" si="2"/>
        <v>44625.051236864805</v>
      </c>
      <c r="M9">
        <f t="shared" si="2"/>
        <v>45071.301749233455</v>
      </c>
      <c r="N9">
        <f t="shared" si="2"/>
        <v>45522.014766725799</v>
      </c>
      <c r="O9">
        <f t="shared" si="2"/>
        <v>45977.234914393055</v>
      </c>
      <c r="P9">
        <f t="shared" si="2"/>
        <v>46437.007263536987</v>
      </c>
      <c r="Q9">
        <f t="shared" si="2"/>
        <v>46901.377336172358</v>
      </c>
      <c r="R9">
        <f t="shared" si="2"/>
        <v>47370.391109534081</v>
      </c>
    </row>
    <row r="10" spans="1:18" x14ac:dyDescent="0.2">
      <c r="A10" s="4"/>
    </row>
    <row r="11" spans="1:18" x14ac:dyDescent="0.2">
      <c r="A11" s="4" t="s">
        <v>7</v>
      </c>
      <c r="C11">
        <f t="shared" ref="C11:H11" si="3">C8-C9</f>
        <v>49606</v>
      </c>
      <c r="D11">
        <f t="shared" si="3"/>
        <v>50445</v>
      </c>
      <c r="E11">
        <f t="shared" si="3"/>
        <v>14927</v>
      </c>
      <c r="F11">
        <f t="shared" si="3"/>
        <v>35205</v>
      </c>
      <c r="G11">
        <f t="shared" si="3"/>
        <v>50621.785919999995</v>
      </c>
      <c r="H11">
        <f t="shared" si="3"/>
        <v>15416.78592</v>
      </c>
      <c r="I11">
        <f t="shared" ref="I11:R11" si="4">I8-I9</f>
        <v>51242.589652799994</v>
      </c>
      <c r="J11">
        <f t="shared" si="4"/>
        <v>52411.033317959991</v>
      </c>
      <c r="K11">
        <f t="shared" si="4"/>
        <v>53459.253984319192</v>
      </c>
      <c r="L11">
        <f t="shared" si="4"/>
        <v>53993.846524162393</v>
      </c>
      <c r="M11">
        <f t="shared" si="4"/>
        <v>54533.784989404019</v>
      </c>
      <c r="N11">
        <f t="shared" si="4"/>
        <v>55079.122839298056</v>
      </c>
      <c r="O11">
        <f t="shared" si="4"/>
        <v>55629.914067691039</v>
      </c>
      <c r="P11">
        <f t="shared" si="4"/>
        <v>56186.213208367946</v>
      </c>
      <c r="Q11">
        <f t="shared" si="4"/>
        <v>56748.075340451629</v>
      </c>
      <c r="R11">
        <f t="shared" si="4"/>
        <v>57315.556093856147</v>
      </c>
    </row>
    <row r="12" spans="1:18" x14ac:dyDescent="0.2">
      <c r="A12" s="4"/>
    </row>
    <row r="13" spans="1:18" x14ac:dyDescent="0.2">
      <c r="A13" s="4" t="s">
        <v>17</v>
      </c>
    </row>
    <row r="14" spans="1:18" x14ac:dyDescent="0.2">
      <c r="A14" s="4" t="s">
        <v>10</v>
      </c>
      <c r="C14">
        <v>34927</v>
      </c>
      <c r="D14">
        <v>35119</v>
      </c>
      <c r="E14">
        <v>11465</v>
      </c>
      <c r="F14">
        <v>24450</v>
      </c>
      <c r="G14">
        <f>H14+F14</f>
        <v>35686.683120000002</v>
      </c>
      <c r="H14">
        <f t="shared" ref="H14:R14" si="5">H8*H60</f>
        <v>11236.683120000002</v>
      </c>
      <c r="I14">
        <f t="shared" si="5"/>
        <v>35897.968025999995</v>
      </c>
      <c r="J14">
        <f t="shared" si="5"/>
        <v>36548.917846204793</v>
      </c>
      <c r="K14">
        <f t="shared" si="5"/>
        <v>37152.960988188956</v>
      </c>
      <c r="L14">
        <f t="shared" si="5"/>
        <v>37524.49059807085</v>
      </c>
      <c r="M14">
        <f t="shared" si="5"/>
        <v>37899.735504051561</v>
      </c>
      <c r="N14">
        <f t="shared" si="5"/>
        <v>38278.732859092081</v>
      </c>
      <c r="O14">
        <f t="shared" si="5"/>
        <v>38661.520187682996</v>
      </c>
      <c r="P14">
        <f t="shared" si="5"/>
        <v>39048.135389559829</v>
      </c>
      <c r="Q14">
        <f t="shared" si="5"/>
        <v>39438.61674345543</v>
      </c>
      <c r="R14">
        <f t="shared" si="5"/>
        <v>39833.002910889983</v>
      </c>
    </row>
    <row r="15" spans="1:18" x14ac:dyDescent="0.2">
      <c r="A15" s="4" t="s">
        <v>11</v>
      </c>
      <c r="C15">
        <v>804</v>
      </c>
      <c r="D15">
        <v>813</v>
      </c>
      <c r="E15">
        <v>0</v>
      </c>
      <c r="F15">
        <v>0</v>
      </c>
      <c r="G15">
        <f>F15+H15</f>
        <v>283.39679999999998</v>
      </c>
      <c r="H15">
        <f>H8*H61</f>
        <v>283.39679999999998</v>
      </c>
      <c r="I15">
        <f t="shared" ref="I15:R15" si="6">I8*I61</f>
        <v>938.50896799999987</v>
      </c>
      <c r="J15">
        <f t="shared" si="6"/>
        <v>957.27914735999991</v>
      </c>
      <c r="K15">
        <f t="shared" si="6"/>
        <v>976.42473030719998</v>
      </c>
      <c r="L15">
        <f t="shared" si="6"/>
        <v>788.95118208821759</v>
      </c>
      <c r="M15">
        <f t="shared" si="6"/>
        <v>796.84069390909985</v>
      </c>
      <c r="N15">
        <f t="shared" si="6"/>
        <v>804.80910084819084</v>
      </c>
      <c r="O15">
        <f t="shared" si="6"/>
        <v>812.85719185667278</v>
      </c>
      <c r="P15">
        <f t="shared" si="6"/>
        <v>820.98576377523943</v>
      </c>
      <c r="Q15">
        <f t="shared" si="6"/>
        <v>829.19562141299195</v>
      </c>
      <c r="R15">
        <f t="shared" si="6"/>
        <v>837.48757762712182</v>
      </c>
    </row>
    <row r="16" spans="1:18" x14ac:dyDescent="0.2">
      <c r="A16" s="4"/>
    </row>
    <row r="17" spans="1:19" x14ac:dyDescent="0.2">
      <c r="A17" s="4" t="s">
        <v>18</v>
      </c>
      <c r="C17">
        <f>SUM(C14:C15)</f>
        <v>35731</v>
      </c>
      <c r="D17">
        <f>SUM(D14:D15)</f>
        <v>35932</v>
      </c>
      <c r="E17">
        <f>E14+E15</f>
        <v>11465</v>
      </c>
      <c r="F17">
        <f>F15+F14</f>
        <v>24450</v>
      </c>
      <c r="G17">
        <f t="shared" ref="G17:R17" si="7">SUM(G14:G14)</f>
        <v>35686.683120000002</v>
      </c>
      <c r="H17">
        <f t="shared" si="7"/>
        <v>11236.683120000002</v>
      </c>
      <c r="I17">
        <f t="shared" si="7"/>
        <v>35897.968025999995</v>
      </c>
      <c r="J17">
        <f t="shared" si="7"/>
        <v>36548.917846204793</v>
      </c>
      <c r="K17">
        <f t="shared" si="7"/>
        <v>37152.960988188956</v>
      </c>
      <c r="L17">
        <f t="shared" si="7"/>
        <v>37524.49059807085</v>
      </c>
      <c r="M17">
        <f t="shared" si="7"/>
        <v>37899.735504051561</v>
      </c>
      <c r="N17">
        <f t="shared" si="7"/>
        <v>38278.732859092081</v>
      </c>
      <c r="O17">
        <f t="shared" si="7"/>
        <v>38661.520187682996</v>
      </c>
      <c r="P17">
        <f t="shared" si="7"/>
        <v>39048.135389559829</v>
      </c>
      <c r="Q17">
        <f t="shared" si="7"/>
        <v>39438.61674345543</v>
      </c>
      <c r="R17">
        <f t="shared" si="7"/>
        <v>39833.002910889983</v>
      </c>
    </row>
    <row r="18" spans="1:19" x14ac:dyDescent="0.2">
      <c r="A18" s="4"/>
    </row>
    <row r="19" spans="1:19" x14ac:dyDescent="0.2">
      <c r="A19" s="4" t="s">
        <v>19</v>
      </c>
      <c r="C19">
        <f>C11-C17</f>
        <v>13875</v>
      </c>
      <c r="D19">
        <f>D11-D17</f>
        <v>14513</v>
      </c>
      <c r="E19">
        <f>E11-E17+89</f>
        <v>3551</v>
      </c>
      <c r="F19">
        <f t="shared" ref="F19:R19" si="8">F11-F17</f>
        <v>10755</v>
      </c>
      <c r="G19">
        <f t="shared" si="8"/>
        <v>14935.102799999993</v>
      </c>
      <c r="H19">
        <f t="shared" si="8"/>
        <v>4180.1027999999988</v>
      </c>
      <c r="I19">
        <f t="shared" si="8"/>
        <v>15344.621626799999</v>
      </c>
      <c r="J19">
        <f t="shared" si="8"/>
        <v>15862.115471755198</v>
      </c>
      <c r="K19">
        <f t="shared" si="8"/>
        <v>16306.292996130236</v>
      </c>
      <c r="L19">
        <f t="shared" si="8"/>
        <v>16469.355926091543</v>
      </c>
      <c r="M19">
        <f t="shared" si="8"/>
        <v>16634.049485352458</v>
      </c>
      <c r="N19">
        <f t="shared" si="8"/>
        <v>16800.389980205975</v>
      </c>
      <c r="O19">
        <f t="shared" si="8"/>
        <v>16968.393880008043</v>
      </c>
      <c r="P19">
        <f t="shared" si="8"/>
        <v>17138.077818808117</v>
      </c>
      <c r="Q19">
        <f t="shared" si="8"/>
        <v>17309.458596996199</v>
      </c>
      <c r="R19">
        <f t="shared" si="8"/>
        <v>17482.553182966163</v>
      </c>
    </row>
    <row r="20" spans="1:19" x14ac:dyDescent="0.2">
      <c r="A20" s="4"/>
    </row>
    <row r="21" spans="1:19" x14ac:dyDescent="0.2">
      <c r="A21" s="4" t="s">
        <v>20</v>
      </c>
      <c r="C21">
        <v>0</v>
      </c>
      <c r="D21">
        <v>0</v>
      </c>
      <c r="E21">
        <v>0</v>
      </c>
      <c r="F21">
        <v>0</v>
      </c>
      <c r="G21">
        <f>F21+H21</f>
        <v>0</v>
      </c>
      <c r="H21">
        <f t="shared" ref="H21:R21" si="9">H8*H67</f>
        <v>0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0</v>
      </c>
      <c r="M21">
        <f t="shared" si="9"/>
        <v>0</v>
      </c>
      <c r="N21">
        <f t="shared" si="9"/>
        <v>0</v>
      </c>
      <c r="O21">
        <f t="shared" si="9"/>
        <v>0</v>
      </c>
      <c r="P21">
        <f t="shared" si="9"/>
        <v>0</v>
      </c>
      <c r="Q21">
        <f t="shared" si="9"/>
        <v>0</v>
      </c>
      <c r="R21">
        <f t="shared" si="9"/>
        <v>0</v>
      </c>
    </row>
    <row r="22" spans="1:19" x14ac:dyDescent="0.2">
      <c r="A22" s="4"/>
    </row>
    <row r="23" spans="1:19" x14ac:dyDescent="0.2">
      <c r="A23" s="4" t="s">
        <v>21</v>
      </c>
      <c r="C23">
        <f>C21+C19</f>
        <v>13875</v>
      </c>
      <c r="D23">
        <f>D21+D19</f>
        <v>14513</v>
      </c>
      <c r="E23">
        <f>E21+E19</f>
        <v>3551</v>
      </c>
      <c r="F23">
        <f>F21+F19</f>
        <v>10755</v>
      </c>
      <c r="G23">
        <f>F23+H23</f>
        <v>14935.102799999999</v>
      </c>
      <c r="H23">
        <f>H19+H21</f>
        <v>4180.1027999999988</v>
      </c>
      <c r="I23">
        <f t="shared" ref="I23:R23" si="10">I19+I21</f>
        <v>15344.621626799999</v>
      </c>
      <c r="J23">
        <f t="shared" si="10"/>
        <v>15862.115471755198</v>
      </c>
      <c r="K23">
        <f t="shared" si="10"/>
        <v>16306.292996130236</v>
      </c>
      <c r="L23">
        <f t="shared" si="10"/>
        <v>16469.355926091543</v>
      </c>
      <c r="M23">
        <f t="shared" si="10"/>
        <v>16634.049485352458</v>
      </c>
      <c r="N23">
        <f t="shared" si="10"/>
        <v>16800.389980205975</v>
      </c>
      <c r="O23">
        <f t="shared" si="10"/>
        <v>16968.393880008043</v>
      </c>
      <c r="P23">
        <f t="shared" si="10"/>
        <v>17138.077818808117</v>
      </c>
      <c r="Q23">
        <f t="shared" si="10"/>
        <v>17309.458596996199</v>
      </c>
      <c r="R23">
        <f t="shared" si="10"/>
        <v>17482.553182966163</v>
      </c>
    </row>
    <row r="24" spans="1:19" x14ac:dyDescent="0.2">
      <c r="A24" s="4" t="s">
        <v>22</v>
      </c>
      <c r="C24">
        <f>C23*C70</f>
        <v>2747.25</v>
      </c>
      <c r="D24">
        <f>D23*D70</f>
        <v>2815.5219999999999</v>
      </c>
      <c r="E24">
        <f>E23*E70</f>
        <v>632.07799999999997</v>
      </c>
      <c r="F24">
        <f>F23*F70</f>
        <v>2097.2249999999999</v>
      </c>
      <c r="G24">
        <f>H24+F24</f>
        <v>2912.3450459999995</v>
      </c>
      <c r="H24">
        <f t="shared" ref="H24:R24" si="11">H23*H70</f>
        <v>815.12004599999977</v>
      </c>
      <c r="I24">
        <f t="shared" si="11"/>
        <v>2992.2012172259997</v>
      </c>
      <c r="J24">
        <f t="shared" si="11"/>
        <v>3093.1125169922639</v>
      </c>
      <c r="K24">
        <f t="shared" si="11"/>
        <v>3179.727134245396</v>
      </c>
      <c r="L24">
        <f t="shared" si="11"/>
        <v>3211.5244055878511</v>
      </c>
      <c r="M24">
        <f t="shared" si="11"/>
        <v>3243.6396496437292</v>
      </c>
      <c r="N24">
        <f t="shared" si="11"/>
        <v>3276.0760461401651</v>
      </c>
      <c r="O24">
        <f t="shared" si="11"/>
        <v>3308.8368066015687</v>
      </c>
      <c r="P24">
        <f t="shared" si="11"/>
        <v>3341.9251746675827</v>
      </c>
      <c r="Q24">
        <f t="shared" si="11"/>
        <v>3375.344426414259</v>
      </c>
      <c r="R24">
        <f t="shared" si="11"/>
        <v>3409.0978706784017</v>
      </c>
    </row>
    <row r="25" spans="1:19" x14ac:dyDescent="0.2">
      <c r="A25" s="4"/>
    </row>
    <row r="26" spans="1:19" x14ac:dyDescent="0.2">
      <c r="A26" s="4" t="s">
        <v>23</v>
      </c>
      <c r="C26">
        <f>C23-C24</f>
        <v>11127.75</v>
      </c>
      <c r="D26">
        <f>D23-D24</f>
        <v>11697.477999999999</v>
      </c>
      <c r="E26">
        <f>E23-E24</f>
        <v>2918.922</v>
      </c>
      <c r="F26">
        <f>F23-F24</f>
        <v>8657.7749999999996</v>
      </c>
      <c r="G26">
        <f>F26+H26</f>
        <v>12022.757753999998</v>
      </c>
      <c r="H26">
        <f>H23-H24</f>
        <v>3364.9827539999987</v>
      </c>
      <c r="I26">
        <f t="shared" ref="I26:R26" si="12">I23-I24</f>
        <v>12352.420409573999</v>
      </c>
      <c r="J26">
        <f t="shared" si="12"/>
        <v>12769.002954762935</v>
      </c>
      <c r="K26">
        <f t="shared" si="12"/>
        <v>13126.565861884839</v>
      </c>
      <c r="L26">
        <f t="shared" si="12"/>
        <v>13257.831520503692</v>
      </c>
      <c r="M26">
        <f t="shared" si="12"/>
        <v>13390.409835708728</v>
      </c>
      <c r="N26">
        <f t="shared" si="12"/>
        <v>13524.313934065809</v>
      </c>
      <c r="O26">
        <f t="shared" si="12"/>
        <v>13659.557073406475</v>
      </c>
      <c r="P26">
        <f t="shared" si="12"/>
        <v>13796.152644140533</v>
      </c>
      <c r="Q26">
        <f t="shared" si="12"/>
        <v>13934.114170581939</v>
      </c>
      <c r="R26">
        <f t="shared" si="12"/>
        <v>14073.455312287762</v>
      </c>
    </row>
    <row r="27" spans="1:19" x14ac:dyDescent="0.2">
      <c r="A27" s="4"/>
    </row>
    <row r="28" spans="1:19" x14ac:dyDescent="0.2">
      <c r="A28" s="5" t="s">
        <v>24</v>
      </c>
      <c r="C28">
        <f>C113</f>
        <v>2948</v>
      </c>
      <c r="D28">
        <f>D113</f>
        <v>3160</v>
      </c>
      <c r="E28">
        <v>1042</v>
      </c>
      <c r="F28">
        <f>F113</f>
        <v>2315</v>
      </c>
      <c r="G28">
        <f>G113</f>
        <v>2962.2553153333333</v>
      </c>
      <c r="H28">
        <f>H113</f>
        <v>647.25531533333333</v>
      </c>
      <c r="I28">
        <f t="shared" ref="I28:R28" si="13">I113</f>
        <v>2732.84673477971</v>
      </c>
      <c r="J28">
        <f t="shared" si="13"/>
        <v>2886.8340075500869</v>
      </c>
      <c r="K28">
        <f t="shared" si="13"/>
        <v>3049.0863156309438</v>
      </c>
      <c r="L28">
        <f t="shared" si="13"/>
        <v>3214.0237917201453</v>
      </c>
      <c r="M28">
        <f t="shared" si="13"/>
        <v>3354.772015813116</v>
      </c>
      <c r="N28">
        <f t="shared" si="13"/>
        <v>3501.0103670745525</v>
      </c>
      <c r="O28">
        <f t="shared" si="13"/>
        <v>3649.7637467761392</v>
      </c>
      <c r="P28">
        <f t="shared" si="13"/>
        <v>3801.0573052022787</v>
      </c>
      <c r="Q28">
        <f t="shared" si="13"/>
        <v>3954.9164441402158</v>
      </c>
      <c r="R28">
        <f t="shared" si="13"/>
        <v>4111.366819395068</v>
      </c>
    </row>
    <row r="29" spans="1:19" x14ac:dyDescent="0.2">
      <c r="A29" s="5" t="s">
        <v>25</v>
      </c>
      <c r="C29" s="7">
        <v>-5320</v>
      </c>
      <c r="D29" s="7">
        <v>-4976</v>
      </c>
      <c r="E29" s="7">
        <v>-2303</v>
      </c>
      <c r="F29" s="7">
        <v>-2227</v>
      </c>
      <c r="G29" s="7">
        <f>F29+H29</f>
        <v>-4125.7585600000002</v>
      </c>
      <c r="H29" s="7">
        <f t="shared" ref="H29:R29" si="14">-H8*H76</f>
        <v>-1898.7585600000002</v>
      </c>
      <c r="I29" s="7">
        <f t="shared" si="14"/>
        <v>-5161.7993239999996</v>
      </c>
      <c r="J29" s="7">
        <f t="shared" si="14"/>
        <v>-5265.0353104799997</v>
      </c>
      <c r="K29" s="7">
        <f t="shared" si="14"/>
        <v>-5370.3360166896</v>
      </c>
      <c r="L29" s="7">
        <f t="shared" si="14"/>
        <v>-5424.0393768564963</v>
      </c>
      <c r="M29" s="7">
        <f t="shared" si="14"/>
        <v>-4980.2543369318737</v>
      </c>
      <c r="N29" s="7">
        <f t="shared" si="14"/>
        <v>-5030.0568803011929</v>
      </c>
      <c r="O29" s="7">
        <f t="shared" si="14"/>
        <v>-5080.3574491042054</v>
      </c>
      <c r="P29" s="7">
        <f t="shared" si="14"/>
        <v>-5131.1610235952467</v>
      </c>
      <c r="Q29" s="7">
        <f t="shared" si="14"/>
        <v>-5182.4726338311993</v>
      </c>
      <c r="R29" s="7">
        <f t="shared" si="14"/>
        <v>-5234.2973601695121</v>
      </c>
    </row>
    <row r="30" spans="1:19" x14ac:dyDescent="0.2">
      <c r="A30" s="5" t="s">
        <v>26</v>
      </c>
      <c r="C30" s="7">
        <v>1010</v>
      </c>
      <c r="D30" s="7">
        <v>-296</v>
      </c>
      <c r="E30" s="7">
        <v>2904</v>
      </c>
      <c r="F30" s="7">
        <v>-3192</v>
      </c>
      <c r="G30" s="7">
        <f>F30+H30</f>
        <v>-3158.6592000000001</v>
      </c>
      <c r="H30">
        <f>(E8-H8)*C78</f>
        <v>33.340800000000016</v>
      </c>
      <c r="I30">
        <f>(G8-I8)*C78</f>
        <v>55.753007999999681</v>
      </c>
      <c r="J30">
        <f>(I8-J8)*$C$78</f>
        <v>112.62107616000023</v>
      </c>
      <c r="K30">
        <f t="shared" ref="K30:R30" si="15">(J8-K8)*$C$78</f>
        <v>114.87349768320011</v>
      </c>
      <c r="L30">
        <f t="shared" si="15"/>
        <v>58.585483818432259</v>
      </c>
      <c r="M30">
        <f t="shared" si="15"/>
        <v>59.17133865661657</v>
      </c>
      <c r="N30">
        <f t="shared" si="15"/>
        <v>59.763052043182832</v>
      </c>
      <c r="O30">
        <f t="shared" si="15"/>
        <v>60.36068256361439</v>
      </c>
      <c r="P30">
        <f t="shared" si="15"/>
        <v>60.964289389250332</v>
      </c>
      <c r="Q30">
        <f t="shared" si="15"/>
        <v>61.573932283143222</v>
      </c>
      <c r="R30">
        <f t="shared" si="15"/>
        <v>62.189671605974432</v>
      </c>
    </row>
    <row r="31" spans="1:19" x14ac:dyDescent="0.2">
      <c r="A31" s="4"/>
    </row>
    <row r="32" spans="1:19" x14ac:dyDescent="0.2">
      <c r="A32" s="4" t="s">
        <v>27</v>
      </c>
      <c r="C32">
        <f>SUM(C28:C30)+C26</f>
        <v>9765.75</v>
      </c>
      <c r="D32">
        <f>SUM(D28:D30)+D26</f>
        <v>9585.4779999999992</v>
      </c>
      <c r="E32">
        <f>SUM(E26:E30)</f>
        <v>4561.9220000000005</v>
      </c>
      <c r="F32">
        <f>SUM(F26:F30)</f>
        <v>5553.7749999999996</v>
      </c>
      <c r="G32">
        <f>SUM(G26:G30)</f>
        <v>7700.5953093333319</v>
      </c>
      <c r="H32">
        <f>H26+H28+H29+H30</f>
        <v>2146.8203093333318</v>
      </c>
      <c r="I32">
        <f t="shared" ref="I32:R32" si="16">I26+I28+I29+I30</f>
        <v>9979.2208283537093</v>
      </c>
      <c r="J32">
        <f t="shared" si="16"/>
        <v>10503.422727993022</v>
      </c>
      <c r="K32">
        <f t="shared" si="16"/>
        <v>10920.189658509384</v>
      </c>
      <c r="L32">
        <f t="shared" si="16"/>
        <v>11106.401419185771</v>
      </c>
      <c r="M32">
        <f t="shared" si="16"/>
        <v>11824.098853246587</v>
      </c>
      <c r="N32">
        <f t="shared" si="16"/>
        <v>12055.030472882352</v>
      </c>
      <c r="O32">
        <f t="shared" si="16"/>
        <v>12289.324053642022</v>
      </c>
      <c r="P32">
        <f t="shared" si="16"/>
        <v>12527.013215136814</v>
      </c>
      <c r="Q32">
        <f t="shared" si="16"/>
        <v>12768.1319131741</v>
      </c>
      <c r="R32">
        <f t="shared" si="16"/>
        <v>13012.714443119294</v>
      </c>
      <c r="S32">
        <f>R26*(1-0.005/Sheet1!E41)/(C88-0.005)</f>
        <v>302070.14820250834</v>
      </c>
    </row>
    <row r="33" spans="1:19" x14ac:dyDescent="0.2">
      <c r="A33" s="4" t="s">
        <v>28</v>
      </c>
      <c r="H33">
        <f>1/(1+$C$88)^H89</f>
        <v>0.99388916181615183</v>
      </c>
      <c r="I33">
        <f t="shared" ref="I33:S33" si="17">1/(1+$C$88)^I89</f>
        <v>0.96389056305188425</v>
      </c>
      <c r="J33">
        <f t="shared" si="17"/>
        <v>0.91776473534971137</v>
      </c>
      <c r="K33">
        <f t="shared" si="17"/>
        <v>0.87384620385186507</v>
      </c>
      <c r="L33">
        <f t="shared" si="17"/>
        <v>0.83202934104386272</v>
      </c>
      <c r="M33">
        <f t="shared" si="17"/>
        <v>0.79221357408933568</v>
      </c>
      <c r="N33">
        <f t="shared" si="17"/>
        <v>0.75430314294446699</v>
      </c>
      <c r="O33">
        <f t="shared" si="17"/>
        <v>0.71820687004757056</v>
      </c>
      <c r="P33">
        <f t="shared" si="17"/>
        <v>0.6838379410299017</v>
      </c>
      <c r="Q33">
        <f t="shared" si="17"/>
        <v>0.65111369592028756</v>
      </c>
      <c r="R33">
        <f t="shared" si="17"/>
        <v>0.61995543034141032</v>
      </c>
      <c r="S33">
        <f t="shared" si="17"/>
        <v>0.60493997959494605</v>
      </c>
    </row>
    <row r="35" spans="1:19" x14ac:dyDescent="0.2">
      <c r="A35" s="4" t="s">
        <v>29</v>
      </c>
      <c r="H35">
        <f>H32*H33</f>
        <v>2133.7014378131971</v>
      </c>
      <c r="I35">
        <f t="shared" ref="I35:S35" si="18">I32*I33</f>
        <v>9618.8767830609468</v>
      </c>
      <c r="J35">
        <f t="shared" si="18"/>
        <v>9639.6709802226596</v>
      </c>
      <c r="K35">
        <f t="shared" si="18"/>
        <v>9542.5662784308188</v>
      </c>
      <c r="L35">
        <f t="shared" si="18"/>
        <v>9240.8518541737594</v>
      </c>
      <c r="M35">
        <f t="shared" si="18"/>
        <v>9367.211612916095</v>
      </c>
      <c r="N35">
        <f t="shared" si="18"/>
        <v>9093.1473739864814</v>
      </c>
      <c r="O35">
        <f t="shared" si="18"/>
        <v>8826.2769635665591</v>
      </c>
      <c r="P35">
        <f t="shared" si="18"/>
        <v>8566.4469242935284</v>
      </c>
      <c r="Q35">
        <f t="shared" si="18"/>
        <v>8313.50555998456</v>
      </c>
      <c r="R35">
        <f t="shared" si="18"/>
        <v>8067.3029824939076</v>
      </c>
      <c r="S35">
        <f t="shared" si="18"/>
        <v>182734.30928986773</v>
      </c>
    </row>
    <row r="36" spans="1:19" x14ac:dyDescent="0.2">
      <c r="A36" s="4"/>
    </row>
    <row r="37" spans="1:19" x14ac:dyDescent="0.2">
      <c r="A37" s="4" t="s">
        <v>30</v>
      </c>
      <c r="D37">
        <f>SUM(H35:S35)</f>
        <v>275143.86804081022</v>
      </c>
    </row>
    <row r="38" spans="1:19" x14ac:dyDescent="0.2">
      <c r="A38" s="4" t="s">
        <v>31</v>
      </c>
      <c r="D38" s="7">
        <v>-50849</v>
      </c>
    </row>
    <row r="39" spans="1:19" x14ac:dyDescent="0.2">
      <c r="A39" s="4" t="s">
        <v>32</v>
      </c>
      <c r="D39" s="9">
        <v>8661</v>
      </c>
    </row>
    <row r="40" spans="1:19" x14ac:dyDescent="0.2">
      <c r="A40" s="4"/>
    </row>
    <row r="41" spans="1:19" x14ac:dyDescent="0.2">
      <c r="A41" s="4" t="s">
        <v>33</v>
      </c>
      <c r="D41">
        <f>D37+D38+D39</f>
        <v>232955.86804081022</v>
      </c>
    </row>
    <row r="42" spans="1:19" x14ac:dyDescent="0.2">
      <c r="A42" s="4" t="s">
        <v>34</v>
      </c>
      <c r="D42">
        <v>1372</v>
      </c>
    </row>
    <row r="43" spans="1:19" x14ac:dyDescent="0.2">
      <c r="A43" s="4"/>
    </row>
    <row r="44" spans="1:19" x14ac:dyDescent="0.2">
      <c r="A44" s="4" t="s">
        <v>35</v>
      </c>
      <c r="D44" s="9">
        <f>D41/D42</f>
        <v>169.79290673528442</v>
      </c>
      <c r="F44" t="s">
        <v>72</v>
      </c>
      <c r="G44" s="6">
        <f>(D44-D46)/D46</f>
        <v>0.16696155831810597</v>
      </c>
    </row>
    <row r="46" spans="1:19" x14ac:dyDescent="0.2">
      <c r="A46" s="4" t="s">
        <v>71</v>
      </c>
      <c r="D46" s="9">
        <v>145.5</v>
      </c>
    </row>
    <row r="48" spans="1:19" x14ac:dyDescent="0.2">
      <c r="I48" s="15" t="s">
        <v>73</v>
      </c>
      <c r="J48" s="15"/>
      <c r="K48" s="15"/>
      <c r="L48" s="15"/>
      <c r="M48" s="15"/>
    </row>
    <row r="49" spans="1:18" x14ac:dyDescent="0.2">
      <c r="H49" s="15" t="s">
        <v>76</v>
      </c>
      <c r="I49" s="15"/>
      <c r="J49" s="15"/>
      <c r="K49" s="15"/>
      <c r="L49" s="15"/>
      <c r="M49" s="15"/>
      <c r="N49" s="15"/>
    </row>
    <row r="52" spans="1:18" x14ac:dyDescent="0.2">
      <c r="H52" t="str">
        <f t="shared" ref="H52:R52" si="19">H6</f>
        <v>2025_Q4</v>
      </c>
      <c r="I52">
        <f t="shared" si="19"/>
        <v>2026</v>
      </c>
      <c r="J52">
        <f t="shared" si="19"/>
        <v>2027</v>
      </c>
      <c r="K52">
        <f t="shared" si="19"/>
        <v>2028</v>
      </c>
      <c r="L52">
        <f t="shared" si="19"/>
        <v>2029</v>
      </c>
      <c r="M52">
        <f t="shared" si="19"/>
        <v>2030</v>
      </c>
      <c r="N52">
        <f t="shared" si="19"/>
        <v>2031</v>
      </c>
      <c r="O52">
        <f t="shared" si="19"/>
        <v>2032</v>
      </c>
      <c r="P52">
        <f t="shared" si="19"/>
        <v>2033</v>
      </c>
      <c r="Q52">
        <f t="shared" si="19"/>
        <v>2034</v>
      </c>
      <c r="R52">
        <f t="shared" si="19"/>
        <v>2035</v>
      </c>
    </row>
    <row r="54" spans="1:18" x14ac:dyDescent="0.2">
      <c r="A54" s="4" t="s">
        <v>38</v>
      </c>
      <c r="C54" s="6">
        <v>5.8999999999999997E-2</v>
      </c>
      <c r="D54" s="6">
        <f>(D8-C8)/C8</f>
        <v>4.1871194148965247E-3</v>
      </c>
      <c r="G54" s="8">
        <f>(G8-D8)/D8</f>
        <v>1.162366364012447E-2</v>
      </c>
      <c r="H54" s="6">
        <f>Sheet1!E8</f>
        <v>0.02</v>
      </c>
      <c r="I54" s="6">
        <f>Sheet1!F8</f>
        <v>0.01</v>
      </c>
      <c r="J54" s="6">
        <f>Sheet1!G8</f>
        <v>0.02</v>
      </c>
      <c r="K54" s="6">
        <f>Sheet1!H8</f>
        <v>0.02</v>
      </c>
      <c r="L54" s="6">
        <f>Sheet1!I8</f>
        <v>0.01</v>
      </c>
      <c r="M54" s="6">
        <f>Sheet1!J8</f>
        <v>0.01</v>
      </c>
      <c r="N54" s="6">
        <f>Sheet1!K8</f>
        <v>0.01</v>
      </c>
      <c r="O54" s="6">
        <f>Sheet1!L8</f>
        <v>0.01</v>
      </c>
      <c r="P54" s="6">
        <f>Sheet1!M8</f>
        <v>0.01</v>
      </c>
      <c r="Q54" s="6">
        <f>Sheet1!N8</f>
        <v>0.01</v>
      </c>
      <c r="R54" s="6">
        <f>Sheet1!O8</f>
        <v>0.01</v>
      </c>
    </row>
    <row r="55" spans="1:18" x14ac:dyDescent="0.2">
      <c r="A55" s="4" t="s">
        <v>16</v>
      </c>
      <c r="C55" s="6">
        <f>C9/C8</f>
        <v>0.45768604257086948</v>
      </c>
      <c r="D55" s="6">
        <f t="shared" ref="D55:G55" si="20">D9/D8</f>
        <v>0.4508132471095434</v>
      </c>
      <c r="E55" s="6">
        <f t="shared" si="20"/>
        <v>0.46274834437086093</v>
      </c>
      <c r="F55" s="6">
        <f t="shared" si="20"/>
        <v>0.454879068471091</v>
      </c>
      <c r="G55" s="6">
        <f t="shared" si="20"/>
        <v>0.45522093530810032</v>
      </c>
      <c r="H55" s="6">
        <f>Sheet1!E14</f>
        <v>0.45600000000000002</v>
      </c>
      <c r="I55" s="6">
        <f>Sheet1!F14</f>
        <v>0.45400000000000001</v>
      </c>
      <c r="J55" s="6">
        <f>Sheet1!G14</f>
        <v>0.45250000000000001</v>
      </c>
      <c r="K55" s="6">
        <f>Sheet1!H14</f>
        <v>0.45250000000000001</v>
      </c>
      <c r="L55" s="6">
        <f>Sheet1!I14</f>
        <v>0.45250000000000001</v>
      </c>
      <c r="M55" s="6">
        <f>Sheet1!J14</f>
        <v>0.45250000000000001</v>
      </c>
      <c r="N55" s="6">
        <f>Sheet1!K14</f>
        <v>0.45250000000000001</v>
      </c>
      <c r="O55" s="6">
        <f>Sheet1!L14</f>
        <v>0.45250000000000001</v>
      </c>
      <c r="P55" s="6">
        <f>Sheet1!M14</f>
        <v>0.45250000000000001</v>
      </c>
      <c r="Q55" s="6">
        <f>Sheet1!N14</f>
        <v>0.45250000000000001</v>
      </c>
      <c r="R55" s="6">
        <f>Sheet1!O14</f>
        <v>0.45250000000000001</v>
      </c>
    </row>
    <row r="56" spans="1:18" x14ac:dyDescent="0.2">
      <c r="A56" s="4"/>
    </row>
    <row r="57" spans="1:18" x14ac:dyDescent="0.2">
      <c r="A57" s="4" t="s">
        <v>7</v>
      </c>
      <c r="C57" s="6">
        <f>C11/C8</f>
        <v>0.54231395742913058</v>
      </c>
      <c r="D57" s="6">
        <f t="shared" ref="D57:G57" si="21">D11/D8</f>
        <v>0.5491867528904566</v>
      </c>
      <c r="E57" s="6">
        <f t="shared" si="21"/>
        <v>0.53725165562913912</v>
      </c>
      <c r="F57" s="6">
        <f t="shared" si="21"/>
        <v>0.54512093152890895</v>
      </c>
      <c r="G57" s="6">
        <f t="shared" si="21"/>
        <v>0.54477906469189963</v>
      </c>
      <c r="H57" s="6">
        <f>Sheet1!E13</f>
        <v>0.54400000000000004</v>
      </c>
      <c r="I57" s="6">
        <f>Sheet1!F13</f>
        <v>0.54600000000000004</v>
      </c>
      <c r="J57" s="6">
        <f>Sheet1!G13</f>
        <v>0.54749999999999999</v>
      </c>
      <c r="K57" s="6">
        <f>Sheet1!H13</f>
        <v>0.54749999999999999</v>
      </c>
      <c r="L57" s="6">
        <f>Sheet1!I13</f>
        <v>0.54749999999999999</v>
      </c>
      <c r="M57" s="6">
        <f>Sheet1!J13</f>
        <v>0.54749999999999999</v>
      </c>
      <c r="N57" s="6">
        <f>Sheet1!K13</f>
        <v>0.54749999999999999</v>
      </c>
      <c r="O57" s="6">
        <f>Sheet1!L13</f>
        <v>0.54749999999999999</v>
      </c>
      <c r="P57" s="6">
        <f>Sheet1!M13</f>
        <v>0.54749999999999999</v>
      </c>
      <c r="Q57" s="6">
        <f>Sheet1!N13</f>
        <v>0.54749999999999999</v>
      </c>
      <c r="R57" s="6">
        <f>Sheet1!O13</f>
        <v>0.54749999999999999</v>
      </c>
    </row>
    <row r="58" spans="1:18" x14ac:dyDescent="0.2">
      <c r="A58" s="4"/>
    </row>
    <row r="59" spans="1:18" x14ac:dyDescent="0.2">
      <c r="A59" s="4" t="s">
        <v>17</v>
      </c>
    </row>
    <row r="60" spans="1:18" x14ac:dyDescent="0.2">
      <c r="A60" s="4" t="s">
        <v>10</v>
      </c>
      <c r="C60" s="6">
        <f>C14/C8</f>
        <v>0.38183686632921909</v>
      </c>
      <c r="D60" s="6">
        <f t="shared" ref="D60:G60" si="22">D14/D8</f>
        <v>0.38233500990702635</v>
      </c>
      <c r="E60" s="6">
        <f t="shared" si="22"/>
        <v>0.41264756694500432</v>
      </c>
      <c r="F60" s="6">
        <f t="shared" si="22"/>
        <v>0.37858846118113404</v>
      </c>
      <c r="G60" s="6">
        <f t="shared" si="22"/>
        <v>0.38405120441214585</v>
      </c>
      <c r="H60" s="6">
        <f>Sheet1!E21</f>
        <v>0.39650000000000002</v>
      </c>
      <c r="I60" s="6">
        <f>Sheet1!F21</f>
        <v>0.38250000000000001</v>
      </c>
      <c r="J60" s="6">
        <f>Sheet1!G21</f>
        <v>0.38179999999999997</v>
      </c>
      <c r="K60" s="6">
        <f>Sheet1!H21</f>
        <v>0.3805</v>
      </c>
      <c r="L60" s="6">
        <f>Sheet1!I21</f>
        <v>0.3805</v>
      </c>
      <c r="M60" s="6">
        <f>Sheet1!J21</f>
        <v>0.3805</v>
      </c>
      <c r="N60" s="6">
        <f>Sheet1!K21</f>
        <v>0.3805</v>
      </c>
      <c r="O60" s="6">
        <f>Sheet1!L21</f>
        <v>0.3805</v>
      </c>
      <c r="P60" s="6">
        <f>Sheet1!M21</f>
        <v>0.3805</v>
      </c>
      <c r="Q60" s="6">
        <f>Sheet1!N21</f>
        <v>0.3805</v>
      </c>
      <c r="R60" s="6">
        <f>Sheet1!O21</f>
        <v>0.3805</v>
      </c>
    </row>
    <row r="61" spans="1:18" x14ac:dyDescent="0.2">
      <c r="A61" s="4" t="s">
        <v>11</v>
      </c>
      <c r="C61" s="6">
        <f>C15/C8</f>
        <v>8.789671043281478E-3</v>
      </c>
      <c r="D61" s="6">
        <f t="shared" ref="D61:G61" si="23">D15/D8</f>
        <v>8.8510026781631716E-3</v>
      </c>
      <c r="E61" s="6">
        <f t="shared" si="23"/>
        <v>0</v>
      </c>
      <c r="F61" s="6">
        <f t="shared" si="23"/>
        <v>0</v>
      </c>
      <c r="G61" s="6">
        <f t="shared" si="23"/>
        <v>3.0498458486760034E-3</v>
      </c>
      <c r="H61" s="6">
        <f>Sheet1!E26</f>
        <v>0.01</v>
      </c>
      <c r="I61" s="6">
        <f>Sheet1!F26</f>
        <v>0.01</v>
      </c>
      <c r="J61" s="6">
        <f>Sheet1!G26</f>
        <v>0.01</v>
      </c>
      <c r="K61" s="6">
        <f>Sheet1!H26</f>
        <v>0.01</v>
      </c>
      <c r="L61" s="6">
        <f>Sheet1!I26</f>
        <v>8.0000000000000002E-3</v>
      </c>
      <c r="M61" s="6">
        <f>Sheet1!J26</f>
        <v>8.0000000000000002E-3</v>
      </c>
      <c r="N61" s="6">
        <f>Sheet1!K26</f>
        <v>8.0000000000000002E-3</v>
      </c>
      <c r="O61" s="6">
        <f>Sheet1!L26</f>
        <v>8.0000000000000002E-3</v>
      </c>
      <c r="P61" s="6">
        <f>Sheet1!M26</f>
        <v>8.0000000000000002E-3</v>
      </c>
      <c r="Q61" s="6">
        <f>Sheet1!N26</f>
        <v>8.0000000000000002E-3</v>
      </c>
      <c r="R61" s="6">
        <f>Sheet1!O26</f>
        <v>8.0000000000000002E-3</v>
      </c>
    </row>
    <row r="62" spans="1:18" x14ac:dyDescent="0.2">
      <c r="A62" s="4"/>
    </row>
    <row r="63" spans="1:18" x14ac:dyDescent="0.2">
      <c r="A63" s="4" t="s">
        <v>18</v>
      </c>
      <c r="C63" s="6">
        <f>C17/C8</f>
        <v>0.39062653737250058</v>
      </c>
      <c r="D63" s="6">
        <f t="shared" ref="D63:G63" si="24">D17/D8</f>
        <v>0.39118601258518954</v>
      </c>
      <c r="E63" s="6">
        <f t="shared" si="24"/>
        <v>0.41264756694500432</v>
      </c>
      <c r="F63" s="6">
        <f t="shared" si="24"/>
        <v>0.37858846118113404</v>
      </c>
      <c r="G63" s="6">
        <f t="shared" si="24"/>
        <v>0.38405120441214585</v>
      </c>
      <c r="H63" s="6">
        <f t="shared" ref="H63:R63" si="25">H17/H8</f>
        <v>0.39650000000000007</v>
      </c>
      <c r="I63" s="6">
        <f t="shared" si="25"/>
        <v>0.38250000000000001</v>
      </c>
      <c r="J63" s="6">
        <f t="shared" si="25"/>
        <v>0.38179999999999997</v>
      </c>
      <c r="K63" s="6">
        <f t="shared" si="25"/>
        <v>0.3805</v>
      </c>
      <c r="L63" s="6">
        <f t="shared" si="25"/>
        <v>0.3805</v>
      </c>
      <c r="M63" s="6">
        <f t="shared" si="25"/>
        <v>0.3805</v>
      </c>
      <c r="N63" s="6">
        <f t="shared" si="25"/>
        <v>0.38050000000000006</v>
      </c>
      <c r="O63" s="6">
        <f t="shared" si="25"/>
        <v>0.3805</v>
      </c>
      <c r="P63" s="6">
        <f t="shared" si="25"/>
        <v>0.3805</v>
      </c>
      <c r="Q63" s="6">
        <f t="shared" si="25"/>
        <v>0.3805</v>
      </c>
      <c r="R63" s="6">
        <f t="shared" si="25"/>
        <v>0.3805</v>
      </c>
    </row>
    <row r="64" spans="1:18" x14ac:dyDescent="0.2">
      <c r="A64" s="4"/>
      <c r="C64" s="6"/>
      <c r="D64" s="6"/>
      <c r="E64" s="6"/>
      <c r="F64" s="6"/>
      <c r="G64" s="6"/>
    </row>
    <row r="65" spans="1:18" x14ac:dyDescent="0.2">
      <c r="A65" s="4" t="s">
        <v>19</v>
      </c>
      <c r="C65" s="6">
        <f>C19/C8</f>
        <v>0.15168742005662997</v>
      </c>
      <c r="D65" s="6">
        <f t="shared" ref="D65:G65" si="26">D19/D8</f>
        <v>0.15800074030526706</v>
      </c>
      <c r="E65" s="6">
        <f t="shared" si="26"/>
        <v>0.12780737114886265</v>
      </c>
      <c r="F65" s="6">
        <f t="shared" si="26"/>
        <v>0.16653247034777491</v>
      </c>
      <c r="G65" s="6">
        <f t="shared" si="26"/>
        <v>0.1607278602797538</v>
      </c>
      <c r="H65" s="6">
        <f t="shared" ref="H65:R65" si="27">H19/H8</f>
        <v>0.14749999999999996</v>
      </c>
      <c r="I65" s="6">
        <f t="shared" si="27"/>
        <v>0.16350000000000001</v>
      </c>
      <c r="J65" s="6">
        <f t="shared" si="27"/>
        <v>0.16569999999999999</v>
      </c>
      <c r="K65" s="6">
        <f t="shared" si="27"/>
        <v>0.16699999999999998</v>
      </c>
      <c r="L65" s="6">
        <f t="shared" si="27"/>
        <v>0.16700000000000001</v>
      </c>
      <c r="M65" s="6">
        <f t="shared" si="27"/>
        <v>0.16700000000000001</v>
      </c>
      <c r="N65" s="6">
        <f t="shared" si="27"/>
        <v>0.16699999999999993</v>
      </c>
      <c r="O65" s="6">
        <f t="shared" si="27"/>
        <v>0.16699999999999998</v>
      </c>
      <c r="P65" s="6">
        <f t="shared" si="27"/>
        <v>0.16699999999999993</v>
      </c>
      <c r="Q65" s="6">
        <f t="shared" si="27"/>
        <v>0.16699999999999993</v>
      </c>
      <c r="R65" s="6">
        <f t="shared" si="27"/>
        <v>0.16699999999999995</v>
      </c>
    </row>
    <row r="66" spans="1:18" x14ac:dyDescent="0.2">
      <c r="A66" s="4"/>
      <c r="C66" s="6"/>
      <c r="D66" s="6"/>
      <c r="E66" s="6"/>
      <c r="F66" s="6"/>
      <c r="G66" s="6"/>
    </row>
    <row r="67" spans="1:18" x14ac:dyDescent="0.2">
      <c r="A67" s="4" t="s">
        <v>20</v>
      </c>
      <c r="C67" s="6">
        <f>C21/C8</f>
        <v>0</v>
      </c>
      <c r="D67" s="6">
        <f t="shared" ref="D67:G67" si="28">D21/D8</f>
        <v>0</v>
      </c>
      <c r="E67" s="6">
        <f t="shared" si="28"/>
        <v>0</v>
      </c>
      <c r="F67" s="6">
        <f t="shared" si="28"/>
        <v>0</v>
      </c>
      <c r="G67" s="6">
        <f t="shared" si="28"/>
        <v>0</v>
      </c>
      <c r="H67" s="6">
        <f>Sheet1!E36</f>
        <v>0</v>
      </c>
      <c r="I67" s="6">
        <f>Sheet1!F36</f>
        <v>0</v>
      </c>
      <c r="J67" s="6">
        <f>Sheet1!G36</f>
        <v>0</v>
      </c>
      <c r="K67" s="6">
        <f>Sheet1!H36</f>
        <v>0</v>
      </c>
      <c r="L67" s="6">
        <f>Sheet1!I36</f>
        <v>0</v>
      </c>
      <c r="M67" s="6">
        <f>Sheet1!J36</f>
        <v>0</v>
      </c>
      <c r="N67" s="6">
        <f>Sheet1!K36</f>
        <v>0</v>
      </c>
      <c r="O67" s="6">
        <f>Sheet1!L36</f>
        <v>0</v>
      </c>
      <c r="P67" s="6">
        <f>Sheet1!M36</f>
        <v>0</v>
      </c>
      <c r="Q67" s="6">
        <f>Sheet1!N36</f>
        <v>0</v>
      </c>
      <c r="R67" s="6">
        <f>Sheet1!O36</f>
        <v>0</v>
      </c>
    </row>
    <row r="68" spans="1:18" x14ac:dyDescent="0.2">
      <c r="A68" s="4"/>
      <c r="C68" s="6"/>
      <c r="D68" s="6"/>
      <c r="E68" s="6"/>
      <c r="F68" s="6"/>
      <c r="G68" s="6"/>
    </row>
    <row r="69" spans="1:18" x14ac:dyDescent="0.2">
      <c r="A69" s="4" t="s">
        <v>21</v>
      </c>
      <c r="C69" s="6">
        <f>C23/C8</f>
        <v>0.15168742005662997</v>
      </c>
      <c r="D69" s="6">
        <f t="shared" ref="D69:G69" si="29">D23/D8</f>
        <v>0.15800074030526706</v>
      </c>
      <c r="E69" s="6">
        <f t="shared" si="29"/>
        <v>0.12780737114886265</v>
      </c>
      <c r="F69" s="6">
        <f t="shared" si="29"/>
        <v>0.16653247034777491</v>
      </c>
      <c r="G69" s="6">
        <f t="shared" si="29"/>
        <v>0.16072786027975389</v>
      </c>
      <c r="H69" s="6">
        <f t="shared" ref="H69:R69" si="30">H23/H8</f>
        <v>0.14749999999999996</v>
      </c>
      <c r="I69" s="6">
        <f t="shared" si="30"/>
        <v>0.16350000000000001</v>
      </c>
      <c r="J69" s="6">
        <f t="shared" si="30"/>
        <v>0.16569999999999999</v>
      </c>
      <c r="K69" s="6">
        <f t="shared" si="30"/>
        <v>0.16699999999999998</v>
      </c>
      <c r="L69" s="6">
        <f t="shared" si="30"/>
        <v>0.16700000000000001</v>
      </c>
      <c r="M69" s="6">
        <f t="shared" si="30"/>
        <v>0.16700000000000001</v>
      </c>
      <c r="N69" s="6">
        <f t="shared" si="30"/>
        <v>0.16699999999999993</v>
      </c>
      <c r="O69" s="6">
        <f t="shared" si="30"/>
        <v>0.16699999999999998</v>
      </c>
      <c r="P69" s="6">
        <f t="shared" si="30"/>
        <v>0.16699999999999993</v>
      </c>
      <c r="Q69" s="6">
        <f t="shared" si="30"/>
        <v>0.16699999999999993</v>
      </c>
      <c r="R69" s="6">
        <f t="shared" si="30"/>
        <v>0.16699999999999995</v>
      </c>
    </row>
    <row r="70" spans="1:18" x14ac:dyDescent="0.2">
      <c r="A70" s="4" t="s">
        <v>39</v>
      </c>
      <c r="C70" s="6">
        <v>0.19800000000000001</v>
      </c>
      <c r="D70" s="6">
        <v>0.19400000000000001</v>
      </c>
      <c r="E70" s="6">
        <v>0.17799999999999999</v>
      </c>
      <c r="F70" s="14">
        <v>0.19500000000000001</v>
      </c>
      <c r="G70" s="14">
        <v>0.19500000000000001</v>
      </c>
      <c r="H70" s="14">
        <v>0.19500000000000001</v>
      </c>
      <c r="I70" s="14">
        <v>0.19500000000000001</v>
      </c>
      <c r="J70" s="14">
        <v>0.19500000000000001</v>
      </c>
      <c r="K70" s="14">
        <v>0.19500000000000001</v>
      </c>
      <c r="L70" s="14">
        <v>0.19500000000000001</v>
      </c>
      <c r="M70" s="14">
        <v>0.19500000000000001</v>
      </c>
      <c r="N70" s="14">
        <v>0.19500000000000001</v>
      </c>
      <c r="O70" s="14">
        <v>0.19500000000000001</v>
      </c>
      <c r="P70" s="14">
        <v>0.19500000000000001</v>
      </c>
      <c r="Q70" s="14">
        <v>0.19500000000000001</v>
      </c>
      <c r="R70" s="14">
        <v>0.19500000000000001</v>
      </c>
    </row>
    <row r="71" spans="1:18" x14ac:dyDescent="0.2">
      <c r="A71" s="4"/>
    </row>
    <row r="72" spans="1:18" x14ac:dyDescent="0.2">
      <c r="A72" s="4" t="s">
        <v>23</v>
      </c>
      <c r="C72" s="6">
        <f>C26/C8</f>
        <v>0.12165331088541724</v>
      </c>
      <c r="D72" s="6">
        <f t="shared" ref="D72:G72" si="31">D26/D8</f>
        <v>0.12734859668604523</v>
      </c>
      <c r="E72" s="6">
        <f t="shared" si="31"/>
        <v>0.10505765908436511</v>
      </c>
      <c r="F72" s="6">
        <f t="shared" si="31"/>
        <v>0.13405863862995882</v>
      </c>
      <c r="G72" s="6">
        <f t="shared" si="31"/>
        <v>0.12938592752520187</v>
      </c>
      <c r="H72" s="6">
        <f t="shared" ref="H72:R72" si="32">H26/H8</f>
        <v>0.11873749999999995</v>
      </c>
      <c r="I72" s="6">
        <f t="shared" si="32"/>
        <v>0.1316175</v>
      </c>
      <c r="J72" s="6">
        <f t="shared" si="32"/>
        <v>0.13338849999999999</v>
      </c>
      <c r="K72" s="6">
        <f t="shared" si="32"/>
        <v>0.13443499999999997</v>
      </c>
      <c r="L72" s="6">
        <f t="shared" si="32"/>
        <v>0.134435</v>
      </c>
      <c r="M72" s="6">
        <f t="shared" si="32"/>
        <v>0.134435</v>
      </c>
      <c r="N72" s="6">
        <f t="shared" si="32"/>
        <v>0.13443499999999992</v>
      </c>
      <c r="O72" s="6">
        <f t="shared" si="32"/>
        <v>0.134435</v>
      </c>
      <c r="P72" s="6">
        <f t="shared" si="32"/>
        <v>0.13443499999999994</v>
      </c>
      <c r="Q72" s="6">
        <f t="shared" si="32"/>
        <v>0.13443499999999994</v>
      </c>
      <c r="R72" s="6">
        <f t="shared" si="32"/>
        <v>0.13443499999999997</v>
      </c>
    </row>
    <row r="73" spans="1:18" x14ac:dyDescent="0.2">
      <c r="A73" s="4"/>
    </row>
    <row r="74" spans="1:18" x14ac:dyDescent="0.2">
      <c r="A74" s="4" t="s">
        <v>40</v>
      </c>
      <c r="C74">
        <v>27039</v>
      </c>
      <c r="D74">
        <v>28008</v>
      </c>
      <c r="E74">
        <v>28008</v>
      </c>
      <c r="F74">
        <v>29053</v>
      </c>
      <c r="G74">
        <f>H74</f>
        <v>30322.75324466667</v>
      </c>
      <c r="H74">
        <f t="shared" ref="H74:R74" si="33">F74-H29-H110</f>
        <v>30322.75324466667</v>
      </c>
      <c r="I74" s="7">
        <f>G74-I29-I110</f>
        <v>32815.705833886954</v>
      </c>
      <c r="J74">
        <f t="shared" si="33"/>
        <v>32760.954547596582</v>
      </c>
      <c r="K74">
        <f t="shared" si="33"/>
        <v>35195.955534945613</v>
      </c>
      <c r="L74">
        <f t="shared" si="33"/>
        <v>35028.970132732931</v>
      </c>
      <c r="M74">
        <f t="shared" si="33"/>
        <v>36876.437856064367</v>
      </c>
      <c r="N74">
        <f t="shared" si="33"/>
        <v>36613.016645959571</v>
      </c>
      <c r="O74">
        <f t="shared" si="33"/>
        <v>38362.031558392438</v>
      </c>
      <c r="P74">
        <f t="shared" si="33"/>
        <v>37998.120364352537</v>
      </c>
      <c r="Q74">
        <f t="shared" si="33"/>
        <v>39644.587748083424</v>
      </c>
      <c r="R74">
        <f t="shared" si="33"/>
        <v>39176.050905126984</v>
      </c>
    </row>
    <row r="75" spans="1:18" x14ac:dyDescent="0.2">
      <c r="A75" s="4" t="s">
        <v>41</v>
      </c>
      <c r="C75" s="13">
        <f t="shared" ref="C75:G75" si="34">C8/C74</f>
        <v>3.3829283627353082</v>
      </c>
      <c r="D75" s="13">
        <f t="shared" si="34"/>
        <v>3.2795629820051415</v>
      </c>
      <c r="F75" s="13">
        <f t="shared" si="34"/>
        <v>2.2229029704333461</v>
      </c>
      <c r="G75" s="13">
        <f t="shared" si="34"/>
        <v>3.0644209399535169</v>
      </c>
      <c r="I75">
        <f t="shared" ref="I75:R75" si="35">I8/I74</f>
        <v>2.8599383866698789</v>
      </c>
      <c r="J75">
        <f t="shared" si="35"/>
        <v>2.9220123790020276</v>
      </c>
      <c r="K75">
        <f t="shared" si="35"/>
        <v>2.7742526533701302</v>
      </c>
      <c r="L75">
        <f t="shared" si="35"/>
        <v>2.8153524750324435</v>
      </c>
      <c r="M75">
        <f t="shared" si="35"/>
        <v>2.7010495733729694</v>
      </c>
      <c r="N75">
        <f t="shared" si="35"/>
        <v>2.7476877575758483</v>
      </c>
      <c r="O75">
        <f t="shared" si="35"/>
        <v>2.6486383763962982</v>
      </c>
      <c r="P75">
        <f t="shared" si="35"/>
        <v>2.7007446549429752</v>
      </c>
      <c r="Q75">
        <f t="shared" si="35"/>
        <v>2.6144666539415535</v>
      </c>
      <c r="R75">
        <f t="shared" si="35"/>
        <v>2.6721924437179538</v>
      </c>
    </row>
    <row r="76" spans="1:18" x14ac:dyDescent="0.2">
      <c r="A76" s="4" t="s">
        <v>42</v>
      </c>
      <c r="C76" s="6">
        <f>-C29/C8</f>
        <v>5.8160509888379924E-2</v>
      </c>
      <c r="D76" s="6">
        <f t="shared" ref="D76:G76" si="36">-D29/D8</f>
        <v>5.4172926600910137E-2</v>
      </c>
      <c r="E76" s="6">
        <f t="shared" si="36"/>
        <v>8.2889432767060178E-2</v>
      </c>
      <c r="F76" s="6">
        <f t="shared" si="36"/>
        <v>3.4483292558297976E-2</v>
      </c>
      <c r="G76" s="6">
        <f t="shared" si="36"/>
        <v>4.4400387078666684E-2</v>
      </c>
      <c r="H76" s="6">
        <f>Sheet1!E31</f>
        <v>6.7000000000000004E-2</v>
      </c>
      <c r="I76" s="6">
        <f>Sheet1!F31</f>
        <v>5.5E-2</v>
      </c>
      <c r="J76" s="6">
        <f>Sheet1!G31</f>
        <v>5.5E-2</v>
      </c>
      <c r="K76" s="6">
        <f>Sheet1!H31</f>
        <v>5.5E-2</v>
      </c>
      <c r="L76" s="6">
        <f>Sheet1!I31</f>
        <v>5.5E-2</v>
      </c>
      <c r="M76" s="6">
        <f>Sheet1!J31</f>
        <v>0.05</v>
      </c>
      <c r="N76" s="6">
        <f>Sheet1!K31</f>
        <v>0.05</v>
      </c>
      <c r="O76" s="6">
        <f>Sheet1!L31</f>
        <v>0.05</v>
      </c>
      <c r="P76" s="6">
        <f>Sheet1!M31</f>
        <v>0.05</v>
      </c>
      <c r="Q76" s="6">
        <f>Sheet1!N31</f>
        <v>0.05</v>
      </c>
      <c r="R76" s="6">
        <f>Sheet1!O31</f>
        <v>0.05</v>
      </c>
    </row>
    <row r="77" spans="1:18" x14ac:dyDescent="0.2">
      <c r="A77" s="4" t="s">
        <v>43</v>
      </c>
      <c r="C77" s="6">
        <f>C110/C8</f>
        <v>2.9670605984410358E-2</v>
      </c>
      <c r="D77" s="6">
        <f>D110/D8</f>
        <v>3.2061750168746052E-2</v>
      </c>
      <c r="E77" s="6"/>
      <c r="F77" s="6">
        <f>F110/F8</f>
        <v>3.4998141897123039E-2</v>
      </c>
      <c r="G77" s="6">
        <f>G110/G8</f>
        <v>3.1093446818151949E-2</v>
      </c>
      <c r="H77" s="6">
        <f>H110/H8</f>
        <v>2.219521587164475E-2</v>
      </c>
      <c r="I77" s="6">
        <f t="shared" ref="I77:R77" si="37">I110/I8</f>
        <v>2.8437093579053687E-2</v>
      </c>
      <c r="J77" s="6">
        <f t="shared" si="37"/>
        <v>2.9529881804549653E-2</v>
      </c>
      <c r="K77" s="6">
        <f t="shared" si="37"/>
        <v>3.0622804019826613E-2</v>
      </c>
      <c r="L77" s="6">
        <f t="shared" si="37"/>
        <v>3.2002221312266189E-2</v>
      </c>
      <c r="M77" s="6">
        <f t="shared" si="37"/>
        <v>3.312854919218812E-2</v>
      </c>
      <c r="N77" s="6">
        <f t="shared" si="37"/>
        <v>3.4254188859870409E-2</v>
      </c>
      <c r="O77" s="6">
        <f t="shared" si="37"/>
        <v>3.5379043529801105E-2</v>
      </c>
      <c r="P77" s="6">
        <f t="shared" si="37"/>
        <v>3.6503018400478218E-2</v>
      </c>
      <c r="Q77" s="6">
        <f t="shared" si="37"/>
        <v>3.7626020624610228E-2</v>
      </c>
      <c r="R77" s="6">
        <f t="shared" si="37"/>
        <v>3.8747959279712224E-2</v>
      </c>
    </row>
    <row r="78" spans="1:18" x14ac:dyDescent="0.2">
      <c r="A78" s="4" t="s">
        <v>44</v>
      </c>
      <c r="C78" s="3">
        <v>-0.06</v>
      </c>
    </row>
    <row r="79" spans="1:18" x14ac:dyDescent="0.2">
      <c r="A79" s="4"/>
      <c r="C79" s="10"/>
      <c r="D79" s="10"/>
      <c r="E79" s="10"/>
      <c r="F79" s="10"/>
    </row>
    <row r="80" spans="1:18" x14ac:dyDescent="0.2">
      <c r="A80" s="4" t="s">
        <v>45</v>
      </c>
    </row>
    <row r="81" spans="1:19" x14ac:dyDescent="0.2">
      <c r="A81" s="4" t="s">
        <v>46</v>
      </c>
      <c r="C81" s="6">
        <v>4.1200000000000001E-2</v>
      </c>
    </row>
    <row r="82" spans="1:19" x14ac:dyDescent="0.2">
      <c r="A82" s="4" t="s">
        <v>47</v>
      </c>
      <c r="C82" s="12">
        <v>0.03</v>
      </c>
    </row>
    <row r="83" spans="1:19" x14ac:dyDescent="0.2">
      <c r="A83" s="4" t="s">
        <v>48</v>
      </c>
      <c r="C83">
        <v>0.4</v>
      </c>
    </row>
    <row r="84" spans="1:19" x14ac:dyDescent="0.2">
      <c r="A84" s="4" t="s">
        <v>49</v>
      </c>
      <c r="C84" s="11">
        <f>C81+C83*C82</f>
        <v>5.3199999999999997E-2</v>
      </c>
    </row>
    <row r="85" spans="1:19" x14ac:dyDescent="0.2">
      <c r="A85" s="4" t="s">
        <v>50</v>
      </c>
      <c r="C85" s="6">
        <v>4.8000000000000001E-2</v>
      </c>
    </row>
    <row r="86" spans="1:19" x14ac:dyDescent="0.2">
      <c r="A86" s="4" t="s">
        <v>51</v>
      </c>
      <c r="C86" s="6">
        <v>0.19500000000000001</v>
      </c>
    </row>
    <row r="87" spans="1:19" x14ac:dyDescent="0.2">
      <c r="A87" s="4" t="s">
        <v>52</v>
      </c>
      <c r="C87" s="6">
        <v>0.20200000000000001</v>
      </c>
    </row>
    <row r="88" spans="1:19" x14ac:dyDescent="0.2">
      <c r="A88" s="4" t="s">
        <v>53</v>
      </c>
      <c r="C88" s="8">
        <f>C85*(1-C86)*C87 + C84*(1-C87)</f>
        <v>5.0258879999999999E-2</v>
      </c>
    </row>
    <row r="89" spans="1:19" x14ac:dyDescent="0.2">
      <c r="A89" s="4"/>
      <c r="H89">
        <f>0.25/2</f>
        <v>0.125</v>
      </c>
      <c r="I89">
        <f>0.5+0.25</f>
        <v>0.75</v>
      </c>
      <c r="J89">
        <f t="shared" ref="J89:R89" si="38">J6-I6+I89</f>
        <v>1.75</v>
      </c>
      <c r="K89">
        <f t="shared" si="38"/>
        <v>2.75</v>
      </c>
      <c r="L89">
        <f t="shared" si="38"/>
        <v>3.75</v>
      </c>
      <c r="M89">
        <f t="shared" si="38"/>
        <v>4.75</v>
      </c>
      <c r="N89">
        <f t="shared" si="38"/>
        <v>5.75</v>
      </c>
      <c r="O89">
        <f t="shared" si="38"/>
        <v>6.75</v>
      </c>
      <c r="P89">
        <f t="shared" si="38"/>
        <v>7.75</v>
      </c>
      <c r="Q89">
        <f t="shared" si="38"/>
        <v>8.75</v>
      </c>
      <c r="R89">
        <f t="shared" si="38"/>
        <v>9.75</v>
      </c>
      <c r="S89">
        <v>10.25</v>
      </c>
    </row>
    <row r="92" spans="1:19" x14ac:dyDescent="0.2">
      <c r="J92" s="15" t="s">
        <v>73</v>
      </c>
      <c r="K92" s="15"/>
      <c r="L92" s="15"/>
      <c r="M92" s="15"/>
    </row>
    <row r="93" spans="1:19" x14ac:dyDescent="0.2">
      <c r="I93" s="15" t="s">
        <v>75</v>
      </c>
      <c r="J93" s="15"/>
      <c r="K93" s="15"/>
      <c r="L93" s="15"/>
      <c r="M93" s="15"/>
      <c r="N93" s="15"/>
    </row>
    <row r="96" spans="1:19" x14ac:dyDescent="0.2">
      <c r="C96">
        <f>C6</f>
        <v>2023</v>
      </c>
      <c r="D96">
        <f>D6</f>
        <v>2024</v>
      </c>
      <c r="F96" t="s">
        <v>37</v>
      </c>
      <c r="G96" t="s">
        <v>69</v>
      </c>
      <c r="H96">
        <v>2025</v>
      </c>
      <c r="I96">
        <f t="shared" ref="I96:R96" si="39">I6</f>
        <v>2026</v>
      </c>
      <c r="J96">
        <f t="shared" si="39"/>
        <v>2027</v>
      </c>
      <c r="K96">
        <f t="shared" si="39"/>
        <v>2028</v>
      </c>
      <c r="L96">
        <f t="shared" si="39"/>
        <v>2029</v>
      </c>
      <c r="M96">
        <f t="shared" si="39"/>
        <v>2030</v>
      </c>
      <c r="N96">
        <f t="shared" si="39"/>
        <v>2031</v>
      </c>
      <c r="O96">
        <f t="shared" si="39"/>
        <v>2032</v>
      </c>
      <c r="P96">
        <f t="shared" si="39"/>
        <v>2033</v>
      </c>
      <c r="Q96">
        <f t="shared" si="39"/>
        <v>2034</v>
      </c>
      <c r="R96">
        <f t="shared" si="39"/>
        <v>2035</v>
      </c>
    </row>
    <row r="97" spans="1:18" x14ac:dyDescent="0.2">
      <c r="A97" s="5" t="s">
        <v>68</v>
      </c>
      <c r="H97">
        <f>$F$74*(2048-H96)*0.25/276</f>
        <v>605.27083333333337</v>
      </c>
      <c r="I97">
        <f>$F$74*(2048-I96)/276</f>
        <v>2315.81884057971</v>
      </c>
      <c r="J97">
        <f t="shared" ref="J97:R97" si="40">$F$74*(2048-J96)/276</f>
        <v>2210.554347826087</v>
      </c>
      <c r="K97">
        <f t="shared" si="40"/>
        <v>2105.289855072464</v>
      </c>
      <c r="L97">
        <f t="shared" si="40"/>
        <v>2000.0253623188405</v>
      </c>
      <c r="M97">
        <f t="shared" si="40"/>
        <v>1894.7608695652175</v>
      </c>
      <c r="N97">
        <f t="shared" si="40"/>
        <v>1789.4963768115942</v>
      </c>
      <c r="O97">
        <f t="shared" si="40"/>
        <v>1684.231884057971</v>
      </c>
      <c r="P97">
        <f t="shared" si="40"/>
        <v>1578.9673913043478</v>
      </c>
      <c r="Q97">
        <f t="shared" si="40"/>
        <v>1473.7028985507247</v>
      </c>
      <c r="R97">
        <f t="shared" si="40"/>
        <v>1368.4384057971015</v>
      </c>
    </row>
    <row r="98" spans="1:18" x14ac:dyDescent="0.2">
      <c r="A98" s="5" t="s">
        <v>67</v>
      </c>
      <c r="H98">
        <f>-$H$29*0.25/20</f>
        <v>23.734482000000003</v>
      </c>
      <c r="I98">
        <f>-$H$29/20</f>
        <v>94.937928000000014</v>
      </c>
      <c r="J98">
        <f t="shared" ref="J98:R98" si="41">-$H$29/20</f>
        <v>94.937928000000014</v>
      </c>
      <c r="K98">
        <f t="shared" si="41"/>
        <v>94.937928000000014</v>
      </c>
      <c r="L98">
        <f t="shared" si="41"/>
        <v>94.937928000000014</v>
      </c>
      <c r="M98">
        <f t="shared" si="41"/>
        <v>94.937928000000014</v>
      </c>
      <c r="N98">
        <f t="shared" si="41"/>
        <v>94.937928000000014</v>
      </c>
      <c r="O98">
        <f t="shared" si="41"/>
        <v>94.937928000000014</v>
      </c>
      <c r="P98">
        <f t="shared" si="41"/>
        <v>94.937928000000014</v>
      </c>
      <c r="Q98">
        <f t="shared" si="41"/>
        <v>94.937928000000014</v>
      </c>
      <c r="R98">
        <f t="shared" si="41"/>
        <v>94.937928000000014</v>
      </c>
    </row>
    <row r="99" spans="1:18" x14ac:dyDescent="0.2">
      <c r="A99" s="5" t="s">
        <v>54</v>
      </c>
      <c r="I99">
        <f>-$I$29/20</f>
        <v>258.08996619999999</v>
      </c>
      <c r="J99">
        <f t="shared" ref="J99:R99" si="42">-$I$29/20</f>
        <v>258.08996619999999</v>
      </c>
      <c r="K99">
        <f t="shared" si="42"/>
        <v>258.08996619999999</v>
      </c>
      <c r="L99">
        <f t="shared" si="42"/>
        <v>258.08996619999999</v>
      </c>
      <c r="M99">
        <f t="shared" si="42"/>
        <v>258.08996619999999</v>
      </c>
      <c r="N99">
        <f t="shared" si="42"/>
        <v>258.08996619999999</v>
      </c>
      <c r="O99">
        <f t="shared" si="42"/>
        <v>258.08996619999999</v>
      </c>
      <c r="P99">
        <f t="shared" si="42"/>
        <v>258.08996619999999</v>
      </c>
      <c r="Q99">
        <f t="shared" si="42"/>
        <v>258.08996619999999</v>
      </c>
      <c r="R99">
        <f t="shared" si="42"/>
        <v>258.08996619999999</v>
      </c>
    </row>
    <row r="100" spans="1:18" x14ac:dyDescent="0.2">
      <c r="A100" s="5" t="s">
        <v>55</v>
      </c>
      <c r="J100">
        <f>-$J$29/20</f>
        <v>263.25176552400001</v>
      </c>
      <c r="K100">
        <f t="shared" ref="K100:R100" si="43">-$J$29/20</f>
        <v>263.25176552400001</v>
      </c>
      <c r="L100">
        <f t="shared" si="43"/>
        <v>263.25176552400001</v>
      </c>
      <c r="M100">
        <f t="shared" si="43"/>
        <v>263.25176552400001</v>
      </c>
      <c r="N100">
        <f t="shared" si="43"/>
        <v>263.25176552400001</v>
      </c>
      <c r="O100">
        <f t="shared" si="43"/>
        <v>263.25176552400001</v>
      </c>
      <c r="P100">
        <f t="shared" si="43"/>
        <v>263.25176552400001</v>
      </c>
      <c r="Q100">
        <f t="shared" si="43"/>
        <v>263.25176552400001</v>
      </c>
      <c r="R100">
        <f t="shared" si="43"/>
        <v>263.25176552400001</v>
      </c>
    </row>
    <row r="101" spans="1:18" x14ac:dyDescent="0.2">
      <c r="A101" s="5" t="s">
        <v>56</v>
      </c>
      <c r="K101">
        <f>-$K$29/20</f>
        <v>268.51680083448002</v>
      </c>
      <c r="L101">
        <f t="shared" ref="L101:R101" si="44">-$K$29/20</f>
        <v>268.51680083448002</v>
      </c>
      <c r="M101">
        <f t="shared" si="44"/>
        <v>268.51680083448002</v>
      </c>
      <c r="N101">
        <f t="shared" si="44"/>
        <v>268.51680083448002</v>
      </c>
      <c r="O101">
        <f t="shared" si="44"/>
        <v>268.51680083448002</v>
      </c>
      <c r="P101">
        <f t="shared" si="44"/>
        <v>268.51680083448002</v>
      </c>
      <c r="Q101">
        <f t="shared" si="44"/>
        <v>268.51680083448002</v>
      </c>
      <c r="R101">
        <f t="shared" si="44"/>
        <v>268.51680083448002</v>
      </c>
    </row>
    <row r="102" spans="1:18" x14ac:dyDescent="0.2">
      <c r="A102" s="5" t="s">
        <v>57</v>
      </c>
      <c r="L102">
        <f>-$L$29/20</f>
        <v>271.20196884282484</v>
      </c>
      <c r="M102">
        <f t="shared" ref="M102:R102" si="45">-$L$29/20</f>
        <v>271.20196884282484</v>
      </c>
      <c r="N102">
        <f t="shared" si="45"/>
        <v>271.20196884282484</v>
      </c>
      <c r="O102">
        <f t="shared" si="45"/>
        <v>271.20196884282484</v>
      </c>
      <c r="P102">
        <f t="shared" si="45"/>
        <v>271.20196884282484</v>
      </c>
      <c r="Q102">
        <f t="shared" si="45"/>
        <v>271.20196884282484</v>
      </c>
      <c r="R102">
        <f t="shared" si="45"/>
        <v>271.20196884282484</v>
      </c>
    </row>
    <row r="103" spans="1:18" x14ac:dyDescent="0.2">
      <c r="A103" s="5" t="s">
        <v>58</v>
      </c>
      <c r="M103">
        <f>-$M$29/20</f>
        <v>249.01271684659369</v>
      </c>
      <c r="N103">
        <f t="shared" ref="N103:R103" si="46">-$M$29/20</f>
        <v>249.01271684659369</v>
      </c>
      <c r="O103">
        <f t="shared" si="46"/>
        <v>249.01271684659369</v>
      </c>
      <c r="P103">
        <f t="shared" si="46"/>
        <v>249.01271684659369</v>
      </c>
      <c r="Q103">
        <f t="shared" si="46"/>
        <v>249.01271684659369</v>
      </c>
      <c r="R103">
        <f t="shared" si="46"/>
        <v>249.01271684659369</v>
      </c>
    </row>
    <row r="104" spans="1:18" x14ac:dyDescent="0.2">
      <c r="A104" s="5" t="s">
        <v>59</v>
      </c>
      <c r="N104">
        <f>-$N$29/20</f>
        <v>251.50284401505965</v>
      </c>
      <c r="O104">
        <f t="shared" ref="O104:R104" si="47">-$N$29/20</f>
        <v>251.50284401505965</v>
      </c>
      <c r="P104">
        <f t="shared" si="47"/>
        <v>251.50284401505965</v>
      </c>
      <c r="Q104">
        <f t="shared" si="47"/>
        <v>251.50284401505965</v>
      </c>
      <c r="R104">
        <f t="shared" si="47"/>
        <v>251.50284401505965</v>
      </c>
    </row>
    <row r="105" spans="1:18" x14ac:dyDescent="0.2">
      <c r="A105" s="5" t="s">
        <v>60</v>
      </c>
      <c r="O105">
        <f>-$O$29/20</f>
        <v>254.01787245521027</v>
      </c>
      <c r="P105">
        <f t="shared" ref="P105:R105" si="48">-$O$29/20</f>
        <v>254.01787245521027</v>
      </c>
      <c r="Q105">
        <f t="shared" si="48"/>
        <v>254.01787245521027</v>
      </c>
      <c r="R105">
        <f t="shared" si="48"/>
        <v>254.01787245521027</v>
      </c>
    </row>
    <row r="106" spans="1:18" x14ac:dyDescent="0.2">
      <c r="A106" s="5" t="s">
        <v>61</v>
      </c>
      <c r="P106">
        <f>-$P$29/20</f>
        <v>256.55805117976234</v>
      </c>
      <c r="Q106">
        <f t="shared" ref="Q106:R106" si="49">-$P$29/20</f>
        <v>256.55805117976234</v>
      </c>
      <c r="R106">
        <f t="shared" si="49"/>
        <v>256.55805117976234</v>
      </c>
    </row>
    <row r="107" spans="1:18" x14ac:dyDescent="0.2">
      <c r="A107" s="5" t="s">
        <v>62</v>
      </c>
      <c r="Q107">
        <f>-$Q$29/20</f>
        <v>259.12363169155998</v>
      </c>
      <c r="R107">
        <f>-$Q$29/20</f>
        <v>259.12363169155998</v>
      </c>
    </row>
    <row r="108" spans="1:18" x14ac:dyDescent="0.2">
      <c r="A108" s="5" t="s">
        <v>63</v>
      </c>
      <c r="R108">
        <f>-$R$29/20</f>
        <v>261.71486800847561</v>
      </c>
    </row>
    <row r="110" spans="1:18" x14ac:dyDescent="0.2">
      <c r="A110" t="s">
        <v>64</v>
      </c>
      <c r="C110">
        <v>2714</v>
      </c>
      <c r="D110">
        <v>2945</v>
      </c>
      <c r="F110">
        <f>F113-F111</f>
        <v>2260.25</v>
      </c>
      <c r="G110">
        <f>G113-G111</f>
        <v>2889.2553153333333</v>
      </c>
      <c r="H110">
        <f>SUM(H97:H108)</f>
        <v>629.00531533333333</v>
      </c>
      <c r="I110">
        <f t="shared" ref="I110:R110" si="50">SUM(I97:I108)</f>
        <v>2668.84673477971</v>
      </c>
      <c r="J110">
        <f t="shared" si="50"/>
        <v>2826.8340075500869</v>
      </c>
      <c r="K110">
        <f t="shared" si="50"/>
        <v>2990.0863156309438</v>
      </c>
      <c r="L110">
        <f t="shared" si="50"/>
        <v>3156.0237917201453</v>
      </c>
      <c r="M110">
        <f t="shared" si="50"/>
        <v>3299.772015813116</v>
      </c>
      <c r="N110">
        <f t="shared" si="50"/>
        <v>3446.0103670745525</v>
      </c>
      <c r="O110">
        <f t="shared" si="50"/>
        <v>3594.7637467761392</v>
      </c>
      <c r="P110">
        <f t="shared" si="50"/>
        <v>3746.0573052022787</v>
      </c>
      <c r="Q110">
        <f t="shared" si="50"/>
        <v>3899.9164441402158</v>
      </c>
      <c r="R110">
        <f t="shared" si="50"/>
        <v>4056.366819395068</v>
      </c>
    </row>
    <row r="111" spans="1:18" x14ac:dyDescent="0.2">
      <c r="A111" t="s">
        <v>65</v>
      </c>
      <c r="C111">
        <f>C113-C110</f>
        <v>234</v>
      </c>
      <c r="D111">
        <f>D113-D110</f>
        <v>215</v>
      </c>
      <c r="F111">
        <f>73*3/4</f>
        <v>54.75</v>
      </c>
      <c r="G111">
        <f>H111+F111</f>
        <v>73</v>
      </c>
      <c r="H111">
        <f>73/4</f>
        <v>18.25</v>
      </c>
      <c r="I111">
        <v>64</v>
      </c>
      <c r="J111">
        <v>60</v>
      </c>
      <c r="K111">
        <v>59</v>
      </c>
      <c r="L111">
        <v>58</v>
      </c>
      <c r="M111">
        <v>55</v>
      </c>
      <c r="N111">
        <v>55</v>
      </c>
      <c r="O111">
        <v>55</v>
      </c>
      <c r="P111">
        <v>55</v>
      </c>
      <c r="Q111">
        <v>55</v>
      </c>
      <c r="R111">
        <v>55</v>
      </c>
    </row>
    <row r="113" spans="1:18" x14ac:dyDescent="0.2">
      <c r="A113" t="s">
        <v>66</v>
      </c>
      <c r="C113">
        <v>2948</v>
      </c>
      <c r="D113">
        <v>3160</v>
      </c>
      <c r="F113">
        <v>2315</v>
      </c>
      <c r="G113">
        <f>H113+F113</f>
        <v>2962.2553153333333</v>
      </c>
      <c r="H113">
        <f t="shared" ref="H113:R113" si="51">SUM(H110:H111)</f>
        <v>647.25531533333333</v>
      </c>
      <c r="I113">
        <f t="shared" si="51"/>
        <v>2732.84673477971</v>
      </c>
      <c r="J113">
        <f t="shared" si="51"/>
        <v>2886.8340075500869</v>
      </c>
      <c r="K113">
        <f t="shared" si="51"/>
        <v>3049.0863156309438</v>
      </c>
      <c r="L113">
        <f t="shared" si="51"/>
        <v>3214.0237917201453</v>
      </c>
      <c r="M113">
        <f t="shared" si="51"/>
        <v>3354.772015813116</v>
      </c>
      <c r="N113">
        <f t="shared" si="51"/>
        <v>3501.0103670745525</v>
      </c>
      <c r="O113">
        <f t="shared" si="51"/>
        <v>3649.7637467761392</v>
      </c>
      <c r="P113">
        <f t="shared" si="51"/>
        <v>3801.0573052022787</v>
      </c>
      <c r="Q113">
        <f t="shared" si="51"/>
        <v>3954.9164441402158</v>
      </c>
      <c r="R113">
        <f t="shared" si="51"/>
        <v>4111.366819395068</v>
      </c>
    </row>
  </sheetData>
  <mergeCells count="6">
    <mergeCell ref="J2:K2"/>
    <mergeCell ref="I3:L3"/>
    <mergeCell ref="J92:M92"/>
    <mergeCell ref="I93:N93"/>
    <mergeCell ref="I48:M48"/>
    <mergeCell ref="H49:N49"/>
  </mergeCells>
  <pageMargins left="0.7" right="0.7" top="0.75" bottom="0.75" header="0.3" footer="0.3"/>
  <ignoredErrors>
    <ignoredError sqref="G26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A70C-29C3-4FEF-85C0-ECE6D8862BA4}">
  <dimension ref="F3:J7"/>
  <sheetViews>
    <sheetView showGridLines="0" workbookViewId="0">
      <selection activeCell="F11" sqref="F11"/>
    </sheetView>
  </sheetViews>
  <sheetFormatPr baseColWidth="10" defaultColWidth="8.83203125" defaultRowHeight="15" x14ac:dyDescent="0.2"/>
  <cols>
    <col min="7" max="7" width="16.83203125" customWidth="1"/>
    <col min="8" max="8" width="15.6640625" customWidth="1"/>
    <col min="9" max="9" width="16.5" customWidth="1"/>
    <col min="10" max="10" width="15" customWidth="1"/>
  </cols>
  <sheetData>
    <row r="3" spans="6:10" x14ac:dyDescent="0.2">
      <c r="F3" s="15"/>
      <c r="G3" s="15"/>
      <c r="H3" s="15"/>
      <c r="I3" s="15"/>
      <c r="J3" s="15"/>
    </row>
    <row r="4" spans="6:10" x14ac:dyDescent="0.2">
      <c r="F4" s="1"/>
      <c r="G4" s="1"/>
      <c r="H4" s="1"/>
      <c r="I4" s="1"/>
      <c r="J4" s="1"/>
    </row>
    <row r="5" spans="6:10" x14ac:dyDescent="0.2">
      <c r="G5" s="3"/>
      <c r="H5" s="6"/>
      <c r="J5" s="6"/>
    </row>
    <row r="6" spans="6:10" x14ac:dyDescent="0.2">
      <c r="G6" s="3"/>
      <c r="H6" s="6"/>
      <c r="I6" s="6"/>
      <c r="J6" s="6"/>
    </row>
    <row r="7" spans="6:10" x14ac:dyDescent="0.2">
      <c r="G7" s="3"/>
      <c r="H7" s="6"/>
      <c r="I7" s="6"/>
      <c r="J7" s="6"/>
    </row>
  </sheetData>
  <mergeCells count="1">
    <mergeCell ref="F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Sharang Mantri</dc:creator>
  <cp:lastModifiedBy>Chang, Chia-Ning</cp:lastModifiedBy>
  <dcterms:created xsi:type="dcterms:W3CDTF">2015-06-05T18:17:20Z</dcterms:created>
  <dcterms:modified xsi:type="dcterms:W3CDTF">2025-12-18T02:51:16Z</dcterms:modified>
</cp:coreProperties>
</file>