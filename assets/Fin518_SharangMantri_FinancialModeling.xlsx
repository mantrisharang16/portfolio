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antr\Downloads\UIUC\Sem 1\Fin 518\Assignment\"/>
    </mc:Choice>
  </mc:AlternateContent>
  <xr:revisionPtr revIDLastSave="0" documentId="13_ncr:1_{D7387D45-B329-4CA7-A701-3060DA82769D}" xr6:coauthVersionLast="47" xr6:coauthVersionMax="47" xr10:uidLastSave="{00000000-0000-0000-0000-000000000000}"/>
  <bookViews>
    <workbookView xWindow="-108" yWindow="-108" windowWidth="23256" windowHeight="12456" tabRatio="916" activeTab="9" xr2:uid="{5999B664-0F0A-46EE-9AE7-E2D0A07FB128}"/>
  </bookViews>
  <sheets>
    <sheet name="Inputs" sheetId="1" r:id="rId1"/>
    <sheet name="Assumptions" sheetId="11" r:id="rId2"/>
    <sheet name="IS" sheetId="2" r:id="rId3"/>
    <sheet name="BS" sheetId="3" r:id="rId4"/>
    <sheet name="WC" sheetId="4" r:id="rId5"/>
    <sheet name="Dep" sheetId="5" r:id="rId6"/>
    <sheet name="Amort" sheetId="6" r:id="rId7"/>
    <sheet name="Other" sheetId="7" r:id="rId8"/>
    <sheet name="Equity" sheetId="8" r:id="rId9"/>
    <sheet name="CF" sheetId="9" r:id="rId10"/>
    <sheet name="Debt&amp;Int" sheetId="10" r:id="rId11"/>
  </sheets>
  <definedNames>
    <definedName name="CAofSales">Assumptions!$L$71:$P$71</definedName>
    <definedName name="CapexofSales">Assumptions!$L$45:$P$45</definedName>
    <definedName name="CIQWBGuid" hidden="1">"3cde92c4-2715-4dfb-8d54-9aa632222bb2"</definedName>
    <definedName name="CircToggle">IS!$R$18</definedName>
    <definedName name="CoName">Inputs!$E$3</definedName>
    <definedName name="datareq">Inputs!$E$11</definedName>
    <definedName name="Days">Inputs!$E$9</definedName>
    <definedName name="DIH">Assumptions!$L$65:$P$65</definedName>
    <definedName name="DPO">Assumptions!$L$78:$P$78</definedName>
    <definedName name="DSO">Assumptions!$L$59:$P$59</definedName>
    <definedName name="EndCashTable">Assumptions!$V$10:$W$14</definedName>
    <definedName name="FYE">Inputs!$E$7</definedName>
    <definedName name="GrossMargins">Assumptions!$L$19:$P$19</definedName>
    <definedName name="IntangAdd">Assumptions!$L$51:$P$51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44973.9275231482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OpScenario">Assumptions!$F$4</definedName>
    <definedName name="OtherCLofSales">Assumptions!$L$84:$P$84</definedName>
    <definedName name="SalesGrowth">Assumptions!$L$12:$P$12</definedName>
    <definedName name="SGAofSales">Assumptions!$L$27:$P$27</definedName>
    <definedName name="subhead">Inputs!$E$5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7" i="3" l="1"/>
  <c r="P26" i="3"/>
  <c r="P18" i="3"/>
  <c r="P17" i="3"/>
  <c r="P16" i="3"/>
  <c r="P15" i="10"/>
  <c r="P14" i="10"/>
  <c r="P28" i="9"/>
  <c r="P27" i="9"/>
  <c r="P15" i="9"/>
  <c r="P11" i="9"/>
  <c r="O27" i="3"/>
  <c r="O26" i="3"/>
  <c r="O18" i="3"/>
  <c r="O17" i="3"/>
  <c r="O16" i="3"/>
  <c r="O28" i="9"/>
  <c r="O27" i="9"/>
  <c r="O15" i="10"/>
  <c r="O14" i="10"/>
  <c r="O15" i="9"/>
  <c r="O11" i="9"/>
  <c r="N27" i="3"/>
  <c r="N26" i="3"/>
  <c r="N18" i="3"/>
  <c r="N17" i="3"/>
  <c r="N16" i="3"/>
  <c r="N28" i="9"/>
  <c r="N27" i="9"/>
  <c r="N15" i="10"/>
  <c r="N14" i="10"/>
  <c r="N15" i="9"/>
  <c r="N11" i="9"/>
  <c r="M27" i="3"/>
  <c r="M26" i="3"/>
  <c r="M18" i="3"/>
  <c r="M17" i="3"/>
  <c r="M16" i="3"/>
  <c r="M28" i="9"/>
  <c r="M27" i="9"/>
  <c r="M15" i="10"/>
  <c r="M14" i="10"/>
  <c r="M15" i="9"/>
  <c r="M11" i="9"/>
  <c r="L26" i="3"/>
  <c r="L27" i="3"/>
  <c r="L18" i="3"/>
  <c r="L17" i="3"/>
  <c r="L16" i="3"/>
  <c r="L15" i="10"/>
  <c r="L14" i="10"/>
  <c r="L11" i="10"/>
  <c r="L33" i="9"/>
  <c r="L28" i="9"/>
  <c r="L27" i="9"/>
  <c r="L15" i="9"/>
  <c r="L11" i="9"/>
  <c r="L12" i="6"/>
  <c r="L12" i="5" l="1"/>
  <c r="F20" i="5"/>
  <c r="B1" i="10"/>
  <c r="B2" i="10"/>
  <c r="J4" i="10"/>
  <c r="K4" i="10" s="1"/>
  <c r="I6" i="10"/>
  <c r="L6" i="10"/>
  <c r="I7" i="10"/>
  <c r="J7" i="10"/>
  <c r="M12" i="10"/>
  <c r="N12" i="10"/>
  <c r="O12" i="10" s="1"/>
  <c r="P12" i="10" s="1"/>
  <c r="B18" i="10"/>
  <c r="I21" i="10"/>
  <c r="B23" i="10"/>
  <c r="B35" i="10" s="1"/>
  <c r="L24" i="10"/>
  <c r="L27" i="10"/>
  <c r="I27" i="10"/>
  <c r="J27" i="10"/>
  <c r="K27" i="10"/>
  <c r="B30" i="10"/>
  <c r="M31" i="10"/>
  <c r="N31" i="10" s="1"/>
  <c r="O31" i="10" s="1"/>
  <c r="L32" i="10"/>
  <c r="N32" i="10"/>
  <c r="I35" i="10"/>
  <c r="I41" i="10" s="1"/>
  <c r="I36" i="10"/>
  <c r="I42" i="10" s="1"/>
  <c r="M36" i="10"/>
  <c r="N36" i="10" s="1"/>
  <c r="O36" i="10" s="1"/>
  <c r="P36" i="10" s="1"/>
  <c r="I37" i="10"/>
  <c r="M42" i="10"/>
  <c r="N42" i="10"/>
  <c r="O42" i="10" s="1"/>
  <c r="P42" i="10" s="1"/>
  <c r="B1" i="9"/>
  <c r="B2" i="9"/>
  <c r="J4" i="9"/>
  <c r="K4" i="9"/>
  <c r="L4" i="9" s="1"/>
  <c r="L6" i="9"/>
  <c r="B1" i="8"/>
  <c r="B2" i="8"/>
  <c r="J4" i="8"/>
  <c r="J7" i="8" s="1"/>
  <c r="I6" i="8"/>
  <c r="L6" i="8"/>
  <c r="I7" i="8"/>
  <c r="K13" i="8"/>
  <c r="L9" i="8" s="1"/>
  <c r="M11" i="8"/>
  <c r="M18" i="8"/>
  <c r="N11" i="8"/>
  <c r="N18" i="8"/>
  <c r="O18" i="8" s="1"/>
  <c r="P18" i="8" s="1"/>
  <c r="I13" i="8"/>
  <c r="J13" i="8"/>
  <c r="B1" i="7"/>
  <c r="B2" i="7"/>
  <c r="J4" i="7"/>
  <c r="K4" i="7"/>
  <c r="L4" i="7"/>
  <c r="L7" i="7" s="1"/>
  <c r="M4" i="7"/>
  <c r="I6" i="7"/>
  <c r="L6" i="7"/>
  <c r="I7" i="7"/>
  <c r="J7" i="7"/>
  <c r="K7" i="7"/>
  <c r="C11" i="7"/>
  <c r="I11" i="7"/>
  <c r="J11" i="7"/>
  <c r="J14" i="7" s="1"/>
  <c r="K11" i="7"/>
  <c r="L11" i="7" s="1"/>
  <c r="M11" i="7" s="1"/>
  <c r="C12" i="7"/>
  <c r="I12" i="7"/>
  <c r="J12" i="7"/>
  <c r="K12" i="7"/>
  <c r="L12" i="7" s="1"/>
  <c r="C13" i="7"/>
  <c r="I13" i="7"/>
  <c r="J13" i="7"/>
  <c r="K13" i="7"/>
  <c r="L13" i="7"/>
  <c r="M13" i="7" s="1"/>
  <c r="N13" i="7"/>
  <c r="O13" i="7"/>
  <c r="C18" i="7"/>
  <c r="I18" i="7"/>
  <c r="J18" i="7"/>
  <c r="J19" i="7" s="1"/>
  <c r="J20" i="7" s="1"/>
  <c r="K18" i="7"/>
  <c r="K19" i="7" s="1"/>
  <c r="L18" i="7"/>
  <c r="M18" i="7" s="1"/>
  <c r="M19" i="7" s="1"/>
  <c r="N18" i="7"/>
  <c r="I19" i="7"/>
  <c r="K20" i="7"/>
  <c r="B1" i="6"/>
  <c r="B2" i="6"/>
  <c r="J3" i="6"/>
  <c r="K3" i="6" s="1"/>
  <c r="L3" i="6" s="1"/>
  <c r="L6" i="6" s="1"/>
  <c r="I5" i="6"/>
  <c r="L5" i="6"/>
  <c r="I6" i="6"/>
  <c r="J6" i="6"/>
  <c r="K6" i="6"/>
  <c r="L20" i="6" s="1"/>
  <c r="I8" i="6"/>
  <c r="J8" i="6"/>
  <c r="J10" i="6" s="1"/>
  <c r="K8" i="6"/>
  <c r="I9" i="6"/>
  <c r="J9" i="6"/>
  <c r="K9" i="6"/>
  <c r="I10" i="6"/>
  <c r="K16" i="6"/>
  <c r="L18" i="6"/>
  <c r="F20" i="6"/>
  <c r="F30" i="6"/>
  <c r="M15" i="6"/>
  <c r="F31" i="6"/>
  <c r="F32" i="6" s="1"/>
  <c r="F33" i="6" s="1"/>
  <c r="N15" i="6"/>
  <c r="O15" i="6" s="1"/>
  <c r="P15" i="6" s="1"/>
  <c r="I16" i="6"/>
  <c r="J16" i="6"/>
  <c r="B1" i="5"/>
  <c r="B2" i="5"/>
  <c r="J3" i="5"/>
  <c r="K3" i="5" s="1"/>
  <c r="I5" i="5"/>
  <c r="L5" i="5"/>
  <c r="I6" i="5"/>
  <c r="I8" i="5"/>
  <c r="J8" i="5"/>
  <c r="K8" i="5"/>
  <c r="J9" i="5"/>
  <c r="J10" i="5" s="1"/>
  <c r="J45" i="11" s="1"/>
  <c r="K9" i="5"/>
  <c r="I10" i="5"/>
  <c r="K10" i="5"/>
  <c r="K45" i="11" s="1"/>
  <c r="K16" i="5"/>
  <c r="F26" i="5"/>
  <c r="F22" i="5"/>
  <c r="F33" i="5"/>
  <c r="F34" i="5" s="1"/>
  <c r="F35" i="5" s="1"/>
  <c r="F36" i="5" s="1"/>
  <c r="I16" i="5"/>
  <c r="J16" i="5"/>
  <c r="I39" i="5"/>
  <c r="I41" i="5" s="1"/>
  <c r="J39" i="5"/>
  <c r="K39" i="5"/>
  <c r="K41" i="5" s="1"/>
  <c r="J41" i="5"/>
  <c r="B1" i="4"/>
  <c r="B2" i="4"/>
  <c r="J3" i="4"/>
  <c r="K3" i="4" s="1"/>
  <c r="L3" i="4" s="1"/>
  <c r="M3" i="4"/>
  <c r="I5" i="4"/>
  <c r="L5" i="4"/>
  <c r="I6" i="4"/>
  <c r="K6" i="4"/>
  <c r="L6" i="4"/>
  <c r="I8" i="4"/>
  <c r="J8" i="4"/>
  <c r="K8" i="4"/>
  <c r="I9" i="4"/>
  <c r="J9" i="4"/>
  <c r="K9" i="4"/>
  <c r="C12" i="4"/>
  <c r="C34" i="4" s="1"/>
  <c r="I12" i="4"/>
  <c r="J12" i="4"/>
  <c r="J34" i="4" s="1"/>
  <c r="K12" i="4"/>
  <c r="C13" i="4"/>
  <c r="C27" i="4" s="1"/>
  <c r="I13" i="4"/>
  <c r="J13" i="4"/>
  <c r="K13" i="4"/>
  <c r="C14" i="4"/>
  <c r="I14" i="4"/>
  <c r="J14" i="4"/>
  <c r="K14" i="4"/>
  <c r="K36" i="4" s="1"/>
  <c r="I15" i="4"/>
  <c r="J15" i="4"/>
  <c r="J21" i="4" s="1"/>
  <c r="C17" i="4"/>
  <c r="I17" i="4"/>
  <c r="I19" i="4" s="1"/>
  <c r="J17" i="4"/>
  <c r="K17" i="4"/>
  <c r="C18" i="4"/>
  <c r="I18" i="4"/>
  <c r="J18" i="4"/>
  <c r="J31" i="4" s="1"/>
  <c r="K18" i="4"/>
  <c r="J19" i="4"/>
  <c r="K19" i="4"/>
  <c r="I26" i="4"/>
  <c r="I59" i="11" s="1"/>
  <c r="J26" i="4"/>
  <c r="J59" i="11" s="1"/>
  <c r="I27" i="4"/>
  <c r="J27" i="4"/>
  <c r="C28" i="4"/>
  <c r="I28" i="4"/>
  <c r="J28" i="4"/>
  <c r="K28" i="4"/>
  <c r="K71" i="11" s="1"/>
  <c r="C30" i="4"/>
  <c r="I30" i="4"/>
  <c r="J30" i="4"/>
  <c r="J65" i="11" s="1"/>
  <c r="K30" i="4"/>
  <c r="K65" i="11" s="1"/>
  <c r="C31" i="4"/>
  <c r="I31" i="4"/>
  <c r="J35" i="4"/>
  <c r="C36" i="4"/>
  <c r="J36" i="4"/>
  <c r="C37" i="4"/>
  <c r="J37" i="4"/>
  <c r="K37" i="4"/>
  <c r="C38" i="4"/>
  <c r="J38" i="4"/>
  <c r="B39" i="4"/>
  <c r="B1" i="3"/>
  <c r="B2" i="3"/>
  <c r="J3" i="3"/>
  <c r="K3" i="3" s="1"/>
  <c r="L3" i="3" s="1"/>
  <c r="L6" i="3" s="1"/>
  <c r="M3" i="3"/>
  <c r="I5" i="3"/>
  <c r="L5" i="3"/>
  <c r="I6" i="3"/>
  <c r="J6" i="3"/>
  <c r="K6" i="3"/>
  <c r="I12" i="3"/>
  <c r="I19" i="3" s="1"/>
  <c r="J12" i="3"/>
  <c r="J19" i="3" s="1"/>
  <c r="K12" i="3"/>
  <c r="K19" i="3"/>
  <c r="I23" i="3"/>
  <c r="I28" i="3" s="1"/>
  <c r="I32" i="3" s="1"/>
  <c r="J23" i="3"/>
  <c r="J28" i="3" s="1"/>
  <c r="J32" i="3" s="1"/>
  <c r="K23" i="3"/>
  <c r="J25" i="3"/>
  <c r="J21" i="10" s="1"/>
  <c r="K25" i="3"/>
  <c r="K21" i="10" s="1"/>
  <c r="L19" i="10" s="1"/>
  <c r="K28" i="3"/>
  <c r="K32" i="3"/>
  <c r="K33" i="3" s="1"/>
  <c r="I35" i="3"/>
  <c r="J35" i="3"/>
  <c r="K35" i="3"/>
  <c r="J36" i="3"/>
  <c r="K36" i="3"/>
  <c r="J37" i="3"/>
  <c r="K37" i="3"/>
  <c r="K39" i="3"/>
  <c r="I41" i="3"/>
  <c r="J41" i="3"/>
  <c r="K41" i="3"/>
  <c r="B1" i="2"/>
  <c r="B2" i="2" a="1"/>
  <c r="B2" i="2" s="1"/>
  <c r="J3" i="2"/>
  <c r="K3" i="2"/>
  <c r="K6" i="2" s="1"/>
  <c r="L3" i="2"/>
  <c r="L6" i="2" s="1"/>
  <c r="I5" i="2"/>
  <c r="L5" i="2"/>
  <c r="I6" i="2"/>
  <c r="J6" i="2"/>
  <c r="I9" i="2"/>
  <c r="J9" i="2"/>
  <c r="K9" i="2"/>
  <c r="K12" i="2" s="1"/>
  <c r="L28" i="2" a="1"/>
  <c r="I12" i="2"/>
  <c r="I39" i="3" s="1"/>
  <c r="I42" i="3" s="1"/>
  <c r="J12" i="2"/>
  <c r="J29" i="2" s="1"/>
  <c r="I16" i="2"/>
  <c r="I20" i="2" s="1"/>
  <c r="I23" i="2" s="1"/>
  <c r="M39" i="2"/>
  <c r="N39" i="2"/>
  <c r="O39" i="2" s="1"/>
  <c r="P39" i="2" s="1"/>
  <c r="I27" i="2"/>
  <c r="J27" i="2"/>
  <c r="J20" i="11" s="1"/>
  <c r="J19" i="11" s="1"/>
  <c r="K27" i="2"/>
  <c r="I28" i="2"/>
  <c r="J28" i="2"/>
  <c r="K28" i="2"/>
  <c r="I29" i="2"/>
  <c r="I30" i="2"/>
  <c r="J34" i="2"/>
  <c r="K34" i="2"/>
  <c r="K12" i="11" s="1"/>
  <c r="I39" i="2"/>
  <c r="B1" i="11"/>
  <c r="J6" i="11"/>
  <c r="K6" i="11"/>
  <c r="L6" i="11"/>
  <c r="I9" i="11"/>
  <c r="J9" i="11"/>
  <c r="K9" i="11"/>
  <c r="V11" i="11"/>
  <c r="J12" i="11"/>
  <c r="L12" i="11"/>
  <c r="M13" i="11"/>
  <c r="N13" i="11" s="1"/>
  <c r="V12" i="11"/>
  <c r="V13" i="11"/>
  <c r="V14" i="11" s="1"/>
  <c r="H14" i="11"/>
  <c r="H15" i="11" s="1"/>
  <c r="M14" i="11"/>
  <c r="N14" i="11" s="1"/>
  <c r="O14" i="11" s="1"/>
  <c r="P14" i="11" s="1"/>
  <c r="M15" i="11"/>
  <c r="N15" i="11" s="1"/>
  <c r="O15" i="11" s="1"/>
  <c r="P15" i="11" s="1"/>
  <c r="H16" i="11"/>
  <c r="M16" i="11"/>
  <c r="N16" i="11" s="1"/>
  <c r="O16" i="11" s="1"/>
  <c r="P16" i="11" s="1"/>
  <c r="I20" i="11"/>
  <c r="I19" i="11" s="1"/>
  <c r="K20" i="11"/>
  <c r="K19" i="11" s="1"/>
  <c r="L21" i="11"/>
  <c r="L20" i="11" a="1"/>
  <c r="L20" i="11" s="1"/>
  <c r="L19" i="11" s="1"/>
  <c r="M21" i="11"/>
  <c r="M20" i="11" a="1"/>
  <c r="M20" i="11" s="1"/>
  <c r="M19" i="11" s="1"/>
  <c r="N21" i="11"/>
  <c r="N20" i="11" a="1"/>
  <c r="N20" i="11" s="1"/>
  <c r="N19" i="11" s="1"/>
  <c r="O21" i="11"/>
  <c r="O20" i="11" a="1"/>
  <c r="O20" i="11" s="1"/>
  <c r="O19" i="11" s="1"/>
  <c r="P21" i="11"/>
  <c r="P20" i="11" a="1"/>
  <c r="P20" i="11" s="1"/>
  <c r="P19" i="11" s="1"/>
  <c r="H22" i="11"/>
  <c r="M22" i="11"/>
  <c r="N22" i="11"/>
  <c r="O22" i="11" s="1"/>
  <c r="P22" i="11" s="1"/>
  <c r="H23" i="11"/>
  <c r="H24" i="11" s="1"/>
  <c r="I26" i="11"/>
  <c r="J26" i="11"/>
  <c r="K26" i="11"/>
  <c r="L26" i="11" a="1"/>
  <c r="L26" i="11" s="1"/>
  <c r="M26" i="11" a="1"/>
  <c r="M26" i="11" s="1"/>
  <c r="N26" i="11" a="1"/>
  <c r="N26" i="11" s="1"/>
  <c r="O26" i="11" a="1"/>
  <c r="O26" i="11" s="1"/>
  <c r="P26" i="11" a="1"/>
  <c r="P26" i="11" s="1"/>
  <c r="H28" i="11"/>
  <c r="H29" i="11"/>
  <c r="H30" i="11" s="1"/>
  <c r="I32" i="11"/>
  <c r="J32" i="11"/>
  <c r="K32" i="11"/>
  <c r="L32" i="11" a="1"/>
  <c r="L32" i="11" s="1"/>
  <c r="M33" i="11"/>
  <c r="M32" i="11" a="1"/>
  <c r="M32" i="11" s="1"/>
  <c r="N33" i="11"/>
  <c r="N32" i="11" a="1"/>
  <c r="N32" i="11" s="1"/>
  <c r="O33" i="11"/>
  <c r="O32" i="11" s="1" a="1"/>
  <c r="O32" i="11" s="1"/>
  <c r="P33" i="11"/>
  <c r="P32" i="11" a="1"/>
  <c r="P32" i="11" s="1"/>
  <c r="H34" i="11"/>
  <c r="M34" i="11"/>
  <c r="N34" i="11"/>
  <c r="O34" i="11"/>
  <c r="P34" i="11"/>
  <c r="H35" i="11"/>
  <c r="H36" i="11" s="1"/>
  <c r="M35" i="11"/>
  <c r="N35" i="11"/>
  <c r="O35" i="11"/>
  <c r="P35" i="11"/>
  <c r="M36" i="11"/>
  <c r="N36" i="11"/>
  <c r="O36" i="11"/>
  <c r="P36" i="11"/>
  <c r="I38" i="11"/>
  <c r="J38" i="11"/>
  <c r="K38" i="11"/>
  <c r="L38" i="11" a="1"/>
  <c r="L38" i="11" s="1"/>
  <c r="M38" i="11" a="1"/>
  <c r="M38" i="11" s="1"/>
  <c r="N38" i="11" a="1"/>
  <c r="N38" i="11" s="1"/>
  <c r="O38" i="11" a="1"/>
  <c r="O38" i="11" s="1"/>
  <c r="P38" i="11" a="1"/>
  <c r="P38" i="11" s="1"/>
  <c r="H40" i="11"/>
  <c r="H41" i="11" s="1"/>
  <c r="H42" i="11" s="1"/>
  <c r="M40" i="11"/>
  <c r="N40" i="11"/>
  <c r="O40" i="11"/>
  <c r="P40" i="11"/>
  <c r="M41" i="11"/>
  <c r="N41" i="11"/>
  <c r="O41" i="11"/>
  <c r="P41" i="11"/>
  <c r="M42" i="11"/>
  <c r="N42" i="11"/>
  <c r="O42" i="11"/>
  <c r="P42" i="11"/>
  <c r="I45" i="11"/>
  <c r="L45" i="11" a="1"/>
  <c r="L45" i="11" s="1"/>
  <c r="M45" i="11" a="1"/>
  <c r="M45" i="11" s="1"/>
  <c r="N45" i="11" a="1"/>
  <c r="N45" i="11" s="1"/>
  <c r="O45" i="11" a="1"/>
  <c r="O45" i="11" s="1"/>
  <c r="P45" i="11" a="1"/>
  <c r="P45" i="11" s="1"/>
  <c r="H47" i="11"/>
  <c r="H48" i="11"/>
  <c r="H49" i="11"/>
  <c r="I51" i="11"/>
  <c r="J51" i="11"/>
  <c r="L51" i="11"/>
  <c r="M51" i="11" a="1"/>
  <c r="M51" i="11" s="1"/>
  <c r="N51" i="11" a="1"/>
  <c r="N51" i="11" s="1"/>
  <c r="O51" i="11" a="1"/>
  <c r="O51" i="11" s="1"/>
  <c r="P51" i="11" a="1"/>
  <c r="P51" i="11" s="1"/>
  <c r="H53" i="11"/>
  <c r="H54" i="11"/>
  <c r="H55" i="11"/>
  <c r="L59" i="11" a="1"/>
  <c r="L59" i="11" s="1"/>
  <c r="M60" i="11"/>
  <c r="M59" i="11" a="1"/>
  <c r="M59" i="11" s="1"/>
  <c r="N60" i="11"/>
  <c r="N59" i="11" s="1" a="1"/>
  <c r="N59" i="11" s="1"/>
  <c r="H61" i="11"/>
  <c r="M61" i="11"/>
  <c r="N61" i="11"/>
  <c r="O61" i="11"/>
  <c r="P61" i="11" s="1"/>
  <c r="H62" i="11"/>
  <c r="M62" i="11"/>
  <c r="N62" i="11" s="1"/>
  <c r="O62" i="11" s="1"/>
  <c r="P62" i="11" s="1"/>
  <c r="H63" i="11"/>
  <c r="M63" i="11"/>
  <c r="N63" i="11" s="1"/>
  <c r="O63" i="11" s="1"/>
  <c r="P63" i="11" s="1"/>
  <c r="I65" i="11"/>
  <c r="L65" i="11" a="1"/>
  <c r="L65" i="11" s="1"/>
  <c r="M66" i="11"/>
  <c r="N66" i="11" s="1"/>
  <c r="M65" i="11" a="1"/>
  <c r="M65" i="11" s="1"/>
  <c r="H67" i="11"/>
  <c r="H68" i="11" s="1"/>
  <c r="H69" i="11" s="1"/>
  <c r="M67" i="11"/>
  <c r="N67" i="11" s="1"/>
  <c r="O67" i="11" s="1"/>
  <c r="P67" i="11" s="1"/>
  <c r="M68" i="11"/>
  <c r="N68" i="11"/>
  <c r="O68" i="11" s="1"/>
  <c r="P68" i="11" s="1"/>
  <c r="M69" i="11"/>
  <c r="N69" i="11"/>
  <c r="O69" i="11"/>
  <c r="P69" i="11" s="1"/>
  <c r="I71" i="11"/>
  <c r="J71" i="11"/>
  <c r="L71" i="11" a="1"/>
  <c r="L71" i="11" s="1"/>
  <c r="M72" i="11"/>
  <c r="M71" i="11" a="1"/>
  <c r="M71" i="11" s="1"/>
  <c r="N72" i="11"/>
  <c r="N71" i="11" a="1"/>
  <c r="N71" i="11" s="1"/>
  <c r="O72" i="11"/>
  <c r="H73" i="11"/>
  <c r="M73" i="11"/>
  <c r="N73" i="11"/>
  <c r="O73" i="11" s="1"/>
  <c r="P73" i="11"/>
  <c r="H74" i="11"/>
  <c r="H75" i="11" s="1"/>
  <c r="M74" i="11"/>
  <c r="N74" i="11" s="1"/>
  <c r="O74" i="11" s="1"/>
  <c r="P74" i="11" s="1"/>
  <c r="M75" i="11"/>
  <c r="N75" i="11" s="1"/>
  <c r="O75" i="11" s="1"/>
  <c r="P75" i="11"/>
  <c r="I78" i="11"/>
  <c r="J78" i="11"/>
  <c r="K78" i="11"/>
  <c r="L78" i="11" a="1"/>
  <c r="L78" i="11" s="1"/>
  <c r="M79" i="11"/>
  <c r="M78" i="11" a="1"/>
  <c r="M78" i="11" s="1"/>
  <c r="N79" i="11"/>
  <c r="N78" i="11" s="1" a="1"/>
  <c r="N78" i="11" s="1"/>
  <c r="H80" i="11"/>
  <c r="H81" i="11"/>
  <c r="M81" i="11"/>
  <c r="N81" i="11"/>
  <c r="O81" i="11" s="1"/>
  <c r="P81" i="11" s="1"/>
  <c r="H82" i="11"/>
  <c r="I84" i="11"/>
  <c r="J84" i="11"/>
  <c r="L84" i="11" a="1"/>
  <c r="L84" i="11" s="1"/>
  <c r="M85" i="11"/>
  <c r="M84" i="11" a="1"/>
  <c r="M84" i="11" s="1"/>
  <c r="N85" i="11"/>
  <c r="N84" i="11" s="1" a="1"/>
  <c r="N84" i="11" s="1"/>
  <c r="O85" i="11"/>
  <c r="O84" i="11" s="1" a="1"/>
  <c r="O84" i="11" s="1"/>
  <c r="H86" i="11"/>
  <c r="M86" i="11"/>
  <c r="N86" i="11"/>
  <c r="O86" i="11"/>
  <c r="P86" i="11" s="1"/>
  <c r="H87" i="11"/>
  <c r="M87" i="11"/>
  <c r="N87" i="11" s="1"/>
  <c r="O87" i="11"/>
  <c r="P87" i="11"/>
  <c r="H88" i="11"/>
  <c r="M88" i="11"/>
  <c r="N88" i="11" s="1"/>
  <c r="O88" i="11" s="1"/>
  <c r="P88" i="11" s="1"/>
  <c r="M12" i="11" l="1"/>
  <c r="L9" i="11"/>
  <c r="M6" i="11"/>
  <c r="L3" i="5"/>
  <c r="K6" i="5"/>
  <c r="N19" i="7"/>
  <c r="N20" i="7" s="1"/>
  <c r="O18" i="7"/>
  <c r="P85" i="11"/>
  <c r="P84" i="11" s="1" a="1"/>
  <c r="P84" i="11" s="1"/>
  <c r="L10" i="5" a="1"/>
  <c r="J33" i="3"/>
  <c r="M12" i="7"/>
  <c r="I33" i="3"/>
  <c r="K35" i="4"/>
  <c r="K27" i="4"/>
  <c r="N12" i="11"/>
  <c r="O13" i="11"/>
  <c r="L7" i="9"/>
  <c r="M4" i="9"/>
  <c r="L28" i="2"/>
  <c r="M28" i="2"/>
  <c r="N28" i="2"/>
  <c r="O28" i="2"/>
  <c r="P28" i="2"/>
  <c r="N3" i="3"/>
  <c r="M6" i="3"/>
  <c r="K15" i="4"/>
  <c r="K21" i="4" s="1"/>
  <c r="N65" i="11" a="1"/>
  <c r="N65" i="11" s="1"/>
  <c r="O66" i="11"/>
  <c r="I17" i="8"/>
  <c r="I18" i="8" s="1"/>
  <c r="I31" i="2"/>
  <c r="P13" i="7"/>
  <c r="K29" i="2"/>
  <c r="K16" i="2"/>
  <c r="K35" i="2"/>
  <c r="O60" i="11"/>
  <c r="I21" i="4"/>
  <c r="J23" i="4" s="1"/>
  <c r="K26" i="4"/>
  <c r="K59" i="11" s="1"/>
  <c r="K34" i="4"/>
  <c r="O71" i="11" a="1"/>
  <c r="O71" i="11" s="1"/>
  <c r="L28" i="4" s="1" a="1"/>
  <c r="P72" i="11"/>
  <c r="P71" i="11" s="1" a="1"/>
  <c r="P71" i="11" s="1"/>
  <c r="L31" i="4" a="1"/>
  <c r="O79" i="11"/>
  <c r="L27" i="2" a="1"/>
  <c r="J39" i="4"/>
  <c r="J6" i="5"/>
  <c r="I40" i="3"/>
  <c r="I36" i="3"/>
  <c r="I37" i="3" s="1"/>
  <c r="K40" i="3"/>
  <c r="K42" i="3"/>
  <c r="C35" i="4"/>
  <c r="N11" i="7"/>
  <c r="M14" i="7"/>
  <c r="M7" i="7"/>
  <c r="N4" i="7"/>
  <c r="C26" i="4"/>
  <c r="J6" i="4"/>
  <c r="L10" i="6" a="1"/>
  <c r="I14" i="7"/>
  <c r="J15" i="7" s="1"/>
  <c r="J22" i="7" s="1"/>
  <c r="J39" i="3"/>
  <c r="J42" i="3" s="1"/>
  <c r="M3" i="2"/>
  <c r="K10" i="6"/>
  <c r="K51" i="11" s="1"/>
  <c r="O11" i="8"/>
  <c r="M6" i="4"/>
  <c r="N3" i="4"/>
  <c r="L19" i="7"/>
  <c r="K38" i="4"/>
  <c r="K31" i="4"/>
  <c r="K84" i="11" s="1"/>
  <c r="M3" i="6"/>
  <c r="L35" i="10"/>
  <c r="L37" i="10" s="1"/>
  <c r="M24" i="10"/>
  <c r="K7" i="10"/>
  <c r="L4" i="10"/>
  <c r="J35" i="2"/>
  <c r="J16" i="2"/>
  <c r="L26" i="6"/>
  <c r="L14" i="7"/>
  <c r="K4" i="8"/>
  <c r="P31" i="10"/>
  <c r="P32" i="10" s="1"/>
  <c r="O32" i="10"/>
  <c r="M32" i="10"/>
  <c r="K14" i="7"/>
  <c r="K15" i="7" s="1"/>
  <c r="K22" i="7" s="1"/>
  <c r="O28" i="4" l="1"/>
  <c r="N28" i="4"/>
  <c r="P28" i="4"/>
  <c r="L28" i="4"/>
  <c r="M28" i="4"/>
  <c r="L27" i="4" a="1"/>
  <c r="L34" i="2" a="1"/>
  <c r="P11" i="8"/>
  <c r="N7" i="7"/>
  <c r="O4" i="7"/>
  <c r="P66" i="11"/>
  <c r="P65" i="11" s="1" a="1"/>
  <c r="P65" i="11" s="1"/>
  <c r="O65" i="11" a="1"/>
  <c r="O65" i="11" s="1"/>
  <c r="L7" i="10"/>
  <c r="M4" i="10"/>
  <c r="O59" i="11" a="1"/>
  <c r="O59" i="11" s="1"/>
  <c r="P60" i="11"/>
  <c r="P59" i="11" s="1" a="1"/>
  <c r="P59" i="11" s="1"/>
  <c r="N4" i="9"/>
  <c r="M7" i="9"/>
  <c r="M10" i="5"/>
  <c r="N10" i="5"/>
  <c r="O10" i="5"/>
  <c r="P10" i="5"/>
  <c r="L10" i="5"/>
  <c r="M35" i="10"/>
  <c r="M37" i="10" s="1"/>
  <c r="M27" i="10"/>
  <c r="O11" i="7"/>
  <c r="J40" i="3"/>
  <c r="K20" i="2"/>
  <c r="K30" i="2"/>
  <c r="K36" i="2"/>
  <c r="O12" i="11"/>
  <c r="P13" i="11"/>
  <c r="P12" i="11" s="1"/>
  <c r="M6" i="2"/>
  <c r="N3" i="2"/>
  <c r="P27" i="2"/>
  <c r="L27" i="2"/>
  <c r="N27" i="2"/>
  <c r="O27" i="2"/>
  <c r="M27" i="2"/>
  <c r="O3" i="3"/>
  <c r="N6" i="3"/>
  <c r="L4" i="8"/>
  <c r="K7" i="8"/>
  <c r="M6" i="6"/>
  <c r="N3" i="6"/>
  <c r="O78" i="11" a="1"/>
  <c r="O78" i="11" s="1"/>
  <c r="P79" i="11"/>
  <c r="P78" i="11" s="1" a="1"/>
  <c r="P78" i="11" s="1"/>
  <c r="O19" i="7"/>
  <c r="O20" i="7" s="1"/>
  <c r="P18" i="7"/>
  <c r="M15" i="7"/>
  <c r="M22" i="7" s="1"/>
  <c r="N31" i="4"/>
  <c r="P31" i="4"/>
  <c r="L31" i="4"/>
  <c r="M31" i="4"/>
  <c r="O31" i="4"/>
  <c r="M3" i="5"/>
  <c r="L6" i="5"/>
  <c r="M20" i="7"/>
  <c r="L20" i="7"/>
  <c r="P10" i="6"/>
  <c r="L10" i="6"/>
  <c r="M10" i="6"/>
  <c r="O10" i="6"/>
  <c r="N10" i="6"/>
  <c r="K23" i="4"/>
  <c r="M9" i="11"/>
  <c r="N6" i="11"/>
  <c r="N6" i="4"/>
  <c r="O3" i="4"/>
  <c r="K39" i="4"/>
  <c r="N12" i="7"/>
  <c r="L15" i="7"/>
  <c r="L22" i="7" s="1"/>
  <c r="J20" i="2"/>
  <c r="J30" i="2"/>
  <c r="J36" i="2"/>
  <c r="M4" i="8" l="1"/>
  <c r="L7" i="8"/>
  <c r="P4" i="7"/>
  <c r="P7" i="7" s="1"/>
  <c r="O7" i="7"/>
  <c r="O12" i="7"/>
  <c r="P3" i="3"/>
  <c r="P6" i="3" s="1"/>
  <c r="O6" i="3"/>
  <c r="K39" i="2"/>
  <c r="K23" i="2"/>
  <c r="O34" i="2"/>
  <c r="P34" i="2"/>
  <c r="M34" i="2"/>
  <c r="L34" i="2"/>
  <c r="L7" i="2" s="1"/>
  <c r="N34" i="2"/>
  <c r="P27" i="4"/>
  <c r="N27" i="4"/>
  <c r="O27" i="4"/>
  <c r="L27" i="4"/>
  <c r="M27" i="4"/>
  <c r="J23" i="2"/>
  <c r="J39" i="2"/>
  <c r="O6" i="4"/>
  <c r="P3" i="4"/>
  <c r="P6" i="4" s="1"/>
  <c r="N3" i="5"/>
  <c r="M6" i="5"/>
  <c r="L26" i="4" a="1"/>
  <c r="P19" i="7"/>
  <c r="P20" i="7" s="1"/>
  <c r="N14" i="7"/>
  <c r="L18" i="5"/>
  <c r="L20" i="5" s="1"/>
  <c r="L29" i="5"/>
  <c r="P11" i="7"/>
  <c r="O14" i="7"/>
  <c r="N9" i="11"/>
  <c r="O6" i="11"/>
  <c r="L30" i="4" a="1"/>
  <c r="N24" i="10"/>
  <c r="M7" i="10"/>
  <c r="N4" i="10"/>
  <c r="N6" i="6"/>
  <c r="O3" i="6"/>
  <c r="N6" i="2"/>
  <c r="O3" i="2"/>
  <c r="O4" i="9"/>
  <c r="N7" i="9"/>
  <c r="M18" i="6"/>
  <c r="M20" i="6" s="1"/>
  <c r="M26" i="6"/>
  <c r="M7" i="2" l="1"/>
  <c r="L11" i="2"/>
  <c r="L8" i="2"/>
  <c r="L9" i="4" s="1"/>
  <c r="K17" i="8"/>
  <c r="K18" i="8" s="1"/>
  <c r="K31" i="2"/>
  <c r="K37" i="2"/>
  <c r="P4" i="9"/>
  <c r="P7" i="9" s="1"/>
  <c r="O7" i="9"/>
  <c r="P3" i="6"/>
  <c r="P6" i="6" s="1"/>
  <c r="O6" i="6"/>
  <c r="J17" i="8"/>
  <c r="J18" i="8" s="1"/>
  <c r="J37" i="2"/>
  <c r="J31" i="2"/>
  <c r="O6" i="2"/>
  <c r="P3" i="2"/>
  <c r="P6" i="2" s="1"/>
  <c r="N26" i="6"/>
  <c r="N18" i="6"/>
  <c r="N20" i="6" s="1"/>
  <c r="N7" i="10"/>
  <c r="O4" i="10"/>
  <c r="O15" i="7"/>
  <c r="O22" i="7" s="1"/>
  <c r="N15" i="7"/>
  <c r="N22" i="7" s="1"/>
  <c r="P12" i="7"/>
  <c r="N27" i="10"/>
  <c r="N35" i="10"/>
  <c r="N37" i="10" s="1"/>
  <c r="O30" i="4"/>
  <c r="L30" i="4"/>
  <c r="N30" i="4"/>
  <c r="P30" i="4"/>
  <c r="M30" i="4"/>
  <c r="L26" i="4"/>
  <c r="M26" i="4"/>
  <c r="O26" i="4"/>
  <c r="P26" i="4"/>
  <c r="N26" i="4"/>
  <c r="O9" i="11"/>
  <c r="P6" i="11"/>
  <c r="P9" i="11" s="1"/>
  <c r="L8" i="5"/>
  <c r="L9" i="5" s="1"/>
  <c r="L8" i="6"/>
  <c r="L9" i="6" s="1"/>
  <c r="L8" i="4"/>
  <c r="M18" i="5"/>
  <c r="M20" i="5" s="1"/>
  <c r="M29" i="5"/>
  <c r="O3" i="5"/>
  <c r="N6" i="5"/>
  <c r="N4" i="8"/>
  <c r="M7" i="8"/>
  <c r="L13" i="6" l="1"/>
  <c r="L20" i="9"/>
  <c r="L13" i="4"/>
  <c r="L18" i="4"/>
  <c r="L17" i="4"/>
  <c r="L12" i="4"/>
  <c r="L14" i="4"/>
  <c r="L19" i="9"/>
  <c r="L13" i="5"/>
  <c r="M11" i="2"/>
  <c r="M8" i="2"/>
  <c r="M9" i="4" s="1"/>
  <c r="N7" i="2"/>
  <c r="L9" i="2"/>
  <c r="L12" i="2" s="1"/>
  <c r="L35" i="2" s="1"/>
  <c r="O18" i="6"/>
  <c r="O20" i="6" s="1"/>
  <c r="O26" i="6"/>
  <c r="D29" i="6" a="1"/>
  <c r="P18" i="6"/>
  <c r="P20" i="6" s="1"/>
  <c r="P26" i="6"/>
  <c r="O7" i="10"/>
  <c r="P4" i="10"/>
  <c r="P7" i="10" s="1"/>
  <c r="N7" i="8"/>
  <c r="O4" i="8"/>
  <c r="P3" i="5"/>
  <c r="P6" i="5" s="1"/>
  <c r="O6" i="5"/>
  <c r="O24" i="10"/>
  <c r="P14" i="7"/>
  <c r="P15" i="7" s="1"/>
  <c r="P22" i="7" s="1"/>
  <c r="N29" i="5"/>
  <c r="N18" i="5"/>
  <c r="N20" i="5" s="1"/>
  <c r="D32" i="5" a="1"/>
  <c r="M8" i="5"/>
  <c r="M9" i="5" s="1"/>
  <c r="M8" i="6"/>
  <c r="M9" i="6" s="1"/>
  <c r="M8" i="4"/>
  <c r="M17" i="4" l="1"/>
  <c r="M18" i="4"/>
  <c r="M13" i="4"/>
  <c r="M35" i="4" s="1"/>
  <c r="N8" i="2"/>
  <c r="N9" i="4" s="1"/>
  <c r="N11" i="2"/>
  <c r="O7" i="2"/>
  <c r="L21" i="3"/>
  <c r="L37" i="4"/>
  <c r="M13" i="6"/>
  <c r="M20" i="9"/>
  <c r="M21" i="9" s="1"/>
  <c r="L11" i="3"/>
  <c r="L36" i="4"/>
  <c r="L22" i="3"/>
  <c r="L38" i="4"/>
  <c r="M13" i="5"/>
  <c r="M19" i="9"/>
  <c r="L10" i="3"/>
  <c r="L35" i="4"/>
  <c r="M12" i="4"/>
  <c r="M34" i="4" s="1"/>
  <c r="M14" i="4"/>
  <c r="M36" i="4" s="1"/>
  <c r="L9" i="3"/>
  <c r="L34" i="4"/>
  <c r="L39" i="3"/>
  <c r="L29" i="2"/>
  <c r="L21" i="9"/>
  <c r="O27" i="10"/>
  <c r="O35" i="10" s="1"/>
  <c r="O37" i="10" s="1"/>
  <c r="D32" i="6"/>
  <c r="D29" i="6"/>
  <c r="D30" i="6"/>
  <c r="D33" i="6"/>
  <c r="D31" i="6"/>
  <c r="O7" i="8"/>
  <c r="P4" i="8"/>
  <c r="P7" i="8" s="1"/>
  <c r="L15" i="4"/>
  <c r="L19" i="4"/>
  <c r="D34" i="5"/>
  <c r="D35" i="5"/>
  <c r="D33" i="5"/>
  <c r="D32" i="5"/>
  <c r="D36" i="5"/>
  <c r="M9" i="2"/>
  <c r="M12" i="2" s="1"/>
  <c r="N8" i="6"/>
  <c r="N9" i="6" s="1"/>
  <c r="N8" i="5"/>
  <c r="N9" i="5" s="1"/>
  <c r="N8" i="4"/>
  <c r="O29" i="5"/>
  <c r="O18" i="5"/>
  <c r="O20" i="5" s="1"/>
  <c r="P18" i="5"/>
  <c r="P20" i="5" s="1"/>
  <c r="P29" i="5"/>
  <c r="N19" i="9" l="1"/>
  <c r="N13" i="5"/>
  <c r="M9" i="3"/>
  <c r="N14" i="4"/>
  <c r="N36" i="4" s="1"/>
  <c r="N12" i="4"/>
  <c r="M11" i="3"/>
  <c r="N20" i="9"/>
  <c r="N21" i="9" s="1"/>
  <c r="N13" i="6"/>
  <c r="P7" i="2"/>
  <c r="O8" i="2"/>
  <c r="O9" i="4" s="1"/>
  <c r="O11" i="2"/>
  <c r="M10" i="3"/>
  <c r="M38" i="4"/>
  <c r="M22" i="3"/>
  <c r="M37" i="4"/>
  <c r="M21" i="3"/>
  <c r="N17" i="4"/>
  <c r="N18" i="4"/>
  <c r="N13" i="4"/>
  <c r="L23" i="3"/>
  <c r="N9" i="2"/>
  <c r="N12" i="2" s="1"/>
  <c r="M29" i="2"/>
  <c r="M39" i="3"/>
  <c r="M35" i="2"/>
  <c r="M19" i="4"/>
  <c r="P24" i="10"/>
  <c r="O8" i="6"/>
  <c r="O9" i="6" s="1"/>
  <c r="O8" i="5"/>
  <c r="O9" i="5" s="1"/>
  <c r="O8" i="4"/>
  <c r="M15" i="4"/>
  <c r="L39" i="4"/>
  <c r="L14" i="9" s="1"/>
  <c r="L21" i="4"/>
  <c r="O18" i="4" l="1"/>
  <c r="O17" i="4"/>
  <c r="O13" i="4"/>
  <c r="O35" i="4" s="1"/>
  <c r="N22" i="3"/>
  <c r="N38" i="4"/>
  <c r="P8" i="2"/>
  <c r="P9" i="4" s="1"/>
  <c r="P11" i="2"/>
  <c r="N21" i="3"/>
  <c r="N37" i="4"/>
  <c r="N10" i="3"/>
  <c r="O19" i="9"/>
  <c r="O13" i="5"/>
  <c r="O20" i="9"/>
  <c r="O13" i="6"/>
  <c r="N11" i="3"/>
  <c r="O14" i="4"/>
  <c r="O12" i="4"/>
  <c r="O34" i="4" s="1"/>
  <c r="N9" i="3"/>
  <c r="N35" i="4"/>
  <c r="N34" i="4"/>
  <c r="M39" i="4"/>
  <c r="M14" i="9" s="1"/>
  <c r="M21" i="4"/>
  <c r="M23" i="4" s="1"/>
  <c r="P8" i="6"/>
  <c r="P9" i="6" s="1"/>
  <c r="P8" i="4"/>
  <c r="P8" i="5"/>
  <c r="P9" i="5" s="1"/>
  <c r="N15" i="4"/>
  <c r="N19" i="4"/>
  <c r="P27" i="10"/>
  <c r="P35" i="10"/>
  <c r="P37" i="10" s="1"/>
  <c r="L23" i="4"/>
  <c r="N35" i="2"/>
  <c r="N39" i="3"/>
  <c r="N29" i="2"/>
  <c r="O9" i="2"/>
  <c r="O12" i="2" s="1"/>
  <c r="M23" i="3"/>
  <c r="O21" i="9" l="1"/>
  <c r="P18" i="4"/>
  <c r="P17" i="4"/>
  <c r="P13" i="4"/>
  <c r="P10" i="3" s="1"/>
  <c r="O11" i="3"/>
  <c r="O9" i="3"/>
  <c r="O36" i="4"/>
  <c r="E32" i="5" a="1"/>
  <c r="E32" i="5" s="1"/>
  <c r="P13" i="5"/>
  <c r="P19" i="9"/>
  <c r="P14" i="4"/>
  <c r="P11" i="3" s="1"/>
  <c r="P12" i="4"/>
  <c r="P9" i="3" s="1"/>
  <c r="P20" i="9"/>
  <c r="P13" i="6"/>
  <c r="O10" i="3"/>
  <c r="O21" i="3"/>
  <c r="O37" i="4"/>
  <c r="O22" i="3"/>
  <c r="O38" i="4"/>
  <c r="N21" i="4"/>
  <c r="N23" i="4" s="1"/>
  <c r="N39" i="4"/>
  <c r="N14" i="9" s="1"/>
  <c r="N23" i="3"/>
  <c r="P9" i="2"/>
  <c r="P12" i="2" s="1"/>
  <c r="O19" i="4"/>
  <c r="E29" i="6" a="1"/>
  <c r="O29" i="2"/>
  <c r="O35" i="2"/>
  <c r="O39" i="3"/>
  <c r="O15" i="4"/>
  <c r="P35" i="4" l="1"/>
  <c r="P34" i="4"/>
  <c r="E36" i="5"/>
  <c r="P36" i="5" s="1"/>
  <c r="P36" i="4"/>
  <c r="E35" i="5"/>
  <c r="O35" i="5" s="1"/>
  <c r="E34" i="5"/>
  <c r="O34" i="5" s="1"/>
  <c r="E33" i="5"/>
  <c r="O33" i="5" s="1"/>
  <c r="P21" i="3"/>
  <c r="P37" i="4"/>
  <c r="P38" i="4"/>
  <c r="P22" i="3"/>
  <c r="O39" i="4"/>
  <c r="O14" i="9" s="1"/>
  <c r="O21" i="4"/>
  <c r="O23" i="4" s="1"/>
  <c r="P21" i="9"/>
  <c r="P19" i="4"/>
  <c r="P39" i="3"/>
  <c r="P29" i="2"/>
  <c r="P35" i="2"/>
  <c r="O23" i="3"/>
  <c r="E29" i="6"/>
  <c r="E30" i="6"/>
  <c r="E33" i="6"/>
  <c r="P33" i="6" s="1"/>
  <c r="E32" i="6"/>
  <c r="E31" i="6"/>
  <c r="L32" i="5"/>
  <c r="L37" i="5" s="1"/>
  <c r="M32" i="5"/>
  <c r="O32" i="5"/>
  <c r="N32" i="5"/>
  <c r="P32" i="5"/>
  <c r="P15" i="4"/>
  <c r="P33" i="5" l="1"/>
  <c r="N33" i="5"/>
  <c r="M33" i="5"/>
  <c r="M37" i="5" s="1"/>
  <c r="P34" i="5"/>
  <c r="N34" i="5"/>
  <c r="P35" i="5"/>
  <c r="P21" i="4"/>
  <c r="P23" i="4" s="1"/>
  <c r="P39" i="4"/>
  <c r="P14" i="9" s="1"/>
  <c r="P23" i="3"/>
  <c r="P31" i="6"/>
  <c r="O31" i="6"/>
  <c r="N31" i="6"/>
  <c r="O30" i="6"/>
  <c r="P30" i="6"/>
  <c r="M30" i="6"/>
  <c r="N30" i="6"/>
  <c r="P29" i="6"/>
  <c r="O29" i="6"/>
  <c r="L29" i="6"/>
  <c r="L34" i="6" s="1"/>
  <c r="L36" i="6" s="1"/>
  <c r="M29" i="6"/>
  <c r="N29" i="6"/>
  <c r="O32" i="6"/>
  <c r="P32" i="6"/>
  <c r="O37" i="5"/>
  <c r="L39" i="5"/>
  <c r="P37" i="5" l="1"/>
  <c r="P39" i="5" s="1"/>
  <c r="P14" i="2" s="1"/>
  <c r="N37" i="5"/>
  <c r="N39" i="5" s="1"/>
  <c r="N12" i="9" s="1"/>
  <c r="L14" i="2"/>
  <c r="L14" i="5"/>
  <c r="L16" i="5" s="1"/>
  <c r="L41" i="5" s="1"/>
  <c r="L12" i="9"/>
  <c r="L15" i="2"/>
  <c r="L13" i="9"/>
  <c r="L14" i="6"/>
  <c r="L16" i="6" s="1"/>
  <c r="M39" i="5"/>
  <c r="O34" i="6"/>
  <c r="O36" i="6" s="1"/>
  <c r="P34" i="6"/>
  <c r="P36" i="6" s="1"/>
  <c r="N34" i="6"/>
  <c r="N36" i="6" s="1"/>
  <c r="M34" i="6"/>
  <c r="M36" i="6" s="1"/>
  <c r="O39" i="5"/>
  <c r="N14" i="2" l="1"/>
  <c r="N14" i="5"/>
  <c r="P14" i="5"/>
  <c r="P12" i="9"/>
  <c r="P13" i="9"/>
  <c r="P14" i="6"/>
  <c r="P15" i="2"/>
  <c r="P16" i="2" s="1"/>
  <c r="O14" i="5"/>
  <c r="O14" i="2"/>
  <c r="O12" i="9"/>
  <c r="O14" i="6"/>
  <c r="O15" i="2"/>
  <c r="O13" i="9"/>
  <c r="N14" i="6"/>
  <c r="N15" i="2"/>
  <c r="N13" i="9"/>
  <c r="M13" i="9"/>
  <c r="M14" i="6"/>
  <c r="M15" i="2"/>
  <c r="M14" i="5"/>
  <c r="M14" i="2"/>
  <c r="M12" i="9"/>
  <c r="L15" i="3"/>
  <c r="M12" i="6"/>
  <c r="L14" i="3"/>
  <c r="M12" i="5"/>
  <c r="L16" i="2"/>
  <c r="N16" i="2" l="1"/>
  <c r="N30" i="2" s="1"/>
  <c r="M16" i="2"/>
  <c r="N36" i="2" s="1"/>
  <c r="M16" i="5"/>
  <c r="M16" i="6"/>
  <c r="N12" i="6" s="1"/>
  <c r="O16" i="2"/>
  <c r="O30" i="2" s="1"/>
  <c r="P30" i="2"/>
  <c r="L36" i="2"/>
  <c r="L30" i="2"/>
  <c r="M36" i="2" l="1"/>
  <c r="M30" i="2"/>
  <c r="M14" i="3"/>
  <c r="N12" i="5"/>
  <c r="N16" i="5" s="1"/>
  <c r="O12" i="5" s="1"/>
  <c r="O16" i="5" s="1"/>
  <c r="O41" i="5" s="1"/>
  <c r="M41" i="5"/>
  <c r="N16" i="6"/>
  <c r="M15" i="3"/>
  <c r="P36" i="2"/>
  <c r="O36" i="2"/>
  <c r="O14" i="3" l="1"/>
  <c r="P12" i="5"/>
  <c r="P16" i="5" s="1"/>
  <c r="P14" i="3" s="1"/>
  <c r="N15" i="3"/>
  <c r="O12" i="6"/>
  <c r="O16" i="6" s="1"/>
  <c r="N14" i="3"/>
  <c r="N41" i="5"/>
  <c r="P41" i="5" l="1"/>
  <c r="O15" i="3"/>
  <c r="P12" i="6"/>
  <c r="P16" i="6" s="1"/>
  <c r="P15" i="3" s="1"/>
  <c r="W10" i="11" l="1"/>
  <c r="L8" i="3"/>
  <c r="M8" i="3"/>
  <c r="N8" i="3"/>
  <c r="O8" i="3"/>
  <c r="P8" i="3"/>
  <c r="L12" i="3"/>
  <c r="M12" i="3"/>
  <c r="N12" i="3"/>
  <c r="O12" i="3"/>
  <c r="P12" i="3"/>
  <c r="L19" i="3"/>
  <c r="M19" i="3"/>
  <c r="N19" i="3"/>
  <c r="O19" i="3"/>
  <c r="P19" i="3"/>
  <c r="L25" i="3"/>
  <c r="M25" i="3"/>
  <c r="N25" i="3"/>
  <c r="O25" i="3"/>
  <c r="P25" i="3"/>
  <c r="L28" i="3"/>
  <c r="M28" i="3"/>
  <c r="N28" i="3"/>
  <c r="O28" i="3"/>
  <c r="P28" i="3"/>
  <c r="L30" i="3"/>
  <c r="M30" i="3"/>
  <c r="N30" i="3"/>
  <c r="O30" i="3"/>
  <c r="P30" i="3"/>
  <c r="L32" i="3"/>
  <c r="M32" i="3"/>
  <c r="N32" i="3"/>
  <c r="O32" i="3"/>
  <c r="P32" i="3"/>
  <c r="L33" i="3"/>
  <c r="M33" i="3"/>
  <c r="N33" i="3"/>
  <c r="O33" i="3"/>
  <c r="P33" i="3"/>
  <c r="L35" i="3"/>
  <c r="M35" i="3"/>
  <c r="N35" i="3"/>
  <c r="O35" i="3"/>
  <c r="P35" i="3"/>
  <c r="L36" i="3"/>
  <c r="M36" i="3"/>
  <c r="N36" i="3"/>
  <c r="O36" i="3"/>
  <c r="P36" i="3"/>
  <c r="L37" i="3"/>
  <c r="M37" i="3"/>
  <c r="N37" i="3"/>
  <c r="O37" i="3"/>
  <c r="P37" i="3"/>
  <c r="L40" i="3"/>
  <c r="M40" i="3"/>
  <c r="N40" i="3"/>
  <c r="O40" i="3"/>
  <c r="P40" i="3"/>
  <c r="L41" i="3"/>
  <c r="M41" i="3"/>
  <c r="N41" i="3"/>
  <c r="O41" i="3"/>
  <c r="P41" i="3"/>
  <c r="L42" i="3"/>
  <c r="M42" i="3"/>
  <c r="N42" i="3"/>
  <c r="O42" i="3"/>
  <c r="P42" i="3"/>
  <c r="L10" i="9"/>
  <c r="M10" i="9"/>
  <c r="N10" i="9"/>
  <c r="O10" i="9"/>
  <c r="P10" i="9"/>
  <c r="L16" i="9"/>
  <c r="M16" i="9"/>
  <c r="N16" i="9"/>
  <c r="O16" i="9"/>
  <c r="P16" i="9"/>
  <c r="L23" i="9"/>
  <c r="M23" i="9"/>
  <c r="N23" i="9"/>
  <c r="O23" i="9"/>
  <c r="P23" i="9"/>
  <c r="L26" i="9"/>
  <c r="M26" i="9"/>
  <c r="N26" i="9"/>
  <c r="O26" i="9"/>
  <c r="P26" i="9"/>
  <c r="L29" i="9"/>
  <c r="M29" i="9"/>
  <c r="N29" i="9"/>
  <c r="O29" i="9"/>
  <c r="P29" i="9"/>
  <c r="L30" i="9"/>
  <c r="M30" i="9"/>
  <c r="N30" i="9"/>
  <c r="O30" i="9"/>
  <c r="P30" i="9"/>
  <c r="L32" i="9"/>
  <c r="M32" i="9"/>
  <c r="N32" i="9"/>
  <c r="O32" i="9"/>
  <c r="P32" i="9"/>
  <c r="M33" i="9"/>
  <c r="N33" i="9"/>
  <c r="O33" i="9"/>
  <c r="P33" i="9"/>
  <c r="L34" i="9"/>
  <c r="M34" i="9"/>
  <c r="N34" i="9"/>
  <c r="O34" i="9"/>
  <c r="P34" i="9"/>
  <c r="L9" i="10"/>
  <c r="M9" i="10"/>
  <c r="N9" i="10"/>
  <c r="O9" i="10"/>
  <c r="P9" i="10"/>
  <c r="L10" i="10"/>
  <c r="M10" i="10"/>
  <c r="N10" i="10"/>
  <c r="O10" i="10"/>
  <c r="P10" i="10"/>
  <c r="M11" i="10"/>
  <c r="N11" i="10"/>
  <c r="O11" i="10"/>
  <c r="P11" i="10"/>
  <c r="L13" i="10"/>
  <c r="M13" i="10"/>
  <c r="N13" i="10"/>
  <c r="O13" i="10"/>
  <c r="P13" i="10"/>
  <c r="L16" i="10"/>
  <c r="M16" i="10"/>
  <c r="N16" i="10"/>
  <c r="O16" i="10"/>
  <c r="P16" i="10"/>
  <c r="M19" i="10"/>
  <c r="N19" i="10"/>
  <c r="O19" i="10"/>
  <c r="P19" i="10"/>
  <c r="L20" i="10"/>
  <c r="M20" i="10"/>
  <c r="N20" i="10"/>
  <c r="O20" i="10"/>
  <c r="P20" i="10"/>
  <c r="L21" i="10"/>
  <c r="M21" i="10"/>
  <c r="N21" i="10"/>
  <c r="O21" i="10"/>
  <c r="P21" i="10"/>
  <c r="L30" i="10"/>
  <c r="M30" i="10"/>
  <c r="N30" i="10"/>
  <c r="O30" i="10"/>
  <c r="P30" i="10"/>
  <c r="L33" i="10"/>
  <c r="M33" i="10"/>
  <c r="N33" i="10"/>
  <c r="O33" i="10"/>
  <c r="P33" i="10"/>
  <c r="L39" i="10"/>
  <c r="M39" i="10"/>
  <c r="N39" i="10"/>
  <c r="O39" i="10"/>
  <c r="P39" i="10"/>
  <c r="L41" i="10"/>
  <c r="M41" i="10"/>
  <c r="N41" i="10"/>
  <c r="O41" i="10"/>
  <c r="P41" i="10"/>
  <c r="L43" i="10"/>
  <c r="M43" i="10"/>
  <c r="N43" i="10"/>
  <c r="O43" i="10"/>
  <c r="P43" i="10"/>
  <c r="M9" i="8"/>
  <c r="N9" i="8"/>
  <c r="O9" i="8"/>
  <c r="P9" i="8"/>
  <c r="L10" i="8"/>
  <c r="M10" i="8"/>
  <c r="N10" i="8"/>
  <c r="O10" i="8"/>
  <c r="P10" i="8"/>
  <c r="L12" i="8"/>
  <c r="M12" i="8"/>
  <c r="N12" i="8"/>
  <c r="O12" i="8"/>
  <c r="P12" i="8"/>
  <c r="L13" i="8"/>
  <c r="M13" i="8"/>
  <c r="N13" i="8"/>
  <c r="O13" i="8"/>
  <c r="P13" i="8"/>
  <c r="L16" i="8"/>
  <c r="M16" i="8"/>
  <c r="N16" i="8"/>
  <c r="O16" i="8"/>
  <c r="P16" i="8"/>
  <c r="L17" i="8"/>
  <c r="M17" i="8"/>
  <c r="N17" i="8"/>
  <c r="O17" i="8"/>
  <c r="P17" i="8"/>
  <c r="L18" i="2"/>
  <c r="M18" i="2"/>
  <c r="N18" i="2"/>
  <c r="O18" i="2"/>
  <c r="P18" i="2"/>
  <c r="L19" i="2"/>
  <c r="M19" i="2"/>
  <c r="N19" i="2"/>
  <c r="O19" i="2"/>
  <c r="P19" i="2"/>
  <c r="L20" i="2"/>
  <c r="M20" i="2"/>
  <c r="N20" i="2"/>
  <c r="O20" i="2"/>
  <c r="P20" i="2"/>
  <c r="L22" i="2"/>
  <c r="M22" i="2"/>
  <c r="N22" i="2"/>
  <c r="O22" i="2"/>
  <c r="P22" i="2"/>
  <c r="L23" i="2"/>
  <c r="M23" i="2"/>
  <c r="N23" i="2"/>
  <c r="O23" i="2"/>
  <c r="P23" i="2"/>
  <c r="L31" i="2"/>
  <c r="M31" i="2"/>
  <c r="N31" i="2"/>
  <c r="O31" i="2"/>
  <c r="P31" i="2"/>
  <c r="L37" i="2"/>
  <c r="M37" i="2"/>
  <c r="N37" i="2"/>
  <c r="O37" i="2"/>
  <c r="P3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Chuck Brobst</author>
  </authors>
  <commentList>
    <comment ref="F25" authorId="0" shapeId="0" xr:uid="{A122FEC8-772F-42ED-8A9E-BE834AAE3147}">
      <text>
        <r>
          <rPr>
            <b/>
            <sz val="9"/>
            <color rgb="FF000000"/>
            <rFont val="Tahoma"/>
            <family val="2"/>
          </rPr>
          <t>Select depreciation method to be applied</t>
        </r>
      </text>
    </comment>
    <comment ref="F26" authorId="0" shapeId="0" xr:uid="{95B149F2-B713-4F92-B372-9144B1726736}">
      <text>
        <r>
          <rPr>
            <b/>
            <sz val="9"/>
            <color indexed="81"/>
            <rFont val="Tahoma"/>
            <family val="2"/>
          </rPr>
          <t>1 = straight line
2 = Sum of years' digits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31" authorId="0" shapeId="0" xr:uid="{FB4C6BE4-1B42-4EB3-90C5-42767D2562A5}">
      <text>
        <r>
          <rPr>
            <b/>
            <sz val="9"/>
            <color rgb="FF000000"/>
            <rFont val="Tahoma"/>
            <family val="2"/>
          </rPr>
          <t>Capex projections come from computation in capex row above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Chuck Brobst</author>
  </authors>
  <commentList>
    <comment ref="F23" authorId="0" shapeId="0" xr:uid="{EECA2A04-BBFC-4A49-9C97-EBBE346DFCDA}">
      <text>
        <r>
          <rPr>
            <b/>
            <sz val="9"/>
            <color rgb="FF000000"/>
            <rFont val="Tahoma"/>
            <family val="2"/>
          </rPr>
          <t xml:space="preserve">1 = straight line
</t>
        </r>
        <r>
          <rPr>
            <b/>
            <sz val="9"/>
            <color rgb="FF000000"/>
            <rFont val="Tahoma"/>
            <family val="2"/>
          </rPr>
          <t>2 = Sum of years' digits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E28" authorId="0" shapeId="0" xr:uid="{A2E97AEB-2707-4D1E-9EB1-0D0E89303791}">
      <text>
        <r>
          <rPr>
            <b/>
            <sz val="9"/>
            <color indexed="81"/>
            <rFont val="Tahoma"/>
            <family val="2"/>
          </rPr>
          <t>Addition projections come from computation in additions from intangibles row above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<sst xmlns="http://schemas.openxmlformats.org/spreadsheetml/2006/main" count="330" uniqueCount="192">
  <si>
    <t>Company</t>
  </si>
  <si>
    <t>Last Fiscal Year End</t>
  </si>
  <si>
    <t>Days per year</t>
  </si>
  <si>
    <t>Subheading</t>
  </si>
  <si>
    <t>Dollars in millions, except per share data</t>
  </si>
  <si>
    <t>FYE Adjustment</t>
  </si>
  <si>
    <t>Sales</t>
  </si>
  <si>
    <t>Gross profit</t>
  </si>
  <si>
    <t>Cost of goods sold (excluding depreciation)</t>
  </si>
  <si>
    <t>SG&amp;A expenses (excluding amortization)</t>
  </si>
  <si>
    <t>EBITDA</t>
  </si>
  <si>
    <t>Depreciation</t>
  </si>
  <si>
    <t>Amortization</t>
  </si>
  <si>
    <t>EBIT</t>
  </si>
  <si>
    <t>Interest expense</t>
  </si>
  <si>
    <t>Interest (income)</t>
  </si>
  <si>
    <t>EBT</t>
  </si>
  <si>
    <t>Income taxes</t>
  </si>
  <si>
    <t>Net income</t>
  </si>
  <si>
    <t>Margins</t>
  </si>
  <si>
    <t>Gross margin</t>
  </si>
  <si>
    <t>EBITDA margin</t>
  </si>
  <si>
    <t>EBIT margin</t>
  </si>
  <si>
    <t>Net income margin</t>
  </si>
  <si>
    <t>Growth rate analysis</t>
  </si>
  <si>
    <t>Sales growth rate</t>
  </si>
  <si>
    <t>EBITDA growth rate</t>
  </si>
  <si>
    <t>Net income growth rate</t>
  </si>
  <si>
    <t>Effective tax rate</t>
  </si>
  <si>
    <t>EBIT growth rate</t>
  </si>
  <si>
    <t>Cash</t>
  </si>
  <si>
    <t>Accounts receivable, net</t>
  </si>
  <si>
    <t>Inventories</t>
  </si>
  <si>
    <t>Other current assets</t>
  </si>
  <si>
    <t>Total current assets</t>
  </si>
  <si>
    <t>PP&amp;E, net</t>
  </si>
  <si>
    <t>Intangibles</t>
  </si>
  <si>
    <t>Indefinite life intangibles (trademark, brand)</t>
  </si>
  <si>
    <t>Goodwill</t>
  </si>
  <si>
    <t>Other long-term assets</t>
  </si>
  <si>
    <t>Accounts payable</t>
  </si>
  <si>
    <t>Other current liabilities</t>
  </si>
  <si>
    <t>Revolver</t>
  </si>
  <si>
    <t>Long-term debt</t>
  </si>
  <si>
    <t>Total liabilities</t>
  </si>
  <si>
    <t>Total stockholders' equity</t>
  </si>
  <si>
    <t>Total liabilities and equity</t>
  </si>
  <si>
    <t>Total current liabilities</t>
  </si>
  <si>
    <t>Total assets</t>
  </si>
  <si>
    <t>SG&amp;A as a % of sales</t>
  </si>
  <si>
    <t>Total debt</t>
  </si>
  <si>
    <t>Total debt / EBITDA</t>
  </si>
  <si>
    <t>EBITDA coverage</t>
  </si>
  <si>
    <t xml:space="preserve">EBITDA </t>
  </si>
  <si>
    <t>Total book capitalization</t>
  </si>
  <si>
    <t>Total debt / total book capitalization</t>
  </si>
  <si>
    <t>Check A = L + E</t>
  </si>
  <si>
    <t>Working capital balances</t>
  </si>
  <si>
    <t>Total non-cash current assets</t>
  </si>
  <si>
    <t>Total non-debt current liabilities</t>
  </si>
  <si>
    <t>(Increase) / decrease in working capital</t>
  </si>
  <si>
    <t>Ratios and assumptions</t>
  </si>
  <si>
    <t>Cash flows by individual accounts</t>
  </si>
  <si>
    <t>Capital expenditures</t>
  </si>
  <si>
    <t>Capital expenditures as % of sales</t>
  </si>
  <si>
    <t>Beginning net PP&amp;E</t>
  </si>
  <si>
    <t>(Depreciation expense)</t>
  </si>
  <si>
    <t>(Asset sales and write-offs)</t>
  </si>
  <si>
    <t>Ending net PP&amp;E</t>
  </si>
  <si>
    <t>Existing PP&amp;E, net</t>
  </si>
  <si>
    <t>Land</t>
  </si>
  <si>
    <t>Depreciable PP&amp;E</t>
  </si>
  <si>
    <t>Year</t>
  </si>
  <si>
    <t>CapEx</t>
  </si>
  <si>
    <t>Missing data indicator</t>
  </si>
  <si>
    <t>datarequired</t>
  </si>
  <si>
    <t>Projected Depreciation of Existing PP&amp;E</t>
  </si>
  <si>
    <t>Depreciation Method</t>
  </si>
  <si>
    <t>Useful life (years)</t>
  </si>
  <si>
    <t>Projected Depreciation of CapEx*</t>
  </si>
  <si>
    <t xml:space="preserve">*Projected depreciation expense on future capex is assumed to use the straight line method adjusted for 1/2 year convention in the first year. </t>
  </si>
  <si>
    <t>Other long-term liabilities</t>
  </si>
  <si>
    <t>Step</t>
  </si>
  <si>
    <t>Projected Amortization of Existing Intangibles</t>
  </si>
  <si>
    <t>Assets</t>
  </si>
  <si>
    <t>Liabilities</t>
  </si>
  <si>
    <t>Total other long-term assets:</t>
  </si>
  <si>
    <t>Total other long-term liabilities:</t>
  </si>
  <si>
    <t>Change in other long-term assets and liabilities</t>
  </si>
  <si>
    <t>(Increase) / decrease in other assets:</t>
  </si>
  <si>
    <t>Increase / (decrease) in other long-term liabilities:</t>
  </si>
  <si>
    <t>Beginning equity balance</t>
  </si>
  <si>
    <t>Stock-based compensation expense</t>
  </si>
  <si>
    <t>Dividends</t>
  </si>
  <si>
    <t>Ending equity balance</t>
  </si>
  <si>
    <t>Dividend assumptions</t>
  </si>
  <si>
    <t>Dividend payout ratio</t>
  </si>
  <si>
    <t>Operating activities</t>
  </si>
  <si>
    <t>Net Income</t>
  </si>
  <si>
    <t xml:space="preserve">Amortization </t>
  </si>
  <si>
    <t>Cash flow from operating activities</t>
  </si>
  <si>
    <t>Investing activities</t>
  </si>
  <si>
    <t>Additions to intangibles</t>
  </si>
  <si>
    <t>Cash flow from investing activities</t>
  </si>
  <si>
    <t>Cash flow available for financing activities</t>
  </si>
  <si>
    <t>Financing activities</t>
  </si>
  <si>
    <t>Issuance / (repayment) of revolver</t>
  </si>
  <si>
    <t>Issuance of long-term debt</t>
  </si>
  <si>
    <t>(Repayment) of long-term debt</t>
  </si>
  <si>
    <t>Cash flow from financing activities</t>
  </si>
  <si>
    <t>Net change in cash</t>
  </si>
  <si>
    <t>Beginning cash balance</t>
  </si>
  <si>
    <t>Ending cash balance</t>
  </si>
  <si>
    <t>Plus: beginning cash balance</t>
  </si>
  <si>
    <t>Less: minimum cash balance</t>
  </si>
  <si>
    <t>Cash available for debt repayment</t>
  </si>
  <si>
    <t>Long-term debt issuance</t>
  </si>
  <si>
    <t>Long-term debt (repayment)</t>
  </si>
  <si>
    <t>Excess cash available for revolver</t>
  </si>
  <si>
    <t>Beginning balance</t>
  </si>
  <si>
    <t>=====&gt;&gt;critical formula</t>
  </si>
  <si>
    <t>Ending balance</t>
  </si>
  <si>
    <t>Issuance</t>
  </si>
  <si>
    <t>(Repayment)</t>
  </si>
  <si>
    <t>Average balances</t>
  </si>
  <si>
    <t>Spread</t>
  </si>
  <si>
    <t>Interest rate</t>
  </si>
  <si>
    <t>Total interest expense</t>
  </si>
  <si>
    <t>Cash balances</t>
  </si>
  <si>
    <t>Total depreciation expense</t>
  </si>
  <si>
    <t>Depreciation expense as a % of PP&amp;E</t>
  </si>
  <si>
    <t>(Amortization expense)</t>
  </si>
  <si>
    <t>(Write-offs)</t>
  </si>
  <si>
    <t>Ending intangibles</t>
  </si>
  <si>
    <t>Existing Intangibles</t>
  </si>
  <si>
    <t>Amortization Method</t>
  </si>
  <si>
    <t>Projected Amortization of Additional Intangibles*</t>
  </si>
  <si>
    <t>Total Amortization Expense</t>
  </si>
  <si>
    <t xml:space="preserve">*Projected amortization expense on future additional intangibles is assumed to use the straight line method adjusted for 1/2 year convention in the first year. </t>
  </si>
  <si>
    <t>Beginning intangibles</t>
  </si>
  <si>
    <t>Circular Calc of Debt Schedule</t>
  </si>
  <si>
    <t>0 = "off" (change parameters)</t>
  </si>
  <si>
    <t>1= "on" (model "working")</t>
  </si>
  <si>
    <t>Net working capital / (deficit)</t>
  </si>
  <si>
    <t>debt schedule to inc stmt</t>
  </si>
  <si>
    <t>cf stmt to debt schedule</t>
  </si>
  <si>
    <t>inc stmt to cash flow stmt</t>
  </si>
  <si>
    <t>wc schedule to cf stmt</t>
  </si>
  <si>
    <t>equity sched to cf stmt</t>
  </si>
  <si>
    <t>debt schedule to cf stmt</t>
  </si>
  <si>
    <t>income stmt to wc sched</t>
  </si>
  <si>
    <t>cf stmt to bs</t>
  </si>
  <si>
    <t>d&amp;a to bs</t>
  </si>
  <si>
    <t>debt sched to bs</t>
  </si>
  <si>
    <t>Income Statement Assumptions</t>
  </si>
  <si>
    <t>Sales (% growth)</t>
  </si>
  <si>
    <t>Base</t>
  </si>
  <si>
    <t>Management</t>
  </si>
  <si>
    <t>Upside</t>
  </si>
  <si>
    <t>Downside</t>
  </si>
  <si>
    <t>Cost of goods sold (% sales)</t>
  </si>
  <si>
    <t>SG&amp;A (% sales)</t>
  </si>
  <si>
    <t>Depreciation ()</t>
  </si>
  <si>
    <t>Amortization()</t>
  </si>
  <si>
    <t>Cash Flow Statement Assumptions</t>
  </si>
  <si>
    <t>Capital expenditures (% sales)</t>
  </si>
  <si>
    <t>Balance Sheet Assumptions</t>
  </si>
  <si>
    <t>Current Assets</t>
  </si>
  <si>
    <t>Other current assets (% sales)</t>
  </si>
  <si>
    <t>Days inventory held (DIH)</t>
  </si>
  <si>
    <t>Days sales outstanding (DSO)</t>
  </si>
  <si>
    <t>Current Liabilities</t>
  </si>
  <si>
    <t>Days payable outstanding (DPO)</t>
  </si>
  <si>
    <t>Other current liabilities (% sales)</t>
  </si>
  <si>
    <t>Projected</t>
  </si>
  <si>
    <t>Historical</t>
  </si>
  <si>
    <t>Option Selection</t>
  </si>
  <si>
    <t>Operating scenario</t>
  </si>
  <si>
    <t>Annual Step</t>
  </si>
  <si>
    <t>Gross margins</t>
  </si>
  <si>
    <t>Additions as % of sales</t>
  </si>
  <si>
    <t>Intangible additions (% sales)</t>
  </si>
  <si>
    <t>Additions</t>
  </si>
  <si>
    <t>(5 points)</t>
  </si>
  <si>
    <t>(1 point)</t>
  </si>
  <si>
    <t>(2 points)</t>
  </si>
  <si>
    <t>(5 points for the section)</t>
  </si>
  <si>
    <t>(7 points)</t>
  </si>
  <si>
    <r>
      <t xml:space="preserve">Data Table </t>
    </r>
    <r>
      <rPr>
        <b/>
        <sz val="11"/>
        <color rgb="FFFF0000"/>
        <rFont val="Arial"/>
        <family val="2"/>
      </rPr>
      <t>(10 points)</t>
    </r>
  </si>
  <si>
    <t>SOFR</t>
  </si>
  <si>
    <t>Straight Line</t>
  </si>
  <si>
    <t>Sharang Corporation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</si>
</sst>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_);_(* \(#,##0.0\);_(* &quot;-&quot;??_);_(@_)"/>
    <numFmt numFmtId="165" formatCode="_(&quot;$&quot;* #,##0.0_);_(&quot;$&quot;* \(#,##0.0\);_(&quot;$&quot;* &quot;-&quot;??_);_(@_)"/>
    <numFmt numFmtId="166" formatCode="#,##0.0\x"/>
    <numFmt numFmtId="167" formatCode="&quot;$&quot;#,##0.0_);\(&quot;$&quot;#,##0.0\)"/>
    <numFmt numFmtId="168" formatCode="0.0"/>
    <numFmt numFmtId="169" formatCode="&quot;$&quot;#,##0.0_);[Red]\(&quot;$&quot;#,##0.0\)"/>
    <numFmt numFmtId="170" formatCode="_(* #,##0_);_(* \(#,##0\);_(* &quot;-&quot;??_);_(@_)"/>
    <numFmt numFmtId="171" formatCode="#,##0.0_);\(#,##0.0\)"/>
    <numFmt numFmtId="172" formatCode="_([$$-409]* #,##0.0_);_([$$-409]* \(#,##0.0\);_([$$-409]* &quot;-&quot;??_);_(@_)"/>
    <numFmt numFmtId="173" formatCode="0.0%"/>
    <numFmt numFmtId="174" formatCode="&quot;$&quot;#,##0.0"/>
    <numFmt numFmtId="175" formatCode="#&quot; bps&quot;"/>
    <numFmt numFmtId="176" formatCode="0.0%_);\(0.0%\)"/>
    <numFmt numFmtId="177" formatCode="0.0_);\(0.0\)"/>
    <numFmt numFmtId="178" formatCode="0.000000000%"/>
    <numFmt numFmtId="179" formatCode="#,##0.0"/>
  </numFmts>
  <fonts count="51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u/>
      <sz val="11"/>
      <color theme="1"/>
      <name val="Arial"/>
      <family val="2"/>
    </font>
    <font>
      <i/>
      <sz val="8"/>
      <color theme="1"/>
      <name val="Arial"/>
      <family val="2"/>
    </font>
    <font>
      <i/>
      <sz val="11"/>
      <color theme="1"/>
      <name val="Arial"/>
      <family val="2"/>
    </font>
    <font>
      <i/>
      <sz val="9"/>
      <color theme="1"/>
      <name val="Arial"/>
      <family val="2"/>
    </font>
    <font>
      <b/>
      <sz val="11"/>
      <color theme="1"/>
      <name val="Arial"/>
      <family val="2"/>
    </font>
    <font>
      <u/>
      <sz val="10"/>
      <color theme="1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1"/>
      <color rgb="FFC00000"/>
      <name val="Arial"/>
      <family val="2"/>
    </font>
    <font>
      <sz val="11"/>
      <name val="Arial"/>
      <family val="2"/>
    </font>
    <font>
      <sz val="11"/>
      <color theme="0"/>
      <name val="Arial"/>
      <family val="2"/>
    </font>
    <font>
      <sz val="10"/>
      <color theme="0"/>
      <name val="Arial"/>
      <family val="2"/>
    </font>
    <font>
      <u/>
      <sz val="11"/>
      <color theme="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66FF"/>
      <name val="Arial"/>
      <family val="2"/>
    </font>
    <font>
      <sz val="10"/>
      <color rgb="FF0066FF"/>
      <name val="Arial"/>
      <family val="2"/>
    </font>
    <font>
      <u/>
      <sz val="11"/>
      <color theme="1"/>
      <name val="Calibri"/>
      <family val="2"/>
      <scheme val="minor"/>
    </font>
    <font>
      <i/>
      <sz val="10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sz val="10"/>
      <color indexed="12"/>
      <name val="Arial"/>
      <family val="2"/>
    </font>
    <font>
      <sz val="7"/>
      <color indexed="10"/>
      <name val="Arial"/>
      <family val="2"/>
    </font>
    <font>
      <u/>
      <sz val="10"/>
      <color indexed="17"/>
      <name val="Arial"/>
      <family val="2"/>
    </font>
    <font>
      <sz val="10"/>
      <color indexed="17"/>
      <name val="Arial"/>
      <family val="2"/>
    </font>
    <font>
      <sz val="10"/>
      <color indexed="23"/>
      <name val="Arial"/>
      <family val="2"/>
    </font>
    <font>
      <b/>
      <sz val="10"/>
      <color indexed="10"/>
      <name val="Arial"/>
      <family val="2"/>
    </font>
    <font>
      <b/>
      <sz val="11"/>
      <color rgb="FFC00000"/>
      <name val="Arial"/>
      <family val="2"/>
    </font>
    <font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i/>
      <sz val="10"/>
      <color rgb="FFC00000"/>
      <name val="Arial"/>
      <family val="2"/>
    </font>
    <font>
      <sz val="10"/>
      <color rgb="FFC00000"/>
      <name val="Arial"/>
      <family val="2"/>
    </font>
    <font>
      <sz val="11"/>
      <color theme="9" tint="-0.249977111117893"/>
      <name val="Calibri"/>
      <family val="2"/>
      <scheme val="minor"/>
    </font>
    <font>
      <sz val="11"/>
      <color rgb="FF0000FF"/>
      <name val="Arial"/>
      <family val="2"/>
    </font>
    <font>
      <sz val="11"/>
      <color rgb="FFFF0000"/>
      <name val="Arial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sz val="11"/>
      <color rgb="FFFF0000"/>
      <name val="Arial"/>
      <family val="2"/>
    </font>
    <font>
      <sz val="12"/>
      <color rgb="FFFFFFF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311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5" fillId="0" borderId="0" xfId="0" applyFont="1" applyAlignment="1">
      <alignment horizontal="right"/>
    </xf>
    <xf numFmtId="0" fontId="5" fillId="0" borderId="1" xfId="0" applyFont="1" applyBorder="1"/>
    <xf numFmtId="0" fontId="8" fillId="0" borderId="0" xfId="0" applyFont="1"/>
    <xf numFmtId="0" fontId="5" fillId="2" borderId="0" xfId="0" applyFont="1" applyFill="1"/>
    <xf numFmtId="0" fontId="8" fillId="0" borderId="1" xfId="0" applyFont="1" applyBorder="1"/>
    <xf numFmtId="0" fontId="5" fillId="3" borderId="0" xfId="0" applyFont="1" applyFill="1"/>
    <xf numFmtId="0" fontId="9" fillId="0" borderId="0" xfId="0" applyFont="1"/>
    <xf numFmtId="164" fontId="5" fillId="3" borderId="0" xfId="1" applyNumberFormat="1" applyFont="1" applyFill="1"/>
    <xf numFmtId="164" fontId="5" fillId="0" borderId="0" xfId="1" applyNumberFormat="1" applyFont="1"/>
    <xf numFmtId="164" fontId="5" fillId="3" borderId="2" xfId="1" applyNumberFormat="1" applyFont="1" applyFill="1" applyBorder="1"/>
    <xf numFmtId="164" fontId="5" fillId="0" borderId="1" xfId="1" applyNumberFormat="1" applyFont="1" applyBorder="1"/>
    <xf numFmtId="165" fontId="5" fillId="0" borderId="0" xfId="2" applyNumberFormat="1" applyFont="1"/>
    <xf numFmtId="166" fontId="5" fillId="0" borderId="0" xfId="0" applyNumberFormat="1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2" fillId="0" borderId="1" xfId="0" applyFont="1" applyBorder="1"/>
    <xf numFmtId="166" fontId="5" fillId="0" borderId="1" xfId="0" applyNumberFormat="1" applyFont="1" applyBorder="1"/>
    <xf numFmtId="8" fontId="5" fillId="0" borderId="0" xfId="0" applyNumberFormat="1" applyFont="1"/>
    <xf numFmtId="8" fontId="5" fillId="0" borderId="1" xfId="0" applyNumberFormat="1" applyFont="1" applyBorder="1"/>
    <xf numFmtId="0" fontId="0" fillId="0" borderId="2" xfId="0" applyBorder="1"/>
    <xf numFmtId="0" fontId="13" fillId="0" borderId="0" xfId="0" applyFont="1"/>
    <xf numFmtId="167" fontId="0" fillId="0" borderId="0" xfId="0" applyNumberFormat="1"/>
    <xf numFmtId="0" fontId="14" fillId="0" borderId="0" xfId="0" applyFont="1"/>
    <xf numFmtId="0" fontId="15" fillId="0" borderId="0" xfId="0" applyFont="1"/>
    <xf numFmtId="0" fontId="7" fillId="2" borderId="2" xfId="0" applyFont="1" applyFill="1" applyBorder="1"/>
    <xf numFmtId="0" fontId="7" fillId="0" borderId="1" xfId="0" applyFont="1" applyBorder="1"/>
    <xf numFmtId="0" fontId="7" fillId="2" borderId="0" xfId="0" applyFont="1" applyFill="1"/>
    <xf numFmtId="0" fontId="15" fillId="2" borderId="0" xfId="0" applyFont="1" applyFill="1"/>
    <xf numFmtId="0" fontId="16" fillId="0" borderId="0" xfId="0" applyFont="1"/>
    <xf numFmtId="7" fontId="5" fillId="0" borderId="0" xfId="0" applyNumberFormat="1" applyFont="1"/>
    <xf numFmtId="167" fontId="5" fillId="0" borderId="0" xfId="0" applyNumberFormat="1" applyFont="1"/>
    <xf numFmtId="0" fontId="18" fillId="5" borderId="0" xfId="0" applyFont="1" applyFill="1"/>
    <xf numFmtId="0" fontId="20" fillId="5" borderId="0" xfId="0" applyFont="1" applyFill="1"/>
    <xf numFmtId="0" fontId="20" fillId="5" borderId="1" xfId="0" applyFont="1" applyFill="1" applyBorder="1"/>
    <xf numFmtId="0" fontId="19" fillId="5" borderId="0" xfId="0" applyFont="1" applyFill="1"/>
    <xf numFmtId="0" fontId="18" fillId="0" borderId="0" xfId="0" applyFont="1"/>
    <xf numFmtId="169" fontId="5" fillId="0" borderId="0" xfId="0" applyNumberFormat="1" applyFont="1"/>
    <xf numFmtId="170" fontId="5" fillId="0" borderId="0" xfId="1" applyNumberFormat="1" applyFont="1"/>
    <xf numFmtId="170" fontId="5" fillId="0" borderId="0" xfId="0" applyNumberFormat="1" applyFont="1"/>
    <xf numFmtId="43" fontId="5" fillId="0" borderId="0" xfId="0" applyNumberFormat="1" applyFont="1"/>
    <xf numFmtId="168" fontId="5" fillId="0" borderId="0" xfId="0" applyNumberFormat="1" applyFont="1"/>
    <xf numFmtId="165" fontId="5" fillId="0" borderId="0" xfId="0" applyNumberFormat="1" applyFont="1"/>
    <xf numFmtId="171" fontId="5" fillId="0" borderId="0" xfId="2" applyNumberFormat="1" applyFont="1"/>
    <xf numFmtId="171" fontId="5" fillId="0" borderId="0" xfId="0" applyNumberFormat="1" applyFont="1"/>
    <xf numFmtId="164" fontId="5" fillId="3" borderId="4" xfId="1" applyNumberFormat="1" applyFont="1" applyFill="1" applyBorder="1"/>
    <xf numFmtId="167" fontId="7" fillId="0" borderId="0" xfId="0" applyNumberFormat="1" applyFont="1"/>
    <xf numFmtId="167" fontId="7" fillId="0" borderId="1" xfId="0" applyNumberFormat="1" applyFont="1" applyBorder="1"/>
    <xf numFmtId="167" fontId="15" fillId="0" borderId="0" xfId="0" applyNumberFormat="1" applyFont="1"/>
    <xf numFmtId="167" fontId="15" fillId="0" borderId="1" xfId="0" applyNumberFormat="1" applyFont="1" applyBorder="1"/>
    <xf numFmtId="172" fontId="15" fillId="0" borderId="0" xfId="0" applyNumberFormat="1" applyFont="1"/>
    <xf numFmtId="172" fontId="15" fillId="0" borderId="1" xfId="0" applyNumberFormat="1" applyFont="1" applyBorder="1"/>
    <xf numFmtId="167" fontId="5" fillId="0" borderId="1" xfId="0" applyNumberFormat="1" applyFont="1" applyBorder="1"/>
    <xf numFmtId="0" fontId="18" fillId="5" borderId="1" xfId="0" applyFont="1" applyFill="1" applyBorder="1"/>
    <xf numFmtId="0" fontId="18" fillId="0" borderId="1" xfId="0" applyFont="1" applyBorder="1"/>
    <xf numFmtId="0" fontId="5" fillId="2" borderId="1" xfId="0" applyFont="1" applyFill="1" applyBorder="1"/>
    <xf numFmtId="173" fontId="5" fillId="0" borderId="0" xfId="3" applyNumberFormat="1" applyFont="1"/>
    <xf numFmtId="173" fontId="5" fillId="0" borderId="1" xfId="3" applyNumberFormat="1" applyFont="1" applyBorder="1"/>
    <xf numFmtId="173" fontId="10" fillId="0" borderId="0" xfId="3" applyNumberFormat="1" applyFont="1"/>
    <xf numFmtId="173" fontId="10" fillId="0" borderId="1" xfId="3" applyNumberFormat="1" applyFont="1" applyBorder="1"/>
    <xf numFmtId="164" fontId="23" fillId="0" borderId="0" xfId="1" applyNumberFormat="1" applyFont="1" applyFill="1"/>
    <xf numFmtId="164" fontId="23" fillId="0" borderId="1" xfId="1" applyNumberFormat="1" applyFont="1" applyFill="1" applyBorder="1"/>
    <xf numFmtId="164" fontId="23" fillId="0" borderId="2" xfId="1" applyNumberFormat="1" applyFont="1" applyFill="1" applyBorder="1"/>
    <xf numFmtId="164" fontId="23" fillId="0" borderId="3" xfId="1" applyNumberFormat="1" applyFont="1" applyFill="1" applyBorder="1"/>
    <xf numFmtId="167" fontId="12" fillId="0" borderId="0" xfId="0" applyNumberFormat="1" applyFont="1"/>
    <xf numFmtId="167" fontId="12" fillId="0" borderId="1" xfId="0" applyNumberFormat="1" applyFont="1" applyBorder="1"/>
    <xf numFmtId="171" fontId="7" fillId="0" borderId="0" xfId="0" applyNumberFormat="1" applyFont="1"/>
    <xf numFmtId="171" fontId="7" fillId="0" borderId="1" xfId="0" applyNumberFormat="1" applyFont="1" applyBorder="1"/>
    <xf numFmtId="171" fontId="7" fillId="0" borderId="2" xfId="0" applyNumberFormat="1" applyFont="1" applyBorder="1"/>
    <xf numFmtId="171" fontId="7" fillId="0" borderId="3" xfId="0" applyNumberFormat="1" applyFont="1" applyBorder="1"/>
    <xf numFmtId="171" fontId="7" fillId="3" borderId="0" xfId="0" applyNumberFormat="1" applyFont="1" applyFill="1"/>
    <xf numFmtId="171" fontId="7" fillId="3" borderId="2" xfId="0" applyNumberFormat="1" applyFont="1" applyFill="1" applyBorder="1"/>
    <xf numFmtId="168" fontId="7" fillId="0" borderId="0" xfId="0" applyNumberFormat="1" applyFont="1"/>
    <xf numFmtId="168" fontId="7" fillId="0" borderId="1" xfId="0" applyNumberFormat="1" applyFont="1" applyBorder="1"/>
    <xf numFmtId="173" fontId="7" fillId="0" borderId="0" xfId="0" applyNumberFormat="1" applyFont="1"/>
    <xf numFmtId="173" fontId="7" fillId="0" borderId="1" xfId="0" applyNumberFormat="1" applyFont="1" applyBorder="1"/>
    <xf numFmtId="0" fontId="24" fillId="0" borderId="0" xfId="0" applyFont="1"/>
    <xf numFmtId="168" fontId="24" fillId="0" borderId="0" xfId="0" applyNumberFormat="1" applyFont="1"/>
    <xf numFmtId="173" fontId="24" fillId="0" borderId="0" xfId="0" applyNumberFormat="1" applyFont="1"/>
    <xf numFmtId="173" fontId="5" fillId="0" borderId="0" xfId="0" applyNumberFormat="1" applyFont="1"/>
    <xf numFmtId="173" fontId="5" fillId="0" borderId="1" xfId="0" applyNumberFormat="1" applyFont="1" applyBorder="1"/>
    <xf numFmtId="173" fontId="23" fillId="0" borderId="0" xfId="0" applyNumberFormat="1" applyFont="1"/>
    <xf numFmtId="168" fontId="5" fillId="3" borderId="0" xfId="0" applyNumberFormat="1" applyFont="1" applyFill="1"/>
    <xf numFmtId="171" fontId="23" fillId="0" borderId="4" xfId="0" applyNumberFormat="1" applyFont="1" applyBorder="1"/>
    <xf numFmtId="171" fontId="23" fillId="0" borderId="2" xfId="0" applyNumberFormat="1" applyFont="1" applyBorder="1"/>
    <xf numFmtId="174" fontId="5" fillId="0" borderId="0" xfId="1" applyNumberFormat="1" applyFont="1" applyBorder="1"/>
    <xf numFmtId="174" fontId="5" fillId="0" borderId="1" xfId="1" applyNumberFormat="1" applyFont="1" applyBorder="1"/>
    <xf numFmtId="174" fontId="5" fillId="0" borderId="0" xfId="0" applyNumberFormat="1" applyFont="1"/>
    <xf numFmtId="169" fontId="5" fillId="3" borderId="0" xfId="0" applyNumberFormat="1" applyFont="1" applyFill="1"/>
    <xf numFmtId="0" fontId="25" fillId="0" borderId="0" xfId="0" applyFont="1"/>
    <xf numFmtId="167" fontId="14" fillId="0" borderId="0" xfId="0" applyNumberFormat="1" applyFont="1"/>
    <xf numFmtId="0" fontId="26" fillId="0" borderId="0" xfId="0" applyFont="1"/>
    <xf numFmtId="171" fontId="0" fillId="0" borderId="0" xfId="0" applyNumberFormat="1"/>
    <xf numFmtId="167" fontId="0" fillId="0" borderId="2" xfId="0" applyNumberFormat="1" applyBorder="1"/>
    <xf numFmtId="0" fontId="0" fillId="0" borderId="1" xfId="0" applyBorder="1"/>
    <xf numFmtId="167" fontId="0" fillId="0" borderId="1" xfId="0" applyNumberFormat="1" applyBorder="1"/>
    <xf numFmtId="0" fontId="0" fillId="0" borderId="3" xfId="0" applyBorder="1"/>
    <xf numFmtId="171" fontId="0" fillId="0" borderId="1" xfId="0" applyNumberFormat="1" applyBorder="1"/>
    <xf numFmtId="167" fontId="0" fillId="0" borderId="3" xfId="0" applyNumberFormat="1" applyBorder="1"/>
    <xf numFmtId="0" fontId="0" fillId="3" borderId="0" xfId="0" applyFill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0" fillId="2" borderId="0" xfId="0" applyFill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167" fontId="30" fillId="0" borderId="0" xfId="0" applyNumberFormat="1" applyFont="1"/>
    <xf numFmtId="167" fontId="30" fillId="0" borderId="0" xfId="0" applyNumberFormat="1" applyFont="1" applyAlignment="1">
      <alignment horizontal="right"/>
    </xf>
    <xf numFmtId="167" fontId="30" fillId="0" borderId="1" xfId="0" applyNumberFormat="1" applyFont="1" applyBorder="1" applyAlignment="1">
      <alignment horizontal="right"/>
    </xf>
    <xf numFmtId="173" fontId="0" fillId="0" borderId="0" xfId="0" applyNumberFormat="1"/>
    <xf numFmtId="173" fontId="0" fillId="0" borderId="1" xfId="0" applyNumberFormat="1" applyBorder="1"/>
    <xf numFmtId="173" fontId="30" fillId="0" borderId="0" xfId="0" applyNumberFormat="1" applyFont="1" applyAlignment="1">
      <alignment horizontal="right"/>
    </xf>
    <xf numFmtId="171" fontId="28" fillId="0" borderId="0" xfId="0" applyNumberFormat="1" applyFont="1"/>
    <xf numFmtId="0" fontId="31" fillId="0" borderId="0" xfId="0" applyFont="1"/>
    <xf numFmtId="171" fontId="12" fillId="0" borderId="0" xfId="0" applyNumberFormat="1" applyFont="1"/>
    <xf numFmtId="0" fontId="0" fillId="6" borderId="0" xfId="0" applyFill="1"/>
    <xf numFmtId="0" fontId="28" fillId="6" borderId="1" xfId="0" applyFont="1" applyFill="1" applyBorder="1"/>
    <xf numFmtId="0" fontId="0" fillId="6" borderId="2" xfId="0" applyFill="1" applyBorder="1"/>
    <xf numFmtId="0" fontId="28" fillId="6" borderId="3" xfId="0" applyFont="1" applyFill="1" applyBorder="1"/>
    <xf numFmtId="0" fontId="28" fillId="6" borderId="0" xfId="0" applyFont="1" applyFill="1"/>
    <xf numFmtId="0" fontId="28" fillId="6" borderId="2" xfId="0" applyFont="1" applyFill="1" applyBorder="1"/>
    <xf numFmtId="0" fontId="28" fillId="0" borderId="1" xfId="0" applyFont="1" applyBorder="1"/>
    <xf numFmtId="0" fontId="32" fillId="0" borderId="0" xfId="0" applyFont="1"/>
    <xf numFmtId="0" fontId="28" fillId="6" borderId="2" xfId="0" quotePrefix="1" applyFont="1" applyFill="1" applyBorder="1"/>
    <xf numFmtId="167" fontId="33" fillId="0" borderId="0" xfId="0" applyNumberFormat="1" applyFont="1"/>
    <xf numFmtId="167" fontId="33" fillId="0" borderId="5" xfId="0" applyNumberFormat="1" applyFont="1" applyBorder="1"/>
    <xf numFmtId="171" fontId="30" fillId="6" borderId="0" xfId="0" applyNumberFormat="1" applyFont="1" applyFill="1"/>
    <xf numFmtId="171" fontId="34" fillId="6" borderId="1" xfId="0" applyNumberFormat="1" applyFont="1" applyFill="1" applyBorder="1" applyAlignment="1">
      <alignment horizontal="right"/>
    </xf>
    <xf numFmtId="171" fontId="30" fillId="6" borderId="2" xfId="0" applyNumberFormat="1" applyFont="1" applyFill="1" applyBorder="1"/>
    <xf numFmtId="171" fontId="34" fillId="6" borderId="3" xfId="0" applyNumberFormat="1" applyFont="1" applyFill="1" applyBorder="1" applyAlignment="1">
      <alignment horizontal="right"/>
    </xf>
    <xf numFmtId="0" fontId="28" fillId="0" borderId="7" xfId="0" applyFont="1" applyBorder="1"/>
    <xf numFmtId="0" fontId="27" fillId="0" borderId="7" xfId="0" applyFont="1" applyBorder="1"/>
    <xf numFmtId="171" fontId="30" fillId="0" borderId="7" xfId="0" applyNumberFormat="1" applyFont="1" applyBorder="1"/>
    <xf numFmtId="171" fontId="30" fillId="0" borderId="8" xfId="0" applyNumberFormat="1" applyFont="1" applyBorder="1"/>
    <xf numFmtId="171" fontId="30" fillId="0" borderId="0" xfId="0" applyNumberFormat="1" applyFont="1"/>
    <xf numFmtId="167" fontId="28" fillId="0" borderId="1" xfId="0" applyNumberFormat="1" applyFont="1" applyBorder="1"/>
    <xf numFmtId="171" fontId="29" fillId="0" borderId="1" xfId="0" applyNumberFormat="1" applyFont="1" applyBorder="1" applyAlignment="1">
      <alignment horizontal="right"/>
    </xf>
    <xf numFmtId="175" fontId="30" fillId="0" borderId="1" xfId="0" applyNumberFormat="1" applyFont="1" applyBorder="1"/>
    <xf numFmtId="171" fontId="27" fillId="0" borderId="0" xfId="0" applyNumberFormat="1" applyFont="1"/>
    <xf numFmtId="0" fontId="35" fillId="0" borderId="0" xfId="0" applyFont="1" applyAlignment="1">
      <alignment horizontal="right"/>
    </xf>
    <xf numFmtId="0" fontId="14" fillId="0" borderId="1" xfId="0" applyFont="1" applyBorder="1"/>
    <xf numFmtId="167" fontId="33" fillId="0" borderId="1" xfId="0" applyNumberFormat="1" applyFont="1" applyBorder="1"/>
    <xf numFmtId="171" fontId="30" fillId="0" borderId="2" xfId="0" applyNumberFormat="1" applyFont="1" applyBorder="1" applyAlignment="1">
      <alignment horizontal="right"/>
    </xf>
    <xf numFmtId="171" fontId="30" fillId="0" borderId="2" xfId="0" applyNumberFormat="1" applyFont="1" applyBorder="1"/>
    <xf numFmtId="171" fontId="5" fillId="0" borderId="2" xfId="0" applyNumberFormat="1" applyFont="1" applyBorder="1"/>
    <xf numFmtId="10" fontId="30" fillId="0" borderId="0" xfId="0" applyNumberFormat="1" applyFont="1"/>
    <xf numFmtId="10" fontId="28" fillId="0" borderId="0" xfId="0" applyNumberFormat="1" applyFont="1"/>
    <xf numFmtId="10" fontId="5" fillId="0" borderId="0" xfId="0" applyNumberFormat="1" applyFont="1"/>
    <xf numFmtId="167" fontId="23" fillId="0" borderId="0" xfId="1" applyNumberFormat="1" applyFont="1" applyFill="1"/>
    <xf numFmtId="167" fontId="23" fillId="0" borderId="1" xfId="1" applyNumberFormat="1" applyFont="1" applyFill="1" applyBorder="1"/>
    <xf numFmtId="167" fontId="5" fillId="3" borderId="0" xfId="1" applyNumberFormat="1" applyFont="1" applyFill="1"/>
    <xf numFmtId="165" fontId="12" fillId="0" borderId="0" xfId="2" applyNumberFormat="1" applyFont="1"/>
    <xf numFmtId="165" fontId="12" fillId="0" borderId="1" xfId="2" applyNumberFormat="1" applyFont="1" applyBorder="1"/>
    <xf numFmtId="174" fontId="5" fillId="3" borderId="0" xfId="0" applyNumberFormat="1" applyFont="1" applyFill="1"/>
    <xf numFmtId="171" fontId="5" fillId="3" borderId="0" xfId="0" applyNumberFormat="1" applyFont="1" applyFill="1"/>
    <xf numFmtId="171" fontId="16" fillId="0" borderId="0" xfId="0" applyNumberFormat="1" applyFont="1"/>
    <xf numFmtId="173" fontId="5" fillId="0" borderId="0" xfId="3" applyNumberFormat="1" applyFont="1" applyBorder="1"/>
    <xf numFmtId="0" fontId="36" fillId="0" borderId="0" xfId="0" applyFont="1"/>
    <xf numFmtId="168" fontId="12" fillId="0" borderId="0" xfId="0" applyNumberFormat="1" applyFont="1"/>
    <xf numFmtId="165" fontId="12" fillId="0" borderId="0" xfId="0" applyNumberFormat="1" applyFont="1"/>
    <xf numFmtId="165" fontId="12" fillId="0" borderId="1" xfId="0" applyNumberFormat="1" applyFont="1" applyBorder="1"/>
    <xf numFmtId="173" fontId="10" fillId="0" borderId="0" xfId="0" applyNumberFormat="1" applyFont="1"/>
    <xf numFmtId="167" fontId="5" fillId="3" borderId="0" xfId="0" applyNumberFormat="1" applyFont="1" applyFill="1"/>
    <xf numFmtId="171" fontId="0" fillId="3" borderId="0" xfId="0" applyNumberFormat="1" applyFill="1"/>
    <xf numFmtId="171" fontId="0" fillId="3" borderId="2" xfId="0" applyNumberFormat="1" applyFill="1" applyBorder="1"/>
    <xf numFmtId="171" fontId="17" fillId="4" borderId="0" xfId="0" applyNumberFormat="1" applyFont="1" applyFill="1"/>
    <xf numFmtId="171" fontId="17" fillId="4" borderId="1" xfId="0" applyNumberFormat="1" applyFont="1" applyFill="1" applyBorder="1"/>
    <xf numFmtId="39" fontId="5" fillId="3" borderId="0" xfId="0" applyNumberFormat="1" applyFont="1" applyFill="1"/>
    <xf numFmtId="171" fontId="5" fillId="3" borderId="2" xfId="0" applyNumberFormat="1" applyFont="1" applyFill="1" applyBorder="1"/>
    <xf numFmtId="171" fontId="17" fillId="0" borderId="2" xfId="0" applyNumberFormat="1" applyFont="1" applyBorder="1"/>
    <xf numFmtId="171" fontId="5" fillId="3" borderId="0" xfId="1" applyNumberFormat="1" applyFont="1" applyFill="1"/>
    <xf numFmtId="0" fontId="5" fillId="7" borderId="0" xfId="0" applyFont="1" applyFill="1"/>
    <xf numFmtId="0" fontId="5" fillId="0" borderId="0" xfId="0" quotePrefix="1" applyFont="1"/>
    <xf numFmtId="167" fontId="0" fillId="3" borderId="0" xfId="0" applyNumberFormat="1" applyFill="1"/>
    <xf numFmtId="167" fontId="0" fillId="3" borderId="2" xfId="0" applyNumberFormat="1" applyFill="1" applyBorder="1"/>
    <xf numFmtId="171" fontId="5" fillId="0" borderId="1" xfId="0" applyNumberFormat="1" applyFont="1" applyBorder="1"/>
    <xf numFmtId="171" fontId="23" fillId="0" borderId="2" xfId="1" applyNumberFormat="1" applyFont="1" applyFill="1" applyBorder="1"/>
    <xf numFmtId="171" fontId="23" fillId="0" borderId="3" xfId="1" applyNumberFormat="1" applyFont="1" applyFill="1" applyBorder="1"/>
    <xf numFmtId="171" fontId="5" fillId="3" borderId="2" xfId="1" applyNumberFormat="1" applyFont="1" applyFill="1" applyBorder="1"/>
    <xf numFmtId="0" fontId="11" fillId="0" borderId="1" xfId="0" applyFont="1" applyBorder="1"/>
    <xf numFmtId="14" fontId="0" fillId="3" borderId="0" xfId="0" applyNumberFormat="1" applyFill="1"/>
    <xf numFmtId="0" fontId="38" fillId="0" borderId="0" xfId="0" applyFont="1"/>
    <xf numFmtId="0" fontId="40" fillId="0" borderId="0" xfId="0" applyFont="1"/>
    <xf numFmtId="173" fontId="0" fillId="0" borderId="2" xfId="0" applyNumberFormat="1" applyBorder="1"/>
    <xf numFmtId="173" fontId="0" fillId="0" borderId="11" xfId="0" applyNumberFormat="1" applyBorder="1"/>
    <xf numFmtId="0" fontId="0" fillId="0" borderId="11" xfId="0" applyBorder="1"/>
    <xf numFmtId="0" fontId="0" fillId="0" borderId="6" xfId="0" applyBorder="1"/>
    <xf numFmtId="173" fontId="0" fillId="0" borderId="6" xfId="0" applyNumberFormat="1" applyBorder="1"/>
    <xf numFmtId="173" fontId="0" fillId="0" borderId="4" xfId="0" applyNumberFormat="1" applyBorder="1"/>
    <xf numFmtId="0" fontId="0" fillId="0" borderId="4" xfId="0" applyBorder="1"/>
    <xf numFmtId="0" fontId="0" fillId="0" borderId="10" xfId="0" applyBorder="1"/>
    <xf numFmtId="171" fontId="0" fillId="0" borderId="11" xfId="0" applyNumberFormat="1" applyBorder="1"/>
    <xf numFmtId="0" fontId="0" fillId="8" borderId="2" xfId="0" applyFill="1" applyBorder="1"/>
    <xf numFmtId="173" fontId="0" fillId="8" borderId="0" xfId="0" applyNumberFormat="1" applyFill="1"/>
    <xf numFmtId="0" fontId="0" fillId="8" borderId="13" xfId="0" applyFill="1" applyBorder="1"/>
    <xf numFmtId="0" fontId="0" fillId="8" borderId="14" xfId="0" applyFill="1" applyBorder="1"/>
    <xf numFmtId="173" fontId="0" fillId="8" borderId="6" xfId="0" applyNumberFormat="1" applyFill="1" applyBorder="1"/>
    <xf numFmtId="173" fontId="0" fillId="8" borderId="4" xfId="0" applyNumberFormat="1" applyFill="1" applyBorder="1"/>
    <xf numFmtId="173" fontId="0" fillId="8" borderId="2" xfId="0" applyNumberFormat="1" applyFill="1" applyBorder="1"/>
    <xf numFmtId="0" fontId="0" fillId="8" borderId="6" xfId="0" applyFill="1" applyBorder="1"/>
    <xf numFmtId="0" fontId="0" fillId="8" borderId="0" xfId="0" applyFill="1"/>
    <xf numFmtId="0" fontId="0" fillId="8" borderId="4" xfId="0" applyFill="1" applyBorder="1"/>
    <xf numFmtId="0" fontId="0" fillId="8" borderId="11" xfId="0" applyFill="1" applyBorder="1"/>
    <xf numFmtId="171" fontId="0" fillId="8" borderId="2" xfId="0" applyNumberFormat="1" applyFill="1" applyBorder="1"/>
    <xf numFmtId="171" fontId="0" fillId="8" borderId="6" xfId="0" applyNumberFormat="1" applyFill="1" applyBorder="1"/>
    <xf numFmtId="171" fontId="0" fillId="8" borderId="0" xfId="0" applyNumberFormat="1" applyFill="1"/>
    <xf numFmtId="171" fontId="0" fillId="8" borderId="4" xfId="0" applyNumberFormat="1" applyFill="1" applyBorder="1"/>
    <xf numFmtId="171" fontId="0" fillId="8" borderId="11" xfId="0" applyNumberFormat="1" applyFill="1" applyBorder="1"/>
    <xf numFmtId="173" fontId="0" fillId="8" borderId="11" xfId="0" applyNumberFormat="1" applyFill="1" applyBorder="1"/>
    <xf numFmtId="0" fontId="0" fillId="0" borderId="0" xfId="0" applyAlignment="1">
      <alignment horizontal="center"/>
    </xf>
    <xf numFmtId="0" fontId="39" fillId="9" borderId="13" xfId="0" applyFont="1" applyFill="1" applyBorder="1"/>
    <xf numFmtId="0" fontId="39" fillId="9" borderId="14" xfId="0" applyFont="1" applyFill="1" applyBorder="1"/>
    <xf numFmtId="0" fontId="39" fillId="9" borderId="5" xfId="0" applyFont="1" applyFill="1" applyBorder="1"/>
    <xf numFmtId="173" fontId="41" fillId="0" borderId="0" xfId="0" applyNumberFormat="1" applyFont="1"/>
    <xf numFmtId="173" fontId="41" fillId="0" borderId="2" xfId="0" applyNumberFormat="1" applyFont="1" applyBorder="1"/>
    <xf numFmtId="173" fontId="0" fillId="8" borderId="13" xfId="0" applyNumberFormat="1" applyFill="1" applyBorder="1"/>
    <xf numFmtId="173" fontId="0" fillId="8" borderId="14" xfId="0" applyNumberFormat="1" applyFill="1" applyBorder="1"/>
    <xf numFmtId="177" fontId="0" fillId="0" borderId="2" xfId="0" applyNumberFormat="1" applyBorder="1"/>
    <xf numFmtId="176" fontId="42" fillId="0" borderId="0" xfId="0" applyNumberFormat="1" applyFont="1"/>
    <xf numFmtId="173" fontId="43" fillId="0" borderId="0" xfId="0" applyNumberFormat="1" applyFont="1"/>
    <xf numFmtId="173" fontId="16" fillId="0" borderId="0" xfId="0" applyNumberFormat="1" applyFont="1"/>
    <xf numFmtId="168" fontId="43" fillId="0" borderId="0" xfId="0" applyNumberFormat="1" applyFont="1"/>
    <xf numFmtId="171" fontId="17" fillId="0" borderId="0" xfId="0" applyNumberFormat="1" applyFont="1"/>
    <xf numFmtId="0" fontId="0" fillId="8" borderId="1" xfId="0" applyFill="1" applyBorder="1"/>
    <xf numFmtId="0" fontId="0" fillId="8" borderId="3" xfId="0" applyFill="1" applyBorder="1"/>
    <xf numFmtId="173" fontId="0" fillId="8" borderId="1" xfId="0" applyNumberFormat="1" applyFill="1" applyBorder="1"/>
    <xf numFmtId="0" fontId="0" fillId="8" borderId="5" xfId="0" applyFill="1" applyBorder="1"/>
    <xf numFmtId="173" fontId="0" fillId="8" borderId="3" xfId="0" applyNumberFormat="1" applyFill="1" applyBorder="1"/>
    <xf numFmtId="173" fontId="0" fillId="8" borderId="5" xfId="0" applyNumberFormat="1" applyFill="1" applyBorder="1"/>
    <xf numFmtId="0" fontId="0" fillId="8" borderId="12" xfId="0" applyFill="1" applyBorder="1"/>
    <xf numFmtId="171" fontId="0" fillId="8" borderId="3" xfId="0" applyNumberFormat="1" applyFill="1" applyBorder="1"/>
    <xf numFmtId="171" fontId="0" fillId="8" borderId="1" xfId="0" applyNumberFormat="1" applyFill="1" applyBorder="1"/>
    <xf numFmtId="171" fontId="0" fillId="8" borderId="12" xfId="0" applyNumberFormat="1" applyFill="1" applyBorder="1"/>
    <xf numFmtId="173" fontId="0" fillId="8" borderId="12" xfId="0" applyNumberFormat="1" applyFill="1" applyBorder="1"/>
    <xf numFmtId="0" fontId="20" fillId="5" borderId="6" xfId="0" applyFont="1" applyFill="1" applyBorder="1"/>
    <xf numFmtId="173" fontId="41" fillId="0" borderId="6" xfId="0" applyNumberFormat="1" applyFont="1" applyBorder="1"/>
    <xf numFmtId="173" fontId="41" fillId="0" borderId="4" xfId="0" applyNumberFormat="1" applyFont="1" applyBorder="1"/>
    <xf numFmtId="177" fontId="0" fillId="0" borderId="4" xfId="0" applyNumberFormat="1" applyBorder="1"/>
    <xf numFmtId="171" fontId="0" fillId="0" borderId="10" xfId="0" applyNumberFormat="1" applyBorder="1"/>
    <xf numFmtId="173" fontId="0" fillId="0" borderId="10" xfId="0" applyNumberFormat="1" applyBorder="1"/>
    <xf numFmtId="167" fontId="44" fillId="0" borderId="0" xfId="0" applyNumberFormat="1" applyFont="1"/>
    <xf numFmtId="178" fontId="5" fillId="0" borderId="0" xfId="0" applyNumberFormat="1" applyFont="1"/>
    <xf numFmtId="0" fontId="39" fillId="5" borderId="15" xfId="0" applyFont="1" applyFill="1" applyBorder="1"/>
    <xf numFmtId="0" fontId="39" fillId="5" borderId="16" xfId="0" applyFont="1" applyFill="1" applyBorder="1"/>
    <xf numFmtId="0" fontId="0" fillId="0" borderId="16" xfId="0" applyBorder="1"/>
    <xf numFmtId="173" fontId="0" fillId="0" borderId="16" xfId="0" applyNumberFormat="1" applyBorder="1"/>
    <xf numFmtId="171" fontId="0" fillId="0" borderId="16" xfId="0" applyNumberFormat="1" applyBorder="1"/>
    <xf numFmtId="173" fontId="0" fillId="0" borderId="9" xfId="0" applyNumberFormat="1" applyBorder="1"/>
    <xf numFmtId="173" fontId="37" fillId="3" borderId="13" xfId="0" applyNumberFormat="1" applyFont="1" applyFill="1" applyBorder="1"/>
    <xf numFmtId="173" fontId="37" fillId="3" borderId="14" xfId="0" applyNumberFormat="1" applyFont="1" applyFill="1" applyBorder="1"/>
    <xf numFmtId="173" fontId="37" fillId="3" borderId="5" xfId="0" applyNumberFormat="1" applyFont="1" applyFill="1" applyBorder="1"/>
    <xf numFmtId="173" fontId="37" fillId="3" borderId="6" xfId="0" applyNumberFormat="1" applyFont="1" applyFill="1" applyBorder="1"/>
    <xf numFmtId="173" fontId="37" fillId="3" borderId="0" xfId="0" applyNumberFormat="1" applyFont="1" applyFill="1"/>
    <xf numFmtId="173" fontId="37" fillId="3" borderId="1" xfId="0" applyNumberFormat="1" applyFont="1" applyFill="1" applyBorder="1"/>
    <xf numFmtId="173" fontId="37" fillId="3" borderId="4" xfId="0" applyNumberFormat="1" applyFont="1" applyFill="1" applyBorder="1"/>
    <xf numFmtId="173" fontId="37" fillId="3" borderId="2" xfId="0" applyNumberFormat="1" applyFont="1" applyFill="1" applyBorder="1"/>
    <xf numFmtId="173" fontId="37" fillId="3" borderId="3" xfId="0" applyNumberFormat="1" applyFont="1" applyFill="1" applyBorder="1"/>
    <xf numFmtId="171" fontId="37" fillId="3" borderId="13" xfId="0" applyNumberFormat="1" applyFont="1" applyFill="1" applyBorder="1"/>
    <xf numFmtId="171" fontId="37" fillId="3" borderId="14" xfId="0" applyNumberFormat="1" applyFont="1" applyFill="1" applyBorder="1"/>
    <xf numFmtId="171" fontId="37" fillId="3" borderId="5" xfId="0" applyNumberFormat="1" applyFont="1" applyFill="1" applyBorder="1"/>
    <xf numFmtId="171" fontId="37" fillId="3" borderId="6" xfId="0" applyNumberFormat="1" applyFont="1" applyFill="1" applyBorder="1"/>
    <xf numFmtId="171" fontId="37" fillId="3" borderId="0" xfId="0" applyNumberFormat="1" applyFont="1" applyFill="1"/>
    <xf numFmtId="171" fontId="37" fillId="3" borderId="1" xfId="0" applyNumberFormat="1" applyFont="1" applyFill="1" applyBorder="1"/>
    <xf numFmtId="171" fontId="37" fillId="3" borderId="4" xfId="0" applyNumberFormat="1" applyFont="1" applyFill="1" applyBorder="1"/>
    <xf numFmtId="171" fontId="37" fillId="3" borderId="2" xfId="0" applyNumberFormat="1" applyFont="1" applyFill="1" applyBorder="1"/>
    <xf numFmtId="171" fontId="37" fillId="3" borderId="3" xfId="0" applyNumberFormat="1" applyFont="1" applyFill="1" applyBorder="1"/>
    <xf numFmtId="4" fontId="5" fillId="0" borderId="0" xfId="0" applyNumberFormat="1" applyFont="1"/>
    <xf numFmtId="4" fontId="5" fillId="0" borderId="1" xfId="0" applyNumberFormat="1" applyFont="1" applyBorder="1"/>
    <xf numFmtId="0" fontId="45" fillId="0" borderId="0" xfId="0" applyFont="1"/>
    <xf numFmtId="0" fontId="45" fillId="0" borderId="1" xfId="0" applyFont="1" applyBorder="1"/>
    <xf numFmtId="164" fontId="45" fillId="0" borderId="2" xfId="1" applyNumberFormat="1" applyFont="1" applyFill="1" applyBorder="1"/>
    <xf numFmtId="168" fontId="45" fillId="3" borderId="0" xfId="0" applyNumberFormat="1" applyFont="1" applyFill="1"/>
    <xf numFmtId="0" fontId="2" fillId="0" borderId="0" xfId="0" applyFont="1"/>
    <xf numFmtId="0" fontId="6" fillId="3" borderId="0" xfId="0" applyFont="1" applyFill="1"/>
    <xf numFmtId="179" fontId="0" fillId="3" borderId="0" xfId="0" applyNumberFormat="1" applyFill="1"/>
    <xf numFmtId="179" fontId="0" fillId="3" borderId="2" xfId="0" applyNumberFormat="1" applyFill="1" applyBorder="1"/>
    <xf numFmtId="0" fontId="37" fillId="0" borderId="0" xfId="0" applyFont="1"/>
    <xf numFmtId="0" fontId="1" fillId="0" borderId="0" xfId="0" applyFont="1"/>
    <xf numFmtId="171" fontId="5" fillId="3" borderId="4" xfId="0" applyNumberFormat="1" applyFont="1" applyFill="1" applyBorder="1"/>
    <xf numFmtId="176" fontId="30" fillId="0" borderId="0" xfId="0" applyNumberFormat="1" applyFont="1"/>
    <xf numFmtId="167" fontId="46" fillId="0" borderId="0" xfId="0" applyNumberFormat="1" applyFont="1"/>
    <xf numFmtId="167" fontId="46" fillId="0" borderId="1" xfId="0" applyNumberFormat="1" applyFont="1" applyBorder="1"/>
    <xf numFmtId="171" fontId="46" fillId="0" borderId="0" xfId="0" applyNumberFormat="1" applyFont="1"/>
    <xf numFmtId="171" fontId="46" fillId="0" borderId="1" xfId="0" applyNumberFormat="1" applyFont="1" applyBorder="1"/>
    <xf numFmtId="171" fontId="46" fillId="0" borderId="2" xfId="0" applyNumberFormat="1" applyFont="1" applyBorder="1"/>
    <xf numFmtId="171" fontId="46" fillId="0" borderId="3" xfId="0" applyNumberFormat="1" applyFont="1" applyBorder="1"/>
    <xf numFmtId="171" fontId="1" fillId="0" borderId="0" xfId="0" applyNumberFormat="1" applyFont="1"/>
    <xf numFmtId="171" fontId="1" fillId="0" borderId="1" xfId="0" applyNumberFormat="1" applyFont="1" applyBorder="1"/>
    <xf numFmtId="0" fontId="1" fillId="0" borderId="1" xfId="0" applyFont="1" applyBorder="1"/>
    <xf numFmtId="0" fontId="46" fillId="0" borderId="0" xfId="0" applyFont="1"/>
    <xf numFmtId="0" fontId="46" fillId="0" borderId="1" xfId="0" applyFont="1" applyBorder="1"/>
    <xf numFmtId="0" fontId="46" fillId="0" borderId="2" xfId="0" applyFont="1" applyBorder="1"/>
    <xf numFmtId="0" fontId="46" fillId="0" borderId="3" xfId="0" applyFont="1" applyBorder="1"/>
    <xf numFmtId="0" fontId="1" fillId="0" borderId="2" xfId="0" applyFont="1" applyBorder="1"/>
    <xf numFmtId="0" fontId="1" fillId="0" borderId="3" xfId="0" applyFont="1" applyBorder="1"/>
    <xf numFmtId="171" fontId="1" fillId="0" borderId="2" xfId="0" applyNumberFormat="1" applyFont="1" applyBorder="1"/>
    <xf numFmtId="171" fontId="1" fillId="0" borderId="3" xfId="0" applyNumberFormat="1" applyFont="1" applyBorder="1"/>
    <xf numFmtId="0" fontId="1" fillId="3" borderId="0" xfId="0" applyFont="1" applyFill="1"/>
    <xf numFmtId="2" fontId="5" fillId="3" borderId="0" xfId="0" applyNumberFormat="1" applyFont="1" applyFill="1"/>
    <xf numFmtId="0" fontId="50" fillId="0" borderId="0" xfId="0" applyFont="1"/>
    <xf numFmtId="0" fontId="5" fillId="3" borderId="2" xfId="1" applyNumberFormat="1" applyFont="1" applyFill="1" applyBorder="1"/>
    <xf numFmtId="7" fontId="7" fillId="0" borderId="0" xfId="0" applyNumberFormat="1" applyFont="1"/>
    <xf numFmtId="0" fontId="19" fillId="5" borderId="0" xfId="0" applyFont="1" applyFill="1" applyAlignment="1">
      <alignment horizontal="center"/>
    </xf>
    <xf numFmtId="0" fontId="19" fillId="5" borderId="1" xfId="0" applyFont="1" applyFill="1" applyBorder="1" applyAlignment="1">
      <alignment horizontal="center"/>
    </xf>
    <xf numFmtId="0" fontId="19" fillId="5" borderId="6" xfId="0" applyFont="1" applyFill="1" applyBorder="1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0066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14F3E-D8A6-415E-8496-B1A221A63789}">
  <sheetPr codeName="Sheet1"/>
  <dimension ref="B3:XX1000"/>
  <sheetViews>
    <sheetView showGridLines="0" workbookViewId="0">
      <selection activeCell="E3" sqref="E3"/>
    </sheetView>
  </sheetViews>
  <sheetFormatPr defaultColWidth="8.77734375" defaultRowHeight="14.4" x14ac:dyDescent="0.3"/>
  <cols>
    <col min="1" max="1" width="2.6640625" customWidth="1"/>
    <col min="5" max="5" width="34.33203125" bestFit="1" customWidth="1"/>
  </cols>
  <sheetData>
    <row r="3" spans="2:5" x14ac:dyDescent="0.3">
      <c r="B3" t="s">
        <v>0</v>
      </c>
      <c r="E3" s="104" t="s">
        <v>191</v>
      </c>
    </row>
    <row r="5" spans="2:5" x14ac:dyDescent="0.3">
      <c r="B5" t="s">
        <v>3</v>
      </c>
      <c r="E5" s="104" t="s">
        <v>4</v>
      </c>
    </row>
    <row r="7" spans="2:5" x14ac:dyDescent="0.3">
      <c r="B7" t="s">
        <v>1</v>
      </c>
      <c r="E7" s="186">
        <v>45291</v>
      </c>
    </row>
    <row r="9" spans="2:5" x14ac:dyDescent="0.3">
      <c r="B9" t="s">
        <v>2</v>
      </c>
      <c r="E9" s="104">
        <v>365</v>
      </c>
    </row>
    <row r="11" spans="2:5" x14ac:dyDescent="0.3">
      <c r="B11" t="s">
        <v>74</v>
      </c>
      <c r="E11" s="104" t="s">
        <v>75</v>
      </c>
    </row>
    <row r="1000" spans="648:648" ht="15.6" x14ac:dyDescent="0.3">
      <c r="XX1000" s="305">
        <v>127155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9DB72-C8B1-46EA-9EF4-CDA05CB7A97F}">
  <sheetPr codeName="Sheet2"/>
  <dimension ref="B1:XX1000"/>
  <sheetViews>
    <sheetView showGridLines="0" zoomScale="80" zoomScaleNormal="80" workbookViewId="0">
      <selection activeCell="W10" sqref="W10"/>
    </sheetView>
  </sheetViews>
  <sheetFormatPr defaultColWidth="8.77734375" defaultRowHeight="14.4" outlineLevelRow="1" outlineLevelCol="1" x14ac:dyDescent="0.3"/>
  <cols>
    <col min="1" max="3" width="2.77734375" customWidth="1"/>
    <col min="9" max="11" width="8.77734375" hidden="1" customWidth="1" outlineLevel="1"/>
    <col min="12" max="12" width="8.77734375" collapsed="1"/>
    <col min="17" max="17" width="3.44140625" customWidth="1"/>
    <col min="18" max="18" width="10.44140625" bestFit="1" customWidth="1"/>
  </cols>
  <sheetData>
    <row r="1" spans="2:23" x14ac:dyDescent="0.3">
      <c r="B1" s="283" t="str">
        <f>"Projection Assumptions for "&amp;CoName</f>
        <v>Projection Assumptions for Sharang Corporation</v>
      </c>
    </row>
    <row r="3" spans="2:23" x14ac:dyDescent="0.3">
      <c r="B3" s="216" t="s">
        <v>176</v>
      </c>
      <c r="C3" s="217"/>
      <c r="D3" s="217"/>
      <c r="E3" s="217"/>
      <c r="F3" s="218"/>
    </row>
    <row r="4" spans="2:23" x14ac:dyDescent="0.3">
      <c r="B4" s="195" t="s">
        <v>177</v>
      </c>
      <c r="C4" s="25"/>
      <c r="D4" s="25"/>
      <c r="E4" s="25"/>
      <c r="F4" s="101">
        <v>1</v>
      </c>
    </row>
    <row r="6" spans="2:23" x14ac:dyDescent="0.3">
      <c r="B6" s="3"/>
      <c r="C6" s="2"/>
      <c r="D6" s="2"/>
      <c r="E6" s="2"/>
      <c r="F6" s="2"/>
      <c r="G6" s="2"/>
      <c r="H6" s="5" t="s">
        <v>5</v>
      </c>
      <c r="I6" s="2">
        <v>-2</v>
      </c>
      <c r="J6" s="2">
        <f>I6+1</f>
        <v>-1</v>
      </c>
      <c r="K6" s="2">
        <f t="shared" ref="K6:P6" si="0">J6+1</f>
        <v>0</v>
      </c>
      <c r="L6" s="2">
        <f t="shared" si="0"/>
        <v>1</v>
      </c>
      <c r="M6" s="2">
        <f t="shared" si="0"/>
        <v>2</v>
      </c>
      <c r="N6" s="2">
        <f t="shared" si="0"/>
        <v>3</v>
      </c>
      <c r="O6" s="2">
        <f t="shared" si="0"/>
        <v>4</v>
      </c>
      <c r="P6" s="2">
        <f t="shared" si="0"/>
        <v>5</v>
      </c>
    </row>
    <row r="7" spans="2:23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2:23" x14ac:dyDescent="0.3">
      <c r="B8" s="37"/>
      <c r="C8" s="37"/>
      <c r="D8" s="37"/>
      <c r="E8" s="37"/>
      <c r="F8" s="37"/>
      <c r="G8" s="37"/>
      <c r="H8" s="37"/>
      <c r="I8" s="308" t="s">
        <v>175</v>
      </c>
      <c r="J8" s="308"/>
      <c r="K8" s="309"/>
      <c r="L8" s="310" t="s">
        <v>174</v>
      </c>
      <c r="M8" s="308"/>
      <c r="N8" s="308"/>
      <c r="O8" s="308"/>
      <c r="P8" s="308"/>
      <c r="R8" s="248"/>
      <c r="V8" s="20" t="s">
        <v>188</v>
      </c>
      <c r="W8" s="2"/>
    </row>
    <row r="9" spans="2:23" x14ac:dyDescent="0.3">
      <c r="B9" s="37"/>
      <c r="C9" s="37"/>
      <c r="D9" s="37"/>
      <c r="E9" s="37"/>
      <c r="F9" s="38"/>
      <c r="G9" s="37"/>
      <c r="H9" s="37"/>
      <c r="I9" s="38">
        <f t="shared" ref="I9:P9" si="1">YEAR(FYE)+I6</f>
        <v>2021</v>
      </c>
      <c r="J9" s="38">
        <f t="shared" si="1"/>
        <v>2022</v>
      </c>
      <c r="K9" s="39">
        <f t="shared" si="1"/>
        <v>2023</v>
      </c>
      <c r="L9" s="240">
        <f t="shared" si="1"/>
        <v>2024</v>
      </c>
      <c r="M9" s="38">
        <f t="shared" si="1"/>
        <v>2025</v>
      </c>
      <c r="N9" s="38">
        <f t="shared" si="1"/>
        <v>2026</v>
      </c>
      <c r="O9" s="38">
        <f t="shared" si="1"/>
        <v>2027</v>
      </c>
      <c r="P9" s="38">
        <f t="shared" si="1"/>
        <v>2028</v>
      </c>
      <c r="R9" s="249" t="s">
        <v>178</v>
      </c>
      <c r="V9" s="2"/>
      <c r="W9" s="2"/>
    </row>
    <row r="10" spans="2:23" x14ac:dyDescent="0.3">
      <c r="H10" s="215"/>
      <c r="I10" s="206"/>
      <c r="J10" s="206"/>
      <c r="K10" s="229"/>
      <c r="L10" s="192"/>
      <c r="R10" s="250"/>
      <c r="V10" s="10"/>
      <c r="W10" s="304">
        <f ca="1">CF!P34</f>
        <v>64.542128764891984</v>
      </c>
    </row>
    <row r="11" spans="2:23" x14ac:dyDescent="0.3">
      <c r="B11" s="187" t="s">
        <v>154</v>
      </c>
      <c r="H11" s="215"/>
      <c r="I11" s="198"/>
      <c r="J11" s="198"/>
      <c r="K11" s="230"/>
      <c r="L11" s="195"/>
      <c r="M11" s="25"/>
      <c r="N11" s="25"/>
      <c r="O11" s="25"/>
      <c r="P11" s="25"/>
      <c r="R11" s="250"/>
      <c r="V11" s="10">
        <f>1</f>
        <v>1</v>
      </c>
      <c r="W11" s="304">
        <f t="dataTable" ref="W11:W14" dt2D="0" dtr="0" r1="F4" ca="1"/>
        <v>64.542224046949869</v>
      </c>
    </row>
    <row r="12" spans="2:23" x14ac:dyDescent="0.3">
      <c r="B12" t="s">
        <v>155</v>
      </c>
      <c r="H12" s="215"/>
      <c r="I12" s="199"/>
      <c r="J12" s="199">
        <f>IS!J34</f>
        <v>9.7911606919366623E-2</v>
      </c>
      <c r="K12" s="231">
        <f>IS!K34</f>
        <v>6.6827900671637241E-2</v>
      </c>
      <c r="L12" s="241">
        <f>CHOOSE($F$4,L13,L14,L15,L16)</f>
        <v>0.06</v>
      </c>
      <c r="M12" s="219">
        <f t="shared" ref="M12:P12" si="2">CHOOSE($F$4,M13,M14,M15,M16)</f>
        <v>5.5999999999999994E-2</v>
      </c>
      <c r="N12" s="219">
        <f t="shared" si="2"/>
        <v>5.1999999999999991E-2</v>
      </c>
      <c r="O12" s="219">
        <f t="shared" si="2"/>
        <v>4.7999999999999987E-2</v>
      </c>
      <c r="P12" s="219">
        <f t="shared" si="2"/>
        <v>4.3999999999999984E-2</v>
      </c>
      <c r="R12" s="250"/>
      <c r="V12" s="10">
        <f>V11+1</f>
        <v>2</v>
      </c>
      <c r="W12" s="304">
        <v>35.000023200430562</v>
      </c>
    </row>
    <row r="13" spans="2:23" x14ac:dyDescent="0.3">
      <c r="C13" t="s">
        <v>156</v>
      </c>
      <c r="H13" s="215">
        <v>1</v>
      </c>
      <c r="I13" s="200"/>
      <c r="J13" s="201"/>
      <c r="K13" s="232"/>
      <c r="L13" s="254">
        <v>0.06</v>
      </c>
      <c r="M13" s="255">
        <f>L13+$R13</f>
        <v>5.5999999999999994E-2</v>
      </c>
      <c r="N13" s="255">
        <f t="shared" ref="N13:P13" si="3">M13+$R13</f>
        <v>5.1999999999999991E-2</v>
      </c>
      <c r="O13" s="255">
        <f t="shared" si="3"/>
        <v>4.7999999999999987E-2</v>
      </c>
      <c r="P13" s="256">
        <f t="shared" si="3"/>
        <v>4.3999999999999984E-2</v>
      </c>
      <c r="R13" s="251">
        <v>-4.0000000000000001E-3</v>
      </c>
      <c r="V13" s="10">
        <f t="shared" ref="V13:V14" si="4">V12+1</f>
        <v>3</v>
      </c>
      <c r="W13" s="304">
        <v>632.82768119696948</v>
      </c>
    </row>
    <row r="14" spans="2:23" x14ac:dyDescent="0.3">
      <c r="C14" t="s">
        <v>157</v>
      </c>
      <c r="H14" s="215">
        <f>H13+1</f>
        <v>2</v>
      </c>
      <c r="I14" s="202"/>
      <c r="J14" s="199"/>
      <c r="K14" s="231"/>
      <c r="L14" s="257">
        <v>6.7000000000000004E-2</v>
      </c>
      <c r="M14" s="258">
        <f t="shared" ref="M14:P14" si="5">L14+$R14</f>
        <v>6.0000000000000005E-2</v>
      </c>
      <c r="N14" s="258">
        <f t="shared" si="5"/>
        <v>5.3000000000000005E-2</v>
      </c>
      <c r="O14" s="258">
        <f t="shared" si="5"/>
        <v>4.6000000000000006E-2</v>
      </c>
      <c r="P14" s="259">
        <f t="shared" si="5"/>
        <v>3.9000000000000007E-2</v>
      </c>
      <c r="R14" s="251">
        <v>-7.0000000000000001E-3</v>
      </c>
      <c r="V14" s="10">
        <f t="shared" si="4"/>
        <v>4</v>
      </c>
      <c r="W14" s="304">
        <v>34.999896785582237</v>
      </c>
    </row>
    <row r="15" spans="2:23" x14ac:dyDescent="0.3">
      <c r="C15" t="s">
        <v>158</v>
      </c>
      <c r="H15" s="215">
        <f t="shared" ref="H15:H16" si="6">H14+1</f>
        <v>3</v>
      </c>
      <c r="I15" s="202"/>
      <c r="J15" s="199"/>
      <c r="K15" s="231"/>
      <c r="L15" s="257">
        <v>7.4999999999999997E-2</v>
      </c>
      <c r="M15" s="258">
        <f t="shared" ref="M15:P15" si="7">L15+$R15</f>
        <v>7.4999999999999997E-2</v>
      </c>
      <c r="N15" s="258">
        <f t="shared" si="7"/>
        <v>7.4999999999999997E-2</v>
      </c>
      <c r="O15" s="258">
        <f t="shared" si="7"/>
        <v>7.4999999999999997E-2</v>
      </c>
      <c r="P15" s="259">
        <f t="shared" si="7"/>
        <v>7.4999999999999997E-2</v>
      </c>
      <c r="R15" s="251">
        <v>0</v>
      </c>
    </row>
    <row r="16" spans="2:23" x14ac:dyDescent="0.3">
      <c r="C16" t="s">
        <v>159</v>
      </c>
      <c r="H16" s="215">
        <f t="shared" si="6"/>
        <v>4</v>
      </c>
      <c r="I16" s="203"/>
      <c r="J16" s="204"/>
      <c r="K16" s="233"/>
      <c r="L16" s="260">
        <v>0.05</v>
      </c>
      <c r="M16" s="261">
        <f t="shared" ref="M16:P16" si="8">L16+$R16</f>
        <v>3.8000000000000006E-2</v>
      </c>
      <c r="N16" s="261">
        <f t="shared" si="8"/>
        <v>2.6000000000000006E-2</v>
      </c>
      <c r="O16" s="261">
        <f t="shared" si="8"/>
        <v>1.4000000000000005E-2</v>
      </c>
      <c r="P16" s="262">
        <f t="shared" si="8"/>
        <v>2.0000000000000052E-3</v>
      </c>
      <c r="R16" s="251">
        <v>-1.2E-2</v>
      </c>
    </row>
    <row r="17" spans="2:18" x14ac:dyDescent="0.3">
      <c r="H17" s="215"/>
      <c r="I17" s="199"/>
      <c r="J17" s="199"/>
      <c r="K17" s="231"/>
      <c r="L17" s="193"/>
      <c r="M17" s="115"/>
      <c r="N17" s="115"/>
      <c r="O17" s="115"/>
      <c r="P17" s="115"/>
      <c r="R17" s="250"/>
    </row>
    <row r="18" spans="2:18" x14ac:dyDescent="0.3">
      <c r="H18" s="215"/>
      <c r="I18" s="199"/>
      <c r="J18" s="199"/>
      <c r="K18" s="231"/>
      <c r="L18" s="194"/>
      <c r="M18" s="189"/>
      <c r="N18" s="189"/>
      <c r="O18" s="189"/>
      <c r="P18" s="189"/>
      <c r="R18" s="250"/>
    </row>
    <row r="19" spans="2:18" x14ac:dyDescent="0.3">
      <c r="B19" t="s">
        <v>179</v>
      </c>
      <c r="H19" s="215"/>
      <c r="I19" s="204">
        <f t="shared" ref="I19:K19" si="9">1-I20</f>
        <v>0.50885216179465154</v>
      </c>
      <c r="J19" s="204">
        <f t="shared" si="9"/>
        <v>0.47778667816871034</v>
      </c>
      <c r="K19" s="233">
        <f t="shared" si="9"/>
        <v>0.47</v>
      </c>
      <c r="L19" s="242">
        <f>1-L20</f>
        <v>0.46599999999999997</v>
      </c>
      <c r="M19" s="220">
        <f t="shared" ref="M19:P19" si="10">1-M20</f>
        <v>0.46599999999999997</v>
      </c>
      <c r="N19" s="220">
        <f t="shared" si="10"/>
        <v>0.46599999999999997</v>
      </c>
      <c r="O19" s="220">
        <f t="shared" si="10"/>
        <v>0.46599999999999997</v>
      </c>
      <c r="P19" s="220">
        <f t="shared" si="10"/>
        <v>0.46599999999999997</v>
      </c>
      <c r="R19" s="250"/>
    </row>
    <row r="20" spans="2:18" x14ac:dyDescent="0.3">
      <c r="B20" t="s">
        <v>160</v>
      </c>
      <c r="H20" s="215"/>
      <c r="I20" s="204">
        <f>(1-IS!I27)</f>
        <v>0.49114783820534846</v>
      </c>
      <c r="J20" s="204">
        <f>(1-IS!J27)</f>
        <v>0.52221332183128966</v>
      </c>
      <c r="K20" s="233">
        <f>(1-IS!K27)</f>
        <v>0.53</v>
      </c>
      <c r="L20" s="242" cm="1">
        <f t="array" ref="L20">INDEX(L21:L24,$F$4)</f>
        <v>0.53400000000000003</v>
      </c>
      <c r="M20" s="220" cm="1">
        <f t="array" ref="M20">INDEX(M21:M24,$F$4)</f>
        <v>0.53400000000000003</v>
      </c>
      <c r="N20" s="220" cm="1">
        <f t="array" ref="N20">INDEX(N21:N24,$F$4)</f>
        <v>0.53400000000000003</v>
      </c>
      <c r="O20" s="220" cm="1">
        <f t="array" ref="O20">INDEX(O21:O24,$F$4)</f>
        <v>0.53400000000000003</v>
      </c>
      <c r="P20" s="220" cm="1">
        <f t="array" ref="P20">INDEX(P21:P24,$F$4)</f>
        <v>0.53400000000000003</v>
      </c>
      <c r="R20" s="250"/>
    </row>
    <row r="21" spans="2:18" x14ac:dyDescent="0.3">
      <c r="C21" t="s">
        <v>156</v>
      </c>
      <c r="H21" s="215">
        <v>1</v>
      </c>
      <c r="I21" s="200"/>
      <c r="J21" s="201"/>
      <c r="K21" s="232"/>
      <c r="L21" s="254">
        <f>(1-46.6%)</f>
        <v>0.53400000000000003</v>
      </c>
      <c r="M21" s="255">
        <f t="shared" ref="M21:P21" si="11">(1-46.6%)</f>
        <v>0.53400000000000003</v>
      </c>
      <c r="N21" s="255">
        <f t="shared" si="11"/>
        <v>0.53400000000000003</v>
      </c>
      <c r="O21" s="255">
        <f t="shared" si="11"/>
        <v>0.53400000000000003</v>
      </c>
      <c r="P21" s="256">
        <f t="shared" si="11"/>
        <v>0.53400000000000003</v>
      </c>
      <c r="R21" s="250"/>
    </row>
    <row r="22" spans="2:18" x14ac:dyDescent="0.3">
      <c r="C22" t="s">
        <v>157</v>
      </c>
      <c r="H22" s="215">
        <f>H21+1</f>
        <v>2</v>
      </c>
      <c r="I22" s="202"/>
      <c r="J22" s="199"/>
      <c r="K22" s="231"/>
      <c r="L22" s="257">
        <v>0.53</v>
      </c>
      <c r="M22" s="258">
        <f>L22+0.002</f>
        <v>0.53200000000000003</v>
      </c>
      <c r="N22" s="258">
        <f t="shared" ref="N22:P22" si="12">M22+0.002</f>
        <v>0.53400000000000003</v>
      </c>
      <c r="O22" s="258">
        <f t="shared" si="12"/>
        <v>0.53600000000000003</v>
      </c>
      <c r="P22" s="259">
        <f t="shared" si="12"/>
        <v>0.53800000000000003</v>
      </c>
      <c r="R22" s="250"/>
    </row>
    <row r="23" spans="2:18" x14ac:dyDescent="0.3">
      <c r="C23" t="s">
        <v>158</v>
      </c>
      <c r="H23" s="215">
        <f t="shared" ref="H23:H24" si="13">H22+1</f>
        <v>3</v>
      </c>
      <c r="I23" s="202"/>
      <c r="J23" s="199"/>
      <c r="K23" s="231"/>
      <c r="L23" s="257">
        <v>0.52</v>
      </c>
      <c r="M23" s="258">
        <v>0.52</v>
      </c>
      <c r="N23" s="258">
        <v>0.52</v>
      </c>
      <c r="O23" s="258">
        <v>0.52</v>
      </c>
      <c r="P23" s="259">
        <v>0.52</v>
      </c>
      <c r="R23" s="250"/>
    </row>
    <row r="24" spans="2:18" x14ac:dyDescent="0.3">
      <c r="C24" t="s">
        <v>159</v>
      </c>
      <c r="H24" s="215">
        <f t="shared" si="13"/>
        <v>4</v>
      </c>
      <c r="I24" s="203"/>
      <c r="J24" s="204"/>
      <c r="K24" s="233"/>
      <c r="L24" s="260">
        <v>0.54500000000000004</v>
      </c>
      <c r="M24" s="261">
        <v>0.54500000000000004</v>
      </c>
      <c r="N24" s="261">
        <v>0.54500000000000004</v>
      </c>
      <c r="O24" s="261">
        <v>0.54500000000000004</v>
      </c>
      <c r="P24" s="262">
        <v>0.54500000000000004</v>
      </c>
      <c r="R24" s="250"/>
    </row>
    <row r="25" spans="2:18" x14ac:dyDescent="0.3">
      <c r="H25" s="215"/>
      <c r="I25" s="204"/>
      <c r="J25" s="204"/>
      <c r="K25" s="233"/>
      <c r="L25" s="194"/>
      <c r="M25" s="189"/>
      <c r="N25" s="189"/>
      <c r="O25" s="189"/>
      <c r="P25" s="189"/>
      <c r="R25" s="250"/>
    </row>
    <row r="26" spans="2:18" x14ac:dyDescent="0.3">
      <c r="B26" t="s">
        <v>161</v>
      </c>
      <c r="H26" s="215"/>
      <c r="I26" s="204">
        <f>IS!I28</f>
        <v>0.29631233214041686</v>
      </c>
      <c r="J26" s="204">
        <f>IS!J28</f>
        <v>0.27389241481298909</v>
      </c>
      <c r="K26" s="233">
        <f>IS!K28</f>
        <v>0.26742060409332574</v>
      </c>
      <c r="L26" s="194" cm="1">
        <f t="array" ref="L26">INDEX(L27:L30,$F$4)</f>
        <v>0.28100000000000003</v>
      </c>
      <c r="M26" s="189" cm="1">
        <f t="array" ref="M26">INDEX(M27:M30,$F$4)</f>
        <v>0.28100000000000003</v>
      </c>
      <c r="N26" s="189" cm="1">
        <f t="array" ref="N26">INDEX(N27:N30,$F$4)</f>
        <v>0.28100000000000003</v>
      </c>
      <c r="O26" s="189" cm="1">
        <f t="array" ref="O26">INDEX(O27:O30,$F$4)</f>
        <v>0.28100000000000003</v>
      </c>
      <c r="P26" s="189" cm="1">
        <f t="array" ref="P26">INDEX(P27:P30,$F$4)</f>
        <v>0.28100000000000003</v>
      </c>
      <c r="R26" s="250"/>
    </row>
    <row r="27" spans="2:18" x14ac:dyDescent="0.3">
      <c r="C27" t="s">
        <v>156</v>
      </c>
      <c r="H27" s="215">
        <v>1</v>
      </c>
      <c r="I27" s="200"/>
      <c r="J27" s="201"/>
      <c r="K27" s="232"/>
      <c r="L27" s="254">
        <v>0.28100000000000003</v>
      </c>
      <c r="M27" s="255">
        <v>0.28100000000000003</v>
      </c>
      <c r="N27" s="255">
        <v>0.28100000000000003</v>
      </c>
      <c r="O27" s="255">
        <v>0.28100000000000003</v>
      </c>
      <c r="P27" s="256">
        <v>0.28100000000000003</v>
      </c>
      <c r="R27" s="250"/>
    </row>
    <row r="28" spans="2:18" x14ac:dyDescent="0.3">
      <c r="C28" t="s">
        <v>157</v>
      </c>
      <c r="H28" s="215">
        <f>H27+1</f>
        <v>2</v>
      </c>
      <c r="I28" s="202"/>
      <c r="J28" s="199"/>
      <c r="K28" s="231"/>
      <c r="L28" s="257">
        <v>0.28100000000000003</v>
      </c>
      <c r="M28" s="258">
        <v>0.28100000000000003</v>
      </c>
      <c r="N28" s="258">
        <v>0.28100000000000003</v>
      </c>
      <c r="O28" s="258">
        <v>0.28100000000000003</v>
      </c>
      <c r="P28" s="259">
        <v>0.28100000000000003</v>
      </c>
      <c r="R28" s="250"/>
    </row>
    <row r="29" spans="2:18" x14ac:dyDescent="0.3">
      <c r="C29" t="s">
        <v>158</v>
      </c>
      <c r="H29" s="215">
        <f t="shared" ref="H29:H30" si="14">H28+1</f>
        <v>3</v>
      </c>
      <c r="I29" s="202"/>
      <c r="J29" s="199"/>
      <c r="K29" s="231"/>
      <c r="L29" s="257">
        <v>0.28100000000000003</v>
      </c>
      <c r="M29" s="258">
        <v>0.28100000000000003</v>
      </c>
      <c r="N29" s="258">
        <v>0.28100000000000003</v>
      </c>
      <c r="O29" s="258">
        <v>0.28100000000000003</v>
      </c>
      <c r="P29" s="259">
        <v>0.28100000000000003</v>
      </c>
      <c r="R29" s="250"/>
    </row>
    <row r="30" spans="2:18" x14ac:dyDescent="0.3">
      <c r="C30" t="s">
        <v>159</v>
      </c>
      <c r="H30" s="215">
        <f t="shared" si="14"/>
        <v>4</v>
      </c>
      <c r="I30" s="203"/>
      <c r="J30" s="204"/>
      <c r="K30" s="233"/>
      <c r="L30" s="260">
        <v>0.28100000000000003</v>
      </c>
      <c r="M30" s="261">
        <v>0.28100000000000003</v>
      </c>
      <c r="N30" s="261">
        <v>0.28100000000000003</v>
      </c>
      <c r="O30" s="261">
        <v>0.28100000000000003</v>
      </c>
      <c r="P30" s="262">
        <v>0.28100000000000003</v>
      </c>
      <c r="R30" s="250"/>
    </row>
    <row r="31" spans="2:18" x14ac:dyDescent="0.3">
      <c r="H31" s="215"/>
      <c r="I31" s="198"/>
      <c r="J31" s="198"/>
      <c r="K31" s="230"/>
      <c r="L31" s="195"/>
      <c r="M31" s="25"/>
      <c r="N31" s="25"/>
      <c r="O31" s="25"/>
      <c r="P31" s="25"/>
      <c r="R31" s="250"/>
    </row>
    <row r="32" spans="2:18" hidden="1" outlineLevel="1" x14ac:dyDescent="0.3">
      <c r="B32" t="s">
        <v>162</v>
      </c>
      <c r="H32" s="215"/>
      <c r="I32" s="204">
        <f>IS!I14/IS!I7</f>
        <v>2.7804650344682953E-2</v>
      </c>
      <c r="J32" s="204">
        <f>IS!J14/IS!J7</f>
        <v>2.6095261568796598E-2</v>
      </c>
      <c r="K32" s="233">
        <f>IS!K14/IS!K7</f>
        <v>2.5615774927730015E-2</v>
      </c>
      <c r="L32" s="194" cm="1">
        <f t="array" ref="L32">INDEX(L33:L36,$F$4)</f>
        <v>2.7E-2</v>
      </c>
      <c r="M32" s="189" cm="1">
        <f t="array" ref="M32">INDEX(M33:M36,$F$4)</f>
        <v>2.7E-2</v>
      </c>
      <c r="N32" s="189" cm="1">
        <f t="array" ref="N32">INDEX(N33:N36,$F$4)</f>
        <v>2.7E-2</v>
      </c>
      <c r="O32" s="189" cm="1">
        <f t="array" ref="O32">INDEX(O33:O36,$F$4)</f>
        <v>2.7E-2</v>
      </c>
      <c r="P32" s="189" cm="1">
        <f t="array" ref="P32">INDEX(P33:P36,$F$4)</f>
        <v>2.7E-2</v>
      </c>
      <c r="R32" s="250"/>
    </row>
    <row r="33" spans="2:18" hidden="1" outlineLevel="1" x14ac:dyDescent="0.3">
      <c r="C33" t="s">
        <v>156</v>
      </c>
      <c r="H33" s="215">
        <v>1</v>
      </c>
      <c r="I33" s="221"/>
      <c r="J33" s="222"/>
      <c r="K33" s="234"/>
      <c r="L33" s="254">
        <v>2.7E-2</v>
      </c>
      <c r="M33" s="255">
        <f>$L33</f>
        <v>2.7E-2</v>
      </c>
      <c r="N33" s="255">
        <f t="shared" ref="N33:P36" si="15">$L33</f>
        <v>2.7E-2</v>
      </c>
      <c r="O33" s="255">
        <f t="shared" si="15"/>
        <v>2.7E-2</v>
      </c>
      <c r="P33" s="256">
        <f t="shared" si="15"/>
        <v>2.7E-2</v>
      </c>
      <c r="R33" s="250"/>
    </row>
    <row r="34" spans="2:18" hidden="1" outlineLevel="1" x14ac:dyDescent="0.3">
      <c r="C34" t="s">
        <v>157</v>
      </c>
      <c r="H34" s="215">
        <f>H33+1</f>
        <v>2</v>
      </c>
      <c r="I34" s="202"/>
      <c r="J34" s="199"/>
      <c r="K34" s="231"/>
      <c r="L34" s="257">
        <v>2.7E-2</v>
      </c>
      <c r="M34" s="258">
        <f t="shared" ref="M34:M36" si="16">$L34</f>
        <v>2.7E-2</v>
      </c>
      <c r="N34" s="258">
        <f t="shared" si="15"/>
        <v>2.7E-2</v>
      </c>
      <c r="O34" s="258">
        <f t="shared" si="15"/>
        <v>2.7E-2</v>
      </c>
      <c r="P34" s="259">
        <f t="shared" si="15"/>
        <v>2.7E-2</v>
      </c>
      <c r="R34" s="250"/>
    </row>
    <row r="35" spans="2:18" hidden="1" outlineLevel="1" x14ac:dyDescent="0.3">
      <c r="C35" t="s">
        <v>158</v>
      </c>
      <c r="H35" s="215">
        <f t="shared" ref="H35:H36" si="17">H34+1</f>
        <v>3</v>
      </c>
      <c r="I35" s="202"/>
      <c r="J35" s="199"/>
      <c r="K35" s="231"/>
      <c r="L35" s="257">
        <v>2.7E-2</v>
      </c>
      <c r="M35" s="258">
        <f t="shared" si="16"/>
        <v>2.7E-2</v>
      </c>
      <c r="N35" s="258">
        <f t="shared" si="15"/>
        <v>2.7E-2</v>
      </c>
      <c r="O35" s="258">
        <f t="shared" si="15"/>
        <v>2.7E-2</v>
      </c>
      <c r="P35" s="259">
        <f t="shared" si="15"/>
        <v>2.7E-2</v>
      </c>
      <c r="R35" s="250"/>
    </row>
    <row r="36" spans="2:18" hidden="1" outlineLevel="1" x14ac:dyDescent="0.3">
      <c r="C36" t="s">
        <v>159</v>
      </c>
      <c r="H36" s="215">
        <f t="shared" si="17"/>
        <v>4</v>
      </c>
      <c r="I36" s="203"/>
      <c r="J36" s="204"/>
      <c r="K36" s="233"/>
      <c r="L36" s="260">
        <v>2.7E-2</v>
      </c>
      <c r="M36" s="261">
        <f t="shared" si="16"/>
        <v>2.7E-2</v>
      </c>
      <c r="N36" s="261">
        <f t="shared" si="15"/>
        <v>2.7E-2</v>
      </c>
      <c r="O36" s="261">
        <f t="shared" si="15"/>
        <v>2.7E-2</v>
      </c>
      <c r="P36" s="262">
        <f t="shared" si="15"/>
        <v>2.7E-2</v>
      </c>
      <c r="R36" s="250"/>
    </row>
    <row r="37" spans="2:18" hidden="1" outlineLevel="1" x14ac:dyDescent="0.3">
      <c r="H37" s="215"/>
      <c r="I37" s="208"/>
      <c r="J37" s="208"/>
      <c r="K37" s="235"/>
      <c r="L37" s="196"/>
      <c r="M37" s="191"/>
      <c r="N37" s="191"/>
      <c r="O37" s="191"/>
      <c r="P37" s="191"/>
      <c r="R37" s="250"/>
    </row>
    <row r="38" spans="2:18" hidden="1" outlineLevel="1" x14ac:dyDescent="0.3">
      <c r="B38" t="s">
        <v>163</v>
      </c>
      <c r="H38" s="215"/>
      <c r="I38" s="204">
        <f>IS!I15/IS!I7</f>
        <v>2.0295365215097045E-3</v>
      </c>
      <c r="J38" s="204">
        <f>IS!J15/IS!J7</f>
        <v>1.2323618214307721E-3</v>
      </c>
      <c r="K38" s="233">
        <f>IS!K15/IS!K7</f>
        <v>1.0107690219510151E-3</v>
      </c>
      <c r="L38" s="194" cm="1">
        <f t="array" ref="L38">INDEX(L39:L42,$F$4)</f>
        <v>1.482514793544959E-3</v>
      </c>
      <c r="M38" s="189" cm="1">
        <f t="array" ref="M38">INDEX(M39:M42,$F$4)</f>
        <v>1.372698882911999E-3</v>
      </c>
      <c r="N38" s="189" cm="1">
        <f t="array" ref="N38">INDEX(N39:N42,$F$4)</f>
        <v>1.2828961522542044E-3</v>
      </c>
      <c r="O38" s="189" cm="1">
        <f t="array" ref="O38">INDEX(O39:O42,$F$4)</f>
        <v>1.2102793889190609E-3</v>
      </c>
      <c r="P38" s="189" cm="1">
        <f t="array" ref="P38">INDEX(P39:P42,$F$4)</f>
        <v>1.152647037065772E-3</v>
      </c>
      <c r="R38" s="250"/>
    </row>
    <row r="39" spans="2:18" hidden="1" outlineLevel="1" x14ac:dyDescent="0.3">
      <c r="C39" t="s">
        <v>156</v>
      </c>
      <c r="H39" s="215">
        <v>1</v>
      </c>
      <c r="I39" s="200"/>
      <c r="J39" s="201"/>
      <c r="K39" s="232"/>
      <c r="L39" s="254">
        <v>1.482514793544959E-3</v>
      </c>
      <c r="M39" s="255">
        <v>1.372698882911999E-3</v>
      </c>
      <c r="N39" s="255">
        <v>1.2828961522542044E-3</v>
      </c>
      <c r="O39" s="255">
        <v>1.2102793889190609E-3</v>
      </c>
      <c r="P39" s="256">
        <v>1.152647037065772E-3</v>
      </c>
      <c r="R39" s="250"/>
    </row>
    <row r="40" spans="2:18" hidden="1" outlineLevel="1" x14ac:dyDescent="0.3">
      <c r="C40" t="s">
        <v>157</v>
      </c>
      <c r="H40" s="215">
        <f>H39+1</f>
        <v>2</v>
      </c>
      <c r="I40" s="205"/>
      <c r="J40" s="206"/>
      <c r="K40" s="229"/>
      <c r="L40" s="257">
        <v>1E-3</v>
      </c>
      <c r="M40" s="258">
        <f t="shared" ref="M40:M42" si="18">$L40</f>
        <v>1E-3</v>
      </c>
      <c r="N40" s="258">
        <f t="shared" ref="N40:P42" si="19">$L40</f>
        <v>1E-3</v>
      </c>
      <c r="O40" s="258">
        <f t="shared" si="19"/>
        <v>1E-3</v>
      </c>
      <c r="P40" s="259">
        <f t="shared" si="19"/>
        <v>1E-3</v>
      </c>
      <c r="R40" s="250"/>
    </row>
    <row r="41" spans="2:18" hidden="1" outlineLevel="1" x14ac:dyDescent="0.3">
      <c r="C41" t="s">
        <v>158</v>
      </c>
      <c r="H41" s="215">
        <f t="shared" ref="H41:H42" si="20">H40+1</f>
        <v>3</v>
      </c>
      <c r="I41" s="205"/>
      <c r="J41" s="206"/>
      <c r="K41" s="229"/>
      <c r="L41" s="257">
        <v>1E-3</v>
      </c>
      <c r="M41" s="258">
        <f t="shared" si="18"/>
        <v>1E-3</v>
      </c>
      <c r="N41" s="258">
        <f t="shared" si="19"/>
        <v>1E-3</v>
      </c>
      <c r="O41" s="258">
        <f t="shared" si="19"/>
        <v>1E-3</v>
      </c>
      <c r="P41" s="259">
        <f t="shared" si="19"/>
        <v>1E-3</v>
      </c>
      <c r="R41" s="250"/>
    </row>
    <row r="42" spans="2:18" hidden="1" outlineLevel="1" x14ac:dyDescent="0.3">
      <c r="C42" t="s">
        <v>159</v>
      </c>
      <c r="H42" s="215">
        <f t="shared" si="20"/>
        <v>4</v>
      </c>
      <c r="I42" s="207"/>
      <c r="J42" s="198"/>
      <c r="K42" s="230"/>
      <c r="L42" s="260">
        <v>1E-3</v>
      </c>
      <c r="M42" s="261">
        <f t="shared" si="18"/>
        <v>1E-3</v>
      </c>
      <c r="N42" s="261">
        <f t="shared" si="19"/>
        <v>1E-3</v>
      </c>
      <c r="O42" s="261">
        <f t="shared" si="19"/>
        <v>1E-3</v>
      </c>
      <c r="P42" s="262">
        <f t="shared" si="19"/>
        <v>1E-3</v>
      </c>
      <c r="R42" s="250"/>
    </row>
    <row r="43" spans="2:18" hidden="1" outlineLevel="1" x14ac:dyDescent="0.3">
      <c r="H43" s="215"/>
      <c r="I43" s="206"/>
      <c r="J43" s="206"/>
      <c r="K43" s="229"/>
      <c r="L43" s="192"/>
      <c r="R43" s="250"/>
    </row>
    <row r="44" spans="2:18" collapsed="1" x14ac:dyDescent="0.3">
      <c r="B44" s="187" t="s">
        <v>164</v>
      </c>
      <c r="H44" s="215"/>
      <c r="I44" s="198"/>
      <c r="J44" s="198"/>
      <c r="K44" s="230"/>
      <c r="L44" s="195"/>
      <c r="M44" s="25"/>
      <c r="N44" s="25"/>
      <c r="O44" s="25"/>
      <c r="P44" s="25"/>
      <c r="R44" s="250"/>
    </row>
    <row r="45" spans="2:18" x14ac:dyDescent="0.3">
      <c r="B45" t="s">
        <v>165</v>
      </c>
      <c r="H45" s="215"/>
      <c r="I45" s="204">
        <f>Dep!I10</f>
        <v>2.9022372257588774E-2</v>
      </c>
      <c r="J45" s="204">
        <f>Dep!J10</f>
        <v>6.2357508164397064E-2</v>
      </c>
      <c r="K45" s="233">
        <f>Dep!K10</f>
        <v>0.11378371275677143</v>
      </c>
      <c r="L45" s="194" cm="1">
        <f t="array" ref="L45">INDEX(L46:L49,$F$4)</f>
        <v>0.05</v>
      </c>
      <c r="M45" s="189" cm="1">
        <f t="array" ref="M45">INDEX(M46:M49,$F$4)</f>
        <v>0.05</v>
      </c>
      <c r="N45" s="189" cm="1">
        <f t="array" ref="N45">INDEX(N46:N49,$F$4)</f>
        <v>0.05</v>
      </c>
      <c r="O45" s="189" cm="1">
        <f t="array" ref="O45">INDEX(O46:O49,$F$4)</f>
        <v>0.05</v>
      </c>
      <c r="P45" s="189" cm="1">
        <f t="array" ref="P45">INDEX(P46:P49,$F$4)</f>
        <v>0.05</v>
      </c>
      <c r="R45" s="250"/>
    </row>
    <row r="46" spans="2:18" x14ac:dyDescent="0.3">
      <c r="C46" t="s">
        <v>156</v>
      </c>
      <c r="H46" s="215">
        <v>1</v>
      </c>
      <c r="I46" s="200"/>
      <c r="J46" s="201"/>
      <c r="K46" s="232"/>
      <c r="L46" s="254">
        <v>0.05</v>
      </c>
      <c r="M46" s="255">
        <v>0.05</v>
      </c>
      <c r="N46" s="255">
        <v>0.05</v>
      </c>
      <c r="O46" s="255">
        <v>0.05</v>
      </c>
      <c r="P46" s="256">
        <v>0.05</v>
      </c>
      <c r="Q46" s="115"/>
      <c r="R46" s="250"/>
    </row>
    <row r="47" spans="2:18" x14ac:dyDescent="0.3">
      <c r="C47" t="s">
        <v>157</v>
      </c>
      <c r="H47" s="215">
        <f>H46+1</f>
        <v>2</v>
      </c>
      <c r="I47" s="202"/>
      <c r="J47" s="199"/>
      <c r="K47" s="231"/>
      <c r="L47" s="257">
        <v>7.0000000000000007E-2</v>
      </c>
      <c r="M47" s="258">
        <v>7.0000000000000007E-2</v>
      </c>
      <c r="N47" s="258">
        <v>0.05</v>
      </c>
      <c r="O47" s="258">
        <v>0.03</v>
      </c>
      <c r="P47" s="259">
        <v>0.03</v>
      </c>
      <c r="Q47" s="115"/>
      <c r="R47" s="250"/>
    </row>
    <row r="48" spans="2:18" x14ac:dyDescent="0.3">
      <c r="C48" t="s">
        <v>158</v>
      </c>
      <c r="H48" s="215">
        <f t="shared" ref="H48:H49" si="21">H47+1</f>
        <v>3</v>
      </c>
      <c r="I48" s="202"/>
      <c r="J48" s="199"/>
      <c r="K48" s="231"/>
      <c r="L48" s="257">
        <v>2.6119624581261172E-2</v>
      </c>
      <c r="M48" s="258">
        <v>2.7E-2</v>
      </c>
      <c r="N48" s="258">
        <v>2.7E-2</v>
      </c>
      <c r="O48" s="258">
        <v>2.7E-2</v>
      </c>
      <c r="P48" s="259">
        <v>2.7E-2</v>
      </c>
      <c r="Q48" s="115"/>
      <c r="R48" s="250"/>
    </row>
    <row r="49" spans="2:18" x14ac:dyDescent="0.3">
      <c r="C49" t="s">
        <v>159</v>
      </c>
      <c r="H49" s="215">
        <f t="shared" si="21"/>
        <v>4</v>
      </c>
      <c r="I49" s="203"/>
      <c r="J49" s="204"/>
      <c r="K49" s="233"/>
      <c r="L49" s="260">
        <v>7.0000000000000007E-2</v>
      </c>
      <c r="M49" s="261">
        <v>7.0000000000000007E-2</v>
      </c>
      <c r="N49" s="261">
        <v>7.0000000000000007E-2</v>
      </c>
      <c r="O49" s="261">
        <v>7.0000000000000007E-2</v>
      </c>
      <c r="P49" s="262">
        <v>2.7E-2</v>
      </c>
      <c r="Q49" s="115"/>
      <c r="R49" s="250"/>
    </row>
    <row r="50" spans="2:18" x14ac:dyDescent="0.3">
      <c r="H50" s="215"/>
      <c r="I50" s="199"/>
      <c r="J50" s="199"/>
      <c r="K50" s="231"/>
      <c r="L50" s="193"/>
      <c r="M50" s="115"/>
      <c r="N50" s="115"/>
      <c r="O50" s="115"/>
      <c r="P50" s="115"/>
      <c r="Q50" s="115"/>
      <c r="R50" s="250"/>
    </row>
    <row r="51" spans="2:18" x14ac:dyDescent="0.3">
      <c r="B51" t="s">
        <v>181</v>
      </c>
      <c r="H51" s="215"/>
      <c r="I51" s="204">
        <f>Amort!I10</f>
        <v>2.5098601649336676E-2</v>
      </c>
      <c r="J51" s="204">
        <f>Amort!J10</f>
        <v>-1.9039990141105426E-2</v>
      </c>
      <c r="K51" s="233">
        <f>Amort!K10</f>
        <v>4.3318672369329226E-4</v>
      </c>
      <c r="L51" s="194">
        <f>INDEX(L52:L55,$F$4)</f>
        <v>1.482514793544959E-3</v>
      </c>
      <c r="M51" s="189" cm="1">
        <f t="array" ref="M51">INDEX(M52:M55,$F$4)</f>
        <v>1.3601053151788612E-3</v>
      </c>
      <c r="N51" s="189" cm="1">
        <f t="array" ref="N51">INDEX(N52:N55,$F$4)</f>
        <v>1.2478030414484963E-3</v>
      </c>
      <c r="O51" s="189" cm="1">
        <f t="array" ref="O51">INDEX(O52:O55,$F$4)</f>
        <v>1.1447734325215563E-3</v>
      </c>
      <c r="P51" s="189" cm="1">
        <f t="array" ref="P51">INDEX(P52:P55,$F$4)</f>
        <v>1.0502508555243633E-3</v>
      </c>
      <c r="Q51" s="115"/>
      <c r="R51" s="250"/>
    </row>
    <row r="52" spans="2:18" x14ac:dyDescent="0.3">
      <c r="C52" t="s">
        <v>156</v>
      </c>
      <c r="H52" s="215">
        <v>1</v>
      </c>
      <c r="I52" s="200"/>
      <c r="J52" s="201"/>
      <c r="K52" s="232"/>
      <c r="L52" s="254">
        <v>1.482514793544959E-3</v>
      </c>
      <c r="M52" s="255">
        <v>1.3601053151788612E-3</v>
      </c>
      <c r="N52" s="255">
        <v>1.2478030414484963E-3</v>
      </c>
      <c r="O52" s="255">
        <v>1.1447734325215563E-3</v>
      </c>
      <c r="P52" s="256">
        <v>1.0502508555243633E-3</v>
      </c>
      <c r="Q52" s="115"/>
      <c r="R52" s="250"/>
    </row>
    <row r="53" spans="2:18" x14ac:dyDescent="0.3">
      <c r="C53" t="s">
        <v>157</v>
      </c>
      <c r="H53" s="215">
        <f>H52+1</f>
        <v>2</v>
      </c>
      <c r="I53" s="202"/>
      <c r="J53" s="199"/>
      <c r="K53" s="231"/>
      <c r="L53" s="257">
        <v>1.482514793544959E-3</v>
      </c>
      <c r="M53" s="258">
        <v>1.3601053151788612E-3</v>
      </c>
      <c r="N53" s="258">
        <v>1.2478030414484963E-3</v>
      </c>
      <c r="O53" s="258">
        <v>1.1447734325215563E-3</v>
      </c>
      <c r="P53" s="259">
        <v>1.0502508555243633E-3</v>
      </c>
      <c r="Q53" s="115"/>
      <c r="R53" s="250"/>
    </row>
    <row r="54" spans="2:18" x14ac:dyDescent="0.3">
      <c r="C54" t="s">
        <v>158</v>
      </c>
      <c r="H54" s="215">
        <f t="shared" ref="H54:H55" si="22">H53+1</f>
        <v>3</v>
      </c>
      <c r="I54" s="202"/>
      <c r="J54" s="199"/>
      <c r="K54" s="231"/>
      <c r="L54" s="257">
        <v>1.482514793544959E-3</v>
      </c>
      <c r="M54" s="258">
        <v>1.3601053151788612E-3</v>
      </c>
      <c r="N54" s="258">
        <v>1.2478030414484963E-3</v>
      </c>
      <c r="O54" s="258">
        <v>1.1447734325215563E-3</v>
      </c>
      <c r="P54" s="259">
        <v>1.0502508555243633E-3</v>
      </c>
      <c r="Q54" s="115"/>
      <c r="R54" s="250"/>
    </row>
    <row r="55" spans="2:18" x14ac:dyDescent="0.3">
      <c r="C55" t="s">
        <v>159</v>
      </c>
      <c r="H55" s="215">
        <f t="shared" si="22"/>
        <v>4</v>
      </c>
      <c r="I55" s="203"/>
      <c r="J55" s="204"/>
      <c r="K55" s="233"/>
      <c r="L55" s="260">
        <v>1.482514793544959E-3</v>
      </c>
      <c r="M55" s="261">
        <v>1.3601053151788612E-3</v>
      </c>
      <c r="N55" s="261">
        <v>1.2478030414484963E-3</v>
      </c>
      <c r="O55" s="261">
        <v>1.1447734325215563E-3</v>
      </c>
      <c r="P55" s="262">
        <v>1.0502508555243633E-3</v>
      </c>
      <c r="Q55" s="115"/>
      <c r="R55" s="250"/>
    </row>
    <row r="56" spans="2:18" x14ac:dyDescent="0.3">
      <c r="H56" s="215"/>
      <c r="I56" s="206"/>
      <c r="J56" s="206"/>
      <c r="K56" s="229"/>
      <c r="L56" s="192"/>
      <c r="R56" s="250"/>
    </row>
    <row r="57" spans="2:18" x14ac:dyDescent="0.3">
      <c r="B57" s="187" t="s">
        <v>166</v>
      </c>
      <c r="H57" s="215"/>
      <c r="I57" s="206"/>
      <c r="J57" s="206"/>
      <c r="K57" s="229"/>
      <c r="L57" s="192"/>
      <c r="R57" s="250"/>
    </row>
    <row r="58" spans="2:18" x14ac:dyDescent="0.3">
      <c r="B58" s="188" t="s">
        <v>167</v>
      </c>
      <c r="H58" s="215"/>
      <c r="I58" s="198"/>
      <c r="J58" s="198"/>
      <c r="K58" s="230"/>
      <c r="L58" s="195"/>
      <c r="M58" s="25"/>
      <c r="N58" s="25"/>
      <c r="O58" s="25"/>
      <c r="P58" s="25"/>
      <c r="R58" s="250"/>
    </row>
    <row r="59" spans="2:18" x14ac:dyDescent="0.3">
      <c r="B59" t="s">
        <v>170</v>
      </c>
      <c r="H59" s="215"/>
      <c r="I59" s="209">
        <f>WC!I26</f>
        <v>46.298801896940134</v>
      </c>
      <c r="J59" s="209">
        <f>WC!J26</f>
        <v>40.70799186641198</v>
      </c>
      <c r="K59" s="236">
        <f>WC!K26</f>
        <v>40.719407631594912</v>
      </c>
      <c r="L59" s="243" cm="1">
        <f t="array" ref="L59">INDEX(L60:L63,$F$4)</f>
        <v>44</v>
      </c>
      <c r="M59" s="223" cm="1">
        <f t="array" ref="M59">INDEX(M60:M63,$F$4)</f>
        <v>43</v>
      </c>
      <c r="N59" s="223" cm="1">
        <f t="array" ref="N59">INDEX(N60:N63,$F$4)</f>
        <v>42</v>
      </c>
      <c r="O59" s="223" cm="1">
        <f t="array" ref="O59">INDEX(O60:O63,$F$4)</f>
        <v>41</v>
      </c>
      <c r="P59" s="223" cm="1">
        <f t="array" ref="P59">INDEX(P60:P63,$F$4)</f>
        <v>40</v>
      </c>
      <c r="R59" s="250"/>
    </row>
    <row r="60" spans="2:18" x14ac:dyDescent="0.3">
      <c r="C60" t="s">
        <v>156</v>
      </c>
      <c r="H60" s="215">
        <v>1</v>
      </c>
      <c r="I60" s="200"/>
      <c r="J60" s="201"/>
      <c r="K60" s="232"/>
      <c r="L60" s="263">
        <v>44</v>
      </c>
      <c r="M60" s="264">
        <f>L60+$R60</f>
        <v>43</v>
      </c>
      <c r="N60" s="264">
        <f t="shared" ref="N60:P60" si="23">M60+$R60</f>
        <v>42</v>
      </c>
      <c r="O60" s="264">
        <f t="shared" si="23"/>
        <v>41</v>
      </c>
      <c r="P60" s="265">
        <f t="shared" si="23"/>
        <v>40</v>
      </c>
      <c r="Q60" s="97"/>
      <c r="R60" s="252">
        <v>-1</v>
      </c>
    </row>
    <row r="61" spans="2:18" x14ac:dyDescent="0.3">
      <c r="C61" t="s">
        <v>157</v>
      </c>
      <c r="H61" s="215">
        <f>H60+1</f>
        <v>2</v>
      </c>
      <c r="I61" s="210"/>
      <c r="J61" s="211"/>
      <c r="K61" s="237"/>
      <c r="L61" s="266">
        <v>43</v>
      </c>
      <c r="M61" s="267">
        <f t="shared" ref="M61:P61" si="24">L61+$R61</f>
        <v>43</v>
      </c>
      <c r="N61" s="267">
        <f t="shared" si="24"/>
        <v>43</v>
      </c>
      <c r="O61" s="267">
        <f t="shared" si="24"/>
        <v>43</v>
      </c>
      <c r="P61" s="268">
        <f t="shared" si="24"/>
        <v>43</v>
      </c>
      <c r="Q61" s="97"/>
      <c r="R61" s="252">
        <v>0</v>
      </c>
    </row>
    <row r="62" spans="2:18" x14ac:dyDescent="0.3">
      <c r="C62" t="s">
        <v>158</v>
      </c>
      <c r="H62" s="215">
        <f t="shared" ref="H62:H63" si="25">H61+1</f>
        <v>3</v>
      </c>
      <c r="I62" s="210"/>
      <c r="J62" s="211"/>
      <c r="K62" s="237"/>
      <c r="L62" s="266">
        <v>41</v>
      </c>
      <c r="M62" s="267">
        <f t="shared" ref="M62:P62" si="26">L62+$R62</f>
        <v>41</v>
      </c>
      <c r="N62" s="267">
        <f t="shared" si="26"/>
        <v>41</v>
      </c>
      <c r="O62" s="267">
        <f t="shared" si="26"/>
        <v>41</v>
      </c>
      <c r="P62" s="268">
        <f t="shared" si="26"/>
        <v>41</v>
      </c>
      <c r="Q62" s="97"/>
      <c r="R62" s="252">
        <v>0</v>
      </c>
    </row>
    <row r="63" spans="2:18" x14ac:dyDescent="0.3">
      <c r="C63" t="s">
        <v>159</v>
      </c>
      <c r="H63" s="215">
        <f t="shared" si="25"/>
        <v>4</v>
      </c>
      <c r="I63" s="212"/>
      <c r="J63" s="209"/>
      <c r="K63" s="236"/>
      <c r="L63" s="269">
        <v>44</v>
      </c>
      <c r="M63" s="270">
        <f t="shared" ref="M63:P63" si="27">L63+$R63</f>
        <v>45</v>
      </c>
      <c r="N63" s="270">
        <f t="shared" si="27"/>
        <v>46</v>
      </c>
      <c r="O63" s="270">
        <f t="shared" si="27"/>
        <v>47</v>
      </c>
      <c r="P63" s="271">
        <f t="shared" si="27"/>
        <v>48</v>
      </c>
      <c r="Q63" s="97"/>
      <c r="R63" s="252">
        <v>1</v>
      </c>
    </row>
    <row r="64" spans="2:18" x14ac:dyDescent="0.3">
      <c r="H64" s="215"/>
      <c r="I64" s="213"/>
      <c r="J64" s="213"/>
      <c r="K64" s="238"/>
      <c r="L64" s="244"/>
      <c r="M64" s="197"/>
      <c r="N64" s="197"/>
      <c r="O64" s="197"/>
      <c r="P64" s="197"/>
      <c r="Q64" s="97"/>
      <c r="R64" s="252"/>
    </row>
    <row r="65" spans="2:18" x14ac:dyDescent="0.3">
      <c r="B65" t="s">
        <v>169</v>
      </c>
      <c r="H65" s="215"/>
      <c r="I65" s="209">
        <f>WC!I27</f>
        <v>110.85743801652892</v>
      </c>
      <c r="J65" s="209">
        <f>WC!J30</f>
        <v>64.644837758112089</v>
      </c>
      <c r="K65" s="236">
        <f>WC!K30</f>
        <v>60.818871117577608</v>
      </c>
      <c r="L65" s="243" cm="1">
        <f t="array" ref="L65">INDEX(L66:L69,$F$4)</f>
        <v>96</v>
      </c>
      <c r="M65" s="223" cm="1">
        <f t="array" ref="M65">INDEX(M66:M69,$F$4)</f>
        <v>95</v>
      </c>
      <c r="N65" s="223" cm="1">
        <f t="array" ref="N65">INDEX(N66:N69,$F$4)</f>
        <v>94</v>
      </c>
      <c r="O65" s="223" cm="1">
        <f t="array" ref="O65">INDEX(O66:O69,$F$4)</f>
        <v>93</v>
      </c>
      <c r="P65" s="223" cm="1">
        <f t="array" ref="P65">INDEX(P66:P69,$F$4)</f>
        <v>92</v>
      </c>
      <c r="Q65" s="97"/>
      <c r="R65" s="252"/>
    </row>
    <row r="66" spans="2:18" x14ac:dyDescent="0.3">
      <c r="C66" t="s">
        <v>156</v>
      </c>
      <c r="H66" s="215">
        <v>1</v>
      </c>
      <c r="I66" s="200"/>
      <c r="J66" s="201"/>
      <c r="K66" s="232"/>
      <c r="L66" s="263">
        <v>96</v>
      </c>
      <c r="M66" s="264">
        <f>L66+$R66</f>
        <v>95</v>
      </c>
      <c r="N66" s="264">
        <f t="shared" ref="N66:P66" si="28">M66+$R66</f>
        <v>94</v>
      </c>
      <c r="O66" s="264">
        <f t="shared" si="28"/>
        <v>93</v>
      </c>
      <c r="P66" s="265">
        <f t="shared" si="28"/>
        <v>92</v>
      </c>
      <c r="Q66" s="97"/>
      <c r="R66" s="252">
        <v>-1</v>
      </c>
    </row>
    <row r="67" spans="2:18" x14ac:dyDescent="0.3">
      <c r="C67" t="s">
        <v>157</v>
      </c>
      <c r="H67" s="215">
        <f>H66+1</f>
        <v>2</v>
      </c>
      <c r="I67" s="210"/>
      <c r="J67" s="211"/>
      <c r="K67" s="237"/>
      <c r="L67" s="266">
        <v>96</v>
      </c>
      <c r="M67" s="267">
        <f t="shared" ref="M67:P67" si="29">L67+$R67</f>
        <v>96</v>
      </c>
      <c r="N67" s="267">
        <f t="shared" si="29"/>
        <v>96</v>
      </c>
      <c r="O67" s="267">
        <f t="shared" si="29"/>
        <v>96</v>
      </c>
      <c r="P67" s="268">
        <f t="shared" si="29"/>
        <v>96</v>
      </c>
      <c r="Q67" s="97"/>
      <c r="R67" s="252">
        <v>0</v>
      </c>
    </row>
    <row r="68" spans="2:18" x14ac:dyDescent="0.3">
      <c r="C68" t="s">
        <v>158</v>
      </c>
      <c r="H68" s="215">
        <f t="shared" ref="H68:H69" si="30">H67+1</f>
        <v>3</v>
      </c>
      <c r="I68" s="210"/>
      <c r="J68" s="211"/>
      <c r="K68" s="237"/>
      <c r="L68" s="266">
        <v>96</v>
      </c>
      <c r="M68" s="267">
        <f t="shared" ref="M68:P68" si="31">L68+$R68</f>
        <v>94</v>
      </c>
      <c r="N68" s="267">
        <f t="shared" si="31"/>
        <v>92</v>
      </c>
      <c r="O68" s="267">
        <f t="shared" si="31"/>
        <v>90</v>
      </c>
      <c r="P68" s="268">
        <f t="shared" si="31"/>
        <v>88</v>
      </c>
      <c r="Q68" s="97"/>
      <c r="R68" s="252">
        <v>-2</v>
      </c>
    </row>
    <row r="69" spans="2:18" x14ac:dyDescent="0.3">
      <c r="C69" t="s">
        <v>159</v>
      </c>
      <c r="H69" s="215">
        <f t="shared" si="30"/>
        <v>4</v>
      </c>
      <c r="I69" s="212"/>
      <c r="J69" s="209"/>
      <c r="K69" s="236"/>
      <c r="L69" s="269">
        <v>96</v>
      </c>
      <c r="M69" s="270">
        <f t="shared" ref="M69:P69" si="32">L69+$R69</f>
        <v>97</v>
      </c>
      <c r="N69" s="270">
        <f t="shared" si="32"/>
        <v>98</v>
      </c>
      <c r="O69" s="270">
        <f t="shared" si="32"/>
        <v>99</v>
      </c>
      <c r="P69" s="271">
        <f t="shared" si="32"/>
        <v>100</v>
      </c>
      <c r="Q69" s="97"/>
      <c r="R69" s="252">
        <v>1</v>
      </c>
    </row>
    <row r="70" spans="2:18" x14ac:dyDescent="0.3">
      <c r="H70" s="215"/>
      <c r="I70" s="208"/>
      <c r="J70" s="208"/>
      <c r="K70" s="235"/>
      <c r="L70" s="196"/>
      <c r="M70" s="191"/>
      <c r="N70" s="191"/>
      <c r="O70" s="191"/>
      <c r="P70" s="191"/>
      <c r="R70" s="250"/>
    </row>
    <row r="71" spans="2:18" x14ac:dyDescent="0.3">
      <c r="B71" t="s">
        <v>168</v>
      </c>
      <c r="H71" s="215"/>
      <c r="I71" s="204">
        <f>WC!I28</f>
        <v>3.7377297604470387E-2</v>
      </c>
      <c r="J71" s="204">
        <f>WC!J28</f>
        <v>3.6046583276850085E-2</v>
      </c>
      <c r="K71" s="233">
        <f>WC!K28</f>
        <v>2.9658851015534077E-2</v>
      </c>
      <c r="L71" s="194" cm="1">
        <f t="array" ref="L71">INDEX(L72:L75,$F$4)</f>
        <v>0.03</v>
      </c>
      <c r="M71" s="189" cm="1">
        <f t="array" ref="M71">INDEX(M72:M75,$F$4)</f>
        <v>0.03</v>
      </c>
      <c r="N71" s="189" cm="1">
        <f t="array" ref="N71">INDEX(N72:N75,$F$4)</f>
        <v>0.03</v>
      </c>
      <c r="O71" s="189" cm="1">
        <f t="array" ref="O71">INDEX(O72:O75,$F$4)</f>
        <v>0.03</v>
      </c>
      <c r="P71" s="189" cm="1">
        <f t="array" ref="P71">INDEX(P72:P75,$F$4)</f>
        <v>0.03</v>
      </c>
      <c r="R71" s="250"/>
    </row>
    <row r="72" spans="2:18" x14ac:dyDescent="0.3">
      <c r="C72" t="s">
        <v>156</v>
      </c>
      <c r="H72" s="215">
        <v>1</v>
      </c>
      <c r="I72" s="200"/>
      <c r="J72" s="201"/>
      <c r="K72" s="232"/>
      <c r="L72" s="254">
        <v>0.03</v>
      </c>
      <c r="M72" s="255">
        <f>L72+$R$72</f>
        <v>0.03</v>
      </c>
      <c r="N72" s="255">
        <f t="shared" ref="N72:P72" si="33">M72+$R$72</f>
        <v>0.03</v>
      </c>
      <c r="O72" s="255">
        <f t="shared" si="33"/>
        <v>0.03</v>
      </c>
      <c r="P72" s="256">
        <f t="shared" si="33"/>
        <v>0.03</v>
      </c>
      <c r="Q72" s="115"/>
      <c r="R72" s="251">
        <v>0</v>
      </c>
    </row>
    <row r="73" spans="2:18" x14ac:dyDescent="0.3">
      <c r="C73" t="s">
        <v>157</v>
      </c>
      <c r="H73" s="215">
        <f>H72+1</f>
        <v>2</v>
      </c>
      <c r="I73" s="202"/>
      <c r="J73" s="199"/>
      <c r="K73" s="231"/>
      <c r="L73" s="257">
        <v>0.03</v>
      </c>
      <c r="M73" s="258">
        <f t="shared" ref="M73:P73" si="34">L73+$R$72</f>
        <v>0.03</v>
      </c>
      <c r="N73" s="258">
        <f t="shared" si="34"/>
        <v>0.03</v>
      </c>
      <c r="O73" s="258">
        <f t="shared" si="34"/>
        <v>0.03</v>
      </c>
      <c r="P73" s="259">
        <f t="shared" si="34"/>
        <v>0.03</v>
      </c>
      <c r="Q73" s="115"/>
      <c r="R73" s="251">
        <v>0</v>
      </c>
    </row>
    <row r="74" spans="2:18" x14ac:dyDescent="0.3">
      <c r="C74" t="s">
        <v>158</v>
      </c>
      <c r="H74" s="215">
        <f t="shared" ref="H74:H75" si="35">H73+1</f>
        <v>3</v>
      </c>
      <c r="I74" s="202"/>
      <c r="J74" s="199"/>
      <c r="K74" s="231"/>
      <c r="L74" s="257">
        <v>0.03</v>
      </c>
      <c r="M74" s="258">
        <f t="shared" ref="M74:P74" si="36">L74+$R$72</f>
        <v>0.03</v>
      </c>
      <c r="N74" s="258">
        <f t="shared" si="36"/>
        <v>0.03</v>
      </c>
      <c r="O74" s="258">
        <f t="shared" si="36"/>
        <v>0.03</v>
      </c>
      <c r="P74" s="259">
        <f t="shared" si="36"/>
        <v>0.03</v>
      </c>
      <c r="Q74" s="115"/>
      <c r="R74" s="251">
        <v>0</v>
      </c>
    </row>
    <row r="75" spans="2:18" x14ac:dyDescent="0.3">
      <c r="C75" t="s">
        <v>159</v>
      </c>
      <c r="H75" s="215">
        <f t="shared" si="35"/>
        <v>4</v>
      </c>
      <c r="I75" s="203"/>
      <c r="J75" s="204"/>
      <c r="K75" s="233"/>
      <c r="L75" s="260">
        <v>0.03</v>
      </c>
      <c r="M75" s="261">
        <f t="shared" ref="M75:P75" si="37">L75+$R$72</f>
        <v>0.03</v>
      </c>
      <c r="N75" s="261">
        <f t="shared" si="37"/>
        <v>0.03</v>
      </c>
      <c r="O75" s="261">
        <f t="shared" si="37"/>
        <v>0.03</v>
      </c>
      <c r="P75" s="262">
        <f t="shared" si="37"/>
        <v>0.03</v>
      </c>
      <c r="Q75" s="115"/>
      <c r="R75" s="251">
        <v>0</v>
      </c>
    </row>
    <row r="76" spans="2:18" x14ac:dyDescent="0.3">
      <c r="H76" s="215"/>
      <c r="I76" s="199"/>
      <c r="J76" s="199"/>
      <c r="K76" s="231"/>
      <c r="L76" s="193"/>
      <c r="M76" s="115"/>
      <c r="N76" s="115"/>
      <c r="O76" s="115"/>
      <c r="P76" s="115"/>
      <c r="Q76" s="115"/>
      <c r="R76" s="251"/>
    </row>
    <row r="77" spans="2:18" x14ac:dyDescent="0.3">
      <c r="B77" s="188" t="s">
        <v>171</v>
      </c>
      <c r="H77" s="215"/>
      <c r="I77" s="204"/>
      <c r="J77" s="204"/>
      <c r="K77" s="233"/>
      <c r="L77" s="194"/>
      <c r="M77" s="189"/>
      <c r="N77" s="189"/>
      <c r="O77" s="189"/>
      <c r="P77" s="189"/>
      <c r="Q77" s="115"/>
      <c r="R77" s="251"/>
    </row>
    <row r="78" spans="2:18" x14ac:dyDescent="0.3">
      <c r="B78" t="s">
        <v>172</v>
      </c>
      <c r="H78" s="215"/>
      <c r="I78" s="209">
        <f>WC!I30</f>
        <v>69.480716253443532</v>
      </c>
      <c r="J78" s="209">
        <f>WC!J30</f>
        <v>64.644837758112089</v>
      </c>
      <c r="K78" s="236">
        <f>WC!K30</f>
        <v>60.818871117577608</v>
      </c>
      <c r="L78" s="243" cm="1">
        <f t="array" ref="L78">INDEX(L79:L82,$F$4)</f>
        <v>61</v>
      </c>
      <c r="M78" s="223" cm="1">
        <f t="array" ref="M78">INDEX(M79:M82,$F$4)</f>
        <v>62</v>
      </c>
      <c r="N78" s="223" cm="1">
        <f t="array" ref="N78">INDEX(N79:N82,$F$4)</f>
        <v>63</v>
      </c>
      <c r="O78" s="223" cm="1">
        <f t="array" ref="O78">INDEX(O79:O82,$F$4)</f>
        <v>64</v>
      </c>
      <c r="P78" s="223" cm="1">
        <f t="array" ref="P78">INDEX(P79:P82,$F$4)</f>
        <v>65</v>
      </c>
      <c r="Q78" s="115"/>
      <c r="R78" s="251"/>
    </row>
    <row r="79" spans="2:18" x14ac:dyDescent="0.3">
      <c r="C79" t="s">
        <v>156</v>
      </c>
      <c r="H79" s="215">
        <v>1</v>
      </c>
      <c r="I79" s="200"/>
      <c r="J79" s="201"/>
      <c r="K79" s="232"/>
      <c r="L79" s="263">
        <v>61</v>
      </c>
      <c r="M79" s="264">
        <f>L79+$R79</f>
        <v>62</v>
      </c>
      <c r="N79" s="264">
        <f t="shared" ref="N79:P81" si="38">M79+$R79</f>
        <v>63</v>
      </c>
      <c r="O79" s="264">
        <f t="shared" si="38"/>
        <v>64</v>
      </c>
      <c r="P79" s="265">
        <f t="shared" si="38"/>
        <v>65</v>
      </c>
      <c r="Q79" s="97"/>
      <c r="R79" s="252">
        <v>1</v>
      </c>
    </row>
    <row r="80" spans="2:18" x14ac:dyDescent="0.3">
      <c r="C80" t="s">
        <v>157</v>
      </c>
      <c r="H80" s="215">
        <f>H79+1</f>
        <v>2</v>
      </c>
      <c r="I80" s="210"/>
      <c r="J80" s="211"/>
      <c r="K80" s="237"/>
      <c r="L80" s="266">
        <v>61</v>
      </c>
      <c r="M80" s="267">
        <v>61</v>
      </c>
      <c r="N80" s="267">
        <v>61</v>
      </c>
      <c r="O80" s="267">
        <v>61</v>
      </c>
      <c r="P80" s="268">
        <v>61</v>
      </c>
      <c r="Q80" s="97"/>
      <c r="R80" s="252"/>
    </row>
    <row r="81" spans="2:18" x14ac:dyDescent="0.3">
      <c r="C81" t="s">
        <v>158</v>
      </c>
      <c r="H81" s="215">
        <f t="shared" ref="H81:H82" si="39">H80+1</f>
        <v>3</v>
      </c>
      <c r="I81" s="210"/>
      <c r="J81" s="211"/>
      <c r="K81" s="237"/>
      <c r="L81" s="266">
        <v>61</v>
      </c>
      <c r="M81" s="267">
        <f>L81+$R81</f>
        <v>62.5</v>
      </c>
      <c r="N81" s="267">
        <f t="shared" si="38"/>
        <v>64</v>
      </c>
      <c r="O81" s="267">
        <f t="shared" si="38"/>
        <v>65.5</v>
      </c>
      <c r="P81" s="268">
        <f t="shared" si="38"/>
        <v>67</v>
      </c>
      <c r="Q81" s="97"/>
      <c r="R81" s="252">
        <v>1.5</v>
      </c>
    </row>
    <row r="82" spans="2:18" x14ac:dyDescent="0.3">
      <c r="C82" t="s">
        <v>159</v>
      </c>
      <c r="H82" s="215">
        <f t="shared" si="39"/>
        <v>4</v>
      </c>
      <c r="I82" s="212"/>
      <c r="J82" s="209"/>
      <c r="K82" s="236"/>
      <c r="L82" s="266">
        <v>61</v>
      </c>
      <c r="M82" s="267">
        <v>61</v>
      </c>
      <c r="N82" s="267">
        <v>61</v>
      </c>
      <c r="O82" s="267">
        <v>61</v>
      </c>
      <c r="P82" s="268">
        <v>61</v>
      </c>
      <c r="Q82" s="97"/>
      <c r="R82" s="252"/>
    </row>
    <row r="83" spans="2:18" x14ac:dyDescent="0.3">
      <c r="H83" s="215"/>
      <c r="I83" s="214"/>
      <c r="J83" s="214"/>
      <c r="K83" s="239"/>
      <c r="L83" s="245"/>
      <c r="M83" s="190"/>
      <c r="N83" s="190"/>
      <c r="O83" s="190"/>
      <c r="P83" s="190"/>
      <c r="Q83" s="115"/>
      <c r="R83" s="251"/>
    </row>
    <row r="84" spans="2:18" x14ac:dyDescent="0.3">
      <c r="B84" t="s">
        <v>173</v>
      </c>
      <c r="H84" s="215"/>
      <c r="I84" s="204">
        <f>WC!I31</f>
        <v>0.28512396694214875</v>
      </c>
      <c r="J84" s="204">
        <f>WC!J31</f>
        <v>0.23799410029498524</v>
      </c>
      <c r="K84" s="233">
        <f>WC!K31</f>
        <v>0.23522856429986699</v>
      </c>
      <c r="L84" s="194" cm="1">
        <f t="array" ref="L84">INDEX(L85:L88,$F$4)</f>
        <v>0.23</v>
      </c>
      <c r="M84" s="189" cm="1">
        <f t="array" ref="M84">INDEX(M85:M88,$F$4)</f>
        <v>0.23</v>
      </c>
      <c r="N84" s="189" cm="1">
        <f t="array" ref="N84">INDEX(N85:N88,$F$4)</f>
        <v>0.23</v>
      </c>
      <c r="O84" s="189" cm="1">
        <f t="array" ref="O84">INDEX(O85:O88,$F$4)</f>
        <v>0.23</v>
      </c>
      <c r="P84" s="189" cm="1">
        <f t="array" ref="P84">INDEX(P85:P88,$F$4)</f>
        <v>0.23</v>
      </c>
      <c r="Q84" s="115"/>
      <c r="R84" s="251"/>
    </row>
    <row r="85" spans="2:18" x14ac:dyDescent="0.3">
      <c r="C85" t="s">
        <v>156</v>
      </c>
      <c r="H85" s="215">
        <v>1</v>
      </c>
      <c r="I85" s="200"/>
      <c r="J85" s="201"/>
      <c r="K85" s="232"/>
      <c r="L85" s="254">
        <v>0.23</v>
      </c>
      <c r="M85" s="255">
        <f>L85+$R85</f>
        <v>0.23</v>
      </c>
      <c r="N85" s="255">
        <f t="shared" ref="N85:P85" si="40">M85+$R85</f>
        <v>0.23</v>
      </c>
      <c r="O85" s="255">
        <f t="shared" si="40"/>
        <v>0.23</v>
      </c>
      <c r="P85" s="256">
        <f t="shared" si="40"/>
        <v>0.23</v>
      </c>
      <c r="Q85" s="115"/>
      <c r="R85" s="251">
        <v>0</v>
      </c>
    </row>
    <row r="86" spans="2:18" x14ac:dyDescent="0.3">
      <c r="C86" t="s">
        <v>157</v>
      </c>
      <c r="H86" s="215">
        <f>H85+1</f>
        <v>2</v>
      </c>
      <c r="I86" s="202"/>
      <c r="J86" s="199"/>
      <c r="K86" s="231"/>
      <c r="L86" s="257">
        <v>0.23</v>
      </c>
      <c r="M86" s="258">
        <f t="shared" ref="M86:P86" si="41">L86+$R86</f>
        <v>0.23</v>
      </c>
      <c r="N86" s="258">
        <f t="shared" si="41"/>
        <v>0.23</v>
      </c>
      <c r="O86" s="258">
        <f t="shared" si="41"/>
        <v>0.23</v>
      </c>
      <c r="P86" s="259">
        <f t="shared" si="41"/>
        <v>0.23</v>
      </c>
      <c r="Q86" s="115"/>
      <c r="R86" s="251">
        <v>0</v>
      </c>
    </row>
    <row r="87" spans="2:18" x14ac:dyDescent="0.3">
      <c r="C87" t="s">
        <v>158</v>
      </c>
      <c r="H87" s="215">
        <f t="shared" ref="H87:H88" si="42">H86+1</f>
        <v>3</v>
      </c>
      <c r="I87" s="202"/>
      <c r="J87" s="199"/>
      <c r="K87" s="231"/>
      <c r="L87" s="257">
        <v>0.23</v>
      </c>
      <c r="M87" s="258">
        <f t="shared" ref="M87:P87" si="43">L87+$R87</f>
        <v>0.23</v>
      </c>
      <c r="N87" s="258">
        <f t="shared" si="43"/>
        <v>0.23</v>
      </c>
      <c r="O87" s="258">
        <f t="shared" si="43"/>
        <v>0.23</v>
      </c>
      <c r="P87" s="259">
        <f t="shared" si="43"/>
        <v>0.23</v>
      </c>
      <c r="Q87" s="115"/>
      <c r="R87" s="251">
        <v>0</v>
      </c>
    </row>
    <row r="88" spans="2:18" x14ac:dyDescent="0.3">
      <c r="C88" t="s">
        <v>159</v>
      </c>
      <c r="H88" s="215">
        <f t="shared" si="42"/>
        <v>4</v>
      </c>
      <c r="I88" s="203"/>
      <c r="J88" s="204"/>
      <c r="K88" s="233"/>
      <c r="L88" s="260">
        <v>0.23</v>
      </c>
      <c r="M88" s="261">
        <f t="shared" ref="M88:P88" si="44">L88+$R88</f>
        <v>0.23</v>
      </c>
      <c r="N88" s="261">
        <f t="shared" si="44"/>
        <v>0.23</v>
      </c>
      <c r="O88" s="261">
        <f t="shared" si="44"/>
        <v>0.23</v>
      </c>
      <c r="P88" s="262">
        <f t="shared" si="44"/>
        <v>0.23</v>
      </c>
      <c r="Q88" s="115"/>
      <c r="R88" s="253">
        <v>0</v>
      </c>
    </row>
    <row r="89" spans="2:18" x14ac:dyDescent="0.3">
      <c r="H89" s="215"/>
    </row>
    <row r="90" spans="2:18" x14ac:dyDescent="0.3">
      <c r="H90" s="215"/>
    </row>
    <row r="91" spans="2:18" x14ac:dyDescent="0.3">
      <c r="H91" s="215"/>
    </row>
    <row r="92" spans="2:18" x14ac:dyDescent="0.3">
      <c r="H92" s="215"/>
    </row>
    <row r="93" spans="2:18" x14ac:dyDescent="0.3">
      <c r="H93" s="215"/>
    </row>
    <row r="94" spans="2:18" x14ac:dyDescent="0.3">
      <c r="H94" s="215"/>
    </row>
    <row r="95" spans="2:18" x14ac:dyDescent="0.3">
      <c r="H95" s="215"/>
    </row>
    <row r="96" spans="2:18" x14ac:dyDescent="0.3">
      <c r="H96" s="215"/>
    </row>
    <row r="1000" spans="648:648" ht="15.6" x14ac:dyDescent="0.3">
      <c r="XX1000" s="305">
        <v>127155</v>
      </c>
    </row>
  </sheetData>
  <mergeCells count="2">
    <mergeCell ref="I8:K8"/>
    <mergeCell ref="L8:P8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952BE-2199-49D5-9129-C99B1524AA7C}">
  <sheetPr codeName="Sheet3"/>
  <dimension ref="B1:XX1000"/>
  <sheetViews>
    <sheetView showGridLines="0" topLeftCell="A3" workbookViewId="0">
      <selection activeCell="L18" sqref="L18"/>
    </sheetView>
  </sheetViews>
  <sheetFormatPr defaultColWidth="8.77734375" defaultRowHeight="13.8" x14ac:dyDescent="0.25"/>
  <cols>
    <col min="1" max="3" width="2.77734375" style="2" customWidth="1"/>
    <col min="4" max="8" width="8.77734375" style="2"/>
    <col min="9" max="16" width="10.77734375" style="2" customWidth="1"/>
    <col min="17" max="16384" width="8.77734375" style="2"/>
  </cols>
  <sheetData>
    <row r="1" spans="2:39" ht="15" x14ac:dyDescent="0.25">
      <c r="B1" s="1" t="str">
        <f>"Income Statement for "&amp;CoName</f>
        <v>Income Statement for Sharang Corporation</v>
      </c>
    </row>
    <row r="2" spans="2:39" x14ac:dyDescent="0.25">
      <c r="B2" s="11" t="str" cm="1">
        <f t="array" ref="B2">subhead</f>
        <v>Dollars in millions, except per share data</v>
      </c>
    </row>
    <row r="3" spans="2:39" x14ac:dyDescent="0.25">
      <c r="B3" s="3"/>
      <c r="H3" s="5" t="s">
        <v>5</v>
      </c>
      <c r="I3" s="2">
        <v>-2</v>
      </c>
      <c r="J3" s="2">
        <f>I3+1</f>
        <v>-1</v>
      </c>
      <c r="K3" s="2">
        <f t="shared" ref="K3:P3" si="0">J3+1</f>
        <v>0</v>
      </c>
      <c r="L3" s="2">
        <f t="shared" si="0"/>
        <v>1</v>
      </c>
      <c r="M3" s="2">
        <f t="shared" si="0"/>
        <v>2</v>
      </c>
      <c r="N3" s="2">
        <f t="shared" si="0"/>
        <v>3</v>
      </c>
      <c r="O3" s="2">
        <f t="shared" si="0"/>
        <v>4</v>
      </c>
      <c r="P3" s="2">
        <f t="shared" si="0"/>
        <v>5</v>
      </c>
    </row>
    <row r="5" spans="2:39" x14ac:dyDescent="0.25">
      <c r="B5" s="37"/>
      <c r="C5" s="37"/>
      <c r="D5" s="37"/>
      <c r="E5" s="37"/>
      <c r="F5" s="37"/>
      <c r="G5" s="37"/>
      <c r="H5" s="37"/>
      <c r="I5" s="308" t="str">
        <f>"Historical Year Ending "&amp;TEXT(FYE,"Mmmm dd") &amp; ","</f>
        <v>Historical Year Ending December 31,</v>
      </c>
      <c r="J5" s="308"/>
      <c r="K5" s="309"/>
      <c r="L5" s="310" t="str">
        <f>"Projected Year Ending "&amp;TEXT(FYE,"Mmmm Dd,")</f>
        <v>Projected Year Ending December 31,</v>
      </c>
      <c r="M5" s="308"/>
      <c r="N5" s="308"/>
      <c r="O5" s="308"/>
      <c r="P5" s="308"/>
    </row>
    <row r="6" spans="2:39" x14ac:dyDescent="0.25">
      <c r="B6" s="37"/>
      <c r="C6" s="37"/>
      <c r="D6" s="37"/>
      <c r="E6" s="37"/>
      <c r="F6" s="38"/>
      <c r="G6" s="37"/>
      <c r="H6" s="37"/>
      <c r="I6" s="38">
        <f t="shared" ref="I6:P6" si="1">YEAR(FYE)+I3</f>
        <v>2021</v>
      </c>
      <c r="J6" s="38">
        <f t="shared" si="1"/>
        <v>2022</v>
      </c>
      <c r="K6" s="39">
        <f t="shared" si="1"/>
        <v>2023</v>
      </c>
      <c r="L6" s="38">
        <f t="shared" si="1"/>
        <v>2024</v>
      </c>
      <c r="M6" s="38">
        <f t="shared" si="1"/>
        <v>2025</v>
      </c>
      <c r="N6" s="38">
        <f t="shared" si="1"/>
        <v>2026</v>
      </c>
      <c r="O6" s="38">
        <f t="shared" si="1"/>
        <v>2027</v>
      </c>
      <c r="P6" s="38">
        <f t="shared" si="1"/>
        <v>2028</v>
      </c>
    </row>
    <row r="7" spans="2:39" x14ac:dyDescent="0.25">
      <c r="B7" s="2" t="s">
        <v>6</v>
      </c>
      <c r="I7" s="154">
        <v>2956.34</v>
      </c>
      <c r="J7" s="154">
        <v>3245.8</v>
      </c>
      <c r="K7" s="155">
        <v>3462.71</v>
      </c>
      <c r="L7" s="156">
        <f>K7*(1+L34)</f>
        <v>3670.4726000000001</v>
      </c>
      <c r="M7" s="156">
        <f>L7*(1+M34)</f>
        <v>3876.0190656000004</v>
      </c>
      <c r="N7" s="156">
        <f>M7*(1+N34)</f>
        <v>4077.5720570112007</v>
      </c>
      <c r="O7" s="156">
        <f>N7*(1+O34)</f>
        <v>4273.2955157477381</v>
      </c>
      <c r="P7" s="156">
        <f>O7*(1+P34)</f>
        <v>4461.3205184406388</v>
      </c>
      <c r="Q7" s="283" t="s">
        <v>183</v>
      </c>
    </row>
    <row r="8" spans="2:39" x14ac:dyDescent="0.25">
      <c r="B8" s="2" t="s">
        <v>8</v>
      </c>
      <c r="I8" s="67">
        <v>1452</v>
      </c>
      <c r="J8" s="67">
        <v>1695</v>
      </c>
      <c r="K8" s="68">
        <v>1835.2363</v>
      </c>
      <c r="L8" s="14">
        <f>L7*(1-L27)</f>
        <v>1960.0323684000002</v>
      </c>
      <c r="M8" s="14">
        <f>M7*(1-M27)</f>
        <v>2069.7941810304005</v>
      </c>
      <c r="N8" s="14">
        <f>N7*(1-N27)</f>
        <v>2177.4234784439814</v>
      </c>
      <c r="O8" s="14">
        <f>O7*(1-O27)</f>
        <v>2281.9398054092921</v>
      </c>
      <c r="P8" s="14">
        <f>P7*(1-P27)</f>
        <v>2382.345156847301</v>
      </c>
      <c r="Q8" s="283" t="s">
        <v>183</v>
      </c>
    </row>
    <row r="9" spans="2:39" x14ac:dyDescent="0.25">
      <c r="C9" s="2" t="s">
        <v>7</v>
      </c>
      <c r="I9" s="13">
        <f>I7-I8</f>
        <v>1504.3400000000001</v>
      </c>
      <c r="J9" s="13">
        <f t="shared" ref="J9:P9" si="2">J7-J8</f>
        <v>1550.8000000000002</v>
      </c>
      <c r="K9" s="15">
        <f t="shared" si="2"/>
        <v>1627.4737</v>
      </c>
      <c r="L9" s="13">
        <f>L7-L8</f>
        <v>1710.4402315999998</v>
      </c>
      <c r="M9" s="13">
        <f>M7-M8</f>
        <v>1806.2248845695999</v>
      </c>
      <c r="N9" s="13">
        <f>N7-N8</f>
        <v>1900.1485785672194</v>
      </c>
      <c r="O9" s="13">
        <f t="shared" si="2"/>
        <v>1991.355710338446</v>
      </c>
      <c r="P9" s="13">
        <f t="shared" si="2"/>
        <v>2078.9753615933378</v>
      </c>
    </row>
    <row r="10" spans="2:39" x14ac:dyDescent="0.25">
      <c r="I10" s="13"/>
      <c r="J10" s="13"/>
      <c r="K10" s="15"/>
      <c r="L10" s="13"/>
      <c r="M10" s="13"/>
      <c r="N10" s="13"/>
      <c r="O10" s="13"/>
      <c r="P10" s="13"/>
    </row>
    <row r="11" spans="2:39" x14ac:dyDescent="0.25">
      <c r="B11" s="2" t="s">
        <v>9</v>
      </c>
      <c r="I11" s="67">
        <v>876</v>
      </c>
      <c r="J11" s="67">
        <v>889</v>
      </c>
      <c r="K11" s="68">
        <v>926</v>
      </c>
      <c r="L11" s="14">
        <f>L7*L28</f>
        <v>1031.4028006000001</v>
      </c>
      <c r="M11" s="14">
        <f>M7*M28</f>
        <v>1089.1613574336002</v>
      </c>
      <c r="N11" s="14">
        <f>N7*N28</f>
        <v>1145.7977480201475</v>
      </c>
      <c r="O11" s="14">
        <f>O7*O28</f>
        <v>1200.7960399251144</v>
      </c>
      <c r="P11" s="14">
        <f>P7*P28</f>
        <v>1253.6310656818196</v>
      </c>
      <c r="Q11" s="283" t="s">
        <v>183</v>
      </c>
    </row>
    <row r="12" spans="2:39" x14ac:dyDescent="0.25">
      <c r="C12" s="2" t="s">
        <v>10</v>
      </c>
      <c r="I12" s="13">
        <f>I9-I11</f>
        <v>628.34000000000015</v>
      </c>
      <c r="J12" s="13">
        <f>J9-J11</f>
        <v>661.80000000000018</v>
      </c>
      <c r="K12" s="15">
        <f>K9-K11</f>
        <v>701.47370000000001</v>
      </c>
      <c r="L12" s="13">
        <f>L9-L11</f>
        <v>679.03743099999974</v>
      </c>
      <c r="M12" s="13">
        <f t="shared" ref="M12:P12" si="3">M9-M11</f>
        <v>717.06352713599972</v>
      </c>
      <c r="N12" s="13">
        <f t="shared" si="3"/>
        <v>754.35083054707184</v>
      </c>
      <c r="O12" s="13">
        <f t="shared" si="3"/>
        <v>790.55967041333156</v>
      </c>
      <c r="P12" s="13">
        <f t="shared" si="3"/>
        <v>825.3442959115182</v>
      </c>
    </row>
    <row r="13" spans="2:39" x14ac:dyDescent="0.25">
      <c r="I13" s="13"/>
      <c r="J13" s="13"/>
      <c r="K13" s="15"/>
      <c r="L13" s="13"/>
      <c r="M13" s="13"/>
      <c r="N13" s="13"/>
      <c r="O13" s="13"/>
      <c r="P13" s="13"/>
      <c r="AM13" s="2" t="s">
        <v>144</v>
      </c>
    </row>
    <row r="14" spans="2:39" x14ac:dyDescent="0.25">
      <c r="B14" s="2" t="s">
        <v>11</v>
      </c>
      <c r="I14" s="65">
        <v>82.2</v>
      </c>
      <c r="J14" s="65">
        <v>84.7</v>
      </c>
      <c r="K14" s="66">
        <v>88.7</v>
      </c>
      <c r="L14" s="12">
        <f>Dep!L39</f>
        <v>97.258830714285722</v>
      </c>
      <c r="M14" s="12">
        <f>Dep!M39</f>
        <v>124.21058666285715</v>
      </c>
      <c r="N14" s="12">
        <f>Dep!N39</f>
        <v>152.61626924361144</v>
      </c>
      <c r="O14" s="12">
        <f>Dep!O39</f>
        <v>182.44079628917908</v>
      </c>
      <c r="P14" s="12">
        <f>Dep!P39</f>
        <v>213.63585355413755</v>
      </c>
      <c r="Q14" s="283" t="s">
        <v>184</v>
      </c>
      <c r="AM14" s="2" t="s">
        <v>145</v>
      </c>
    </row>
    <row r="15" spans="2:39" x14ac:dyDescent="0.25">
      <c r="B15" s="2" t="s">
        <v>12</v>
      </c>
      <c r="I15" s="67">
        <v>6</v>
      </c>
      <c r="J15" s="67">
        <v>4</v>
      </c>
      <c r="K15" s="68">
        <v>3.5</v>
      </c>
      <c r="L15" s="50">
        <f>Amort!L36</f>
        <v>2.36961520685003</v>
      </c>
      <c r="M15" s="50">
        <f>Amort!M36</f>
        <v>2.592809458134584</v>
      </c>
      <c r="N15" s="50">
        <f>Amort!N36</f>
        <v>2.8086386445371074</v>
      </c>
      <c r="O15" s="50">
        <f>Amort!O36</f>
        <v>3.0165545193330554</v>
      </c>
      <c r="P15" s="50">
        <f>Amort!P36</f>
        <v>3.2160849540622678</v>
      </c>
      <c r="Q15" s="283" t="s">
        <v>184</v>
      </c>
    </row>
    <row r="16" spans="2:39" x14ac:dyDescent="0.25">
      <c r="C16" s="2" t="s">
        <v>13</v>
      </c>
      <c r="I16" s="13">
        <f>I12-SUM(I14:I15)</f>
        <v>540.1400000000001</v>
      </c>
      <c r="J16" s="13">
        <f t="shared" ref="J16:K16" si="4">J12-SUM(J14:J15)</f>
        <v>573.10000000000014</v>
      </c>
      <c r="K16" s="15">
        <f t="shared" si="4"/>
        <v>609.27369999999996</v>
      </c>
      <c r="L16" s="13">
        <f>L12-SUM(L14:L15)</f>
        <v>579.40898507886402</v>
      </c>
      <c r="M16" s="13">
        <f>M12-SUM(M14:M15)</f>
        <v>590.26013101500803</v>
      </c>
      <c r="N16" s="13">
        <f>N12-SUM(N14:N15)</f>
        <v>598.92592265892335</v>
      </c>
      <c r="O16" s="13">
        <f>O12-SUM(O14:O15)</f>
        <v>605.1023196048194</v>
      </c>
      <c r="P16" s="13">
        <f>P12-SUM(P14:P15)</f>
        <v>608.49235740331835</v>
      </c>
      <c r="AM16" s="2" t="s">
        <v>146</v>
      </c>
    </row>
    <row r="17" spans="2:39" x14ac:dyDescent="0.25">
      <c r="I17" s="13"/>
      <c r="J17" s="13"/>
      <c r="K17" s="15"/>
      <c r="L17" s="13"/>
      <c r="M17" s="13"/>
      <c r="N17" s="13"/>
      <c r="O17" s="13"/>
      <c r="P17" s="13"/>
      <c r="AM17" s="2" t="s">
        <v>147</v>
      </c>
    </row>
    <row r="18" spans="2:39" x14ac:dyDescent="0.25">
      <c r="B18" s="2" t="s">
        <v>14</v>
      </c>
      <c r="I18" s="65">
        <v>55</v>
      </c>
      <c r="J18" s="65">
        <v>53.2</v>
      </c>
      <c r="K18" s="66">
        <v>45.89</v>
      </c>
      <c r="L18" s="176">
        <f ca="1">IF(CircToggle=0,0,'Debt&amp;Int'!L39)</f>
        <v>79.076624958175429</v>
      </c>
      <c r="M18" s="176">
        <f ca="1">IF(CircToggle=0,0,'Debt&amp;Int'!M39)</f>
        <v>68.967274261681851</v>
      </c>
      <c r="N18" s="176">
        <f ca="1">IF(CircToggle=0,0,'Debt&amp;Int'!N39)</f>
        <v>55.005796537509077</v>
      </c>
      <c r="O18" s="176">
        <f ca="1">IF(CircToggle=0,0,'Debt&amp;Int'!O39)</f>
        <v>39.76384761622748</v>
      </c>
      <c r="P18" s="176">
        <f ca="1">IF(CircToggle=0,0,'Debt&amp;Int'!P39)</f>
        <v>25.144956192459379</v>
      </c>
      <c r="Q18" s="283" t="s">
        <v>183</v>
      </c>
      <c r="R18" s="177">
        <v>1</v>
      </c>
      <c r="S18" s="2" t="s">
        <v>140</v>
      </c>
      <c r="AM18" s="2" t="s">
        <v>148</v>
      </c>
    </row>
    <row r="19" spans="2:39" x14ac:dyDescent="0.25">
      <c r="B19" s="2" t="s">
        <v>15</v>
      </c>
      <c r="I19" s="182">
        <v>0</v>
      </c>
      <c r="J19" s="182">
        <v>0</v>
      </c>
      <c r="K19" s="183">
        <v>0</v>
      </c>
      <c r="L19" s="184">
        <f ca="1">-IF(CircToggle=0,0,'Debt&amp;Int'!L43)</f>
        <v>-1.3620000001790569</v>
      </c>
      <c r="M19" s="184">
        <f ca="1">-IF(CircToggle=0,0,'Debt&amp;Int'!M43)</f>
        <v>-0.96250001376199867</v>
      </c>
      <c r="N19" s="184">
        <f ca="1">-IF(CircToggle=0,0,'Debt&amp;Int'!N43)</f>
        <v>-0.87500020126513689</v>
      </c>
      <c r="O19" s="184">
        <f ca="1">-IF(CircToggle=0,0,'Debt&amp;Int'!O43)</f>
        <v>-0.78750130487025194</v>
      </c>
      <c r="P19" s="184">
        <f ca="1">-IF(CircToggle=0,0,'Debt&amp;Int'!P43)</f>
        <v>-0.99542229641083391</v>
      </c>
      <c r="Q19" s="283" t="s">
        <v>183</v>
      </c>
      <c r="S19" s="178" t="s">
        <v>142</v>
      </c>
      <c r="AM19" s="2" t="s">
        <v>149</v>
      </c>
    </row>
    <row r="20" spans="2:39" x14ac:dyDescent="0.25">
      <c r="C20" s="2" t="s">
        <v>16</v>
      </c>
      <c r="I20" s="13">
        <f>I16-SUM(I18:I19)</f>
        <v>485.1400000000001</v>
      </c>
      <c r="J20" s="13">
        <f t="shared" ref="J20:P20" si="5">J16-SUM(J18:J19)</f>
        <v>519.90000000000009</v>
      </c>
      <c r="K20" s="15">
        <f t="shared" si="5"/>
        <v>563.38369999999998</v>
      </c>
      <c r="L20" s="13">
        <f ca="1">L16-SUM(L18:L19)</f>
        <v>501.69436012086766</v>
      </c>
      <c r="M20" s="13">
        <f ca="1">M16-SUM(M18:M19)</f>
        <v>522.25535676708819</v>
      </c>
      <c r="N20" s="13">
        <f ca="1">N16-SUM(N18:N19)</f>
        <v>544.79512632267938</v>
      </c>
      <c r="O20" s="13">
        <f t="shared" ca="1" si="5"/>
        <v>566.12597329346215</v>
      </c>
      <c r="P20" s="13">
        <f t="shared" ca="1" si="5"/>
        <v>584.34282350726983</v>
      </c>
      <c r="S20" s="2" t="s">
        <v>141</v>
      </c>
      <c r="AM20" s="2" t="s">
        <v>150</v>
      </c>
    </row>
    <row r="21" spans="2:39" x14ac:dyDescent="0.25">
      <c r="I21" s="13"/>
      <c r="J21" s="13"/>
      <c r="K21" s="15"/>
      <c r="L21" s="13"/>
      <c r="M21" s="13"/>
      <c r="N21" s="13"/>
      <c r="O21" s="13"/>
      <c r="P21" s="13"/>
      <c r="AM21" s="2" t="s">
        <v>151</v>
      </c>
    </row>
    <row r="22" spans="2:39" x14ac:dyDescent="0.25">
      <c r="B22" s="2" t="s">
        <v>17</v>
      </c>
      <c r="I22" s="67">
        <v>220</v>
      </c>
      <c r="J22" s="67">
        <v>235</v>
      </c>
      <c r="K22" s="68">
        <v>175</v>
      </c>
      <c r="L22" s="306">
        <f ca="1">L20*L39</f>
        <v>155.52525163746898</v>
      </c>
      <c r="M22" s="306">
        <f ca="1">M20*M39</f>
        <v>161.89916059779733</v>
      </c>
      <c r="N22" s="306">
        <f ca="1">N20*N39</f>
        <v>168.88648916003061</v>
      </c>
      <c r="O22" s="306">
        <f ca="1">O20*O39</f>
        <v>175.49905172097326</v>
      </c>
      <c r="P22" s="306">
        <f ca="1">P20*P39</f>
        <v>181.14627528725364</v>
      </c>
      <c r="Q22" s="283" t="s">
        <v>185</v>
      </c>
      <c r="AM22" s="2" t="s">
        <v>152</v>
      </c>
    </row>
    <row r="23" spans="2:39" x14ac:dyDescent="0.25">
      <c r="C23" s="2" t="s">
        <v>18</v>
      </c>
      <c r="I23" s="157">
        <f>I20-I22</f>
        <v>265.1400000000001</v>
      </c>
      <c r="J23" s="157">
        <f t="shared" ref="J23:P23" si="6">J20-J22</f>
        <v>284.90000000000009</v>
      </c>
      <c r="K23" s="158">
        <f t="shared" si="6"/>
        <v>388.38369999999998</v>
      </c>
      <c r="L23" s="157">
        <f ca="1">L20-L22</f>
        <v>346.16910848339865</v>
      </c>
      <c r="M23" s="157">
        <f t="shared" ca="1" si="6"/>
        <v>360.35619616929085</v>
      </c>
      <c r="N23" s="157">
        <f t="shared" ca="1" si="6"/>
        <v>375.9086371626488</v>
      </c>
      <c r="O23" s="157">
        <f t="shared" ca="1" si="6"/>
        <v>390.62692157248887</v>
      </c>
      <c r="P23" s="157">
        <f t="shared" ca="1" si="6"/>
        <v>403.19654822001621</v>
      </c>
      <c r="AM23" s="2" t="s">
        <v>153</v>
      </c>
    </row>
    <row r="24" spans="2:39" x14ac:dyDescent="0.25">
      <c r="K24" s="6"/>
    </row>
    <row r="25" spans="2:39" x14ac:dyDescent="0.25">
      <c r="K25" s="6"/>
    </row>
    <row r="26" spans="2:39" x14ac:dyDescent="0.25">
      <c r="C26" s="7" t="s">
        <v>19</v>
      </c>
      <c r="K26" s="6"/>
    </row>
    <row r="27" spans="2:39" ht="14.4" x14ac:dyDescent="0.3">
      <c r="D27" s="2" t="s">
        <v>20</v>
      </c>
      <c r="I27" s="63">
        <f>IF(ISERROR(I9/I$7),datareq,I9/I$7)</f>
        <v>0.50885216179465154</v>
      </c>
      <c r="J27" s="63">
        <f>IF(ISERROR(J9/J$7),datareq,J9/J$7)</f>
        <v>0.47778667816871034</v>
      </c>
      <c r="K27" s="64">
        <f>IF(ISERROR(K9/K$7),datareq,K9/K$7)</f>
        <v>0.47</v>
      </c>
      <c r="L27" s="224">
        <f t="array" ref="L27:P27">GrossMargins</f>
        <v>0.46599999999999997</v>
      </c>
      <c r="M27" s="224">
        <v>0.46599999999999997</v>
      </c>
      <c r="N27" s="224">
        <v>0.46599999999999997</v>
      </c>
      <c r="O27" s="224">
        <v>0.46599999999999997</v>
      </c>
      <c r="P27" s="224">
        <v>0.46599999999999997</v>
      </c>
    </row>
    <row r="28" spans="2:39" ht="14.4" x14ac:dyDescent="0.3">
      <c r="D28" s="2" t="s">
        <v>49</v>
      </c>
      <c r="I28" s="63">
        <f>IF(ISERROR(I$11/I$7),datareq,I$11/I$7)</f>
        <v>0.29631233214041686</v>
      </c>
      <c r="J28" s="63">
        <f>IF(ISERROR(J$11/J$7),datareq,J$11/J$7)</f>
        <v>0.27389241481298909</v>
      </c>
      <c r="K28" s="64">
        <f>IF(ISERROR(K$11/K$7),datareq,K$11/K$7)</f>
        <v>0.26742060409332574</v>
      </c>
      <c r="L28" s="224">
        <f t="array" ref="L28:P28">SGAofSales</f>
        <v>0.28100000000000003</v>
      </c>
      <c r="M28" s="224">
        <v>0.28100000000000003</v>
      </c>
      <c r="N28" s="224">
        <v>0.28100000000000003</v>
      </c>
      <c r="O28" s="224">
        <v>0.28100000000000003</v>
      </c>
      <c r="P28" s="224">
        <v>0.28100000000000003</v>
      </c>
    </row>
    <row r="29" spans="2:39" ht="14.4" x14ac:dyDescent="0.3">
      <c r="D29" s="2" t="s">
        <v>21</v>
      </c>
      <c r="I29" s="63">
        <f t="shared" ref="I29:P29" si="7">IF(ISERROR(I12/I$7),datareq,I12/I$7)</f>
        <v>0.21253982965423468</v>
      </c>
      <c r="J29" s="63">
        <f t="shared" si="7"/>
        <v>0.20389426335572128</v>
      </c>
      <c r="K29" s="64">
        <f t="shared" si="7"/>
        <v>0.20257939590667426</v>
      </c>
      <c r="L29" s="167">
        <f t="shared" si="7"/>
        <v>0.18499999999999991</v>
      </c>
      <c r="M29" s="167">
        <f t="shared" si="7"/>
        <v>0.18499999999999991</v>
      </c>
      <c r="N29" s="167">
        <f t="shared" si="7"/>
        <v>0.18499999999999991</v>
      </c>
      <c r="O29" s="167">
        <f t="shared" si="7"/>
        <v>0.185</v>
      </c>
      <c r="P29" s="167">
        <f t="shared" si="7"/>
        <v>0.185</v>
      </c>
    </row>
    <row r="30" spans="2:39" ht="14.4" x14ac:dyDescent="0.3">
      <c r="D30" s="2" t="s">
        <v>22</v>
      </c>
      <c r="I30" s="63">
        <f t="shared" ref="I30:P30" si="8">IF(ISERROR(I16/I$7),datareq,I16/I$7)</f>
        <v>0.18270564278804199</v>
      </c>
      <c r="J30" s="63">
        <f t="shared" si="8"/>
        <v>0.1765666399654939</v>
      </c>
      <c r="K30" s="64">
        <f t="shared" si="8"/>
        <v>0.1759528519569932</v>
      </c>
      <c r="L30" s="167">
        <f t="shared" si="8"/>
        <v>0.15785677982689858</v>
      </c>
      <c r="M30" s="167">
        <f t="shared" si="8"/>
        <v>0.15228514644151703</v>
      </c>
      <c r="N30" s="167">
        <f t="shared" si="8"/>
        <v>0.14688297699830891</v>
      </c>
      <c r="O30" s="167">
        <f t="shared" si="8"/>
        <v>0.14160085989254104</v>
      </c>
      <c r="P30" s="167">
        <f t="shared" si="8"/>
        <v>0.13639288073747369</v>
      </c>
    </row>
    <row r="31" spans="2:39" ht="14.4" x14ac:dyDescent="0.3">
      <c r="D31" s="2" t="s">
        <v>23</v>
      </c>
      <c r="I31" s="63">
        <f t="shared" ref="I31:P31" si="9">IF(ISERROR(I23/I$7),datareq,I23/I$7)</f>
        <v>8.9685218885513868E-2</v>
      </c>
      <c r="J31" s="63">
        <f t="shared" si="9"/>
        <v>8.7774970731406762E-2</v>
      </c>
      <c r="K31" s="64">
        <f t="shared" si="9"/>
        <v>0.11216177502591899</v>
      </c>
      <c r="L31" s="167">
        <f t="shared" ca="1" si="9"/>
        <v>9.431186286022096E-2</v>
      </c>
      <c r="M31" s="167">
        <f t="shared" ca="1" si="9"/>
        <v>9.2970697530227034E-2</v>
      </c>
      <c r="N31" s="167">
        <f t="shared" ca="1" si="9"/>
        <v>9.2189330294308564E-2</v>
      </c>
      <c r="O31" s="167">
        <f t="shared" ca="1" si="9"/>
        <v>9.1411165020759688E-2</v>
      </c>
      <c r="P31" s="167">
        <f t="shared" ca="1" si="9"/>
        <v>9.0376054926657706E-2</v>
      </c>
    </row>
    <row r="32" spans="2:39" x14ac:dyDescent="0.25">
      <c r="K32" s="6"/>
    </row>
    <row r="33" spans="3:16" x14ac:dyDescent="0.25">
      <c r="C33" s="7" t="s">
        <v>24</v>
      </c>
      <c r="K33" s="6"/>
    </row>
    <row r="34" spans="3:16" x14ac:dyDescent="0.25">
      <c r="D34" s="2" t="s">
        <v>25</v>
      </c>
      <c r="I34" s="8"/>
      <c r="J34" s="84">
        <f>IF(ISERROR(J7/I7-1),datareq, J7/I7-1)</f>
        <v>9.7911606919366623E-2</v>
      </c>
      <c r="K34" s="85">
        <f>IF(ISERROR(K7/J7-1),datareq, K7/J7-1)</f>
        <v>6.6827900671637241E-2</v>
      </c>
      <c r="L34" s="225">
        <f t="array" ref="L34:P34">SalesGrowth</f>
        <v>0.06</v>
      </c>
      <c r="M34" s="225">
        <v>5.5999999999999994E-2</v>
      </c>
      <c r="N34" s="225">
        <v>5.1999999999999991E-2</v>
      </c>
      <c r="O34" s="225">
        <v>4.7999999999999987E-2</v>
      </c>
      <c r="P34" s="225">
        <v>4.3999999999999984E-2</v>
      </c>
    </row>
    <row r="35" spans="3:16" x14ac:dyDescent="0.25">
      <c r="D35" s="2" t="s">
        <v>26</v>
      </c>
      <c r="I35" s="8"/>
      <c r="J35" s="84">
        <f t="shared" ref="J35:P35" si="10">IF(ISERROR(J12/I12-1),datareq, J12/I12-1)</f>
        <v>5.3251424388070179E-2</v>
      </c>
      <c r="K35" s="85">
        <f>IF(ISERROR(K12/J12-1),datareq, K12/J12-1)</f>
        <v>5.9948171653067206E-2</v>
      </c>
      <c r="L35" s="84">
        <f>IF(ISERROR(L12/K12-1),datareq, L12/K12-1)</f>
        <v>-3.1984476395908068E-2</v>
      </c>
      <c r="M35" s="84">
        <f t="shared" si="10"/>
        <v>5.600000000000005E-2</v>
      </c>
      <c r="N35" s="84">
        <f t="shared" si="10"/>
        <v>5.2000000000000268E-2</v>
      </c>
      <c r="O35" s="84">
        <f t="shared" si="10"/>
        <v>4.8000000000000265E-2</v>
      </c>
      <c r="P35" s="84">
        <f t="shared" si="10"/>
        <v>4.4000000000000039E-2</v>
      </c>
    </row>
    <row r="36" spans="3:16" x14ac:dyDescent="0.25">
      <c r="D36" s="2" t="s">
        <v>29</v>
      </c>
      <c r="I36" s="8"/>
      <c r="J36" s="84">
        <f t="shared" ref="J36:P36" si="11">IF(ISERROR(J16/I16-1),datareq, J16/I16-1)</f>
        <v>6.1021216721590665E-2</v>
      </c>
      <c r="K36" s="85">
        <f>IF(ISERROR(K16/J16-1),datareq, K16/J16-1)</f>
        <v>6.3119350898621196E-2</v>
      </c>
      <c r="L36" s="84">
        <f>IF(ISERROR(L16/K16-1),datareq, L16/K16-1)</f>
        <v>-4.9016911317747547E-2</v>
      </c>
      <c r="M36" s="84">
        <f t="shared" si="11"/>
        <v>1.8727955926791662E-2</v>
      </c>
      <c r="N36" s="84">
        <f t="shared" si="11"/>
        <v>1.4681309457600822E-2</v>
      </c>
      <c r="O36" s="84">
        <f t="shared" si="11"/>
        <v>1.0312455534527531E-2</v>
      </c>
      <c r="P36" s="84">
        <f t="shared" si="11"/>
        <v>5.602420762017335E-3</v>
      </c>
    </row>
    <row r="37" spans="3:16" x14ac:dyDescent="0.25">
      <c r="D37" s="2" t="s">
        <v>27</v>
      </c>
      <c r="I37" s="8"/>
      <c r="J37" s="84">
        <f t="shared" ref="J37:P37" si="12">IF(ISERROR(J23/I23-1),datareq, J23/I23-1)</f>
        <v>7.4526665158029637E-2</v>
      </c>
      <c r="K37" s="85">
        <f t="shared" si="12"/>
        <v>0.3632281502281498</v>
      </c>
      <c r="L37" s="84">
        <f ca="1">IF(ISERROR(L23/K23-1),datareq, L23/K23-1)</f>
        <v>-0.10869300518173475</v>
      </c>
      <c r="M37" s="84">
        <f t="shared" ca="1" si="12"/>
        <v>4.0983112987889703E-2</v>
      </c>
      <c r="N37" s="84">
        <f t="shared" ca="1" si="12"/>
        <v>4.3158522480494899E-2</v>
      </c>
      <c r="O37" s="84">
        <f t="shared" ca="1" si="12"/>
        <v>3.9153887287436184E-2</v>
      </c>
      <c r="P37" s="84">
        <f t="shared" ca="1" si="12"/>
        <v>3.2178085926406919E-2</v>
      </c>
    </row>
    <row r="38" spans="3:16" x14ac:dyDescent="0.25">
      <c r="K38" s="6"/>
    </row>
    <row r="39" spans="3:16" x14ac:dyDescent="0.25">
      <c r="D39" s="2" t="s">
        <v>28</v>
      </c>
      <c r="I39" s="84">
        <f>IF(ISERROR(I22/I20),datareq, I22/I20)</f>
        <v>0.45347734674526929</v>
      </c>
      <c r="J39" s="84">
        <f t="shared" ref="J39:K39" si="13">IF(ISERROR(J22/J20)," need data ", J22/J20)</f>
        <v>0.45201000192344676</v>
      </c>
      <c r="K39" s="85">
        <f t="shared" si="13"/>
        <v>0.31062311529424796</v>
      </c>
      <c r="L39" s="285">
        <v>0.31</v>
      </c>
      <c r="M39" s="84">
        <f>L39</f>
        <v>0.31</v>
      </c>
      <c r="N39" s="84">
        <f t="shared" ref="N39:P39" si="14">M39</f>
        <v>0.31</v>
      </c>
      <c r="O39" s="84">
        <f t="shared" si="14"/>
        <v>0.31</v>
      </c>
      <c r="P39" s="84">
        <f t="shared" si="14"/>
        <v>0.31</v>
      </c>
    </row>
    <row r="40" spans="3:16" x14ac:dyDescent="0.25">
      <c r="K40" s="6"/>
    </row>
    <row r="41" spans="3:16" x14ac:dyDescent="0.25">
      <c r="K41" s="6"/>
    </row>
    <row r="42" spans="3:16" x14ac:dyDescent="0.25">
      <c r="K42" s="6"/>
    </row>
    <row r="43" spans="3:16" x14ac:dyDescent="0.25">
      <c r="K43" s="6"/>
    </row>
    <row r="44" spans="3:16" x14ac:dyDescent="0.25">
      <c r="K44" s="6"/>
    </row>
    <row r="45" spans="3:16" x14ac:dyDescent="0.25">
      <c r="K45" s="6"/>
    </row>
    <row r="46" spans="3:16" x14ac:dyDescent="0.25">
      <c r="K46" s="6"/>
    </row>
    <row r="47" spans="3:16" x14ac:dyDescent="0.25">
      <c r="K47" s="6"/>
    </row>
    <row r="48" spans="3:16" x14ac:dyDescent="0.25">
      <c r="K48" s="6"/>
    </row>
    <row r="49" spans="11:11" x14ac:dyDescent="0.25">
      <c r="K49" s="6"/>
    </row>
    <row r="50" spans="11:11" x14ac:dyDescent="0.25">
      <c r="K50" s="6"/>
    </row>
    <row r="51" spans="11:11" x14ac:dyDescent="0.25">
      <c r="K51" s="6"/>
    </row>
    <row r="1000" spans="648:648" ht="15" x14ac:dyDescent="0.25">
      <c r="XX1000" s="305">
        <v>127155</v>
      </c>
    </row>
  </sheetData>
  <mergeCells count="2">
    <mergeCell ref="L5:P5"/>
    <mergeCell ref="I5:K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81FA7-8FDB-4CDA-8363-04452A8BC92F}">
  <sheetPr codeName="Sheet4"/>
  <dimension ref="B1:XX1000"/>
  <sheetViews>
    <sheetView showGridLines="0" topLeftCell="A12" workbookViewId="0">
      <selection activeCell="L21" sqref="L21"/>
    </sheetView>
  </sheetViews>
  <sheetFormatPr defaultColWidth="8.77734375" defaultRowHeight="13.8" x14ac:dyDescent="0.25"/>
  <cols>
    <col min="1" max="3" width="2.77734375" style="2" customWidth="1"/>
    <col min="4" max="8" width="8.77734375" style="2"/>
    <col min="9" max="16" width="10.77734375" style="2" customWidth="1"/>
    <col min="17" max="16384" width="8.77734375" style="2"/>
  </cols>
  <sheetData>
    <row r="1" spans="2:19" ht="15" x14ac:dyDescent="0.25">
      <c r="B1" s="1" t="str">
        <f>"Balance Sheet for "&amp;CoName</f>
        <v>Balance Sheet for Sharang Corporation</v>
      </c>
    </row>
    <row r="2" spans="2:19" x14ac:dyDescent="0.25">
      <c r="B2" s="3" t="str">
        <f>subhead</f>
        <v>Dollars in millions, except per share data</v>
      </c>
    </row>
    <row r="3" spans="2:19" x14ac:dyDescent="0.25">
      <c r="H3" s="5" t="s">
        <v>5</v>
      </c>
      <c r="I3" s="2">
        <v>-2</v>
      </c>
      <c r="J3" s="2">
        <f>I3+1</f>
        <v>-1</v>
      </c>
      <c r="K3" s="2">
        <f t="shared" ref="K3:P3" si="0">J3+1</f>
        <v>0</v>
      </c>
      <c r="L3" s="2">
        <f t="shared" si="0"/>
        <v>1</v>
      </c>
      <c r="M3" s="2">
        <f t="shared" si="0"/>
        <v>2</v>
      </c>
      <c r="N3" s="2">
        <f t="shared" si="0"/>
        <v>3</v>
      </c>
      <c r="O3" s="2">
        <f t="shared" si="0"/>
        <v>4</v>
      </c>
      <c r="P3" s="2">
        <f t="shared" si="0"/>
        <v>5</v>
      </c>
    </row>
    <row r="5" spans="2:19" x14ac:dyDescent="0.25">
      <c r="B5" s="37"/>
      <c r="C5" s="37"/>
      <c r="D5" s="37"/>
      <c r="E5" s="37"/>
      <c r="F5" s="37"/>
      <c r="G5" s="37"/>
      <c r="H5" s="37"/>
      <c r="I5" s="308" t="str">
        <f>"Historical Year Ending "&amp;TEXT(FYE,"Mmmm dd") &amp; ","</f>
        <v>Historical Year Ending December 31,</v>
      </c>
      <c r="J5" s="308"/>
      <c r="K5" s="309"/>
      <c r="L5" s="310" t="str">
        <f>"Projected Year Ending "&amp;TEXT(FYE,"Mmmm Dd,")</f>
        <v>Projected Year Ending December 31,</v>
      </c>
      <c r="M5" s="308"/>
      <c r="N5" s="308"/>
      <c r="O5" s="308"/>
      <c r="P5" s="308"/>
    </row>
    <row r="6" spans="2:19" x14ac:dyDescent="0.25">
      <c r="B6" s="37"/>
      <c r="C6" s="37"/>
      <c r="D6" s="37"/>
      <c r="E6" s="37"/>
      <c r="F6" s="37"/>
      <c r="G6" s="37"/>
      <c r="H6" s="37"/>
      <c r="I6" s="38">
        <f t="shared" ref="I6:P6" si="1">YEAR(FYE)+I3</f>
        <v>2021</v>
      </c>
      <c r="J6" s="38">
        <f t="shared" si="1"/>
        <v>2022</v>
      </c>
      <c r="K6" s="39">
        <f t="shared" si="1"/>
        <v>2023</v>
      </c>
      <c r="L6" s="38">
        <f t="shared" si="1"/>
        <v>2024</v>
      </c>
      <c r="M6" s="38">
        <f t="shared" si="1"/>
        <v>2025</v>
      </c>
      <c r="N6" s="38">
        <f t="shared" si="1"/>
        <v>2026</v>
      </c>
      <c r="O6" s="38">
        <f t="shared" si="1"/>
        <v>2027</v>
      </c>
      <c r="P6" s="38">
        <f t="shared" si="1"/>
        <v>2028</v>
      </c>
    </row>
    <row r="7" spans="2:19" x14ac:dyDescent="0.25">
      <c r="I7" s="7"/>
      <c r="J7" s="7"/>
      <c r="K7" s="9"/>
      <c r="L7" s="7"/>
      <c r="M7" s="7"/>
      <c r="N7" s="7"/>
      <c r="O7" s="7"/>
      <c r="P7" s="7"/>
    </row>
    <row r="8" spans="2:19" x14ac:dyDescent="0.25">
      <c r="B8" s="2" t="s">
        <v>30</v>
      </c>
      <c r="I8" s="286">
        <v>41.8</v>
      </c>
      <c r="J8" s="286">
        <v>45</v>
      </c>
      <c r="K8" s="287">
        <v>55.8</v>
      </c>
      <c r="L8" s="168">
        <f ca="1">CF!L34</f>
        <v>35.000000011937132</v>
      </c>
      <c r="M8" s="168">
        <f ca="1">CF!M34</f>
        <v>35.000000988935497</v>
      </c>
      <c r="N8" s="168">
        <f ca="1">CF!N34</f>
        <v>35.000015112275449</v>
      </c>
      <c r="O8" s="168">
        <f ca="1">CF!O34</f>
        <v>35.000100876191382</v>
      </c>
      <c r="P8" s="168">
        <f ca="1">CF!P34</f>
        <v>64.542128764891984</v>
      </c>
      <c r="Q8" s="283" t="s">
        <v>184</v>
      </c>
    </row>
    <row r="9" spans="2:19" x14ac:dyDescent="0.25">
      <c r="B9" s="2" t="s">
        <v>31</v>
      </c>
      <c r="I9" s="288">
        <v>375</v>
      </c>
      <c r="J9" s="288">
        <v>362</v>
      </c>
      <c r="K9" s="289">
        <v>386.3</v>
      </c>
      <c r="L9" s="160">
        <f>WC!L12</f>
        <v>442.46792986301375</v>
      </c>
      <c r="M9" s="160">
        <f>WC!M12</f>
        <v>456.62690361863014</v>
      </c>
      <c r="N9" s="160">
        <f>WC!N12</f>
        <v>469.20007231361757</v>
      </c>
      <c r="O9" s="160">
        <f>WC!O12</f>
        <v>480.01401683741716</v>
      </c>
      <c r="P9" s="160">
        <f>WC!P12</f>
        <v>488.91183763733028</v>
      </c>
      <c r="Q9" s="283" t="s">
        <v>184</v>
      </c>
    </row>
    <row r="10" spans="2:19" x14ac:dyDescent="0.25">
      <c r="B10" s="2" t="s">
        <v>32</v>
      </c>
      <c r="I10" s="288">
        <v>441</v>
      </c>
      <c r="J10" s="288">
        <v>465</v>
      </c>
      <c r="K10" s="289">
        <v>476.7</v>
      </c>
      <c r="L10" s="160">
        <f>WC!L13</f>
        <v>515.51536264767128</v>
      </c>
      <c r="M10" s="160">
        <f>WC!M13</f>
        <v>538.71355396681656</v>
      </c>
      <c r="N10" s="160">
        <f>WC!N13</f>
        <v>560.76111499653223</v>
      </c>
      <c r="O10" s="160">
        <f>WC!O13</f>
        <v>581.42575863853199</v>
      </c>
      <c r="P10" s="160">
        <f>WC!P13</f>
        <v>600.48151898616902</v>
      </c>
      <c r="Q10" s="283" t="s">
        <v>184</v>
      </c>
    </row>
    <row r="11" spans="2:19" x14ac:dyDescent="0.25">
      <c r="B11" s="2" t="s">
        <v>33</v>
      </c>
      <c r="I11" s="290">
        <v>110.5</v>
      </c>
      <c r="J11" s="290">
        <v>117</v>
      </c>
      <c r="K11" s="291">
        <v>102.7</v>
      </c>
      <c r="L11" s="174">
        <f>WC!L14</f>
        <v>110.114178</v>
      </c>
      <c r="M11" s="174">
        <f>WC!M14</f>
        <v>116.280571968</v>
      </c>
      <c r="N11" s="174">
        <f>WC!N14</f>
        <v>122.32716171033601</v>
      </c>
      <c r="O11" s="174">
        <f>WC!O14</f>
        <v>128.19886547243215</v>
      </c>
      <c r="P11" s="174">
        <f>WC!P14</f>
        <v>133.83961555321915</v>
      </c>
      <c r="Q11" s="283" t="s">
        <v>184</v>
      </c>
    </row>
    <row r="12" spans="2:19" x14ac:dyDescent="0.25">
      <c r="C12" s="2" t="s">
        <v>34</v>
      </c>
      <c r="I12" s="292">
        <f>SUM(I8:I11)</f>
        <v>968.3</v>
      </c>
      <c r="J12" s="292">
        <f t="shared" ref="J12:K12" si="2">SUM(J8:J11)</f>
        <v>989</v>
      </c>
      <c r="K12" s="293">
        <f t="shared" si="2"/>
        <v>1021.5</v>
      </c>
      <c r="L12" s="49">
        <f t="shared" ref="L12:P12" ca="1" si="3">SUM(L8:L11)</f>
        <v>1103.0974705226222</v>
      </c>
      <c r="M12" s="49">
        <f t="shared" ca="1" si="3"/>
        <v>1146.6210305423822</v>
      </c>
      <c r="N12" s="49">
        <f t="shared" ca="1" si="3"/>
        <v>1187.2883641327612</v>
      </c>
      <c r="O12" s="49">
        <f t="shared" ca="1" si="3"/>
        <v>1224.6387418245727</v>
      </c>
      <c r="P12" s="49">
        <f t="shared" ca="1" si="3"/>
        <v>1287.7751009416104</v>
      </c>
    </row>
    <row r="13" spans="2:19" x14ac:dyDescent="0.25">
      <c r="I13" s="283"/>
      <c r="J13" s="283"/>
      <c r="K13" s="294"/>
    </row>
    <row r="14" spans="2:19" x14ac:dyDescent="0.25">
      <c r="B14" s="2" t="s">
        <v>35</v>
      </c>
      <c r="I14" s="295">
        <v>487</v>
      </c>
      <c r="J14" s="295">
        <v>560</v>
      </c>
      <c r="K14" s="296">
        <v>871</v>
      </c>
      <c r="L14" s="160">
        <f>Dep!L16</f>
        <v>957.26479928571439</v>
      </c>
      <c r="M14" s="160">
        <f>Dep!M16</f>
        <v>1026.8551659028572</v>
      </c>
      <c r="N14" s="160">
        <f>Dep!N16</f>
        <v>1078.1174995098058</v>
      </c>
      <c r="O14" s="160">
        <f>Dep!O16</f>
        <v>1109.3414790080137</v>
      </c>
      <c r="P14" s="160">
        <f>Dep!P16</f>
        <v>1118.771651375908</v>
      </c>
      <c r="Q14" s="283" t="s">
        <v>184</v>
      </c>
    </row>
    <row r="15" spans="2:19" x14ac:dyDescent="0.25">
      <c r="B15" s="2" t="s">
        <v>36</v>
      </c>
      <c r="I15" s="295">
        <v>98</v>
      </c>
      <c r="J15" s="295">
        <v>35</v>
      </c>
      <c r="K15" s="296">
        <v>36.1</v>
      </c>
      <c r="L15" s="160">
        <f>Amort!L16</f>
        <v>39.171914721951403</v>
      </c>
      <c r="M15" s="160">
        <f>Amort!M16</f>
        <v>41.850899396673981</v>
      </c>
      <c r="N15" s="160">
        <f>Amort!N16</f>
        <v>44.130267566600857</v>
      </c>
      <c r="O15" s="160">
        <f>Amort!O16</f>
        <v>46.005668223009316</v>
      </c>
      <c r="P15" s="160">
        <f>Amort!P16</f>
        <v>47.475088960207728</v>
      </c>
      <c r="Q15" s="283" t="s">
        <v>184</v>
      </c>
    </row>
    <row r="16" spans="2:19" x14ac:dyDescent="0.25">
      <c r="B16" s="2" t="s">
        <v>37</v>
      </c>
      <c r="I16" s="295">
        <v>278.3</v>
      </c>
      <c r="J16" s="295">
        <v>200.75</v>
      </c>
      <c r="K16" s="296">
        <v>200.8</v>
      </c>
      <c r="L16" s="160">
        <f>Other!L11</f>
        <v>200.8</v>
      </c>
      <c r="M16" s="160">
        <f>Other!M11</f>
        <v>200.8</v>
      </c>
      <c r="N16" s="160">
        <f>Other!N11</f>
        <v>200.8</v>
      </c>
      <c r="O16" s="160">
        <f>Other!O11</f>
        <v>200.8</v>
      </c>
      <c r="P16" s="160">
        <f>Other!P11</f>
        <v>200.8</v>
      </c>
      <c r="Q16" s="283" t="s">
        <v>184</v>
      </c>
      <c r="S16" s="283"/>
    </row>
    <row r="17" spans="2:19" x14ac:dyDescent="0.25">
      <c r="B17" s="2" t="s">
        <v>38</v>
      </c>
      <c r="I17" s="295">
        <v>1245.8800000000001</v>
      </c>
      <c r="J17" s="295">
        <v>1478</v>
      </c>
      <c r="K17" s="296">
        <v>1415</v>
      </c>
      <c r="L17" s="160">
        <f>Other!L12</f>
        <v>1415</v>
      </c>
      <c r="M17" s="160">
        <f>Other!M12</f>
        <v>1415</v>
      </c>
      <c r="N17" s="160">
        <f>Other!N12</f>
        <v>1415</v>
      </c>
      <c r="O17" s="160">
        <f>Other!O12</f>
        <v>1415</v>
      </c>
      <c r="P17" s="160">
        <f>Other!P12</f>
        <v>1415</v>
      </c>
      <c r="Q17" s="283" t="s">
        <v>184</v>
      </c>
      <c r="S17" s="283"/>
    </row>
    <row r="18" spans="2:19" x14ac:dyDescent="0.25">
      <c r="B18" s="2" t="s">
        <v>39</v>
      </c>
      <c r="I18" s="297">
        <v>132.80000000000001</v>
      </c>
      <c r="J18" s="297">
        <v>144.9</v>
      </c>
      <c r="K18" s="298">
        <v>145</v>
      </c>
      <c r="L18" s="174">
        <f>Other!L13</f>
        <v>145</v>
      </c>
      <c r="M18" s="174">
        <f>Other!M13</f>
        <v>145</v>
      </c>
      <c r="N18" s="174">
        <f>Other!N13</f>
        <v>145</v>
      </c>
      <c r="O18" s="174">
        <f>Other!O13</f>
        <v>145</v>
      </c>
      <c r="P18" s="174">
        <f>Other!P13</f>
        <v>145</v>
      </c>
      <c r="Q18" s="283" t="s">
        <v>184</v>
      </c>
      <c r="S18" s="283"/>
    </row>
    <row r="19" spans="2:19" x14ac:dyDescent="0.25">
      <c r="B19" s="20"/>
      <c r="C19" s="20" t="s">
        <v>48</v>
      </c>
      <c r="D19" s="20"/>
      <c r="E19" s="20"/>
      <c r="F19" s="20"/>
      <c r="G19" s="20"/>
      <c r="H19" s="20"/>
      <c r="I19" s="69">
        <f>SUM(I12:I18)</f>
        <v>3210.28</v>
      </c>
      <c r="J19" s="69">
        <f t="shared" ref="J19" si="4">SUM(J12:J18)</f>
        <v>3407.65</v>
      </c>
      <c r="K19" s="70">
        <f>SUM(K12:K18)</f>
        <v>3689.4</v>
      </c>
      <c r="L19" s="69">
        <f t="shared" ref="L19:P19" ca="1" si="5">SUM(L12:L18)</f>
        <v>3860.334184530288</v>
      </c>
      <c r="M19" s="69">
        <f t="shared" ca="1" si="5"/>
        <v>3976.1270958419132</v>
      </c>
      <c r="N19" s="69">
        <f t="shared" ca="1" si="5"/>
        <v>4070.3361312091679</v>
      </c>
      <c r="O19" s="69">
        <f t="shared" ca="1" si="5"/>
        <v>4140.7858890555963</v>
      </c>
      <c r="P19" s="69">
        <f t="shared" ca="1" si="5"/>
        <v>4214.821841277726</v>
      </c>
    </row>
    <row r="20" spans="2:19" x14ac:dyDescent="0.25">
      <c r="I20" s="283"/>
      <c r="J20" s="283"/>
      <c r="K20" s="294"/>
    </row>
    <row r="21" spans="2:19" x14ac:dyDescent="0.25">
      <c r="B21" s="2" t="s">
        <v>40</v>
      </c>
      <c r="I21" s="295">
        <v>276.39999999999998</v>
      </c>
      <c r="J21" s="295">
        <v>300.2</v>
      </c>
      <c r="K21" s="296">
        <v>305.8</v>
      </c>
      <c r="L21" s="160">
        <f>WC!L17</f>
        <v>327.56705334904115</v>
      </c>
      <c r="M21" s="160">
        <f>WC!M17</f>
        <v>351.58147732571183</v>
      </c>
      <c r="N21" s="160">
        <f>WC!N17</f>
        <v>375.82925792320771</v>
      </c>
      <c r="O21" s="160">
        <f>WC!O17</f>
        <v>400.12095218135534</v>
      </c>
      <c r="P21" s="160">
        <f>WC!P17</f>
        <v>424.25324710979334</v>
      </c>
      <c r="Q21" s="283" t="s">
        <v>184</v>
      </c>
    </row>
    <row r="22" spans="2:19" x14ac:dyDescent="0.25">
      <c r="B22" s="2" t="s">
        <v>41</v>
      </c>
      <c r="I22" s="299">
        <v>414</v>
      </c>
      <c r="J22" s="299">
        <v>403.4</v>
      </c>
      <c r="K22" s="300">
        <v>431.7</v>
      </c>
      <c r="L22" s="174">
        <f>WC!L18</f>
        <v>450.80744473200008</v>
      </c>
      <c r="M22" s="174">
        <f>WC!M18</f>
        <v>476.05266163699213</v>
      </c>
      <c r="N22" s="174">
        <f>WC!N18</f>
        <v>500.80740004211572</v>
      </c>
      <c r="O22" s="174">
        <f>WC!O18</f>
        <v>524.84615524413721</v>
      </c>
      <c r="P22" s="174">
        <f>WC!P18</f>
        <v>547.93938607487928</v>
      </c>
      <c r="Q22" s="283" t="s">
        <v>184</v>
      </c>
    </row>
    <row r="23" spans="2:19" x14ac:dyDescent="0.25">
      <c r="C23" s="2" t="s">
        <v>47</v>
      </c>
      <c r="I23" s="283">
        <f>SUM(I21:I22)</f>
        <v>690.4</v>
      </c>
      <c r="J23" s="283">
        <f t="shared" ref="J23:K23" si="6">SUM(J21:J22)</f>
        <v>703.59999999999991</v>
      </c>
      <c r="K23" s="294">
        <f t="shared" si="6"/>
        <v>737.5</v>
      </c>
      <c r="L23" s="49">
        <f t="shared" ref="L23:P23" si="7">SUM(L21:L22)</f>
        <v>778.37449808104122</v>
      </c>
      <c r="M23" s="49">
        <f t="shared" si="7"/>
        <v>827.6341389627039</v>
      </c>
      <c r="N23" s="49">
        <f t="shared" si="7"/>
        <v>876.63665796532337</v>
      </c>
      <c r="O23" s="49">
        <f t="shared" si="7"/>
        <v>924.96710742549249</v>
      </c>
      <c r="P23" s="49">
        <f t="shared" si="7"/>
        <v>972.19263318467256</v>
      </c>
      <c r="Q23" s="283"/>
    </row>
    <row r="24" spans="2:19" x14ac:dyDescent="0.25">
      <c r="I24" s="283"/>
      <c r="J24" s="283"/>
      <c r="K24" s="294"/>
    </row>
    <row r="25" spans="2:19" x14ac:dyDescent="0.25">
      <c r="B25" s="2" t="s">
        <v>42</v>
      </c>
      <c r="I25" s="292">
        <v>303.10000000000002</v>
      </c>
      <c r="J25" s="292">
        <f>101.2+120</f>
        <v>221.2</v>
      </c>
      <c r="K25" s="293">
        <f>0.2+120+185</f>
        <v>305.2</v>
      </c>
      <c r="L25" s="160">
        <f ca="1">'Debt&amp;Int'!L21</f>
        <v>322.78160353295766</v>
      </c>
      <c r="M25" s="160">
        <f ca="1">'Debt&amp;Int'!M21</f>
        <v>168.7082796261962</v>
      </c>
      <c r="N25" s="160">
        <f ca="1">'Debt&amp;Int'!N21</f>
        <v>234.28778072852657</v>
      </c>
      <c r="O25" s="160">
        <f ca="1">'Debt&amp;Int'!O21</f>
        <v>18.343477181959116</v>
      </c>
      <c r="P25" s="160">
        <f ca="1">'Debt&amp;Int'!P21</f>
        <v>0</v>
      </c>
      <c r="Q25" s="283" t="s">
        <v>184</v>
      </c>
    </row>
    <row r="26" spans="2:19" x14ac:dyDescent="0.25">
      <c r="B26" s="2" t="s">
        <v>43</v>
      </c>
      <c r="I26" s="288">
        <v>1012</v>
      </c>
      <c r="J26" s="288">
        <v>950</v>
      </c>
      <c r="K26" s="289">
        <v>760</v>
      </c>
      <c r="L26" s="160">
        <f>'Debt&amp;Int'!L27</f>
        <v>659.8</v>
      </c>
      <c r="M26" s="160">
        <f>'Debt&amp;Int'!M27</f>
        <v>659.5</v>
      </c>
      <c r="N26" s="160">
        <f>'Debt&amp;Int'!N27</f>
        <v>409.2</v>
      </c>
      <c r="O26" s="160">
        <f>'Debt&amp;Int'!O27</f>
        <v>408.8</v>
      </c>
      <c r="P26" s="160">
        <f>'Debt&amp;Int'!P27</f>
        <v>208.20000000000002</v>
      </c>
      <c r="Q26" s="283" t="s">
        <v>184</v>
      </c>
    </row>
    <row r="27" spans="2:19" x14ac:dyDescent="0.25">
      <c r="B27" s="2" t="s">
        <v>81</v>
      </c>
      <c r="I27" s="301">
        <v>238.2</v>
      </c>
      <c r="J27" s="301">
        <v>351.1</v>
      </c>
      <c r="K27" s="302">
        <v>342.3</v>
      </c>
      <c r="L27" s="174">
        <f>Other!L18</f>
        <v>342.3</v>
      </c>
      <c r="M27" s="174">
        <f>Other!M18</f>
        <v>342.3</v>
      </c>
      <c r="N27" s="174">
        <f>Other!N18</f>
        <v>342.3</v>
      </c>
      <c r="O27" s="174">
        <f>Other!O18</f>
        <v>342.3</v>
      </c>
      <c r="P27" s="174">
        <f>Other!P18</f>
        <v>342.3</v>
      </c>
      <c r="Q27" s="283" t="s">
        <v>184</v>
      </c>
    </row>
    <row r="28" spans="2:19" x14ac:dyDescent="0.25">
      <c r="C28" s="2" t="s">
        <v>44</v>
      </c>
      <c r="I28" s="292">
        <f>SUM(I23:I27)</f>
        <v>2243.6999999999998</v>
      </c>
      <c r="J28" s="292">
        <f t="shared" ref="J28:K28" si="8">SUM(J23:J27)</f>
        <v>2225.9</v>
      </c>
      <c r="K28" s="293">
        <f t="shared" si="8"/>
        <v>2145</v>
      </c>
      <c r="L28" s="49">
        <f t="shared" ref="L28:P28" ca="1" si="9">SUM(L23:L27)</f>
        <v>2103.2561016139989</v>
      </c>
      <c r="M28" s="49">
        <f t="shared" ca="1" si="9"/>
        <v>1998.1424185889</v>
      </c>
      <c r="N28" s="49">
        <f t="shared" ca="1" si="9"/>
        <v>1862.4244386938499</v>
      </c>
      <c r="O28" s="49">
        <f t="shared" ca="1" si="9"/>
        <v>1694.4105846074515</v>
      </c>
      <c r="P28" s="49">
        <f t="shared" ca="1" si="9"/>
        <v>1522.6926331846726</v>
      </c>
    </row>
    <row r="29" spans="2:19" x14ac:dyDescent="0.25">
      <c r="I29" s="283"/>
      <c r="J29" s="283"/>
      <c r="K29" s="294"/>
    </row>
    <row r="30" spans="2:19" x14ac:dyDescent="0.25">
      <c r="B30" s="2" t="s">
        <v>45</v>
      </c>
      <c r="I30" s="288">
        <v>966.58</v>
      </c>
      <c r="J30" s="288">
        <v>1181.75</v>
      </c>
      <c r="K30" s="289">
        <v>1544.4</v>
      </c>
      <c r="L30" s="160">
        <f ca="1">Equity!L13</f>
        <v>1757.0780829090065</v>
      </c>
      <c r="M30" s="160">
        <f ca="1">Equity!M13</f>
        <v>1977.9846764448998</v>
      </c>
      <c r="N30" s="160">
        <f ca="1">Equity!N13</f>
        <v>2207.9116796866469</v>
      </c>
      <c r="O30" s="160">
        <f ca="1">Equity!O13</f>
        <v>2446.3752492296458</v>
      </c>
      <c r="P30" s="160">
        <f ca="1">Equity!P13</f>
        <v>2692.1293556097676</v>
      </c>
      <c r="Q30" s="283" t="s">
        <v>184</v>
      </c>
    </row>
    <row r="31" spans="2:19" x14ac:dyDescent="0.25">
      <c r="K31" s="6"/>
    </row>
    <row r="32" spans="2:19" x14ac:dyDescent="0.25">
      <c r="B32" s="20" t="s">
        <v>46</v>
      </c>
      <c r="C32" s="20"/>
      <c r="D32" s="20"/>
      <c r="E32" s="20"/>
      <c r="F32" s="20"/>
      <c r="G32" s="20"/>
      <c r="H32" s="20"/>
      <c r="I32" s="69">
        <f>I28+I30</f>
        <v>3210.2799999999997</v>
      </c>
      <c r="J32" s="69">
        <f t="shared" ref="J32:P32" si="10">J28+J30</f>
        <v>3407.65</v>
      </c>
      <c r="K32" s="70">
        <f t="shared" si="10"/>
        <v>3689.4</v>
      </c>
      <c r="L32" s="69">
        <f t="shared" ca="1" si="10"/>
        <v>3860.3341845230052</v>
      </c>
      <c r="M32" s="69">
        <f t="shared" ca="1" si="10"/>
        <v>3976.1270950337998</v>
      </c>
      <c r="N32" s="69">
        <f t="shared" ca="1" si="10"/>
        <v>4070.3361183804968</v>
      </c>
      <c r="O32" s="69">
        <f t="shared" ca="1" si="10"/>
        <v>4140.785833837097</v>
      </c>
      <c r="P32" s="69">
        <f t="shared" ca="1" si="10"/>
        <v>4214.8219887944397</v>
      </c>
    </row>
    <row r="33" spans="2:17" x14ac:dyDescent="0.25">
      <c r="C33" s="4" t="s">
        <v>56</v>
      </c>
      <c r="I33" s="19">
        <f>IF(ABS(I32-I19)&lt;0.001,0,I32-I19)</f>
        <v>0</v>
      </c>
      <c r="J33" s="19">
        <f t="shared" ref="J33:P33" si="11">IF(ABS(J32-J19)&lt;0.001,0,J32-J19)</f>
        <v>0</v>
      </c>
      <c r="K33" s="185">
        <f t="shared" si="11"/>
        <v>0</v>
      </c>
      <c r="L33" s="19">
        <f t="shared" ca="1" si="11"/>
        <v>0</v>
      </c>
      <c r="M33" s="19">
        <f t="shared" ca="1" si="11"/>
        <v>0</v>
      </c>
      <c r="N33" s="19">
        <f t="shared" ca="1" si="11"/>
        <v>0</v>
      </c>
      <c r="O33" s="19">
        <f t="shared" ca="1" si="11"/>
        <v>0</v>
      </c>
      <c r="P33" s="19">
        <f t="shared" ca="1" si="11"/>
        <v>0</v>
      </c>
    </row>
    <row r="34" spans="2:17" x14ac:dyDescent="0.25">
      <c r="K34" s="6"/>
    </row>
    <row r="35" spans="2:17" x14ac:dyDescent="0.25">
      <c r="B35" s="2" t="s">
        <v>50</v>
      </c>
      <c r="I35" s="49">
        <f>SUM(I25:I26)</f>
        <v>1315.1</v>
      </c>
      <c r="J35" s="49">
        <f t="shared" ref="J35:P35" si="12">SUM(J25:J26)</f>
        <v>1171.2</v>
      </c>
      <c r="K35" s="181">
        <f t="shared" si="12"/>
        <v>1065.2</v>
      </c>
      <c r="L35" s="49">
        <f t="shared" ca="1" si="12"/>
        <v>982.58160353295762</v>
      </c>
      <c r="M35" s="49">
        <f t="shared" ca="1" si="12"/>
        <v>828.20827962619614</v>
      </c>
      <c r="N35" s="49">
        <f t="shared" ca="1" si="12"/>
        <v>643.48778072852656</v>
      </c>
      <c r="O35" s="49">
        <f t="shared" ca="1" si="12"/>
        <v>427.14347718195916</v>
      </c>
      <c r="P35" s="49">
        <f t="shared" ca="1" si="12"/>
        <v>208.20000000000002</v>
      </c>
    </row>
    <row r="36" spans="2:17" x14ac:dyDescent="0.25">
      <c r="B36" s="2" t="s">
        <v>54</v>
      </c>
      <c r="I36" s="49">
        <f>I30+I35</f>
        <v>2281.6799999999998</v>
      </c>
      <c r="J36" s="49">
        <f t="shared" ref="J36:P36" si="13">J30+J35</f>
        <v>2352.9499999999998</v>
      </c>
      <c r="K36" s="181">
        <f t="shared" si="13"/>
        <v>2609.6000000000004</v>
      </c>
      <c r="L36" s="49">
        <f t="shared" ca="1" si="13"/>
        <v>2739.6596864419644</v>
      </c>
      <c r="M36" s="49">
        <f t="shared" ca="1" si="13"/>
        <v>2806.192956071096</v>
      </c>
      <c r="N36" s="49">
        <f t="shared" ca="1" si="13"/>
        <v>2851.3994604151735</v>
      </c>
      <c r="O36" s="49">
        <f t="shared" ca="1" si="13"/>
        <v>2873.5187264116048</v>
      </c>
      <c r="P36" s="49">
        <f t="shared" ca="1" si="13"/>
        <v>2900.3293556097674</v>
      </c>
    </row>
    <row r="37" spans="2:17" x14ac:dyDescent="0.25">
      <c r="B37" s="2" t="s">
        <v>55</v>
      </c>
      <c r="I37" s="61">
        <f t="shared" ref="I37:P37" si="14">IF(ISERROR(I35/I36),datareq, I35/I36)</f>
        <v>0.57637354931454021</v>
      </c>
      <c r="J37" s="61">
        <f t="shared" si="14"/>
        <v>0.49775813340699976</v>
      </c>
      <c r="K37" s="62">
        <f t="shared" si="14"/>
        <v>0.40818516247700792</v>
      </c>
      <c r="L37" s="61">
        <f t="shared" ca="1" si="14"/>
        <v>0.35865096982503347</v>
      </c>
      <c r="M37" s="61">
        <f t="shared" ca="1" si="14"/>
        <v>0.29513589856121542</v>
      </c>
      <c r="N37" s="61">
        <f t="shared" ca="1" si="14"/>
        <v>0.22567437136108334</v>
      </c>
      <c r="O37" s="61">
        <f t="shared" ca="1" si="14"/>
        <v>0.14864823161092386</v>
      </c>
      <c r="P37" s="61">
        <f t="shared" ca="1" si="14"/>
        <v>7.1784950766816583E-2</v>
      </c>
    </row>
    <row r="38" spans="2:17" x14ac:dyDescent="0.25">
      <c r="K38" s="6"/>
    </row>
    <row r="39" spans="2:17" x14ac:dyDescent="0.25">
      <c r="B39" s="2" t="s">
        <v>53</v>
      </c>
      <c r="I39" s="23">
        <f>IS!I12</f>
        <v>628.34000000000015</v>
      </c>
      <c r="J39" s="23">
        <f>IS!J12</f>
        <v>661.80000000000018</v>
      </c>
      <c r="K39" s="24">
        <f>IS!K12</f>
        <v>701.47370000000001</v>
      </c>
      <c r="L39" s="23">
        <f>IS!L12</f>
        <v>679.03743099999974</v>
      </c>
      <c r="M39" s="23">
        <f>IS!M12</f>
        <v>717.06352713599972</v>
      </c>
      <c r="N39" s="23">
        <f>IS!N12</f>
        <v>754.35083054707184</v>
      </c>
      <c r="O39" s="23">
        <f>IS!O12</f>
        <v>790.55967041333156</v>
      </c>
      <c r="P39" s="23">
        <f>IS!P12</f>
        <v>825.3442959115182</v>
      </c>
      <c r="Q39" s="283" t="s">
        <v>184</v>
      </c>
    </row>
    <row r="40" spans="2:17" x14ac:dyDescent="0.25">
      <c r="B40" s="2" t="s">
        <v>51</v>
      </c>
      <c r="I40" s="17">
        <f t="shared" ref="I40:P40" si="15">IF(ISERROR(I35/I39),datareq,I35/I39)</f>
        <v>2.0929751408473112</v>
      </c>
      <c r="J40" s="17">
        <f t="shared" si="15"/>
        <v>1.7697189483227558</v>
      </c>
      <c r="K40" s="22">
        <f t="shared" si="15"/>
        <v>1.5185173727824721</v>
      </c>
      <c r="L40" s="17">
        <f t="shared" ca="1" si="15"/>
        <v>1.4470212666861924</v>
      </c>
      <c r="M40" s="17">
        <f t="shared" ca="1" si="15"/>
        <v>1.1549998686087355</v>
      </c>
      <c r="N40" s="17">
        <f t="shared" ca="1" si="15"/>
        <v>0.85303515906763838</v>
      </c>
      <c r="O40" s="17">
        <f t="shared" ca="1" si="15"/>
        <v>0.54030517008113255</v>
      </c>
      <c r="P40" s="17">
        <f t="shared" ca="1" si="15"/>
        <v>0.25225836179077477</v>
      </c>
    </row>
    <row r="41" spans="2:17" x14ac:dyDescent="0.25">
      <c r="B41" s="2" t="s">
        <v>14</v>
      </c>
      <c r="I41" s="23">
        <f>IS!I18</f>
        <v>55</v>
      </c>
      <c r="J41" s="23">
        <f>IS!J18</f>
        <v>53.2</v>
      </c>
      <c r="K41" s="24">
        <f>IS!K18</f>
        <v>45.89</v>
      </c>
      <c r="L41" s="23">
        <f ca="1">IS!L18</f>
        <v>79.076624958704258</v>
      </c>
      <c r="M41" s="23">
        <f ca="1">IS!M18</f>
        <v>68.967274275325181</v>
      </c>
      <c r="N41" s="23">
        <f ca="1">IS!N18</f>
        <v>55.005796864184902</v>
      </c>
      <c r="O41" s="23">
        <f ca="1">IS!O18</f>
        <v>39.763851046232404</v>
      </c>
      <c r="P41" s="23">
        <f ca="1">IS!P18</f>
        <v>25.144957843279613</v>
      </c>
    </row>
    <row r="42" spans="2:17" x14ac:dyDescent="0.25">
      <c r="B42" s="2" t="s">
        <v>52</v>
      </c>
      <c r="I42" s="272">
        <f t="shared" ref="I42:P42" si="16">IF(ISERROR(I39/I41),datareq,I39/I41)</f>
        <v>11.424363636363639</v>
      </c>
      <c r="J42" s="272">
        <f t="shared" si="16"/>
        <v>12.439849624060153</v>
      </c>
      <c r="K42" s="273">
        <f t="shared" si="16"/>
        <v>15.285981695358466</v>
      </c>
      <c r="L42" s="272">
        <f t="shared" ca="1" si="16"/>
        <v>8.5870815978123698</v>
      </c>
      <c r="M42" s="272">
        <f t="shared" ca="1" si="16"/>
        <v>10.397156255203022</v>
      </c>
      <c r="N42" s="272">
        <f t="shared" ca="1" si="16"/>
        <v>13.714024222022333</v>
      </c>
      <c r="O42" s="272">
        <f t="shared" ca="1" si="16"/>
        <v>19.881365853980498</v>
      </c>
      <c r="P42" s="272">
        <f t="shared" ca="1" si="16"/>
        <v>32.823451168843555</v>
      </c>
    </row>
    <row r="1000" spans="648:648" ht="15" x14ac:dyDescent="0.25">
      <c r="XX1000" s="305">
        <v>127155</v>
      </c>
    </row>
  </sheetData>
  <mergeCells count="2">
    <mergeCell ref="L5:P5"/>
    <mergeCell ref="I5:K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9F7EC-36C1-453C-9D8F-447EB07EE78C}">
  <sheetPr codeName="Sheet5"/>
  <dimension ref="B1:XX1000"/>
  <sheetViews>
    <sheetView showGridLines="0" workbookViewId="0">
      <selection activeCell="I34" sqref="I34"/>
    </sheetView>
  </sheetViews>
  <sheetFormatPr defaultColWidth="8.77734375" defaultRowHeight="13.2" x14ac:dyDescent="0.25"/>
  <cols>
    <col min="1" max="3" width="2.77734375" style="4" customWidth="1"/>
    <col min="4" max="8" width="8.77734375" style="4"/>
    <col min="9" max="16" width="10.77734375" style="4" customWidth="1"/>
    <col min="17" max="16384" width="8.77734375" style="4"/>
  </cols>
  <sheetData>
    <row r="1" spans="2:18" ht="15" x14ac:dyDescent="0.25">
      <c r="B1" s="1" t="str">
        <f>"Working Capital Schedule for "&amp;CoName</f>
        <v>Working Capital Schedule for Sharang Corporation</v>
      </c>
    </row>
    <row r="2" spans="2:18" x14ac:dyDescent="0.25">
      <c r="B2" s="3" t="str">
        <f>subhead</f>
        <v>Dollars in millions, except per share data</v>
      </c>
    </row>
    <row r="3" spans="2:18" ht="13.8" x14ac:dyDescent="0.25">
      <c r="G3" s="2"/>
      <c r="H3" s="5" t="s">
        <v>5</v>
      </c>
      <c r="I3" s="2">
        <v>-2</v>
      </c>
      <c r="J3" s="2">
        <f>I3+1</f>
        <v>-1</v>
      </c>
      <c r="K3" s="2">
        <f t="shared" ref="K3:P3" si="0">J3+1</f>
        <v>0</v>
      </c>
      <c r="L3" s="2">
        <f t="shared" si="0"/>
        <v>1</v>
      </c>
      <c r="M3" s="2">
        <f t="shared" si="0"/>
        <v>2</v>
      </c>
      <c r="N3" s="2">
        <f t="shared" si="0"/>
        <v>3</v>
      </c>
      <c r="O3" s="2">
        <f t="shared" si="0"/>
        <v>4</v>
      </c>
      <c r="P3" s="2">
        <f t="shared" si="0"/>
        <v>5</v>
      </c>
    </row>
    <row r="4" spans="2:18" ht="13.8" x14ac:dyDescent="0.25">
      <c r="G4" s="2"/>
      <c r="H4" s="2"/>
      <c r="I4" s="2"/>
      <c r="J4" s="2"/>
      <c r="K4" s="2"/>
      <c r="L4" s="2"/>
      <c r="M4" s="2"/>
      <c r="N4" s="2"/>
      <c r="O4" s="2"/>
      <c r="P4" s="2"/>
    </row>
    <row r="5" spans="2:18" ht="13.8" x14ac:dyDescent="0.25">
      <c r="B5" s="40"/>
      <c r="C5" s="40"/>
      <c r="D5" s="40"/>
      <c r="E5" s="40"/>
      <c r="F5" s="40"/>
      <c r="G5" s="37"/>
      <c r="H5" s="37"/>
      <c r="I5" s="308" t="str">
        <f>"Historical Year Ending "&amp;TEXT(FYE,"Mmmm dd") &amp; ","</f>
        <v>Historical Year Ending December 31,</v>
      </c>
      <c r="J5" s="308"/>
      <c r="K5" s="309"/>
      <c r="L5" s="308" t="str">
        <f>"Projected Year Ending "&amp;TEXT(FYE,"Mmmm Dd,")</f>
        <v>Projected Year Ending December 31,</v>
      </c>
      <c r="M5" s="308"/>
      <c r="N5" s="308"/>
      <c r="O5" s="308"/>
      <c r="P5" s="308"/>
    </row>
    <row r="6" spans="2:18" ht="13.8" x14ac:dyDescent="0.25">
      <c r="B6" s="40"/>
      <c r="C6" s="40"/>
      <c r="D6" s="40"/>
      <c r="E6" s="40"/>
      <c r="F6" s="40"/>
      <c r="G6" s="37"/>
      <c r="H6" s="37"/>
      <c r="I6" s="38">
        <f t="shared" ref="I6:P6" si="1">YEAR(FYE)+I3</f>
        <v>2021</v>
      </c>
      <c r="J6" s="38">
        <f t="shared" si="1"/>
        <v>2022</v>
      </c>
      <c r="K6" s="39">
        <f t="shared" si="1"/>
        <v>2023</v>
      </c>
      <c r="L6" s="38">
        <f t="shared" si="1"/>
        <v>2024</v>
      </c>
      <c r="M6" s="38">
        <f t="shared" si="1"/>
        <v>2025</v>
      </c>
      <c r="N6" s="38">
        <f t="shared" si="1"/>
        <v>2026</v>
      </c>
      <c r="O6" s="38">
        <f t="shared" si="1"/>
        <v>2027</v>
      </c>
      <c r="P6" s="38">
        <f t="shared" si="1"/>
        <v>2028</v>
      </c>
    </row>
    <row r="7" spans="2:18" ht="13.8" x14ac:dyDescent="0.25">
      <c r="G7" s="2"/>
      <c r="H7" s="2"/>
      <c r="I7" s="7"/>
      <c r="J7" s="7"/>
      <c r="K7" s="9"/>
      <c r="L7" s="7"/>
      <c r="M7" s="7"/>
      <c r="N7" s="7"/>
      <c r="O7" s="7"/>
      <c r="P7" s="7"/>
    </row>
    <row r="8" spans="2:18" x14ac:dyDescent="0.25">
      <c r="B8" s="4" t="s">
        <v>6</v>
      </c>
      <c r="I8" s="51">
        <f>IS!I7</f>
        <v>2956.34</v>
      </c>
      <c r="J8" s="51">
        <f>IS!J7</f>
        <v>3245.8</v>
      </c>
      <c r="K8" s="52">
        <f>IS!K7</f>
        <v>3462.71</v>
      </c>
      <c r="L8" s="51">
        <f>IS!L7</f>
        <v>3670.4726000000001</v>
      </c>
      <c r="M8" s="51">
        <f>IS!M7</f>
        <v>3876.0190656000004</v>
      </c>
      <c r="N8" s="51">
        <f>IS!N7</f>
        <v>4077.5720570112007</v>
      </c>
      <c r="O8" s="51">
        <f>IS!O7</f>
        <v>4273.2955157477381</v>
      </c>
      <c r="P8" s="51">
        <f>IS!P7</f>
        <v>4461.3205184406388</v>
      </c>
    </row>
    <row r="9" spans="2:18" x14ac:dyDescent="0.25">
      <c r="B9" s="4" t="s">
        <v>8</v>
      </c>
      <c r="I9" s="71">
        <f>IS!I8</f>
        <v>1452</v>
      </c>
      <c r="J9" s="71">
        <f>IS!J8</f>
        <v>1695</v>
      </c>
      <c r="K9" s="72">
        <f>IS!K8</f>
        <v>1835.2363</v>
      </c>
      <c r="L9" s="71">
        <f>IS!L8</f>
        <v>1960.0323684000002</v>
      </c>
      <c r="M9" s="71">
        <f>IS!M8</f>
        <v>2069.7941810304005</v>
      </c>
      <c r="N9" s="71">
        <f>IS!N8</f>
        <v>2177.4234784439814</v>
      </c>
      <c r="O9" s="71">
        <f>IS!O8</f>
        <v>2281.9398054092921</v>
      </c>
      <c r="P9" s="71">
        <f>IS!P8</f>
        <v>2382.345156847301</v>
      </c>
    </row>
    <row r="10" spans="2:18" x14ac:dyDescent="0.25">
      <c r="I10" s="71"/>
      <c r="J10" s="71"/>
      <c r="K10" s="72"/>
    </row>
    <row r="11" spans="2:18" x14ac:dyDescent="0.25">
      <c r="B11" s="26" t="s">
        <v>57</v>
      </c>
      <c r="I11" s="71"/>
      <c r="J11" s="71"/>
      <c r="K11" s="72"/>
    </row>
    <row r="12" spans="2:18" x14ac:dyDescent="0.25">
      <c r="C12" s="4" t="str">
        <f>BS!B9</f>
        <v>Accounts receivable, net</v>
      </c>
      <c r="I12" s="71">
        <f>BS!I9</f>
        <v>375</v>
      </c>
      <c r="J12" s="71">
        <f>BS!J9</f>
        <v>362</v>
      </c>
      <c r="K12" s="72">
        <f>BS!K9</f>
        <v>386.3</v>
      </c>
      <c r="L12" s="75">
        <f t="shared" ref="L12:P13" si="2">L8*L26/365</f>
        <v>442.46792986301375</v>
      </c>
      <c r="M12" s="75">
        <f t="shared" si="2"/>
        <v>456.62690361863014</v>
      </c>
      <c r="N12" s="75">
        <f t="shared" si="2"/>
        <v>469.20007231361757</v>
      </c>
      <c r="O12" s="75">
        <f t="shared" si="2"/>
        <v>480.01401683741716</v>
      </c>
      <c r="P12" s="75">
        <f t="shared" si="2"/>
        <v>488.91183763733028</v>
      </c>
      <c r="Q12" s="4" t="s">
        <v>183</v>
      </c>
      <c r="R12" s="307"/>
    </row>
    <row r="13" spans="2:18" x14ac:dyDescent="0.25">
      <c r="C13" s="4" t="str">
        <f>BS!B10</f>
        <v>Inventories</v>
      </c>
      <c r="I13" s="71">
        <f>BS!I10</f>
        <v>441</v>
      </c>
      <c r="J13" s="71">
        <f>BS!J10</f>
        <v>465</v>
      </c>
      <c r="K13" s="72">
        <f>BS!K10</f>
        <v>476.7</v>
      </c>
      <c r="L13" s="75">
        <f t="shared" si="2"/>
        <v>515.51536264767128</v>
      </c>
      <c r="M13" s="75">
        <f t="shared" si="2"/>
        <v>538.71355396681656</v>
      </c>
      <c r="N13" s="75">
        <f t="shared" si="2"/>
        <v>560.76111499653223</v>
      </c>
      <c r="O13" s="75">
        <f t="shared" si="2"/>
        <v>581.42575863853199</v>
      </c>
      <c r="P13" s="75">
        <f t="shared" si="2"/>
        <v>600.48151898616902</v>
      </c>
      <c r="Q13" s="4" t="s">
        <v>183</v>
      </c>
    </row>
    <row r="14" spans="2:18" x14ac:dyDescent="0.25">
      <c r="C14" s="4" t="str">
        <f>BS!B11</f>
        <v>Other current assets</v>
      </c>
      <c r="I14" s="73">
        <f>BS!I11</f>
        <v>110.5</v>
      </c>
      <c r="J14" s="73">
        <f>BS!J11</f>
        <v>117</v>
      </c>
      <c r="K14" s="74">
        <f>BS!K11</f>
        <v>102.7</v>
      </c>
      <c r="L14" s="76">
        <f>L8*L28</f>
        <v>110.114178</v>
      </c>
      <c r="M14" s="76">
        <f>M8*M28</f>
        <v>116.280571968</v>
      </c>
      <c r="N14" s="76">
        <f>N8*N28</f>
        <v>122.32716171033601</v>
      </c>
      <c r="O14" s="76">
        <f>O8*O28</f>
        <v>128.19886547243215</v>
      </c>
      <c r="P14" s="76">
        <f>P8*P28</f>
        <v>133.83961555321915</v>
      </c>
      <c r="Q14" s="4" t="s">
        <v>183</v>
      </c>
      <c r="R14" s="307"/>
    </row>
    <row r="15" spans="2:18" x14ac:dyDescent="0.25">
      <c r="D15" s="4" t="s">
        <v>58</v>
      </c>
      <c r="I15" s="71">
        <f>SUM(I12:I14)</f>
        <v>926.5</v>
      </c>
      <c r="J15" s="71">
        <f t="shared" ref="J15:P15" si="3">SUM(J12:J14)</f>
        <v>944</v>
      </c>
      <c r="K15" s="72">
        <f t="shared" si="3"/>
        <v>965.7</v>
      </c>
      <c r="L15" s="71">
        <f t="shared" si="3"/>
        <v>1068.0974705106851</v>
      </c>
      <c r="M15" s="71">
        <f t="shared" si="3"/>
        <v>1111.6210295534468</v>
      </c>
      <c r="N15" s="71">
        <f t="shared" si="3"/>
        <v>1152.2883490204858</v>
      </c>
      <c r="O15" s="71">
        <f t="shared" si="3"/>
        <v>1189.6386409483812</v>
      </c>
      <c r="P15" s="71">
        <f t="shared" si="3"/>
        <v>1223.2329721767185</v>
      </c>
    </row>
    <row r="16" spans="2:18" x14ac:dyDescent="0.25">
      <c r="I16" s="71"/>
      <c r="J16" s="71"/>
      <c r="K16" s="72"/>
      <c r="L16" s="71"/>
      <c r="M16" s="71"/>
      <c r="N16" s="71"/>
      <c r="O16" s="71"/>
      <c r="P16" s="71"/>
    </row>
    <row r="17" spans="2:18" x14ac:dyDescent="0.25">
      <c r="C17" s="4" t="str">
        <f>BS!B21</f>
        <v>Accounts payable</v>
      </c>
      <c r="I17" s="71">
        <f>BS!I21</f>
        <v>276.39999999999998</v>
      </c>
      <c r="J17" s="71">
        <f>BS!J21</f>
        <v>300.2</v>
      </c>
      <c r="K17" s="72">
        <f>BS!K21</f>
        <v>305.8</v>
      </c>
      <c r="L17" s="75">
        <f>L9*L30/365</f>
        <v>327.56705334904115</v>
      </c>
      <c r="M17" s="75">
        <f>M9*M30/365</f>
        <v>351.58147732571183</v>
      </c>
      <c r="N17" s="75">
        <f>N9*N30/365</f>
        <v>375.82925792320771</v>
      </c>
      <c r="O17" s="75">
        <f>O9*O30/365</f>
        <v>400.12095218135534</v>
      </c>
      <c r="P17" s="75">
        <f>P9*P30/365</f>
        <v>424.25324710979334</v>
      </c>
      <c r="Q17" s="4" t="s">
        <v>183</v>
      </c>
    </row>
    <row r="18" spans="2:18" x14ac:dyDescent="0.25">
      <c r="C18" s="4" t="str">
        <f>BS!B22</f>
        <v>Other current liabilities</v>
      </c>
      <c r="I18" s="73">
        <f>BS!I22</f>
        <v>414</v>
      </c>
      <c r="J18" s="73">
        <f>BS!J22</f>
        <v>403.4</v>
      </c>
      <c r="K18" s="74">
        <f>BS!K22</f>
        <v>431.7</v>
      </c>
      <c r="L18" s="76">
        <f>L9*L31</f>
        <v>450.80744473200008</v>
      </c>
      <c r="M18" s="76">
        <f>M9*M31</f>
        <v>476.05266163699213</v>
      </c>
      <c r="N18" s="76">
        <f>N9*N31</f>
        <v>500.80740004211572</v>
      </c>
      <c r="O18" s="76">
        <f>O9*O31</f>
        <v>524.84615524413721</v>
      </c>
      <c r="P18" s="76">
        <f>P9*P31</f>
        <v>547.93938607487928</v>
      </c>
      <c r="Q18" s="4" t="s">
        <v>183</v>
      </c>
    </row>
    <row r="19" spans="2:18" x14ac:dyDescent="0.25">
      <c r="D19" s="4" t="s">
        <v>59</v>
      </c>
      <c r="I19" s="71">
        <f>SUM(I17:I18)</f>
        <v>690.4</v>
      </c>
      <c r="J19" s="71">
        <f t="shared" ref="J19:P19" si="4">SUM(J17:J18)</f>
        <v>703.59999999999991</v>
      </c>
      <c r="K19" s="72">
        <f t="shared" si="4"/>
        <v>737.5</v>
      </c>
      <c r="L19" s="71">
        <f t="shared" si="4"/>
        <v>778.37449808104122</v>
      </c>
      <c r="M19" s="71">
        <f t="shared" si="4"/>
        <v>827.6341389627039</v>
      </c>
      <c r="N19" s="71">
        <f t="shared" si="4"/>
        <v>876.63665796532337</v>
      </c>
      <c r="O19" s="71">
        <f t="shared" si="4"/>
        <v>924.96710742549249</v>
      </c>
      <c r="P19" s="71">
        <f t="shared" si="4"/>
        <v>972.19263318467256</v>
      </c>
    </row>
    <row r="20" spans="2:18" x14ac:dyDescent="0.25">
      <c r="K20" s="31"/>
    </row>
    <row r="21" spans="2:18" x14ac:dyDescent="0.25">
      <c r="B21" s="4" t="s">
        <v>143</v>
      </c>
      <c r="I21" s="51">
        <f>I15-I19</f>
        <v>236.10000000000002</v>
      </c>
      <c r="J21" s="51">
        <f t="shared" ref="J21:P21" si="5">J15-J19</f>
        <v>240.40000000000009</v>
      </c>
      <c r="K21" s="52">
        <f t="shared" si="5"/>
        <v>228.20000000000005</v>
      </c>
      <c r="L21" s="51">
        <f t="shared" si="5"/>
        <v>289.72297242964385</v>
      </c>
      <c r="M21" s="51">
        <f t="shared" si="5"/>
        <v>283.98689059074286</v>
      </c>
      <c r="N21" s="51">
        <f t="shared" si="5"/>
        <v>275.65169105516247</v>
      </c>
      <c r="O21" s="51">
        <f t="shared" si="5"/>
        <v>264.67153352288869</v>
      </c>
      <c r="P21" s="51">
        <f t="shared" si="5"/>
        <v>251.04033899204592</v>
      </c>
    </row>
    <row r="22" spans="2:18" x14ac:dyDescent="0.25">
      <c r="K22" s="31"/>
    </row>
    <row r="23" spans="2:18" x14ac:dyDescent="0.25">
      <c r="B23" s="29" t="s">
        <v>60</v>
      </c>
      <c r="C23" s="29"/>
      <c r="D23" s="29"/>
      <c r="E23" s="29"/>
      <c r="F23" s="29"/>
      <c r="G23" s="29"/>
      <c r="H23" s="29"/>
      <c r="I23" s="29"/>
      <c r="J23" s="53">
        <f>I21-J21</f>
        <v>-4.3000000000000682</v>
      </c>
      <c r="K23" s="54">
        <f t="shared" ref="K23:P23" si="6">J21-K21</f>
        <v>12.200000000000045</v>
      </c>
      <c r="L23" s="53">
        <f>K21-L21</f>
        <v>-61.522972429643801</v>
      </c>
      <c r="M23" s="53">
        <f t="shared" si="6"/>
        <v>5.7360818389009864</v>
      </c>
      <c r="N23" s="53">
        <f t="shared" si="6"/>
        <v>8.3351995355803865</v>
      </c>
      <c r="O23" s="53">
        <f t="shared" si="6"/>
        <v>10.980157532273779</v>
      </c>
      <c r="P23" s="53">
        <f t="shared" si="6"/>
        <v>13.631194530842777</v>
      </c>
    </row>
    <row r="24" spans="2:18" x14ac:dyDescent="0.25">
      <c r="K24" s="31"/>
    </row>
    <row r="25" spans="2:18" x14ac:dyDescent="0.25">
      <c r="B25" s="26" t="s">
        <v>61</v>
      </c>
      <c r="K25" s="31"/>
      <c r="R25" s="26"/>
    </row>
    <row r="26" spans="2:18" x14ac:dyDescent="0.25">
      <c r="C26" s="4" t="str">
        <f>C12&amp;" (days sales outstanding)"</f>
        <v>Accounts receivable, net (days sales outstanding)</v>
      </c>
      <c r="I26" s="77">
        <f>IF(ISERROR(I12/I8)*Days, datareq, (I12/I8)*Days)</f>
        <v>46.298801896940134</v>
      </c>
      <c r="J26" s="77">
        <f>IF(ISERROR(J12/J8)*Days, datareq, (J12/J8)*Days)</f>
        <v>40.70799186641198</v>
      </c>
      <c r="K26" s="78">
        <f>IF(ISERROR(K12/K8)*Days, datareq, (K12/K8)*Days)</f>
        <v>40.719407631594912</v>
      </c>
      <c r="L26" s="227">
        <f t="array" ref="L26:P26">DSO</f>
        <v>44</v>
      </c>
      <c r="M26" s="227">
        <v>43</v>
      </c>
      <c r="N26" s="227">
        <v>42</v>
      </c>
      <c r="O26" s="227">
        <v>41</v>
      </c>
      <c r="P26" s="227">
        <v>40</v>
      </c>
      <c r="R26" s="82"/>
    </row>
    <row r="27" spans="2:18" x14ac:dyDescent="0.25">
      <c r="C27" s="4" t="str">
        <f>C13&amp;" (days inventory held)"</f>
        <v>Inventories (days inventory held)</v>
      </c>
      <c r="I27" s="77">
        <f>IF(ISERROR(I13/I9), datareq, I13/I9*Days)</f>
        <v>110.85743801652892</v>
      </c>
      <c r="J27" s="77">
        <f>IF(ISERROR(J13/J9), datareq, J13/J9*Days)</f>
        <v>100.13274336283185</v>
      </c>
      <c r="K27" s="78">
        <f>IF(ISERROR(K13/K9), datareq, K13/K9*Days)</f>
        <v>94.808227147643052</v>
      </c>
      <c r="L27" s="227">
        <f t="array" ref="L27:P27">DIH</f>
        <v>96</v>
      </c>
      <c r="M27" s="227">
        <v>95</v>
      </c>
      <c r="N27" s="227">
        <v>94</v>
      </c>
      <c r="O27" s="227">
        <v>93</v>
      </c>
      <c r="P27" s="227">
        <v>92</v>
      </c>
      <c r="R27" s="82"/>
    </row>
    <row r="28" spans="2:18" x14ac:dyDescent="0.25">
      <c r="C28" s="4" t="str">
        <f>C14&amp;" (as % of sales)"</f>
        <v>Other current assets (as % of sales)</v>
      </c>
      <c r="I28" s="79">
        <f>IF(ISERROR(I14/I8), datareq, I14/I8)</f>
        <v>3.7377297604470387E-2</v>
      </c>
      <c r="J28" s="79">
        <f>IF(ISERROR(J14/J8), datareq, J14/J8)</f>
        <v>3.6046583276850085E-2</v>
      </c>
      <c r="K28" s="80">
        <f>IF(ISERROR(K14/K8), datareq, K14/K8)</f>
        <v>2.9658851015534077E-2</v>
      </c>
      <c r="L28" s="225">
        <f t="array" ref="L28:P28">CAofSales</f>
        <v>0.03</v>
      </c>
      <c r="M28" s="225">
        <v>0.03</v>
      </c>
      <c r="N28" s="225">
        <v>0.03</v>
      </c>
      <c r="O28" s="225">
        <v>0.03</v>
      </c>
      <c r="P28" s="225">
        <v>0.03</v>
      </c>
      <c r="R28" s="83"/>
    </row>
    <row r="29" spans="2:18" x14ac:dyDescent="0.25">
      <c r="K29" s="31"/>
      <c r="L29" s="81"/>
    </row>
    <row r="30" spans="2:18" x14ac:dyDescent="0.25">
      <c r="C30" s="4" t="str">
        <f>C17&amp;" (days outstanding)"</f>
        <v>Accounts payable (days outstanding)</v>
      </c>
      <c r="I30" s="77">
        <f>IF(ISERROR(I17/I9), datareq, I17/I9*Days)</f>
        <v>69.480716253443532</v>
      </c>
      <c r="J30" s="77">
        <f>IF(ISERROR(J17/J9), datareq, J17/J9*Days)</f>
        <v>64.644837758112089</v>
      </c>
      <c r="K30" s="78">
        <f>IF(ISERROR(K17/K9), datareq, K17/K9*Days)</f>
        <v>60.818871117577608</v>
      </c>
      <c r="L30" s="227">
        <f t="array" ref="L30:P30">DPO</f>
        <v>61</v>
      </c>
      <c r="M30" s="227">
        <v>62</v>
      </c>
      <c r="N30" s="227">
        <v>63</v>
      </c>
      <c r="O30" s="227">
        <v>64</v>
      </c>
      <c r="P30" s="227">
        <v>65</v>
      </c>
      <c r="R30" s="82"/>
    </row>
    <row r="31" spans="2:18" x14ac:dyDescent="0.25">
      <c r="C31" s="4" t="str">
        <f>C18&amp;" (as % cost of sales)"</f>
        <v>Other current liabilities (as % cost of sales)</v>
      </c>
      <c r="I31" s="79">
        <f>IF(ISERROR(I18/I9),datareq,I18/I9)</f>
        <v>0.28512396694214875</v>
      </c>
      <c r="J31" s="79">
        <f>IF(ISERROR(J18/J9),datareq,J18/J9)</f>
        <v>0.23799410029498524</v>
      </c>
      <c r="K31" s="80">
        <f>IF(ISERROR(K18/K9),datareq,K18/K9)</f>
        <v>0.23522856429986699</v>
      </c>
      <c r="L31" s="225">
        <f t="array" ref="L31:P31">OtherCLofSales</f>
        <v>0.23</v>
      </c>
      <c r="M31" s="225">
        <v>0.23</v>
      </c>
      <c r="N31" s="225">
        <v>0.23</v>
      </c>
      <c r="O31" s="225">
        <v>0.23</v>
      </c>
      <c r="P31" s="225">
        <v>0.23</v>
      </c>
      <c r="R31" s="83"/>
    </row>
    <row r="32" spans="2:18" x14ac:dyDescent="0.25">
      <c r="K32" s="31"/>
    </row>
    <row r="33" spans="2:17" x14ac:dyDescent="0.25">
      <c r="B33" s="26" t="s">
        <v>62</v>
      </c>
      <c r="K33" s="31"/>
    </row>
    <row r="34" spans="2:17" x14ac:dyDescent="0.25">
      <c r="C34" s="4" t="str">
        <f>C12</f>
        <v>Accounts receivable, net</v>
      </c>
      <c r="I34" s="32"/>
      <c r="J34" s="71">
        <f t="shared" ref="J34:P34" si="7">I12-J12</f>
        <v>13</v>
      </c>
      <c r="K34" s="72">
        <f t="shared" si="7"/>
        <v>-24.300000000000011</v>
      </c>
      <c r="L34" s="75">
        <f t="shared" si="7"/>
        <v>-56.16792986301374</v>
      </c>
      <c r="M34" s="75">
        <f t="shared" si="7"/>
        <v>-14.158973755616387</v>
      </c>
      <c r="N34" s="75">
        <f t="shared" si="7"/>
        <v>-12.57316869498743</v>
      </c>
      <c r="O34" s="75">
        <f t="shared" si="7"/>
        <v>-10.813944523799591</v>
      </c>
      <c r="P34" s="75">
        <f t="shared" si="7"/>
        <v>-8.89782079991312</v>
      </c>
      <c r="Q34" s="4" t="s">
        <v>186</v>
      </c>
    </row>
    <row r="35" spans="2:17" x14ac:dyDescent="0.25">
      <c r="C35" s="4" t="str">
        <f t="shared" ref="C35:C36" si="8">C13</f>
        <v>Inventories</v>
      </c>
      <c r="I35" s="32"/>
      <c r="J35" s="71">
        <f>I13-J13</f>
        <v>-24</v>
      </c>
      <c r="K35" s="72">
        <f t="shared" ref="K35" si="9">J13-K13</f>
        <v>-11.699999999999989</v>
      </c>
      <c r="L35" s="75">
        <f t="shared" ref="L35:P36" si="10">K13-L13</f>
        <v>-38.815362647671293</v>
      </c>
      <c r="M35" s="75">
        <f t="shared" si="10"/>
        <v>-23.19819131914528</v>
      </c>
      <c r="N35" s="75">
        <f t="shared" si="10"/>
        <v>-22.047561029715666</v>
      </c>
      <c r="O35" s="75">
        <f t="shared" si="10"/>
        <v>-20.66464364199976</v>
      </c>
      <c r="P35" s="75">
        <f t="shared" si="10"/>
        <v>-19.055760347637033</v>
      </c>
    </row>
    <row r="36" spans="2:17" x14ac:dyDescent="0.25">
      <c r="C36" s="4" t="str">
        <f t="shared" si="8"/>
        <v>Other current assets</v>
      </c>
      <c r="I36" s="32"/>
      <c r="J36" s="71">
        <f>I14-J14</f>
        <v>-6.5</v>
      </c>
      <c r="K36" s="72">
        <f t="shared" ref="K36" si="11">J14-K14</f>
        <v>14.299999999999997</v>
      </c>
      <c r="L36" s="75">
        <f t="shared" si="10"/>
        <v>-7.4141779999999926</v>
      </c>
      <c r="M36" s="75">
        <f t="shared" si="10"/>
        <v>-6.1663939680000084</v>
      </c>
      <c r="N36" s="75">
        <f t="shared" si="10"/>
        <v>-6.0465897423360104</v>
      </c>
      <c r="O36" s="75">
        <f t="shared" si="10"/>
        <v>-5.8717037620961321</v>
      </c>
      <c r="P36" s="75">
        <f t="shared" si="10"/>
        <v>-5.6407500807870008</v>
      </c>
    </row>
    <row r="37" spans="2:17" x14ac:dyDescent="0.25">
      <c r="C37" s="4" t="str">
        <f>C17</f>
        <v>Accounts payable</v>
      </c>
      <c r="I37" s="32"/>
      <c r="J37" s="71">
        <f>J17-I17</f>
        <v>23.800000000000011</v>
      </c>
      <c r="K37" s="72">
        <f t="shared" ref="K37" si="12">K17-J17</f>
        <v>5.6000000000000227</v>
      </c>
      <c r="L37" s="75">
        <f t="shared" ref="L37:P38" si="13">L17-K17</f>
        <v>21.767053349041134</v>
      </c>
      <c r="M37" s="75">
        <f t="shared" si="13"/>
        <v>24.014423976670685</v>
      </c>
      <c r="N37" s="75">
        <f t="shared" si="13"/>
        <v>24.247780597495876</v>
      </c>
      <c r="O37" s="75">
        <f t="shared" si="13"/>
        <v>24.291694258147629</v>
      </c>
      <c r="P37" s="75">
        <f t="shared" si="13"/>
        <v>24.132294928438</v>
      </c>
    </row>
    <row r="38" spans="2:17" x14ac:dyDescent="0.25">
      <c r="C38" s="4" t="str">
        <f>C18</f>
        <v>Other current liabilities</v>
      </c>
      <c r="I38" s="30"/>
      <c r="J38" s="73">
        <f>J18-I18</f>
        <v>-10.600000000000023</v>
      </c>
      <c r="K38" s="74">
        <f t="shared" ref="K38" si="14">K18-J18</f>
        <v>28.300000000000011</v>
      </c>
      <c r="L38" s="76">
        <f t="shared" si="13"/>
        <v>19.10744473200009</v>
      </c>
      <c r="M38" s="76">
        <f t="shared" si="13"/>
        <v>25.245216904992049</v>
      </c>
      <c r="N38" s="76">
        <f t="shared" si="13"/>
        <v>24.754738405123589</v>
      </c>
      <c r="O38" s="76">
        <f t="shared" si="13"/>
        <v>24.038755202021491</v>
      </c>
      <c r="P38" s="76">
        <f t="shared" si="13"/>
        <v>23.093230830742073</v>
      </c>
    </row>
    <row r="39" spans="2:17" x14ac:dyDescent="0.25">
      <c r="B39" s="29" t="str">
        <f>B23</f>
        <v>(Increase) / decrease in working capital</v>
      </c>
      <c r="C39" s="29"/>
      <c r="D39" s="29"/>
      <c r="E39" s="29"/>
      <c r="F39" s="29"/>
      <c r="G39" s="29"/>
      <c r="H39" s="29"/>
      <c r="I39" s="33"/>
      <c r="J39" s="55">
        <f>SUM(J34:J38)</f>
        <v>-4.3000000000000114</v>
      </c>
      <c r="K39" s="56">
        <f t="shared" ref="K39:P39" si="15">SUM(K34:K38)</f>
        <v>12.200000000000031</v>
      </c>
      <c r="L39" s="55">
        <f>SUM(L34:L38)</f>
        <v>-61.522972429643801</v>
      </c>
      <c r="M39" s="55">
        <f t="shared" si="15"/>
        <v>5.7360818389010575</v>
      </c>
      <c r="N39" s="55">
        <f t="shared" si="15"/>
        <v>8.3351995355803581</v>
      </c>
      <c r="O39" s="55">
        <f t="shared" si="15"/>
        <v>10.980157532273637</v>
      </c>
      <c r="P39" s="55">
        <f t="shared" si="15"/>
        <v>13.631194530842919</v>
      </c>
    </row>
    <row r="1000" spans="648:648" ht="15" x14ac:dyDescent="0.25">
      <c r="XX1000" s="305">
        <v>127155</v>
      </c>
    </row>
  </sheetData>
  <mergeCells count="2">
    <mergeCell ref="I5:K5"/>
    <mergeCell ref="L5:P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683FA-FADA-498A-AAAF-6F238B20980D}">
  <sheetPr codeName="Sheet6"/>
  <dimension ref="B1:XX1000"/>
  <sheetViews>
    <sheetView showGridLines="0" topLeftCell="B1" workbookViewId="0">
      <selection activeCell="L14" sqref="L14"/>
    </sheetView>
  </sheetViews>
  <sheetFormatPr defaultColWidth="8.77734375" defaultRowHeight="13.8" x14ac:dyDescent="0.25"/>
  <cols>
    <col min="1" max="3" width="2.77734375" style="2" customWidth="1"/>
    <col min="4" max="5" width="8.77734375" style="2"/>
    <col min="6" max="6" width="15.21875" style="2" customWidth="1"/>
    <col min="7" max="8" width="8.77734375" style="2"/>
    <col min="9" max="16" width="10.77734375" style="2" customWidth="1"/>
    <col min="17" max="16384" width="8.77734375" style="2"/>
  </cols>
  <sheetData>
    <row r="1" spans="2:18" ht="15" x14ac:dyDescent="0.25">
      <c r="B1" s="1" t="str">
        <f>"Depreciation Schedule for "&amp;CoName</f>
        <v>Depreciation Schedule for Sharang Corporation</v>
      </c>
    </row>
    <row r="2" spans="2:18" x14ac:dyDescent="0.25">
      <c r="B2" s="3" t="str">
        <f>subhead</f>
        <v>Dollars in millions, except per share data</v>
      </c>
    </row>
    <row r="3" spans="2:18" x14ac:dyDescent="0.25">
      <c r="H3" s="5" t="s">
        <v>5</v>
      </c>
      <c r="I3" s="2">
        <v>-2</v>
      </c>
      <c r="J3" s="2">
        <f>I3+1</f>
        <v>-1</v>
      </c>
      <c r="K3" s="2">
        <f t="shared" ref="K3:P3" si="0">J3+1</f>
        <v>0</v>
      </c>
      <c r="L3" s="2">
        <f t="shared" si="0"/>
        <v>1</v>
      </c>
      <c r="M3" s="2">
        <f t="shared" si="0"/>
        <v>2</v>
      </c>
      <c r="N3" s="2">
        <f t="shared" si="0"/>
        <v>3</v>
      </c>
      <c r="O3" s="2">
        <f t="shared" si="0"/>
        <v>4</v>
      </c>
      <c r="P3" s="2">
        <f t="shared" si="0"/>
        <v>5</v>
      </c>
      <c r="Q3" s="4"/>
    </row>
    <row r="4" spans="2:18" x14ac:dyDescent="0.25">
      <c r="Q4" s="4"/>
    </row>
    <row r="5" spans="2:18" x14ac:dyDescent="0.25">
      <c r="B5" s="37"/>
      <c r="C5" s="37"/>
      <c r="D5" s="37"/>
      <c r="E5" s="37"/>
      <c r="F5" s="37"/>
      <c r="G5" s="37"/>
      <c r="H5" s="37"/>
      <c r="I5" s="308" t="str">
        <f>"Historical Year Ending "&amp;TEXT(FYE,"Mmmm dd") &amp; ","</f>
        <v>Historical Year Ending December 31,</v>
      </c>
      <c r="J5" s="308"/>
      <c r="K5" s="309"/>
      <c r="L5" s="308" t="str">
        <f>"Projected Year Ending "&amp;TEXT(FYE,"Mmmm Dd,")</f>
        <v>Projected Year Ending December 31,</v>
      </c>
      <c r="M5" s="308"/>
      <c r="N5" s="308"/>
      <c r="O5" s="308"/>
      <c r="P5" s="308"/>
      <c r="Q5" s="4"/>
    </row>
    <row r="6" spans="2:18" x14ac:dyDescent="0.25">
      <c r="B6" s="37"/>
      <c r="C6" s="37"/>
      <c r="D6" s="37"/>
      <c r="E6" s="37"/>
      <c r="F6" s="37"/>
      <c r="G6" s="37"/>
      <c r="H6" s="37"/>
      <c r="I6" s="38">
        <f t="shared" ref="I6:P6" si="1">YEAR(FYE)+I3</f>
        <v>2021</v>
      </c>
      <c r="J6" s="38">
        <f t="shared" si="1"/>
        <v>2022</v>
      </c>
      <c r="K6" s="39">
        <f t="shared" si="1"/>
        <v>2023</v>
      </c>
      <c r="L6" s="38">
        <f t="shared" si="1"/>
        <v>2024</v>
      </c>
      <c r="M6" s="38">
        <f t="shared" si="1"/>
        <v>2025</v>
      </c>
      <c r="N6" s="38">
        <f t="shared" si="1"/>
        <v>2026</v>
      </c>
      <c r="O6" s="38">
        <f t="shared" si="1"/>
        <v>2027</v>
      </c>
      <c r="P6" s="38">
        <f t="shared" si="1"/>
        <v>2028</v>
      </c>
      <c r="Q6" s="4"/>
    </row>
    <row r="7" spans="2:18" x14ac:dyDescent="0.25">
      <c r="I7" s="7"/>
      <c r="J7" s="7"/>
      <c r="K7" s="9"/>
      <c r="L7" s="7"/>
      <c r="M7" s="7"/>
      <c r="N7" s="7"/>
      <c r="O7" s="7"/>
      <c r="P7" s="7"/>
      <c r="Q7" s="4"/>
    </row>
    <row r="8" spans="2:18" x14ac:dyDescent="0.25">
      <c r="B8" s="2" t="s">
        <v>6</v>
      </c>
      <c r="I8" s="36">
        <f>IS!I7</f>
        <v>2956.34</v>
      </c>
      <c r="J8" s="36">
        <f>IS!J7</f>
        <v>3245.8</v>
      </c>
      <c r="K8" s="57">
        <f>IS!K7</f>
        <v>3462.71</v>
      </c>
      <c r="L8" s="36">
        <f>IS!L7</f>
        <v>3670.4726000000001</v>
      </c>
      <c r="M8" s="36">
        <f>IS!M7</f>
        <v>3876.0190656000004</v>
      </c>
      <c r="N8" s="36">
        <f>IS!N7</f>
        <v>4077.5720570112007</v>
      </c>
      <c r="O8" s="36">
        <f>IS!O7</f>
        <v>4273.2955157477381</v>
      </c>
      <c r="P8" s="36">
        <f>IS!P7</f>
        <v>4461.3205184406388</v>
      </c>
    </row>
    <row r="9" spans="2:18" x14ac:dyDescent="0.25">
      <c r="B9" s="2" t="s">
        <v>63</v>
      </c>
      <c r="I9" s="274">
        <v>85.8</v>
      </c>
      <c r="J9" s="274">
        <f>82.4+120</f>
        <v>202.4</v>
      </c>
      <c r="K9" s="275">
        <f>89+120+185</f>
        <v>394</v>
      </c>
      <c r="L9" s="49">
        <f t="shared" ref="L9:P9" si="2">L8*L10</f>
        <v>183.52363000000003</v>
      </c>
      <c r="M9" s="49">
        <f t="shared" si="2"/>
        <v>193.80095328000004</v>
      </c>
      <c r="N9" s="49">
        <f t="shared" si="2"/>
        <v>203.87860285056004</v>
      </c>
      <c r="O9" s="49">
        <f t="shared" si="2"/>
        <v>213.66477578738693</v>
      </c>
      <c r="P9" s="49">
        <f t="shared" si="2"/>
        <v>223.06602592203194</v>
      </c>
      <c r="R9" s="7"/>
    </row>
    <row r="10" spans="2:18" ht="14.4" x14ac:dyDescent="0.3">
      <c r="D10" s="18" t="s">
        <v>64</v>
      </c>
      <c r="I10" s="84">
        <f>IF(ISERROR(I9/I8),datareq,I9/I8)</f>
        <v>2.9022372257588774E-2</v>
      </c>
      <c r="J10" s="84">
        <f>IF(ISERROR(J9/J8),datareq,J9/J8)</f>
        <v>6.2357508164397064E-2</v>
      </c>
      <c r="K10" s="85">
        <f>IF(ISERROR(K9/K8),datareq,K9/K8)</f>
        <v>0.11378371275677143</v>
      </c>
      <c r="L10" s="226">
        <f t="array" ref="L10:P10">CapexofSales</f>
        <v>0.05</v>
      </c>
      <c r="M10" s="226">
        <v>0.05</v>
      </c>
      <c r="N10" s="226">
        <v>0.05</v>
      </c>
      <c r="O10" s="226">
        <v>0.05</v>
      </c>
      <c r="P10" s="226">
        <v>0.05</v>
      </c>
      <c r="R10" s="86"/>
    </row>
    <row r="11" spans="2:18" x14ac:dyDescent="0.25">
      <c r="K11" s="6"/>
    </row>
    <row r="12" spans="2:18" x14ac:dyDescent="0.25">
      <c r="B12" s="2" t="s">
        <v>65</v>
      </c>
      <c r="I12" s="8"/>
      <c r="J12" s="8"/>
      <c r="K12" s="60"/>
      <c r="L12" s="159">
        <f>K16</f>
        <v>871</v>
      </c>
      <c r="M12" s="159">
        <f>L16</f>
        <v>957.26479928571439</v>
      </c>
      <c r="N12" s="159">
        <f>M16</f>
        <v>1026.8551659028572</v>
      </c>
      <c r="O12" s="159">
        <f>N16</f>
        <v>1078.1174995098058</v>
      </c>
      <c r="P12" s="159">
        <f>O16</f>
        <v>1109.3414790080137</v>
      </c>
      <c r="Q12" s="283" t="s">
        <v>184</v>
      </c>
    </row>
    <row r="13" spans="2:18" x14ac:dyDescent="0.25">
      <c r="C13" s="2" t="s">
        <v>63</v>
      </c>
      <c r="I13" s="8"/>
      <c r="J13" s="8"/>
      <c r="K13" s="60"/>
      <c r="L13" s="160">
        <f>L9</f>
        <v>183.52363000000003</v>
      </c>
      <c r="M13" s="160">
        <f>M9</f>
        <v>193.80095328000004</v>
      </c>
      <c r="N13" s="160">
        <f>N9</f>
        <v>203.87860285056004</v>
      </c>
      <c r="O13" s="160">
        <f>O9</f>
        <v>213.66477578738693</v>
      </c>
      <c r="P13" s="160">
        <f>P9</f>
        <v>223.06602592203194</v>
      </c>
      <c r="Q13" s="283" t="s">
        <v>184</v>
      </c>
    </row>
    <row r="14" spans="2:18" x14ac:dyDescent="0.25">
      <c r="C14" s="2" t="s">
        <v>66</v>
      </c>
      <c r="I14" s="8"/>
      <c r="J14" s="8"/>
      <c r="K14" s="60"/>
      <c r="L14" s="160">
        <f>-L39</f>
        <v>-97.258830714285722</v>
      </c>
      <c r="M14" s="160">
        <f>-M39</f>
        <v>-124.21058666285715</v>
      </c>
      <c r="N14" s="160">
        <f>-N39</f>
        <v>-152.61626924361144</v>
      </c>
      <c r="O14" s="160">
        <f>-O39</f>
        <v>-182.44079628917908</v>
      </c>
      <c r="P14" s="160">
        <f>-P39</f>
        <v>-213.63585355413755</v>
      </c>
      <c r="Q14" s="283" t="s">
        <v>185</v>
      </c>
    </row>
    <row r="15" spans="2:18" x14ac:dyDescent="0.25">
      <c r="C15" s="2" t="s">
        <v>67</v>
      </c>
      <c r="I15" s="8"/>
      <c r="J15" s="8"/>
      <c r="K15" s="60"/>
      <c r="L15" s="88">
        <v>0</v>
      </c>
      <c r="M15" s="89">
        <v>0</v>
      </c>
      <c r="N15" s="89">
        <v>0</v>
      </c>
      <c r="O15" s="89">
        <v>0</v>
      </c>
      <c r="P15" s="89">
        <v>0</v>
      </c>
    </row>
    <row r="16" spans="2:18" x14ac:dyDescent="0.25">
      <c r="B16" s="2" t="s">
        <v>68</v>
      </c>
      <c r="I16" s="90">
        <f>BS!I14</f>
        <v>487</v>
      </c>
      <c r="J16" s="90">
        <f>BS!J14</f>
        <v>560</v>
      </c>
      <c r="K16" s="91">
        <f>BS!K14</f>
        <v>871</v>
      </c>
      <c r="L16" s="92">
        <f>SUM(L12:L15)</f>
        <v>957.26479928571439</v>
      </c>
      <c r="M16" s="92">
        <f t="shared" ref="M16:P16" si="3">SUM(M12:M15)</f>
        <v>1026.8551659028572</v>
      </c>
      <c r="N16" s="92">
        <f t="shared" si="3"/>
        <v>1078.1174995098058</v>
      </c>
      <c r="O16" s="92">
        <f t="shared" si="3"/>
        <v>1109.3414790080137</v>
      </c>
      <c r="P16" s="92">
        <f t="shared" si="3"/>
        <v>1118.771651375908</v>
      </c>
    </row>
    <row r="17" spans="2:16" x14ac:dyDescent="0.25">
      <c r="K17" s="6"/>
    </row>
    <row r="18" spans="2:16" x14ac:dyDescent="0.25">
      <c r="B18" s="37" t="s">
        <v>76</v>
      </c>
      <c r="C18" s="37"/>
      <c r="D18" s="37"/>
      <c r="E18" s="37"/>
      <c r="F18" s="37"/>
      <c r="G18" s="37"/>
      <c r="H18" s="37"/>
      <c r="I18" s="37"/>
      <c r="J18" s="37"/>
      <c r="K18" s="58"/>
      <c r="L18" s="37">
        <f>$L$6</f>
        <v>2024</v>
      </c>
      <c r="M18" s="37">
        <f>$M$6</f>
        <v>2025</v>
      </c>
      <c r="N18" s="37">
        <f>$N$6</f>
        <v>2026</v>
      </c>
      <c r="O18" s="37">
        <f>$O$6</f>
        <v>2027</v>
      </c>
      <c r="P18" s="37">
        <f>$P$6</f>
        <v>2028</v>
      </c>
    </row>
    <row r="19" spans="2:16" x14ac:dyDescent="0.25">
      <c r="B19" s="41"/>
      <c r="C19" s="41"/>
      <c r="D19" s="41"/>
      <c r="E19" s="41"/>
      <c r="F19" s="41"/>
      <c r="G19" s="41"/>
      <c r="H19" s="41"/>
      <c r="I19" s="41"/>
      <c r="J19" s="41"/>
      <c r="K19" s="59"/>
      <c r="L19" s="41"/>
      <c r="M19" s="41"/>
      <c r="N19" s="41"/>
      <c r="O19" s="41"/>
      <c r="P19" s="41"/>
    </row>
    <row r="20" spans="2:16" x14ac:dyDescent="0.25">
      <c r="B20" s="2" t="s">
        <v>69</v>
      </c>
      <c r="F20" s="159">
        <f>K16</f>
        <v>871</v>
      </c>
      <c r="K20" s="6"/>
      <c r="L20" s="16">
        <f>IF($F$26=1,IF((L18-$K$6)&lt;=$F$24,$F$22*1/$F$24,0),IF($F$26=2,SYD($F$22,0,$F$24,L18-$K$6),"method error"))</f>
        <v>84.15</v>
      </c>
      <c r="M20" s="16">
        <f t="shared" ref="M20:P20" si="4">IF($F$26=1,IF((M18-$K$6)&lt;=$F$24,$F$22*1/$F$24,0),IF($F$26=2,SYD($F$22,0,$F$24,M18-$K$6),"method error"))</f>
        <v>84.15</v>
      </c>
      <c r="N20" s="16">
        <f t="shared" si="4"/>
        <v>84.15</v>
      </c>
      <c r="O20" s="16">
        <f t="shared" si="4"/>
        <v>84.15</v>
      </c>
      <c r="P20" s="16">
        <f t="shared" si="4"/>
        <v>84.15</v>
      </c>
    </row>
    <row r="21" spans="2:16" x14ac:dyDescent="0.25">
      <c r="C21" s="2" t="s">
        <v>70</v>
      </c>
      <c r="F21" s="276">
        <v>-29.5</v>
      </c>
      <c r="K21" s="6"/>
    </row>
    <row r="22" spans="2:16" x14ac:dyDescent="0.25">
      <c r="C22" s="2" t="s">
        <v>71</v>
      </c>
      <c r="F22" s="42">
        <f>F20+F21</f>
        <v>841.5</v>
      </c>
      <c r="K22" s="6"/>
      <c r="L22" s="43"/>
      <c r="M22" s="43"/>
      <c r="N22" s="43"/>
      <c r="O22" s="43"/>
      <c r="P22" s="43"/>
    </row>
    <row r="23" spans="2:16" x14ac:dyDescent="0.25">
      <c r="K23" s="6"/>
      <c r="M23" s="44"/>
      <c r="N23" s="44"/>
      <c r="O23" s="44"/>
      <c r="P23" s="44"/>
    </row>
    <row r="24" spans="2:16" x14ac:dyDescent="0.25">
      <c r="B24" s="2" t="s">
        <v>78</v>
      </c>
      <c r="F24" s="2">
        <v>10</v>
      </c>
      <c r="K24" s="6"/>
      <c r="L24" s="45"/>
    </row>
    <row r="25" spans="2:16" x14ac:dyDescent="0.25">
      <c r="B25" s="278" t="s">
        <v>77</v>
      </c>
      <c r="F25" s="279" t="s">
        <v>190</v>
      </c>
      <c r="G25" s="283" t="s">
        <v>184</v>
      </c>
      <c r="K25" s="6"/>
      <c r="L25" s="45"/>
    </row>
    <row r="26" spans="2:16" hidden="1" x14ac:dyDescent="0.25">
      <c r="B26" s="2" t="s">
        <v>77</v>
      </c>
      <c r="F26" s="10">
        <f>IF(F25="straight line", 1,2)</f>
        <v>1</v>
      </c>
      <c r="G26" s="4"/>
      <c r="K26" s="6"/>
    </row>
    <row r="27" spans="2:16" x14ac:dyDescent="0.25">
      <c r="K27" s="6"/>
    </row>
    <row r="28" spans="2:16" x14ac:dyDescent="0.25">
      <c r="K28" s="6"/>
    </row>
    <row r="29" spans="2:16" x14ac:dyDescent="0.25">
      <c r="B29" s="37" t="s">
        <v>79</v>
      </c>
      <c r="C29" s="37"/>
      <c r="D29" s="37"/>
      <c r="E29" s="37"/>
      <c r="F29" s="37"/>
      <c r="G29" s="37"/>
      <c r="H29" s="37"/>
      <c r="I29" s="37"/>
      <c r="J29" s="37"/>
      <c r="K29" s="58"/>
      <c r="L29" s="37">
        <f>$L$6</f>
        <v>2024</v>
      </c>
      <c r="M29" s="37">
        <f>$M$6</f>
        <v>2025</v>
      </c>
      <c r="N29" s="37">
        <f>$N$6</f>
        <v>2026</v>
      </c>
      <c r="O29" s="37">
        <f>$O$6</f>
        <v>2027</v>
      </c>
      <c r="P29" s="37">
        <f>$P$6</f>
        <v>2028</v>
      </c>
    </row>
    <row r="30" spans="2:16" x14ac:dyDescent="0.25">
      <c r="B30" s="41"/>
      <c r="C30" s="41"/>
      <c r="D30" s="41"/>
      <c r="E30" s="41"/>
      <c r="F30" s="41"/>
      <c r="G30" s="41"/>
      <c r="H30" s="41"/>
      <c r="I30" s="41"/>
      <c r="J30" s="41"/>
      <c r="K30" s="59"/>
      <c r="L30" s="41"/>
      <c r="M30" s="41"/>
      <c r="N30" s="41"/>
      <c r="O30" s="41"/>
      <c r="P30" s="41"/>
    </row>
    <row r="31" spans="2:16" x14ac:dyDescent="0.25">
      <c r="D31" s="2" t="s">
        <v>72</v>
      </c>
      <c r="E31" s="2" t="s">
        <v>73</v>
      </c>
      <c r="F31" s="2" t="s">
        <v>78</v>
      </c>
      <c r="K31" s="6"/>
      <c r="L31" s="16"/>
    </row>
    <row r="32" spans="2:16" x14ac:dyDescent="0.25">
      <c r="D32" s="34">
        <f t="array" ref="D32:D36">TRANSPOSE(L6:P6)</f>
        <v>2024</v>
      </c>
      <c r="E32" s="161">
        <f t="array" ref="E32:E36">TRANSPOSE(L9:P9)</f>
        <v>183.52363000000003</v>
      </c>
      <c r="F32" s="277">
        <v>7</v>
      </c>
      <c r="G32" s="283" t="s">
        <v>184</v>
      </c>
      <c r="K32" s="6"/>
      <c r="L32" s="16">
        <f>IF((L$29-$D32)&lt;=$F32,IF((L$29-$D32)=0, $E32*1/$F32/2,$E32*1/$F32),0)</f>
        <v>13.108830714285716</v>
      </c>
      <c r="M32" s="16">
        <f t="shared" ref="M32:P36" si="5">IF((M$29-$D32)&lt;=$F32,IF((M$29-$D32)=0, $E32*1/$F32/2,$E32*1/$F32),0)</f>
        <v>26.217661428571432</v>
      </c>
      <c r="N32" s="16">
        <f t="shared" si="5"/>
        <v>26.217661428571432</v>
      </c>
      <c r="O32" s="16">
        <f t="shared" si="5"/>
        <v>26.217661428571432</v>
      </c>
      <c r="P32" s="16">
        <f t="shared" si="5"/>
        <v>26.217661428571432</v>
      </c>
    </row>
    <row r="33" spans="2:16" x14ac:dyDescent="0.25">
      <c r="D33" s="34">
        <v>2025</v>
      </c>
      <c r="E33" s="161">
        <v>193.80095328000004</v>
      </c>
      <c r="F33" s="46">
        <f>F32</f>
        <v>7</v>
      </c>
      <c r="K33" s="6"/>
      <c r="M33" s="48">
        <f t="shared" si="5"/>
        <v>13.842925234285717</v>
      </c>
      <c r="N33" s="48">
        <f t="shared" si="5"/>
        <v>27.685850468571434</v>
      </c>
      <c r="O33" s="48">
        <f t="shared" si="5"/>
        <v>27.685850468571434</v>
      </c>
      <c r="P33" s="48">
        <f t="shared" si="5"/>
        <v>27.685850468571434</v>
      </c>
    </row>
    <row r="34" spans="2:16" x14ac:dyDescent="0.25">
      <c r="D34" s="34">
        <v>2026</v>
      </c>
      <c r="E34" s="161">
        <v>203.87860285056004</v>
      </c>
      <c r="F34" s="46">
        <f t="shared" ref="F34:F36" si="6">F33</f>
        <v>7</v>
      </c>
      <c r="K34" s="6"/>
      <c r="M34" s="49"/>
      <c r="N34" s="48">
        <f t="shared" si="5"/>
        <v>14.562757346468574</v>
      </c>
      <c r="O34" s="48">
        <f t="shared" si="5"/>
        <v>29.125514692937148</v>
      </c>
      <c r="P34" s="48">
        <f t="shared" si="5"/>
        <v>29.125514692937148</v>
      </c>
    </row>
    <row r="35" spans="2:16" x14ac:dyDescent="0.25">
      <c r="D35" s="34">
        <v>2027</v>
      </c>
      <c r="E35" s="161">
        <v>213.66477578738693</v>
      </c>
      <c r="F35" s="46">
        <f t="shared" si="6"/>
        <v>7</v>
      </c>
      <c r="K35" s="6"/>
      <c r="M35" s="49"/>
      <c r="N35" s="49"/>
      <c r="O35" s="48">
        <f t="shared" si="5"/>
        <v>15.261769699099066</v>
      </c>
      <c r="P35" s="48">
        <f t="shared" si="5"/>
        <v>30.523539398198132</v>
      </c>
    </row>
    <row r="36" spans="2:16" x14ac:dyDescent="0.25">
      <c r="D36" s="34">
        <v>2028</v>
      </c>
      <c r="E36" s="161">
        <v>223.06602592203194</v>
      </c>
      <c r="F36" s="46">
        <f t="shared" si="6"/>
        <v>7</v>
      </c>
      <c r="K36" s="6"/>
      <c r="M36" s="49"/>
      <c r="N36" s="49"/>
      <c r="O36" s="49"/>
      <c r="P36" s="48">
        <f t="shared" si="5"/>
        <v>15.933287565859425</v>
      </c>
    </row>
    <row r="37" spans="2:16" x14ac:dyDescent="0.25">
      <c r="D37" s="34"/>
      <c r="F37" s="46"/>
      <c r="K37" s="6"/>
      <c r="L37" s="47">
        <f>SUM(L32:L36)</f>
        <v>13.108830714285716</v>
      </c>
      <c r="M37" s="47">
        <f t="shared" ref="M37:P37" si="7">SUM(M32:M36)</f>
        <v>40.060586662857148</v>
      </c>
      <c r="N37" s="47">
        <f t="shared" si="7"/>
        <v>68.466269243611436</v>
      </c>
      <c r="O37" s="47">
        <f t="shared" si="7"/>
        <v>98.29079628917907</v>
      </c>
      <c r="P37" s="47">
        <f t="shared" si="7"/>
        <v>129.48585355413755</v>
      </c>
    </row>
    <row r="38" spans="2:16" x14ac:dyDescent="0.25">
      <c r="D38" s="34"/>
      <c r="F38" s="46"/>
      <c r="K38" s="6"/>
      <c r="L38" s="47"/>
      <c r="M38" s="47"/>
      <c r="N38" s="47"/>
      <c r="O38" s="47"/>
      <c r="P38" s="47"/>
    </row>
    <row r="39" spans="2:16" x14ac:dyDescent="0.25">
      <c r="B39" s="20" t="s">
        <v>129</v>
      </c>
      <c r="C39" s="20"/>
      <c r="D39" s="163"/>
      <c r="E39" s="20"/>
      <c r="F39" s="164"/>
      <c r="G39" s="20"/>
      <c r="H39" s="20"/>
      <c r="I39" s="165">
        <f>IS!I14</f>
        <v>82.2</v>
      </c>
      <c r="J39" s="165">
        <f>IS!J14</f>
        <v>84.7</v>
      </c>
      <c r="K39" s="166">
        <f>IS!K14</f>
        <v>88.7</v>
      </c>
      <c r="L39" s="165">
        <f>L20+L37</f>
        <v>97.258830714285722</v>
      </c>
      <c r="M39" s="165">
        <f t="shared" ref="M39:P39" si="8">M20+M37</f>
        <v>124.21058666285715</v>
      </c>
      <c r="N39" s="165">
        <f t="shared" si="8"/>
        <v>152.61626924361144</v>
      </c>
      <c r="O39" s="165">
        <f t="shared" si="8"/>
        <v>182.44079628917908</v>
      </c>
      <c r="P39" s="165">
        <f t="shared" si="8"/>
        <v>213.63585355413755</v>
      </c>
    </row>
    <row r="40" spans="2:16" x14ac:dyDescent="0.25">
      <c r="D40" s="34"/>
      <c r="F40" s="46"/>
      <c r="K40" s="6"/>
      <c r="L40" s="47"/>
      <c r="M40" s="47"/>
      <c r="N40" s="47"/>
      <c r="O40" s="47"/>
      <c r="P40" s="47"/>
    </row>
    <row r="41" spans="2:16" x14ac:dyDescent="0.25">
      <c r="B41" s="2" t="s">
        <v>130</v>
      </c>
      <c r="D41" s="34"/>
      <c r="F41" s="46"/>
      <c r="I41" s="162">
        <f>I39/BS!I14</f>
        <v>0.16878850102669404</v>
      </c>
      <c r="J41" s="162">
        <f>J39/BS!J14</f>
        <v>0.15125</v>
      </c>
      <c r="K41" s="62">
        <f>K39/BS!K14</f>
        <v>0.10183696900114811</v>
      </c>
      <c r="L41" s="162">
        <f>L39/L16</f>
        <v>0.10160075956711004</v>
      </c>
      <c r="M41" s="162">
        <f t="shared" ref="M41:P41" si="9">M39/M16</f>
        <v>0.12096212863052175</v>
      </c>
      <c r="N41" s="162">
        <f t="shared" si="9"/>
        <v>0.14155810411481345</v>
      </c>
      <c r="O41" s="162">
        <f t="shared" si="9"/>
        <v>0.16445864482802877</v>
      </c>
      <c r="P41" s="162">
        <f t="shared" si="9"/>
        <v>0.1909557265697607</v>
      </c>
    </row>
    <row r="43" spans="2:16" x14ac:dyDescent="0.25">
      <c r="B43" s="2" t="s">
        <v>80</v>
      </c>
    </row>
    <row r="1000" spans="648:648" ht="15" x14ac:dyDescent="0.25">
      <c r="XX1000" s="305">
        <v>127155</v>
      </c>
    </row>
  </sheetData>
  <mergeCells count="2">
    <mergeCell ref="I5:K5"/>
    <mergeCell ref="L5:P5"/>
  </mergeCells>
  <dataValidations count="1">
    <dataValidation type="list" allowBlank="1" showInputMessage="1" showErrorMessage="1" sqref="F25" xr:uid="{BC3E6F47-9DF5-4D8A-BFF4-D02914CBAD0C}">
      <formula1>"Straight Line, Sum of Years' Digits"</formula1>
    </dataValidation>
  </dataValidation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1AC2B-668C-4322-BAA3-65945F06D925}">
  <sheetPr codeName="Sheet7"/>
  <dimension ref="B1:XX1000"/>
  <sheetViews>
    <sheetView showGridLines="0" topLeftCell="A8" workbookViewId="0">
      <selection activeCell="F30" sqref="F30"/>
    </sheetView>
  </sheetViews>
  <sheetFormatPr defaultColWidth="8.77734375" defaultRowHeight="13.8" x14ac:dyDescent="0.25"/>
  <cols>
    <col min="1" max="3" width="2.77734375" style="2" customWidth="1"/>
    <col min="4" max="8" width="8.77734375" style="2"/>
    <col min="9" max="16" width="10.77734375" style="2" customWidth="1"/>
    <col min="17" max="19" width="8.77734375" style="2"/>
    <col min="20" max="20" width="14.44140625" style="2" bestFit="1" customWidth="1"/>
    <col min="21" max="16384" width="8.77734375" style="2"/>
  </cols>
  <sheetData>
    <row r="1" spans="2:20" ht="15" x14ac:dyDescent="0.25">
      <c r="B1" s="1" t="str">
        <f>"Amortization Schedule for "&amp;CoName</f>
        <v>Amortization Schedule for Sharang Corporation</v>
      </c>
    </row>
    <row r="2" spans="2:20" x14ac:dyDescent="0.25">
      <c r="B2" s="3" t="str">
        <f>subhead</f>
        <v>Dollars in millions, except per share data</v>
      </c>
    </row>
    <row r="3" spans="2:20" x14ac:dyDescent="0.25">
      <c r="H3" s="5" t="s">
        <v>5</v>
      </c>
      <c r="I3" s="2">
        <v>-2</v>
      </c>
      <c r="J3" s="2">
        <f>I3+1</f>
        <v>-1</v>
      </c>
      <c r="K3" s="2">
        <f t="shared" ref="K3:P3" si="0">J3+1</f>
        <v>0</v>
      </c>
      <c r="L3" s="2">
        <f t="shared" si="0"/>
        <v>1</v>
      </c>
      <c r="M3" s="2">
        <f t="shared" si="0"/>
        <v>2</v>
      </c>
      <c r="N3" s="2">
        <f t="shared" si="0"/>
        <v>3</v>
      </c>
      <c r="O3" s="2">
        <f t="shared" si="0"/>
        <v>4</v>
      </c>
      <c r="P3" s="2">
        <f t="shared" si="0"/>
        <v>5</v>
      </c>
      <c r="Q3" s="4"/>
    </row>
    <row r="4" spans="2:20" x14ac:dyDescent="0.25">
      <c r="Q4" s="4"/>
    </row>
    <row r="5" spans="2:20" x14ac:dyDescent="0.25">
      <c r="B5" s="37"/>
      <c r="C5" s="37"/>
      <c r="D5" s="37"/>
      <c r="E5" s="37"/>
      <c r="F5" s="37"/>
      <c r="G5" s="37"/>
      <c r="H5" s="37"/>
      <c r="I5" s="308" t="str">
        <f>"Historical Year Ending "&amp;TEXT(FYE,"Mmmm dd") &amp; ","</f>
        <v>Historical Year Ending December 31,</v>
      </c>
      <c r="J5" s="308"/>
      <c r="K5" s="309"/>
      <c r="L5" s="308" t="str">
        <f>"Projected Year Ending "&amp;TEXT(FYE,"Mmmm Dd,")</f>
        <v>Projected Year Ending December 31,</v>
      </c>
      <c r="M5" s="308"/>
      <c r="N5" s="308"/>
      <c r="O5" s="308"/>
      <c r="P5" s="308"/>
      <c r="Q5" s="4"/>
    </row>
    <row r="6" spans="2:20" x14ac:dyDescent="0.25">
      <c r="B6" s="37"/>
      <c r="C6" s="37"/>
      <c r="D6" s="37"/>
      <c r="E6" s="37"/>
      <c r="F6" s="37"/>
      <c r="G6" s="37"/>
      <c r="H6" s="37"/>
      <c r="I6" s="38">
        <f t="shared" ref="I6:P6" si="1">YEAR(FYE)+I3</f>
        <v>2021</v>
      </c>
      <c r="J6" s="38">
        <f t="shared" si="1"/>
        <v>2022</v>
      </c>
      <c r="K6" s="39">
        <f t="shared" si="1"/>
        <v>2023</v>
      </c>
      <c r="L6" s="38">
        <f t="shared" si="1"/>
        <v>2024</v>
      </c>
      <c r="M6" s="38">
        <f t="shared" si="1"/>
        <v>2025</v>
      </c>
      <c r="N6" s="38">
        <f t="shared" si="1"/>
        <v>2026</v>
      </c>
      <c r="O6" s="38">
        <f t="shared" si="1"/>
        <v>2027</v>
      </c>
      <c r="P6" s="38">
        <f t="shared" si="1"/>
        <v>2028</v>
      </c>
      <c r="Q6" s="4"/>
    </row>
    <row r="7" spans="2:20" x14ac:dyDescent="0.25">
      <c r="I7" s="7"/>
      <c r="J7" s="7"/>
      <c r="K7" s="9"/>
      <c r="L7" s="7"/>
      <c r="M7" s="7"/>
      <c r="N7" s="7"/>
      <c r="O7" s="7"/>
      <c r="P7" s="7"/>
      <c r="Q7" s="4"/>
    </row>
    <row r="8" spans="2:20" x14ac:dyDescent="0.25">
      <c r="B8" s="2" t="s">
        <v>6</v>
      </c>
      <c r="I8" s="36">
        <f>IS!I7</f>
        <v>2956.34</v>
      </c>
      <c r="J8" s="36">
        <f>IS!J7</f>
        <v>3245.8</v>
      </c>
      <c r="K8" s="57">
        <f>IS!K7</f>
        <v>3462.71</v>
      </c>
      <c r="L8" s="36">
        <f>IS!L7</f>
        <v>3670.4726000000001</v>
      </c>
      <c r="M8" s="36">
        <f>IS!M7</f>
        <v>3876.0190656000004</v>
      </c>
      <c r="N8" s="36">
        <f>IS!N7</f>
        <v>4077.5720570112007</v>
      </c>
      <c r="O8" s="36">
        <f>IS!O7</f>
        <v>4273.2955157477381</v>
      </c>
      <c r="P8" s="36">
        <f>IS!P7</f>
        <v>4461.3205184406388</v>
      </c>
    </row>
    <row r="9" spans="2:20" x14ac:dyDescent="0.25">
      <c r="B9" s="2" t="s">
        <v>102</v>
      </c>
      <c r="I9" s="171">
        <f>111.1-36.9</f>
        <v>74.199999999999989</v>
      </c>
      <c r="J9" s="171">
        <f>49.3-111.1</f>
        <v>-61.8</v>
      </c>
      <c r="K9" s="172">
        <f>50.8-49.3</f>
        <v>1.5</v>
      </c>
      <c r="L9" s="228">
        <f>L8*L10</f>
        <v>5.4415299288014287</v>
      </c>
      <c r="M9" s="228">
        <f t="shared" ref="M9:P9" si="2">M8*M10</f>
        <v>5.2717941328571634</v>
      </c>
      <c r="N9" s="228">
        <f t="shared" si="2"/>
        <v>5.0880068144639781</v>
      </c>
      <c r="O9" s="228">
        <f t="shared" si="2"/>
        <v>4.8919551757415123</v>
      </c>
      <c r="P9" s="228">
        <f t="shared" si="2"/>
        <v>4.6855056912606772</v>
      </c>
      <c r="R9" s="7"/>
    </row>
    <row r="10" spans="2:20" ht="14.4" x14ac:dyDescent="0.3">
      <c r="D10" s="18" t="s">
        <v>180</v>
      </c>
      <c r="I10" s="84">
        <f>IF(ISERROR(I9/I8),datareq,I9/I8)</f>
        <v>2.5098601649336676E-2</v>
      </c>
      <c r="J10" s="84">
        <f>IF(ISERROR(J9/J8),datareq,J9/J8)</f>
        <v>-1.9039990141105426E-2</v>
      </c>
      <c r="K10" s="85">
        <f>IF(ISERROR(K9/K8),datareq,K9/K8)</f>
        <v>4.3318672369329226E-4</v>
      </c>
      <c r="L10" s="226">
        <f t="array" ref="L10:P10">IntangAdd</f>
        <v>1.482514793544959E-3</v>
      </c>
      <c r="M10" s="226">
        <v>1.3601053151788612E-3</v>
      </c>
      <c r="N10" s="226">
        <v>1.2478030414484963E-3</v>
      </c>
      <c r="O10" s="226">
        <v>1.1447734325215563E-3</v>
      </c>
      <c r="P10" s="226">
        <v>1.0502508555243633E-3</v>
      </c>
      <c r="R10" s="86"/>
      <c r="T10" s="247"/>
    </row>
    <row r="11" spans="2:20" x14ac:dyDescent="0.25">
      <c r="K11" s="6"/>
    </row>
    <row r="12" spans="2:20" x14ac:dyDescent="0.25">
      <c r="B12" s="2" t="s">
        <v>139</v>
      </c>
      <c r="I12" s="8"/>
      <c r="J12" s="8"/>
      <c r="K12" s="60"/>
      <c r="L12" s="159">
        <f>K16</f>
        <v>36.1</v>
      </c>
      <c r="M12" s="159">
        <f>L16</f>
        <v>39.171914721951403</v>
      </c>
      <c r="N12" s="159">
        <f>M16</f>
        <v>41.850899396673981</v>
      </c>
      <c r="O12" s="159">
        <f>N16</f>
        <v>44.130267566600857</v>
      </c>
      <c r="P12" s="159">
        <f>O16</f>
        <v>46.005668223009316</v>
      </c>
      <c r="Q12" s="283" t="s">
        <v>184</v>
      </c>
    </row>
    <row r="13" spans="2:20" x14ac:dyDescent="0.25">
      <c r="C13" s="2" t="s">
        <v>102</v>
      </c>
      <c r="I13" s="8"/>
      <c r="J13" s="8"/>
      <c r="K13" s="60"/>
      <c r="L13" s="160">
        <f>L9</f>
        <v>5.4415299288014287</v>
      </c>
      <c r="M13" s="160">
        <f>M9</f>
        <v>5.2717941328571634</v>
      </c>
      <c r="N13" s="160">
        <f>N9</f>
        <v>5.0880068144639781</v>
      </c>
      <c r="O13" s="160">
        <f>O9</f>
        <v>4.8919551757415123</v>
      </c>
      <c r="P13" s="160">
        <f>P9</f>
        <v>4.6855056912606772</v>
      </c>
      <c r="Q13" s="283" t="s">
        <v>184</v>
      </c>
    </row>
    <row r="14" spans="2:20" x14ac:dyDescent="0.25">
      <c r="C14" s="2" t="s">
        <v>131</v>
      </c>
      <c r="I14" s="8"/>
      <c r="J14" s="8"/>
      <c r="K14" s="60"/>
      <c r="L14" s="160">
        <f>-L36</f>
        <v>-2.36961520685003</v>
      </c>
      <c r="M14" s="160">
        <f>-M36</f>
        <v>-2.592809458134584</v>
      </c>
      <c r="N14" s="160">
        <f>-N36</f>
        <v>-2.8086386445371074</v>
      </c>
      <c r="O14" s="160">
        <f>-O36</f>
        <v>-3.0165545193330554</v>
      </c>
      <c r="P14" s="160">
        <f>-P36</f>
        <v>-3.2160849540622678</v>
      </c>
      <c r="Q14" s="283" t="s">
        <v>184</v>
      </c>
    </row>
    <row r="15" spans="2:20" x14ac:dyDescent="0.25">
      <c r="C15" s="2" t="s">
        <v>132</v>
      </c>
      <c r="I15" s="8"/>
      <c r="J15" s="8"/>
      <c r="K15" s="60"/>
      <c r="L15" s="88">
        <v>0</v>
      </c>
      <c r="M15" s="175">
        <f>L15</f>
        <v>0</v>
      </c>
      <c r="N15" s="175">
        <f t="shared" ref="N15:P15" si="3">M15</f>
        <v>0</v>
      </c>
      <c r="O15" s="175">
        <f t="shared" si="3"/>
        <v>0</v>
      </c>
      <c r="P15" s="175">
        <f t="shared" si="3"/>
        <v>0</v>
      </c>
    </row>
    <row r="16" spans="2:20" x14ac:dyDescent="0.25">
      <c r="B16" s="2" t="s">
        <v>133</v>
      </c>
      <c r="I16" s="90">
        <f>BS!I15</f>
        <v>98</v>
      </c>
      <c r="J16" s="90">
        <f>BS!J15</f>
        <v>35</v>
      </c>
      <c r="K16" s="91">
        <f>BS!K15</f>
        <v>36.1</v>
      </c>
      <c r="L16" s="92">
        <f>SUM(L12:L15)</f>
        <v>39.171914721951403</v>
      </c>
      <c r="M16" s="92">
        <f t="shared" ref="M16:P16" si="4">SUM(M12:M15)</f>
        <v>41.850899396673981</v>
      </c>
      <c r="N16" s="92">
        <f t="shared" si="4"/>
        <v>44.130267566600857</v>
      </c>
      <c r="O16" s="92">
        <f t="shared" si="4"/>
        <v>46.005668223009316</v>
      </c>
      <c r="P16" s="92">
        <f t="shared" si="4"/>
        <v>47.475088960207728</v>
      </c>
    </row>
    <row r="17" spans="2:16" x14ac:dyDescent="0.25">
      <c r="K17" s="6"/>
    </row>
    <row r="18" spans="2:16" x14ac:dyDescent="0.25">
      <c r="B18" s="37" t="s">
        <v>83</v>
      </c>
      <c r="C18" s="37"/>
      <c r="D18" s="37"/>
      <c r="E18" s="37"/>
      <c r="F18" s="37"/>
      <c r="G18" s="37"/>
      <c r="H18" s="37"/>
      <c r="I18" s="37"/>
      <c r="J18" s="37"/>
      <c r="K18" s="58"/>
      <c r="L18" s="37">
        <f>$L$6</f>
        <v>2024</v>
      </c>
      <c r="M18" s="37">
        <f>$M$6</f>
        <v>2025</v>
      </c>
      <c r="N18" s="37">
        <f>$N$6</f>
        <v>2026</v>
      </c>
      <c r="O18" s="37">
        <f>$O$6</f>
        <v>2027</v>
      </c>
      <c r="P18" s="37">
        <f>$P$6</f>
        <v>2028</v>
      </c>
    </row>
    <row r="19" spans="2:16" x14ac:dyDescent="0.25">
      <c r="B19" s="41"/>
      <c r="C19" s="41"/>
      <c r="D19" s="41"/>
      <c r="E19" s="41"/>
      <c r="F19" s="41"/>
      <c r="G19" s="41"/>
      <c r="H19" s="41"/>
      <c r="I19" s="41"/>
      <c r="J19" s="41"/>
      <c r="K19" s="59"/>
      <c r="L19" s="41"/>
      <c r="M19" s="41"/>
      <c r="N19" s="41"/>
      <c r="O19" s="41"/>
      <c r="P19" s="41"/>
    </row>
    <row r="20" spans="2:16" x14ac:dyDescent="0.25">
      <c r="B20" s="2" t="s">
        <v>134</v>
      </c>
      <c r="F20" s="93">
        <f>BS!K15</f>
        <v>36.1</v>
      </c>
      <c r="K20" s="6"/>
      <c r="L20" s="16">
        <f>IF($F$23=1,IF((L18-$K$6)&lt;=$F$22,$F$20*1/$F$22,0),IF($F$23=2,SYD($F$20,0,$F$22,L18-$K$6),"method error"))</f>
        <v>2.2562500000000001</v>
      </c>
      <c r="M20" s="16">
        <f>IF($F$23=1,IF((M18-$K$6)&lt;=$F$22,$F$20*1/$F$22,0),IF($F$23=2,SYD($F$20,0,$F$22,M18-$K$6),"method error"))</f>
        <v>2.2562500000000001</v>
      </c>
      <c r="N20" s="16">
        <f>IF($F$23=1,IF((N18-$K$6)&lt;=$F$22,$F$20*1/$F$22,0),IF($F$23=2,SYD($F$20,0,$F$22,N18-$K$6),"method error"))</f>
        <v>2.2562500000000001</v>
      </c>
      <c r="O20" s="16">
        <f>IF($F$23=1,IF((O18-$K$6)&lt;=$F$22,$F$20*1/$F$22,0),IF($F$23=2,SYD($F$20,0,$F$22,O18-$K$6),"method error"))</f>
        <v>2.2562500000000001</v>
      </c>
      <c r="P20" s="16">
        <f>IF($F$23=1,IF((P18-$K$6)&lt;=$F$22,$F$20*1/$F$22,0),IF($F$23=2,SYD($F$20,0,$F$22,P18-$K$6),"method error"))</f>
        <v>2.2562500000000001</v>
      </c>
    </row>
    <row r="21" spans="2:16" x14ac:dyDescent="0.25">
      <c r="K21" s="6"/>
      <c r="M21" s="44"/>
      <c r="N21" s="44"/>
      <c r="O21" s="44"/>
      <c r="P21" s="44"/>
    </row>
    <row r="22" spans="2:16" x14ac:dyDescent="0.25">
      <c r="B22" s="2" t="s">
        <v>78</v>
      </c>
      <c r="F22" s="2">
        <v>16</v>
      </c>
      <c r="K22" s="6"/>
      <c r="L22" s="45"/>
    </row>
    <row r="23" spans="2:16" x14ac:dyDescent="0.25">
      <c r="B23" s="2" t="s">
        <v>135</v>
      </c>
      <c r="F23" s="303">
        <v>1</v>
      </c>
      <c r="G23" s="4" t="s">
        <v>184</v>
      </c>
      <c r="K23" s="6"/>
    </row>
    <row r="24" spans="2:16" x14ac:dyDescent="0.25">
      <c r="K24" s="6"/>
    </row>
    <row r="25" spans="2:16" x14ac:dyDescent="0.25">
      <c r="K25" s="6"/>
    </row>
    <row r="26" spans="2:16" x14ac:dyDescent="0.25">
      <c r="B26" s="37" t="s">
        <v>136</v>
      </c>
      <c r="C26" s="37"/>
      <c r="D26" s="37"/>
      <c r="E26" s="37"/>
      <c r="F26" s="37"/>
      <c r="G26" s="37"/>
      <c r="H26" s="37"/>
      <c r="I26" s="37"/>
      <c r="J26" s="37"/>
      <c r="K26" s="58"/>
      <c r="L26" s="37">
        <f>$L$6</f>
        <v>2024</v>
      </c>
      <c r="M26" s="37">
        <f>$M$6</f>
        <v>2025</v>
      </c>
      <c r="N26" s="37">
        <f>$N$6</f>
        <v>2026</v>
      </c>
      <c r="O26" s="37">
        <f>$O$6</f>
        <v>2027</v>
      </c>
      <c r="P26" s="37">
        <f>$P$6</f>
        <v>2028</v>
      </c>
    </row>
    <row r="27" spans="2:16" x14ac:dyDescent="0.25">
      <c r="B27" s="41"/>
      <c r="C27" s="41"/>
      <c r="D27" s="41"/>
      <c r="E27" s="41"/>
      <c r="F27" s="41"/>
      <c r="G27" s="41"/>
      <c r="H27" s="41"/>
      <c r="I27" s="41"/>
      <c r="J27" s="41"/>
      <c r="K27" s="59"/>
      <c r="L27" s="41"/>
      <c r="M27" s="41"/>
      <c r="N27" s="41"/>
      <c r="O27" s="41"/>
      <c r="P27" s="41"/>
    </row>
    <row r="28" spans="2:16" x14ac:dyDescent="0.25">
      <c r="D28" s="2" t="s">
        <v>72</v>
      </c>
      <c r="E28" s="2" t="s">
        <v>182</v>
      </c>
      <c r="F28" s="2" t="s">
        <v>78</v>
      </c>
      <c r="K28" s="6"/>
      <c r="L28" s="16"/>
    </row>
    <row r="29" spans="2:16" x14ac:dyDescent="0.25">
      <c r="D29" s="34">
        <f t="array" ref="D29:D33">TRANSPOSE(L6:P6)</f>
        <v>2024</v>
      </c>
      <c r="E29" s="161">
        <f t="array" ref="E29:E33">TRANSPOSE(L9:P9)</f>
        <v>5.4415299288014287</v>
      </c>
      <c r="F29" s="87">
        <v>24</v>
      </c>
      <c r="K29" s="6"/>
      <c r="L29" s="16">
        <f>IF((L$26-$D29)&lt;=$F29,IF((L$26-$D29)=0, $E29*1/$F29/2,$E29*1/$F29),0)</f>
        <v>0.11336520685002976</v>
      </c>
      <c r="M29" s="16">
        <f t="shared" ref="M29:P33" si="5">IF((M$26-$D29)&lt;=$F29,IF((M$26-$D29)=0, $E29*1/$F29/2,$E29*1/$F29),0)</f>
        <v>0.22673041370005953</v>
      </c>
      <c r="N29" s="16">
        <f t="shared" si="5"/>
        <v>0.22673041370005953</v>
      </c>
      <c r="O29" s="16">
        <f t="shared" si="5"/>
        <v>0.22673041370005953</v>
      </c>
      <c r="P29" s="16">
        <f t="shared" si="5"/>
        <v>0.22673041370005953</v>
      </c>
    </row>
    <row r="30" spans="2:16" x14ac:dyDescent="0.25">
      <c r="D30" s="34">
        <v>2025</v>
      </c>
      <c r="E30" s="161">
        <v>5.2717941328571634</v>
      </c>
      <c r="F30" s="46">
        <f>F29</f>
        <v>24</v>
      </c>
      <c r="K30" s="6"/>
      <c r="M30" s="48">
        <f t="shared" si="5"/>
        <v>0.10982904443452424</v>
      </c>
      <c r="N30" s="48">
        <f t="shared" si="5"/>
        <v>0.21965808886904847</v>
      </c>
      <c r="O30" s="48">
        <f t="shared" si="5"/>
        <v>0.21965808886904847</v>
      </c>
      <c r="P30" s="48">
        <f t="shared" si="5"/>
        <v>0.21965808886904847</v>
      </c>
    </row>
    <row r="31" spans="2:16" x14ac:dyDescent="0.25">
      <c r="D31" s="34">
        <v>2026</v>
      </c>
      <c r="E31" s="161">
        <v>5.0880068144639781</v>
      </c>
      <c r="F31" s="46">
        <f t="shared" ref="F31:F33" si="6">F30</f>
        <v>24</v>
      </c>
      <c r="K31" s="6"/>
      <c r="M31" s="49"/>
      <c r="N31" s="48">
        <f t="shared" si="5"/>
        <v>0.10600014196799955</v>
      </c>
      <c r="O31" s="48">
        <f t="shared" si="5"/>
        <v>0.2120002839359991</v>
      </c>
      <c r="P31" s="48">
        <f t="shared" si="5"/>
        <v>0.2120002839359991</v>
      </c>
    </row>
    <row r="32" spans="2:16" x14ac:dyDescent="0.25">
      <c r="D32" s="34">
        <v>2027</v>
      </c>
      <c r="E32" s="161">
        <v>4.8919551757415123</v>
      </c>
      <c r="F32" s="46">
        <f t="shared" si="6"/>
        <v>24</v>
      </c>
      <c r="K32" s="6"/>
      <c r="M32" s="49"/>
      <c r="N32" s="49"/>
      <c r="O32" s="48">
        <f t="shared" si="5"/>
        <v>0.10191573282794818</v>
      </c>
      <c r="P32" s="48">
        <f t="shared" si="5"/>
        <v>0.20383146565589635</v>
      </c>
    </row>
    <row r="33" spans="2:16" x14ac:dyDescent="0.25">
      <c r="D33" s="34">
        <v>2028</v>
      </c>
      <c r="E33" s="161">
        <v>4.6855056912606772</v>
      </c>
      <c r="F33" s="46">
        <f t="shared" si="6"/>
        <v>24</v>
      </c>
      <c r="K33" s="6"/>
      <c r="M33" s="49"/>
      <c r="N33" s="49"/>
      <c r="O33" s="49"/>
      <c r="P33" s="48">
        <f t="shared" si="5"/>
        <v>9.7614701901264103E-2</v>
      </c>
    </row>
    <row r="34" spans="2:16" x14ac:dyDescent="0.25">
      <c r="D34" s="34"/>
      <c r="F34" s="46"/>
      <c r="K34" s="6"/>
      <c r="L34" s="47">
        <f>SUM(L29:L33)</f>
        <v>0.11336520685002976</v>
      </c>
      <c r="M34" s="47">
        <f t="shared" ref="M34:P34" si="7">SUM(M29:M33)</f>
        <v>0.33655945813458377</v>
      </c>
      <c r="N34" s="47">
        <f t="shared" si="7"/>
        <v>0.55238864453710756</v>
      </c>
      <c r="O34" s="47">
        <f t="shared" si="7"/>
        <v>0.76030451933305532</v>
      </c>
      <c r="P34" s="47">
        <f t="shared" si="7"/>
        <v>0.9598349540622676</v>
      </c>
    </row>
    <row r="35" spans="2:16" x14ac:dyDescent="0.25">
      <c r="D35" s="34"/>
      <c r="F35" s="46"/>
      <c r="K35" s="6"/>
      <c r="L35" s="47"/>
      <c r="M35" s="47"/>
      <c r="N35" s="47"/>
      <c r="O35" s="47"/>
      <c r="P35" s="47"/>
    </row>
    <row r="36" spans="2:16" x14ac:dyDescent="0.25">
      <c r="B36" s="20" t="s">
        <v>137</v>
      </c>
      <c r="C36" s="20"/>
      <c r="D36" s="163"/>
      <c r="E36" s="20"/>
      <c r="F36" s="164"/>
      <c r="G36" s="20"/>
      <c r="H36" s="20"/>
      <c r="I36" s="20"/>
      <c r="J36" s="20"/>
      <c r="K36" s="21"/>
      <c r="L36" s="165">
        <f>L20+L34</f>
        <v>2.36961520685003</v>
      </c>
      <c r="M36" s="165">
        <f t="shared" ref="M36:P36" si="8">M20+M34</f>
        <v>2.592809458134584</v>
      </c>
      <c r="N36" s="165">
        <f t="shared" si="8"/>
        <v>2.8086386445371074</v>
      </c>
      <c r="O36" s="165">
        <f t="shared" si="8"/>
        <v>3.0165545193330554</v>
      </c>
      <c r="P36" s="165">
        <f t="shared" si="8"/>
        <v>3.2160849540622678</v>
      </c>
    </row>
    <row r="37" spans="2:16" x14ac:dyDescent="0.25">
      <c r="D37" s="34"/>
      <c r="F37" s="46"/>
      <c r="L37" s="47"/>
      <c r="M37" s="47"/>
      <c r="N37" s="47"/>
      <c r="O37" s="47"/>
      <c r="P37" s="47"/>
    </row>
    <row r="39" spans="2:16" x14ac:dyDescent="0.25">
      <c r="B39" s="2" t="s">
        <v>138</v>
      </c>
    </row>
    <row r="1000" spans="648:648" ht="15" x14ac:dyDescent="0.25">
      <c r="XX1000" s="305">
        <v>127155</v>
      </c>
    </row>
  </sheetData>
  <mergeCells count="2">
    <mergeCell ref="I5:K5"/>
    <mergeCell ref="L5:P5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D6417-F040-427F-BAF0-363B22CDCB6C}">
  <sheetPr codeName="Sheet8"/>
  <dimension ref="B1:XX1000"/>
  <sheetViews>
    <sheetView showGridLines="0" workbookViewId="0"/>
  </sheetViews>
  <sheetFormatPr defaultColWidth="8.77734375" defaultRowHeight="14.4" x14ac:dyDescent="0.3"/>
  <cols>
    <col min="1" max="3" width="2.77734375" customWidth="1"/>
    <col min="9" max="14" width="10.77734375" customWidth="1"/>
  </cols>
  <sheetData>
    <row r="1" spans="2:16" ht="15.6" x14ac:dyDescent="0.3">
      <c r="B1" s="1" t="str">
        <f>"Other Long-Term Items Schedule for "&amp;CoName</f>
        <v>Other Long-Term Items Schedule for Sharang Corporation</v>
      </c>
    </row>
    <row r="2" spans="2:16" x14ac:dyDescent="0.3">
      <c r="B2" s="3" t="str">
        <f>subhead</f>
        <v>Dollars in millions, except per share data</v>
      </c>
    </row>
    <row r="4" spans="2:16" x14ac:dyDescent="0.3">
      <c r="B4" s="2"/>
      <c r="C4" s="2"/>
      <c r="D4" s="2"/>
      <c r="E4" s="2"/>
      <c r="F4" s="2"/>
      <c r="G4" s="2"/>
      <c r="H4" s="5" t="s">
        <v>5</v>
      </c>
      <c r="I4" s="2">
        <v>-2</v>
      </c>
      <c r="J4" s="2">
        <f>I4+1</f>
        <v>-1</v>
      </c>
      <c r="K4" s="2">
        <f t="shared" ref="K4:P4" si="0">J4+1</f>
        <v>0</v>
      </c>
      <c r="L4" s="2">
        <f t="shared" si="0"/>
        <v>1</v>
      </c>
      <c r="M4" s="2">
        <f t="shared" si="0"/>
        <v>2</v>
      </c>
      <c r="N4" s="2">
        <f t="shared" si="0"/>
        <v>3</v>
      </c>
      <c r="O4" s="2">
        <f t="shared" si="0"/>
        <v>4</v>
      </c>
      <c r="P4" s="2">
        <f t="shared" si="0"/>
        <v>5</v>
      </c>
    </row>
    <row r="5" spans="2:16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2:16" x14ac:dyDescent="0.3">
      <c r="B6" s="37"/>
      <c r="C6" s="37"/>
      <c r="D6" s="37"/>
      <c r="E6" s="37"/>
      <c r="F6" s="37"/>
      <c r="G6" s="37"/>
      <c r="H6" s="37"/>
      <c r="I6" s="308" t="str">
        <f>"Historical Year Ending "&amp;TEXT(FYE,"Mmmm dd") &amp; ","</f>
        <v>Historical Year Ending December 31,</v>
      </c>
      <c r="J6" s="308"/>
      <c r="K6" s="309"/>
      <c r="L6" s="308" t="str">
        <f>"Projected Year Ending "&amp;TEXT(FYE,"Mmmm Dd,")</f>
        <v>Projected Year Ending December 31,</v>
      </c>
      <c r="M6" s="308"/>
      <c r="N6" s="308"/>
      <c r="O6" s="308"/>
      <c r="P6" s="308"/>
    </row>
    <row r="7" spans="2:16" x14ac:dyDescent="0.3">
      <c r="B7" s="37"/>
      <c r="C7" s="37"/>
      <c r="D7" s="37"/>
      <c r="E7" s="37"/>
      <c r="F7" s="37"/>
      <c r="G7" s="37"/>
      <c r="H7" s="37"/>
      <c r="I7" s="38">
        <f t="shared" ref="I7:P7" si="1">YEAR(FYE)+I4</f>
        <v>2021</v>
      </c>
      <c r="J7" s="38">
        <f t="shared" si="1"/>
        <v>2022</v>
      </c>
      <c r="K7" s="39">
        <f t="shared" si="1"/>
        <v>2023</v>
      </c>
      <c r="L7" s="38">
        <f t="shared" si="1"/>
        <v>2024</v>
      </c>
      <c r="M7" s="38">
        <f t="shared" si="1"/>
        <v>2025</v>
      </c>
      <c r="N7" s="38">
        <f t="shared" si="1"/>
        <v>2026</v>
      </c>
      <c r="O7" s="38">
        <f t="shared" si="1"/>
        <v>2027</v>
      </c>
      <c r="P7" s="38">
        <f t="shared" si="1"/>
        <v>2028</v>
      </c>
    </row>
    <row r="8" spans="2:16" x14ac:dyDescent="0.3">
      <c r="K8" s="99"/>
    </row>
    <row r="9" spans="2:16" x14ac:dyDescent="0.3">
      <c r="K9" s="99"/>
    </row>
    <row r="10" spans="2:16" x14ac:dyDescent="0.3">
      <c r="B10" s="94" t="s">
        <v>84</v>
      </c>
      <c r="K10" s="99"/>
    </row>
    <row r="11" spans="2:16" x14ac:dyDescent="0.3">
      <c r="C11" t="str">
        <f>BS!B16</f>
        <v>Indefinite life intangibles (trademark, brand)</v>
      </c>
      <c r="I11" s="27">
        <f>BS!I16</f>
        <v>278.3</v>
      </c>
      <c r="J11" s="27">
        <f>BS!J16</f>
        <v>200.75</v>
      </c>
      <c r="K11" s="100">
        <f>BS!K16</f>
        <v>200.8</v>
      </c>
      <c r="L11" s="179">
        <f>K11</f>
        <v>200.8</v>
      </c>
      <c r="M11" s="179">
        <f t="shared" ref="M11:P11" si="2">L11</f>
        <v>200.8</v>
      </c>
      <c r="N11" s="179">
        <f t="shared" si="2"/>
        <v>200.8</v>
      </c>
      <c r="O11" s="179">
        <f t="shared" si="2"/>
        <v>200.8</v>
      </c>
      <c r="P11" s="179">
        <f t="shared" si="2"/>
        <v>200.8</v>
      </c>
    </row>
    <row r="12" spans="2:16" x14ac:dyDescent="0.3">
      <c r="C12" t="str">
        <f>BS!B17</f>
        <v>Goodwill</v>
      </c>
      <c r="I12">
        <f>BS!I17</f>
        <v>1245.8800000000001</v>
      </c>
      <c r="J12">
        <f>BS!J17</f>
        <v>1478</v>
      </c>
      <c r="K12" s="99">
        <f>BS!K17</f>
        <v>1415</v>
      </c>
      <c r="L12" s="280">
        <f>K12</f>
        <v>1415</v>
      </c>
      <c r="M12" s="280">
        <f t="shared" ref="M12:P12" si="3">L12</f>
        <v>1415</v>
      </c>
      <c r="N12" s="280">
        <f t="shared" si="3"/>
        <v>1415</v>
      </c>
      <c r="O12" s="280">
        <f t="shared" si="3"/>
        <v>1415</v>
      </c>
      <c r="P12" s="280">
        <f t="shared" si="3"/>
        <v>1415</v>
      </c>
    </row>
    <row r="13" spans="2:16" x14ac:dyDescent="0.3">
      <c r="C13" t="str">
        <f>BS!B18</f>
        <v>Other long-term assets</v>
      </c>
      <c r="I13" s="25">
        <f>BS!I18</f>
        <v>132.80000000000001</v>
      </c>
      <c r="J13" s="25">
        <f>BS!J18</f>
        <v>144.9</v>
      </c>
      <c r="K13" s="101">
        <f>BS!K18</f>
        <v>145</v>
      </c>
      <c r="L13" s="281">
        <f>K13</f>
        <v>145</v>
      </c>
      <c r="M13" s="281">
        <f t="shared" ref="M13:P13" si="4">L13</f>
        <v>145</v>
      </c>
      <c r="N13" s="281">
        <f t="shared" si="4"/>
        <v>145</v>
      </c>
      <c r="O13" s="281">
        <f t="shared" si="4"/>
        <v>145</v>
      </c>
      <c r="P13" s="281">
        <f t="shared" si="4"/>
        <v>145</v>
      </c>
    </row>
    <row r="14" spans="2:16" x14ac:dyDescent="0.3">
      <c r="D14" t="s">
        <v>86</v>
      </c>
      <c r="I14" s="27">
        <f>SUM(I11:I13)</f>
        <v>1656.98</v>
      </c>
      <c r="J14" s="27">
        <f t="shared" ref="J14:K14" si="5">SUM(J11:J13)</f>
        <v>1823.65</v>
      </c>
      <c r="K14" s="100">
        <f t="shared" si="5"/>
        <v>1760.8</v>
      </c>
      <c r="L14" s="27">
        <f t="shared" ref="L14" si="6">SUM(L11:L13)</f>
        <v>1760.8</v>
      </c>
      <c r="M14" s="27">
        <f t="shared" ref="M14" si="7">SUM(M11:M13)</f>
        <v>1760.8</v>
      </c>
      <c r="N14" s="27">
        <f t="shared" ref="N14" si="8">SUM(N11:N13)</f>
        <v>1760.8</v>
      </c>
      <c r="O14" s="27">
        <f t="shared" ref="O14" si="9">SUM(O11:O13)</f>
        <v>1760.8</v>
      </c>
      <c r="P14" s="27">
        <f t="shared" ref="P14" si="10">SUM(P11:P13)</f>
        <v>1760.8</v>
      </c>
    </row>
    <row r="15" spans="2:16" x14ac:dyDescent="0.3">
      <c r="D15" s="96" t="s">
        <v>89</v>
      </c>
      <c r="J15" s="97">
        <f>I14-J14</f>
        <v>-166.67000000000007</v>
      </c>
      <c r="K15" s="102">
        <f>J14-K14</f>
        <v>62.850000000000136</v>
      </c>
      <c r="L15" s="97">
        <f>K14-L14</f>
        <v>0</v>
      </c>
      <c r="M15" s="97">
        <f t="shared" ref="M15:P15" si="11">L14-M14</f>
        <v>0</v>
      </c>
      <c r="N15" s="97">
        <f t="shared" si="11"/>
        <v>0</v>
      </c>
      <c r="O15" s="97">
        <f t="shared" si="11"/>
        <v>0</v>
      </c>
      <c r="P15" s="97">
        <f t="shared" si="11"/>
        <v>0</v>
      </c>
    </row>
    <row r="16" spans="2:16" x14ac:dyDescent="0.3">
      <c r="K16" s="99"/>
    </row>
    <row r="17" spans="2:16" x14ac:dyDescent="0.3">
      <c r="B17" s="94" t="s">
        <v>85</v>
      </c>
      <c r="K17" s="99"/>
    </row>
    <row r="18" spans="2:16" x14ac:dyDescent="0.3">
      <c r="C18" t="str">
        <f>BS!B27</f>
        <v>Other long-term liabilities</v>
      </c>
      <c r="I18" s="98">
        <f>BS!I27</f>
        <v>238.2</v>
      </c>
      <c r="J18" s="98">
        <f>BS!J27</f>
        <v>351.1</v>
      </c>
      <c r="K18" s="103">
        <f>BS!K27</f>
        <v>342.3</v>
      </c>
      <c r="L18" s="180">
        <f>K18</f>
        <v>342.3</v>
      </c>
      <c r="M18" s="180">
        <f t="shared" ref="M18:P18" si="12">L18</f>
        <v>342.3</v>
      </c>
      <c r="N18" s="180">
        <f t="shared" si="12"/>
        <v>342.3</v>
      </c>
      <c r="O18" s="180">
        <f t="shared" si="12"/>
        <v>342.3</v>
      </c>
      <c r="P18" s="180">
        <f t="shared" si="12"/>
        <v>342.3</v>
      </c>
    </row>
    <row r="19" spans="2:16" x14ac:dyDescent="0.3">
      <c r="D19" t="s">
        <v>87</v>
      </c>
      <c r="I19" s="27">
        <f>I18</f>
        <v>238.2</v>
      </c>
      <c r="J19" s="27">
        <f t="shared" ref="J19:K19" si="13">J18</f>
        <v>351.1</v>
      </c>
      <c r="K19" s="100">
        <f t="shared" si="13"/>
        <v>342.3</v>
      </c>
      <c r="L19" s="27">
        <f>L18</f>
        <v>342.3</v>
      </c>
      <c r="M19" s="27">
        <f t="shared" ref="M19:P19" si="14">M18</f>
        <v>342.3</v>
      </c>
      <c r="N19" s="27">
        <f t="shared" si="14"/>
        <v>342.3</v>
      </c>
      <c r="O19" s="27">
        <f t="shared" si="14"/>
        <v>342.3</v>
      </c>
      <c r="P19" s="27">
        <f t="shared" si="14"/>
        <v>342.3</v>
      </c>
    </row>
    <row r="20" spans="2:16" x14ac:dyDescent="0.3">
      <c r="D20" s="96" t="s">
        <v>90</v>
      </c>
      <c r="J20" s="97">
        <f>J19-I19</f>
        <v>112.90000000000003</v>
      </c>
      <c r="K20" s="102">
        <f>K19-J19</f>
        <v>-8.8000000000000114</v>
      </c>
      <c r="L20" s="97">
        <f t="shared" ref="L20:P20" si="15">L19-K19</f>
        <v>0</v>
      </c>
      <c r="M20" s="97">
        <f t="shared" si="15"/>
        <v>0</v>
      </c>
      <c r="N20" s="97">
        <f t="shared" si="15"/>
        <v>0</v>
      </c>
      <c r="O20" s="97">
        <f t="shared" si="15"/>
        <v>0</v>
      </c>
      <c r="P20" s="97">
        <f t="shared" si="15"/>
        <v>0</v>
      </c>
    </row>
    <row r="21" spans="2:16" x14ac:dyDescent="0.3">
      <c r="D21" s="96"/>
      <c r="K21" s="99"/>
    </row>
    <row r="22" spans="2:16" x14ac:dyDescent="0.3">
      <c r="B22" s="95" t="s">
        <v>88</v>
      </c>
      <c r="J22" s="97">
        <f>J15+J20</f>
        <v>-53.770000000000039</v>
      </c>
      <c r="K22" s="102">
        <f t="shared" ref="K22:P22" si="16">K15+K20</f>
        <v>54.050000000000125</v>
      </c>
      <c r="L22" s="97">
        <f t="shared" si="16"/>
        <v>0</v>
      </c>
      <c r="M22" s="97">
        <f t="shared" si="16"/>
        <v>0</v>
      </c>
      <c r="N22" s="97">
        <f t="shared" si="16"/>
        <v>0</v>
      </c>
      <c r="O22" s="97">
        <f t="shared" si="16"/>
        <v>0</v>
      </c>
      <c r="P22" s="97">
        <f t="shared" si="16"/>
        <v>0</v>
      </c>
    </row>
    <row r="23" spans="2:16" x14ac:dyDescent="0.3">
      <c r="K23" s="99"/>
    </row>
    <row r="1000" spans="648:648" ht="15.6" x14ac:dyDescent="0.3">
      <c r="XX1000" s="305">
        <v>127155</v>
      </c>
    </row>
  </sheetData>
  <mergeCells count="2">
    <mergeCell ref="I6:K6"/>
    <mergeCell ref="L6:P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48F39-5FF4-46F1-A166-84C8C7FAE5CA}">
  <sheetPr codeName="Sheet9"/>
  <dimension ref="B1:XX1000"/>
  <sheetViews>
    <sheetView showGridLines="0" workbookViewId="0">
      <selection activeCell="L12" sqref="L12"/>
    </sheetView>
  </sheetViews>
  <sheetFormatPr defaultColWidth="10.77734375" defaultRowHeight="14.4" x14ac:dyDescent="0.3"/>
  <cols>
    <col min="1" max="3" width="2.77734375" customWidth="1"/>
  </cols>
  <sheetData>
    <row r="1" spans="2:17" ht="15.6" x14ac:dyDescent="0.3">
      <c r="B1" s="1" t="str">
        <f>"Shareholders' Equity Schedule for "&amp;CoName</f>
        <v>Shareholders' Equity Schedule for Sharang Corporation</v>
      </c>
    </row>
    <row r="2" spans="2:17" x14ac:dyDescent="0.3">
      <c r="B2" s="3" t="str">
        <f>subhead</f>
        <v>Dollars in millions, except per share data</v>
      </c>
    </row>
    <row r="4" spans="2:17" x14ac:dyDescent="0.3">
      <c r="B4" s="2"/>
      <c r="C4" s="2"/>
      <c r="D4" s="2"/>
      <c r="E4" s="2"/>
      <c r="F4" s="2"/>
      <c r="G4" s="2"/>
      <c r="H4" s="5" t="s">
        <v>5</v>
      </c>
      <c r="I4" s="2">
        <v>-2</v>
      </c>
      <c r="J4" s="2">
        <f>I4+1</f>
        <v>-1</v>
      </c>
      <c r="K4" s="2">
        <f t="shared" ref="K4:P4" si="0">J4+1</f>
        <v>0</v>
      </c>
      <c r="L4" s="2">
        <f t="shared" si="0"/>
        <v>1</v>
      </c>
      <c r="M4" s="2">
        <f t="shared" si="0"/>
        <v>2</v>
      </c>
      <c r="N4" s="2">
        <f t="shared" si="0"/>
        <v>3</v>
      </c>
      <c r="O4" s="2">
        <f t="shared" si="0"/>
        <v>4</v>
      </c>
      <c r="P4" s="2">
        <f t="shared" si="0"/>
        <v>5</v>
      </c>
    </row>
    <row r="5" spans="2:17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2:17" x14ac:dyDescent="0.3">
      <c r="B6" s="37"/>
      <c r="C6" s="37"/>
      <c r="D6" s="37"/>
      <c r="E6" s="37"/>
      <c r="F6" s="37"/>
      <c r="G6" s="37"/>
      <c r="H6" s="37"/>
      <c r="I6" s="308" t="str">
        <f>"Historical Year Ending "&amp;TEXT(FYE,"Mmmm dd") &amp; ","</f>
        <v>Historical Year Ending December 31,</v>
      </c>
      <c r="J6" s="308"/>
      <c r="K6" s="309"/>
      <c r="L6" s="308" t="str">
        <f>"Projected Year Ending "&amp;TEXT(FYE,"Mmmm Dd,")</f>
        <v>Projected Year Ending December 31,</v>
      </c>
      <c r="M6" s="308"/>
      <c r="N6" s="308"/>
      <c r="O6" s="308"/>
      <c r="P6" s="308"/>
    </row>
    <row r="7" spans="2:17" x14ac:dyDescent="0.3">
      <c r="B7" s="37"/>
      <c r="C7" s="37"/>
      <c r="D7" s="37"/>
      <c r="E7" s="37"/>
      <c r="F7" s="37"/>
      <c r="G7" s="37"/>
      <c r="H7" s="37"/>
      <c r="I7" s="38">
        <f t="shared" ref="I7:P7" si="1">YEAR(FYE)+I4</f>
        <v>2021</v>
      </c>
      <c r="J7" s="38">
        <f t="shared" si="1"/>
        <v>2022</v>
      </c>
      <c r="K7" s="39">
        <f t="shared" si="1"/>
        <v>2023</v>
      </c>
      <c r="L7" s="38">
        <f t="shared" si="1"/>
        <v>2024</v>
      </c>
      <c r="M7" s="38">
        <f t="shared" si="1"/>
        <v>2025</v>
      </c>
      <c r="N7" s="38">
        <f t="shared" si="1"/>
        <v>2026</v>
      </c>
      <c r="O7" s="38">
        <f t="shared" si="1"/>
        <v>2027</v>
      </c>
      <c r="P7" s="38">
        <f t="shared" si="1"/>
        <v>2028</v>
      </c>
    </row>
    <row r="8" spans="2:17" x14ac:dyDescent="0.3">
      <c r="K8" s="99"/>
    </row>
    <row r="9" spans="2:17" x14ac:dyDescent="0.3">
      <c r="B9" t="s">
        <v>91</v>
      </c>
      <c r="K9" s="99"/>
      <c r="L9" s="246">
        <f>K13</f>
        <v>1544.4</v>
      </c>
      <c r="M9" s="27">
        <f ca="1">L13</f>
        <v>1757.0780829090065</v>
      </c>
      <c r="N9" s="27">
        <f t="shared" ref="N9:P9" ca="1" si="2">M13</f>
        <v>1977.9846764448998</v>
      </c>
      <c r="O9" s="27">
        <f t="shared" ca="1" si="2"/>
        <v>2207.9116796866469</v>
      </c>
      <c r="P9" s="27">
        <f t="shared" ca="1" si="2"/>
        <v>2446.3752492296458</v>
      </c>
    </row>
    <row r="10" spans="2:17" x14ac:dyDescent="0.3">
      <c r="C10" t="s">
        <v>18</v>
      </c>
      <c r="I10" s="108"/>
      <c r="J10" s="108"/>
      <c r="K10" s="109"/>
      <c r="L10" s="169">
        <f ca="1">L17</f>
        <v>346.16910847887573</v>
      </c>
      <c r="M10" s="169">
        <f ca="1">M17</f>
        <v>360.35619604111724</v>
      </c>
      <c r="N10" s="169">
        <f ca="1">N17</f>
        <v>375.90863568311147</v>
      </c>
      <c r="O10" s="169">
        <f ca="1">O17</f>
        <v>390.62690341237186</v>
      </c>
      <c r="P10" s="169">
        <f ca="1">P17</f>
        <v>403.19653918084435</v>
      </c>
      <c r="Q10" t="s">
        <v>184</v>
      </c>
    </row>
    <row r="11" spans="2:17" x14ac:dyDescent="0.3">
      <c r="C11" s="105" t="s">
        <v>92</v>
      </c>
      <c r="I11" s="108"/>
      <c r="J11" s="108"/>
      <c r="K11" s="109"/>
      <c r="L11" s="282">
        <v>11.9</v>
      </c>
      <c r="M11">
        <f>L11</f>
        <v>11.9</v>
      </c>
      <c r="N11">
        <f t="shared" ref="N11:P11" si="3">M11</f>
        <v>11.9</v>
      </c>
      <c r="O11">
        <f t="shared" si="3"/>
        <v>11.9</v>
      </c>
      <c r="P11">
        <f t="shared" si="3"/>
        <v>11.9</v>
      </c>
    </row>
    <row r="12" spans="2:17" x14ac:dyDescent="0.3">
      <c r="C12" s="106" t="s">
        <v>93</v>
      </c>
      <c r="I12" s="110"/>
      <c r="J12" s="110"/>
      <c r="K12" s="111"/>
      <c r="L12" s="170">
        <f ca="1">-L16</f>
        <v>-145.39102556308271</v>
      </c>
      <c r="M12" s="170">
        <f ca="1">-M16</f>
        <v>-151.34960237851024</v>
      </c>
      <c r="N12" s="170">
        <f ca="1">-N16</f>
        <v>-157.88162659246646</v>
      </c>
      <c r="O12" s="170">
        <f ca="1">-O16</f>
        <v>-164.06329808518578</v>
      </c>
      <c r="P12" s="170">
        <f ca="1">-P16</f>
        <v>-169.34256271903479</v>
      </c>
      <c r="Q12" t="s">
        <v>185</v>
      </c>
    </row>
    <row r="13" spans="2:17" x14ac:dyDescent="0.3">
      <c r="B13" t="s">
        <v>94</v>
      </c>
      <c r="I13" s="27">
        <f>BS!I30</f>
        <v>966.58</v>
      </c>
      <c r="J13" s="27">
        <f>BS!J30</f>
        <v>1181.75</v>
      </c>
      <c r="K13" s="100">
        <f>BS!K30</f>
        <v>1544.4</v>
      </c>
      <c r="L13" s="27">
        <f ca="1">SUM(L9:L12)</f>
        <v>1757.0780829157934</v>
      </c>
      <c r="M13" s="27">
        <f t="shared" ref="M13:P13" ca="1" si="4">SUM(M9:M12)</f>
        <v>1977.9846765716136</v>
      </c>
      <c r="N13" s="27">
        <f t="shared" ca="1" si="4"/>
        <v>2207.9116855355451</v>
      </c>
      <c r="O13" s="27">
        <f t="shared" ca="1" si="4"/>
        <v>2446.3752850138335</v>
      </c>
      <c r="P13" s="27">
        <f t="shared" ca="1" si="4"/>
        <v>2692.1292256914553</v>
      </c>
    </row>
    <row r="14" spans="2:17" x14ac:dyDescent="0.3">
      <c r="K14" s="99"/>
    </row>
    <row r="15" spans="2:17" x14ac:dyDescent="0.3">
      <c r="B15" s="107" t="s">
        <v>95</v>
      </c>
      <c r="K15" s="99"/>
    </row>
    <row r="16" spans="2:17" x14ac:dyDescent="0.3">
      <c r="C16" s="106" t="s">
        <v>93</v>
      </c>
      <c r="I16" s="112">
        <v>116.7</v>
      </c>
      <c r="J16" s="113">
        <v>128.5</v>
      </c>
      <c r="K16" s="114">
        <v>141.30000000000001</v>
      </c>
      <c r="L16" s="27">
        <f ca="1">L18*L17</f>
        <v>145.3910255611278</v>
      </c>
      <c r="M16" s="27">
        <f t="shared" ref="M16:P16" ca="1" si="5">M18*M17</f>
        <v>151.34960233726923</v>
      </c>
      <c r="N16" s="27">
        <f t="shared" ca="1" si="5"/>
        <v>157.88162698690681</v>
      </c>
      <c r="O16" s="27">
        <f t="shared" ca="1" si="5"/>
        <v>164.06329943319616</v>
      </c>
      <c r="P16" s="27">
        <f t="shared" ca="1" si="5"/>
        <v>169.34254645595462</v>
      </c>
    </row>
    <row r="17" spans="2:16" x14ac:dyDescent="0.3">
      <c r="C17" t="s">
        <v>18</v>
      </c>
      <c r="I17" s="97">
        <f>IS!I23</f>
        <v>265.1400000000001</v>
      </c>
      <c r="J17" s="97">
        <f>IS!J23</f>
        <v>284.90000000000009</v>
      </c>
      <c r="K17" s="102">
        <f>IS!K23</f>
        <v>388.38369999999998</v>
      </c>
      <c r="L17" s="97">
        <f ca="1">IS!L23</f>
        <v>346.16910848233698</v>
      </c>
      <c r="M17" s="97">
        <f ca="1">IS!M23</f>
        <v>360.35619612840605</v>
      </c>
      <c r="N17" s="97">
        <f ca="1">IS!N23</f>
        <v>375.90863654897498</v>
      </c>
      <c r="O17" s="97">
        <f ca="1">IS!O23</f>
        <v>390.62691967079752</v>
      </c>
      <c r="P17" s="97">
        <f ca="1">IS!P23</f>
        <v>403.19654881092339</v>
      </c>
    </row>
    <row r="18" spans="2:16" x14ac:dyDescent="0.3">
      <c r="B18" s="106"/>
      <c r="C18" t="s">
        <v>96</v>
      </c>
      <c r="I18" s="115">
        <f>IF(ISERROR(I16/I17),datareq,I16/I17)</f>
        <v>0.44014482914686565</v>
      </c>
      <c r="J18" s="115">
        <f>IF(ISERROR(J16/J17),datareq,J16/J17)</f>
        <v>0.4510354510354509</v>
      </c>
      <c r="K18" s="116">
        <f>IF(ISERROR(K16/K17),datareq,K16/K17)</f>
        <v>0.36381547423334198</v>
      </c>
      <c r="L18" s="117">
        <v>0.42</v>
      </c>
      <c r="M18" s="115">
        <f>L18</f>
        <v>0.42</v>
      </c>
      <c r="N18" s="115">
        <f t="shared" ref="N18:P18" si="6">M18</f>
        <v>0.42</v>
      </c>
      <c r="O18" s="115">
        <f t="shared" si="6"/>
        <v>0.42</v>
      </c>
      <c r="P18" s="115">
        <f t="shared" si="6"/>
        <v>0.42</v>
      </c>
    </row>
    <row r="1000" spans="648:648" ht="15.6" x14ac:dyDescent="0.3">
      <c r="XX1000" s="305">
        <v>127155</v>
      </c>
    </row>
  </sheetData>
  <mergeCells count="2">
    <mergeCell ref="I6:K6"/>
    <mergeCell ref="L6:P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F4E70-16A5-453A-8362-CF62FA713C00}">
  <sheetPr codeName="Sheet10"/>
  <dimension ref="B1:XX1000"/>
  <sheetViews>
    <sheetView showGridLines="0" tabSelected="1" topLeftCell="A9" workbookViewId="0">
      <selection activeCell="S16" sqref="S16"/>
    </sheetView>
  </sheetViews>
  <sheetFormatPr defaultColWidth="8.77734375" defaultRowHeight="13.8" x14ac:dyDescent="0.25"/>
  <cols>
    <col min="1" max="3" width="2.77734375" style="2" customWidth="1"/>
    <col min="4" max="11" width="8.77734375" style="2"/>
    <col min="12" max="16" width="10.77734375" style="2" customWidth="1"/>
    <col min="17" max="16384" width="8.77734375" style="2"/>
  </cols>
  <sheetData>
    <row r="1" spans="2:18" ht="15" x14ac:dyDescent="0.25">
      <c r="B1" s="1" t="str">
        <f>"Projected Cash Flow Statement for " &amp; CoName</f>
        <v>Projected Cash Flow Statement for Sharang Corporation</v>
      </c>
    </row>
    <row r="2" spans="2:18" x14ac:dyDescent="0.25">
      <c r="B2" s="3" t="str">
        <f>subhead</f>
        <v>Dollars in millions, except per share data</v>
      </c>
    </row>
    <row r="4" spans="2:18" x14ac:dyDescent="0.25">
      <c r="H4" s="5" t="s">
        <v>5</v>
      </c>
      <c r="I4" s="2">
        <v>-2</v>
      </c>
      <c r="J4" s="2">
        <f>I4+1</f>
        <v>-1</v>
      </c>
      <c r="K4" s="2">
        <f t="shared" ref="K4:P4" si="0">J4+1</f>
        <v>0</v>
      </c>
      <c r="L4" s="2">
        <f t="shared" si="0"/>
        <v>1</v>
      </c>
      <c r="M4" s="2">
        <f t="shared" si="0"/>
        <v>2</v>
      </c>
      <c r="N4" s="2">
        <f t="shared" si="0"/>
        <v>3</v>
      </c>
      <c r="O4" s="2">
        <f t="shared" si="0"/>
        <v>4</v>
      </c>
      <c r="P4" s="2">
        <f t="shared" si="0"/>
        <v>5</v>
      </c>
    </row>
    <row r="6" spans="2:18" x14ac:dyDescent="0.25">
      <c r="B6" s="37"/>
      <c r="C6" s="37"/>
      <c r="D6" s="37"/>
      <c r="E6" s="37"/>
      <c r="F6" s="37"/>
      <c r="G6" s="37"/>
      <c r="H6" s="37"/>
      <c r="I6" s="308"/>
      <c r="J6" s="308"/>
      <c r="K6" s="309"/>
      <c r="L6" s="308" t="str">
        <f>"Projected Year Ending "&amp;TEXT(FYE,"Mmmm Dd,")</f>
        <v>Projected Year Ending December 31,</v>
      </c>
      <c r="M6" s="308"/>
      <c r="N6" s="308"/>
      <c r="O6" s="308"/>
      <c r="P6" s="308"/>
    </row>
    <row r="7" spans="2:18" x14ac:dyDescent="0.25">
      <c r="B7" s="37"/>
      <c r="C7" s="37"/>
      <c r="D7" s="37"/>
      <c r="E7" s="37"/>
      <c r="F7" s="37"/>
      <c r="G7" s="37"/>
      <c r="H7" s="37"/>
      <c r="I7" s="38"/>
      <c r="J7" s="38"/>
      <c r="K7" s="39"/>
      <c r="L7" s="38">
        <f>YEAR(FYE)+L4</f>
        <v>2024</v>
      </c>
      <c r="M7" s="38">
        <f>YEAR(FYE)+M4</f>
        <v>2025</v>
      </c>
      <c r="N7" s="38">
        <f>YEAR(FYE)+N4</f>
        <v>2026</v>
      </c>
      <c r="O7" s="38">
        <f>YEAR(FYE)+O4</f>
        <v>2027</v>
      </c>
      <c r="P7" s="38">
        <f>YEAR(FYE)+P4</f>
        <v>2028</v>
      </c>
    </row>
    <row r="9" spans="2:18" ht="14.4" x14ac:dyDescent="0.3">
      <c r="B9" s="107" t="s">
        <v>97</v>
      </c>
      <c r="C9"/>
      <c r="D9"/>
    </row>
    <row r="10" spans="2:18" ht="14.4" x14ac:dyDescent="0.3">
      <c r="B10"/>
      <c r="C10" t="s">
        <v>98</v>
      </c>
      <c r="D10"/>
      <c r="L10" s="168">
        <f ca="1">IS!L23</f>
        <v>346.16910848233698</v>
      </c>
      <c r="M10" s="168">
        <f ca="1">IS!M23</f>
        <v>360.35619612840605</v>
      </c>
      <c r="N10" s="168">
        <f ca="1">IS!N23</f>
        <v>375.90863654897498</v>
      </c>
      <c r="O10" s="168">
        <f ca="1">IS!O23</f>
        <v>390.62691967079752</v>
      </c>
      <c r="P10" s="168">
        <f ca="1">IS!P23</f>
        <v>403.19654881092339</v>
      </c>
      <c r="Q10" s="283" t="s">
        <v>184</v>
      </c>
    </row>
    <row r="11" spans="2:18" ht="14.4" x14ac:dyDescent="0.3">
      <c r="B11" s="97"/>
      <c r="C11" s="118" t="s">
        <v>92</v>
      </c>
      <c r="D11" s="97"/>
      <c r="L11" s="10">
        <f>Equity!L11</f>
        <v>11.9</v>
      </c>
      <c r="M11" s="10">
        <f>Equity!M11</f>
        <v>11.9</v>
      </c>
      <c r="N11" s="10">
        <f>Equity!N11</f>
        <v>11.9</v>
      </c>
      <c r="O11" s="10">
        <f>Equity!O11</f>
        <v>11.9</v>
      </c>
      <c r="P11" s="10">
        <f>Equity!P11</f>
        <v>11.9</v>
      </c>
      <c r="Q11" s="283" t="s">
        <v>184</v>
      </c>
    </row>
    <row r="12" spans="2:18" ht="14.4" x14ac:dyDescent="0.3">
      <c r="B12" s="97"/>
      <c r="C12" s="97" t="s">
        <v>11</v>
      </c>
      <c r="D12" s="97"/>
      <c r="L12" s="160">
        <f>Dep!L39</f>
        <v>97.258830714285722</v>
      </c>
      <c r="M12" s="160">
        <f>Dep!M39</f>
        <v>124.21058666285715</v>
      </c>
      <c r="N12" s="160">
        <f>Dep!N39</f>
        <v>152.61626924361144</v>
      </c>
      <c r="O12" s="160">
        <f>Dep!O39</f>
        <v>182.44079628917908</v>
      </c>
      <c r="P12" s="160">
        <f>Dep!P39</f>
        <v>213.63585355413755</v>
      </c>
      <c r="Q12" s="283" t="s">
        <v>184</v>
      </c>
    </row>
    <row r="13" spans="2:18" ht="14.4" x14ac:dyDescent="0.3">
      <c r="B13" s="97"/>
      <c r="C13" s="118" t="s">
        <v>99</v>
      </c>
      <c r="D13" s="97"/>
      <c r="L13" s="160">
        <f>Amort!L36</f>
        <v>2.36961520685003</v>
      </c>
      <c r="M13" s="160">
        <f>Amort!M36</f>
        <v>2.592809458134584</v>
      </c>
      <c r="N13" s="160">
        <f>Amort!N36</f>
        <v>2.8086386445371074</v>
      </c>
      <c r="O13" s="160">
        <f>Amort!O36</f>
        <v>3.0165545193330554</v>
      </c>
      <c r="P13" s="160">
        <f>Amort!P36</f>
        <v>3.2160849540622678</v>
      </c>
      <c r="Q13" s="283" t="s">
        <v>184</v>
      </c>
    </row>
    <row r="14" spans="2:18" ht="14.4" x14ac:dyDescent="0.3">
      <c r="B14" s="97"/>
      <c r="C14" s="97" t="s">
        <v>60</v>
      </c>
      <c r="D14" s="97"/>
      <c r="L14" s="173">
        <f>WC!L39</f>
        <v>-61.522972429643801</v>
      </c>
      <c r="M14" s="173">
        <f>WC!M39</f>
        <v>5.7360818389010575</v>
      </c>
      <c r="N14" s="173">
        <f>WC!N39</f>
        <v>8.3351995355803581</v>
      </c>
      <c r="O14" s="173">
        <f>WC!O39</f>
        <v>10.980157532273637</v>
      </c>
      <c r="P14" s="173">
        <f>WC!P39</f>
        <v>13.631194530842919</v>
      </c>
      <c r="Q14" s="283" t="s">
        <v>184</v>
      </c>
      <c r="R14" s="283"/>
    </row>
    <row r="15" spans="2:18" ht="14.4" x14ac:dyDescent="0.3">
      <c r="B15" s="97"/>
      <c r="C15" s="97" t="s">
        <v>88</v>
      </c>
      <c r="D15" s="97"/>
      <c r="L15" s="174">
        <f>Other!L22</f>
        <v>0</v>
      </c>
      <c r="M15" s="174">
        <f>Other!M22</f>
        <v>0</v>
      </c>
      <c r="N15" s="174">
        <f>Other!N22</f>
        <v>0</v>
      </c>
      <c r="O15" s="174">
        <f>Other!O22</f>
        <v>0</v>
      </c>
      <c r="P15" s="174">
        <f>Other!P22</f>
        <v>0</v>
      </c>
      <c r="Q15" s="283" t="s">
        <v>184</v>
      </c>
    </row>
    <row r="16" spans="2:18" ht="14.4" x14ac:dyDescent="0.3">
      <c r="B16"/>
      <c r="C16"/>
      <c r="D16" t="s">
        <v>100</v>
      </c>
      <c r="L16" s="49">
        <f ca="1">SUM(L10:L15)</f>
        <v>396.17458197382888</v>
      </c>
      <c r="M16" s="49">
        <f t="shared" ref="M16:P16" ca="1" si="1">SUM(M10:M15)</f>
        <v>504.79567408829882</v>
      </c>
      <c r="N16" s="49">
        <f t="shared" ca="1" si="1"/>
        <v>551.56874397270394</v>
      </c>
      <c r="O16" s="49">
        <f t="shared" ca="1" si="1"/>
        <v>598.96442801158321</v>
      </c>
      <c r="P16" s="49">
        <f t="shared" ca="1" si="1"/>
        <v>645.57968184996605</v>
      </c>
    </row>
    <row r="17" spans="2:18" ht="14.4" x14ac:dyDescent="0.3">
      <c r="B17"/>
      <c r="C17"/>
      <c r="D17"/>
    </row>
    <row r="18" spans="2:18" ht="14.4" x14ac:dyDescent="0.3">
      <c r="B18" s="107" t="s">
        <v>101</v>
      </c>
      <c r="C18"/>
      <c r="D18"/>
    </row>
    <row r="19" spans="2:18" ht="14.4" x14ac:dyDescent="0.3">
      <c r="B19"/>
      <c r="C19" s="106" t="s">
        <v>63</v>
      </c>
      <c r="D19"/>
      <c r="L19" s="160">
        <f>-Dep!L9</f>
        <v>-183.52363000000003</v>
      </c>
      <c r="M19" s="160">
        <f>-Dep!M9</f>
        <v>-193.80095328000004</v>
      </c>
      <c r="N19" s="160">
        <f>-Dep!N9</f>
        <v>-203.87860285056004</v>
      </c>
      <c r="O19" s="160">
        <f>-Dep!O9</f>
        <v>-213.66477578738693</v>
      </c>
      <c r="P19" s="160">
        <f>-Dep!P9</f>
        <v>-223.06602592203194</v>
      </c>
      <c r="Q19" s="283" t="s">
        <v>184</v>
      </c>
      <c r="R19" s="283"/>
    </row>
    <row r="20" spans="2:18" ht="14.4" x14ac:dyDescent="0.3">
      <c r="B20"/>
      <c r="C20" s="105" t="s">
        <v>102</v>
      </c>
      <c r="D20"/>
      <c r="L20" s="174">
        <f>-Amort!L9</f>
        <v>-5.4415299288014287</v>
      </c>
      <c r="M20" s="174">
        <f>-Amort!M9</f>
        <v>-5.2717941328571634</v>
      </c>
      <c r="N20" s="174">
        <f>-Amort!N9</f>
        <v>-5.0880068144639781</v>
      </c>
      <c r="O20" s="174">
        <f>-Amort!O9</f>
        <v>-4.8919551757415123</v>
      </c>
      <c r="P20" s="174">
        <f>-Amort!P9</f>
        <v>-4.6855056912606772</v>
      </c>
      <c r="Q20" s="283" t="s">
        <v>184</v>
      </c>
      <c r="R20" s="283"/>
    </row>
    <row r="21" spans="2:18" ht="14.4" x14ac:dyDescent="0.3">
      <c r="B21"/>
      <c r="C21"/>
      <c r="D21" t="s">
        <v>103</v>
      </c>
      <c r="L21" s="49">
        <f>SUM(L19:L20)</f>
        <v>-188.96515992880146</v>
      </c>
      <c r="M21" s="49">
        <f t="shared" ref="M21:P21" si="2">SUM(M19:M20)</f>
        <v>-199.07274741285721</v>
      </c>
      <c r="N21" s="49">
        <f t="shared" si="2"/>
        <v>-208.96660966502401</v>
      </c>
      <c r="O21" s="49">
        <f t="shared" si="2"/>
        <v>-218.55673096312844</v>
      </c>
      <c r="P21" s="49">
        <f t="shared" si="2"/>
        <v>-227.75153161329263</v>
      </c>
    </row>
    <row r="22" spans="2:18" ht="14.4" x14ac:dyDescent="0.3">
      <c r="B22"/>
      <c r="C22"/>
      <c r="D22"/>
    </row>
    <row r="23" spans="2:18" x14ac:dyDescent="0.25">
      <c r="B23" s="95" t="s">
        <v>104</v>
      </c>
      <c r="C23" s="95"/>
      <c r="D23" s="95"/>
      <c r="L23" s="120">
        <f ca="1">L16+L21</f>
        <v>207.20942204502742</v>
      </c>
      <c r="M23" s="120">
        <f t="shared" ref="M23:P23" ca="1" si="3">M16+M21</f>
        <v>305.72292667544161</v>
      </c>
      <c r="N23" s="120">
        <f t="shared" ca="1" si="3"/>
        <v>342.60213430767993</v>
      </c>
      <c r="O23" s="120">
        <f t="shared" ca="1" si="3"/>
        <v>380.40769704845479</v>
      </c>
      <c r="P23" s="120">
        <f t="shared" ca="1" si="3"/>
        <v>417.82815023667342</v>
      </c>
    </row>
    <row r="24" spans="2:18" ht="14.4" x14ac:dyDescent="0.3">
      <c r="B24"/>
      <c r="C24"/>
      <c r="D24"/>
    </row>
    <row r="25" spans="2:18" ht="14.4" x14ac:dyDescent="0.3">
      <c r="B25" s="107" t="s">
        <v>105</v>
      </c>
      <c r="C25"/>
      <c r="D25"/>
    </row>
    <row r="26" spans="2:18" ht="14.4" x14ac:dyDescent="0.3">
      <c r="B26"/>
      <c r="C26" t="s">
        <v>106</v>
      </c>
      <c r="D26"/>
      <c r="L26" s="160">
        <f ca="1">'Debt&amp;Int'!L20</f>
        <v>17.581603532957701</v>
      </c>
      <c r="M26" s="160">
        <f ca="1">'Debt&amp;Int'!M20</f>
        <v>-154.07332391869858</v>
      </c>
      <c r="N26" s="160">
        <f ca="1">'Debt&amp;Int'!N20</f>
        <v>65.579500168782545</v>
      </c>
      <c r="O26" s="160">
        <f ca="1">'Debt&amp;Int'!O20</f>
        <v>-215.94431603644702</v>
      </c>
      <c r="P26" s="160">
        <f ca="1">'Debt&amp;Int'!P20</f>
        <v>-18.343542310209415</v>
      </c>
      <c r="Q26" s="283" t="s">
        <v>184</v>
      </c>
    </row>
    <row r="27" spans="2:18" ht="14.4" x14ac:dyDescent="0.3">
      <c r="B27"/>
      <c r="C27" t="s">
        <v>107</v>
      </c>
      <c r="D27" s="97"/>
      <c r="L27" s="160">
        <f>'Debt&amp;Int'!L25</f>
        <v>0</v>
      </c>
      <c r="M27" s="160">
        <f>'Debt&amp;Int'!M25</f>
        <v>0</v>
      </c>
      <c r="N27" s="160">
        <f>'Debt&amp;Int'!N25</f>
        <v>0</v>
      </c>
      <c r="O27" s="160">
        <f>'Debt&amp;Int'!O25</f>
        <v>0</v>
      </c>
      <c r="P27" s="160">
        <f>'Debt&amp;Int'!P25</f>
        <v>0</v>
      </c>
      <c r="Q27" s="283" t="s">
        <v>184</v>
      </c>
    </row>
    <row r="28" spans="2:18" ht="14.4" x14ac:dyDescent="0.3">
      <c r="B28"/>
      <c r="C28" t="s">
        <v>108</v>
      </c>
      <c r="D28" s="97"/>
      <c r="L28" s="160">
        <f>'Debt&amp;Int'!L26</f>
        <v>-100.2</v>
      </c>
      <c r="M28" s="160">
        <f>'Debt&amp;Int'!M26</f>
        <v>-0.3</v>
      </c>
      <c r="N28" s="160">
        <f>'Debt&amp;Int'!N26</f>
        <v>-250.3</v>
      </c>
      <c r="O28" s="160">
        <f>'Debt&amp;Int'!O26</f>
        <v>-0.4</v>
      </c>
      <c r="P28" s="160">
        <f>'Debt&amp;Int'!P26</f>
        <v>-200.6</v>
      </c>
      <c r="Q28" s="283" t="s">
        <v>184</v>
      </c>
    </row>
    <row r="29" spans="2:18" ht="14.4" x14ac:dyDescent="0.3">
      <c r="B29" s="97"/>
      <c r="C29" s="118" t="s">
        <v>93</v>
      </c>
      <c r="D29" s="97"/>
      <c r="L29" s="174">
        <f ca="1">-Equity!L16</f>
        <v>-145.39102556308271</v>
      </c>
      <c r="M29" s="174">
        <f ca="1">-Equity!M16</f>
        <v>-151.34960237851024</v>
      </c>
      <c r="N29" s="174">
        <f ca="1">-Equity!N16</f>
        <v>-157.88162659246646</v>
      </c>
      <c r="O29" s="174">
        <f ca="1">-Equity!O16</f>
        <v>-164.06329808518578</v>
      </c>
      <c r="P29" s="174">
        <f ca="1">-Equity!P16</f>
        <v>-169.34256271903479</v>
      </c>
      <c r="Q29" s="283" t="s">
        <v>184</v>
      </c>
    </row>
    <row r="30" spans="2:18" ht="14.4" x14ac:dyDescent="0.3">
      <c r="B30"/>
      <c r="C30"/>
      <c r="D30" t="s">
        <v>109</v>
      </c>
      <c r="L30" s="49">
        <f ca="1">SUM(L26:L29)</f>
        <v>-228.00942203012499</v>
      </c>
      <c r="M30" s="49">
        <f t="shared" ref="M30:P30" ca="1" si="4">SUM(M26:M29)</f>
        <v>-305.7229262972088</v>
      </c>
      <c r="N30" s="49">
        <f t="shared" ca="1" si="4"/>
        <v>-342.6021264236839</v>
      </c>
      <c r="O30" s="49">
        <f t="shared" ca="1" si="4"/>
        <v>-380.40761412163283</v>
      </c>
      <c r="P30" s="49">
        <f t="shared" ca="1" si="4"/>
        <v>-388.2861050292442</v>
      </c>
    </row>
    <row r="31" spans="2:18" ht="14.4" x14ac:dyDescent="0.3">
      <c r="B31"/>
      <c r="C31"/>
      <c r="D31"/>
    </row>
    <row r="32" spans="2:18" ht="14.4" x14ac:dyDescent="0.3">
      <c r="B32" t="s">
        <v>110</v>
      </c>
      <c r="C32"/>
      <c r="D32"/>
      <c r="L32" s="49">
        <f ca="1">L23+L30</f>
        <v>-20.799999985097571</v>
      </c>
      <c r="M32" s="49">
        <f t="shared" ref="M32:P32" ca="1" si="5">M23+M30</f>
        <v>3.782328121815226E-7</v>
      </c>
      <c r="N32" s="49">
        <f t="shared" ca="1" si="5"/>
        <v>7.8839960337973025E-6</v>
      </c>
      <c r="O32" s="49">
        <f t="shared" ca="1" si="5"/>
        <v>8.2926821960427333E-5</v>
      </c>
      <c r="P32" s="49">
        <f t="shared" ca="1" si="5"/>
        <v>29.542045207429226</v>
      </c>
    </row>
    <row r="33" spans="2:17" ht="14.4" x14ac:dyDescent="0.3">
      <c r="B33"/>
      <c r="C33" t="s">
        <v>111</v>
      </c>
      <c r="D33"/>
      <c r="L33" s="174">
        <f>BS!K8</f>
        <v>55.8</v>
      </c>
      <c r="M33" s="174">
        <f ca="1">BS!L8</f>
        <v>35.000000011937132</v>
      </c>
      <c r="N33" s="174">
        <f ca="1">BS!M8</f>
        <v>35.000000988935497</v>
      </c>
      <c r="O33" s="174">
        <f ca="1">BS!N8</f>
        <v>35.000015112275449</v>
      </c>
      <c r="P33" s="174">
        <f ca="1">BS!O8</f>
        <v>35.000100876191382</v>
      </c>
      <c r="Q33" s="283" t="s">
        <v>184</v>
      </c>
    </row>
    <row r="34" spans="2:17" ht="14.4" x14ac:dyDescent="0.3">
      <c r="B34"/>
      <c r="C34" t="s">
        <v>112</v>
      </c>
      <c r="D34"/>
      <c r="L34" s="36">
        <f ca="1">SUM(L32:L33)</f>
        <v>35.000000014902426</v>
      </c>
      <c r="M34" s="36">
        <f t="shared" ref="M34:P34" ca="1" si="6">SUM(M32:M33)</f>
        <v>35.000000390169944</v>
      </c>
      <c r="N34" s="36">
        <f t="shared" ca="1" si="6"/>
        <v>35.000008872931531</v>
      </c>
      <c r="O34" s="36">
        <f t="shared" ca="1" si="6"/>
        <v>35.000098039097409</v>
      </c>
      <c r="P34" s="36">
        <f t="shared" ca="1" si="6"/>
        <v>64.542146083620608</v>
      </c>
    </row>
    <row r="35" spans="2:17" ht="14.4" x14ac:dyDescent="0.3">
      <c r="B35"/>
      <c r="C35"/>
      <c r="D35"/>
    </row>
    <row r="36" spans="2:17" ht="14.4" x14ac:dyDescent="0.3">
      <c r="B36"/>
      <c r="C36"/>
      <c r="D36"/>
    </row>
    <row r="37" spans="2:17" ht="14.4" x14ac:dyDescent="0.3">
      <c r="B37" s="119"/>
      <c r="C37"/>
      <c r="D37"/>
    </row>
    <row r="38" spans="2:17" ht="14.4" x14ac:dyDescent="0.3">
      <c r="B38"/>
      <c r="C38"/>
      <c r="D38"/>
    </row>
    <row r="1000" spans="648:648" ht="15" x14ac:dyDescent="0.25">
      <c r="XX1000" s="305">
        <v>127155</v>
      </c>
    </row>
  </sheetData>
  <mergeCells count="2">
    <mergeCell ref="I6:K6"/>
    <mergeCell ref="L6:P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40254-CC94-4223-9AE8-582732DF653E}">
  <sheetPr codeName="Sheet11"/>
  <dimension ref="B1:XX1000"/>
  <sheetViews>
    <sheetView showGridLines="0" topLeftCell="A4" zoomScaleNormal="100" workbookViewId="0">
      <selection activeCell="P18" sqref="P18"/>
    </sheetView>
  </sheetViews>
  <sheetFormatPr defaultColWidth="8.77734375" defaultRowHeight="13.8" x14ac:dyDescent="0.25"/>
  <cols>
    <col min="1" max="3" width="2.77734375" style="2" customWidth="1"/>
    <col min="4" max="8" width="8.77734375" style="2"/>
    <col min="9" max="16" width="10.77734375" style="2" customWidth="1"/>
    <col min="17" max="16384" width="8.77734375" style="2"/>
  </cols>
  <sheetData>
    <row r="1" spans="2:17" ht="15" x14ac:dyDescent="0.25">
      <c r="B1" s="1" t="str">
        <f>"Debt and Interest Schedule for "&amp;CoName</f>
        <v>Debt and Interest Schedule for Sharang Corporation</v>
      </c>
    </row>
    <row r="2" spans="2:17" x14ac:dyDescent="0.25">
      <c r="B2" s="3" t="str">
        <f>subhead</f>
        <v>Dollars in millions, except per share data</v>
      </c>
    </row>
    <row r="4" spans="2:17" x14ac:dyDescent="0.25">
      <c r="H4" s="5" t="s">
        <v>5</v>
      </c>
      <c r="I4" s="2">
        <v>-2</v>
      </c>
      <c r="J4" s="2">
        <f>I4+1</f>
        <v>-1</v>
      </c>
      <c r="K4" s="2">
        <f t="shared" ref="K4:P4" si="0">J4+1</f>
        <v>0</v>
      </c>
      <c r="L4" s="2">
        <f t="shared" si="0"/>
        <v>1</v>
      </c>
      <c r="M4" s="2">
        <f t="shared" si="0"/>
        <v>2</v>
      </c>
      <c r="N4" s="2">
        <f t="shared" si="0"/>
        <v>3</v>
      </c>
      <c r="O4" s="2">
        <f t="shared" si="0"/>
        <v>4</v>
      </c>
      <c r="P4" s="2">
        <f t="shared" si="0"/>
        <v>5</v>
      </c>
    </row>
    <row r="6" spans="2:17" x14ac:dyDescent="0.25">
      <c r="B6" s="37"/>
      <c r="C6" s="37"/>
      <c r="D6" s="37"/>
      <c r="E6" s="37"/>
      <c r="F6" s="37"/>
      <c r="G6" s="37"/>
      <c r="H6" s="37"/>
      <c r="I6" s="308" t="str">
        <f>"Historical Year Ending "&amp;TEXT(FYE,"Mmmm dd") &amp; ","</f>
        <v>Historical Year Ending December 31,</v>
      </c>
      <c r="J6" s="308"/>
      <c r="K6" s="309"/>
      <c r="L6" s="308" t="str">
        <f>"Projected Year Ending "&amp;TEXT(FYE,"Mmmm Dd,")</f>
        <v>Projected Year Ending December 31,</v>
      </c>
      <c r="M6" s="308"/>
      <c r="N6" s="308"/>
      <c r="O6" s="308"/>
      <c r="P6" s="308"/>
    </row>
    <row r="7" spans="2:17" x14ac:dyDescent="0.25">
      <c r="B7" s="37"/>
      <c r="C7" s="37"/>
      <c r="D7" s="37"/>
      <c r="E7" s="37"/>
      <c r="F7" s="37"/>
      <c r="G7" s="37"/>
      <c r="H7" s="37"/>
      <c r="I7" s="38">
        <f t="shared" ref="I7:P7" si="1">YEAR(FYE)+I4</f>
        <v>2021</v>
      </c>
      <c r="J7" s="38">
        <f t="shared" si="1"/>
        <v>2022</v>
      </c>
      <c r="K7" s="39">
        <f t="shared" si="1"/>
        <v>2023</v>
      </c>
      <c r="L7" s="38">
        <f t="shared" si="1"/>
        <v>2024</v>
      </c>
      <c r="M7" s="38">
        <f t="shared" si="1"/>
        <v>2025</v>
      </c>
      <c r="N7" s="38">
        <f t="shared" si="1"/>
        <v>2026</v>
      </c>
      <c r="O7" s="38">
        <f t="shared" si="1"/>
        <v>2027</v>
      </c>
      <c r="P7" s="38">
        <f t="shared" si="1"/>
        <v>2028</v>
      </c>
    </row>
    <row r="9" spans="2:17" ht="14.4" x14ac:dyDescent="0.3">
      <c r="B9" t="s">
        <v>104</v>
      </c>
      <c r="C9"/>
      <c r="D9"/>
      <c r="E9"/>
      <c r="F9"/>
      <c r="G9"/>
      <c r="H9"/>
      <c r="I9" s="121"/>
      <c r="J9" s="121"/>
      <c r="K9" s="122"/>
      <c r="L9" s="168">
        <f ca="1">CF!L23</f>
        <v>207.20942204502742</v>
      </c>
      <c r="M9" s="168">
        <f ca="1">CF!M23</f>
        <v>305.72292667544161</v>
      </c>
      <c r="N9" s="168">
        <f ca="1">CF!N23</f>
        <v>342.60213430767993</v>
      </c>
      <c r="O9" s="168">
        <f ca="1">CF!O23</f>
        <v>380.40769704845479</v>
      </c>
      <c r="P9" s="168">
        <f ca="1">CF!P23</f>
        <v>417.82815023667342</v>
      </c>
      <c r="Q9" s="283" t="s">
        <v>184</v>
      </c>
    </row>
    <row r="10" spans="2:17" ht="14.4" x14ac:dyDescent="0.3">
      <c r="B10"/>
      <c r="C10" s="106" t="s">
        <v>93</v>
      </c>
      <c r="D10"/>
      <c r="E10"/>
      <c r="F10"/>
      <c r="G10"/>
      <c r="H10"/>
      <c r="I10" s="121"/>
      <c r="J10" s="121"/>
      <c r="K10" s="122"/>
      <c r="L10" s="160">
        <f ca="1">-Equity!L16</f>
        <v>-145.39102556308271</v>
      </c>
      <c r="M10" s="160">
        <f ca="1">-Equity!M16</f>
        <v>-151.34960237851024</v>
      </c>
      <c r="N10" s="160">
        <f ca="1">-Equity!N16</f>
        <v>-157.88162659246646</v>
      </c>
      <c r="O10" s="160">
        <f ca="1">-Equity!O16</f>
        <v>-164.06329808518578</v>
      </c>
      <c r="P10" s="160">
        <f ca="1">-Equity!P16</f>
        <v>-169.34256271903479</v>
      </c>
      <c r="Q10" s="283" t="s">
        <v>184</v>
      </c>
    </row>
    <row r="11" spans="2:17" ht="14.4" x14ac:dyDescent="0.3">
      <c r="B11"/>
      <c r="C11" t="s">
        <v>113</v>
      </c>
      <c r="D11"/>
      <c r="E11"/>
      <c r="F11"/>
      <c r="G11"/>
      <c r="H11"/>
      <c r="I11" s="121"/>
      <c r="J11" s="121"/>
      <c r="K11" s="122"/>
      <c r="L11" s="160">
        <f>BS!K8</f>
        <v>55.8</v>
      </c>
      <c r="M11" s="160">
        <f ca="1">BS!L8</f>
        <v>35.000000011937132</v>
      </c>
      <c r="N11" s="160">
        <f ca="1">BS!M8</f>
        <v>35.000000988935497</v>
      </c>
      <c r="O11" s="160">
        <f ca="1">BS!N8</f>
        <v>35.000015112275449</v>
      </c>
      <c r="P11" s="160">
        <f ca="1">BS!O8</f>
        <v>35.000100876191382</v>
      </c>
      <c r="Q11" s="283" t="s">
        <v>184</v>
      </c>
    </row>
    <row r="12" spans="2:17" ht="14.4" x14ac:dyDescent="0.3">
      <c r="B12"/>
      <c r="C12" t="s">
        <v>114</v>
      </c>
      <c r="D12"/>
      <c r="E12"/>
      <c r="F12"/>
      <c r="G12"/>
      <c r="H12"/>
      <c r="I12" s="123"/>
      <c r="J12" s="123"/>
      <c r="K12" s="124"/>
      <c r="L12" s="149">
        <v>-35</v>
      </c>
      <c r="M12" s="150">
        <f>L12</f>
        <v>-35</v>
      </c>
      <c r="N12" s="150">
        <f t="shared" ref="N12:P12" si="2">M12</f>
        <v>-35</v>
      </c>
      <c r="O12" s="150">
        <f t="shared" si="2"/>
        <v>-35</v>
      </c>
      <c r="P12" s="150">
        <f t="shared" si="2"/>
        <v>-35</v>
      </c>
    </row>
    <row r="13" spans="2:17" x14ac:dyDescent="0.25">
      <c r="B13" s="106" t="s">
        <v>115</v>
      </c>
      <c r="C13" s="106"/>
      <c r="D13" s="106"/>
      <c r="E13" s="106"/>
      <c r="F13" s="106"/>
      <c r="G13" s="106"/>
      <c r="H13" s="106"/>
      <c r="I13" s="125"/>
      <c r="J13" s="125"/>
      <c r="K13" s="122"/>
      <c r="L13" s="36">
        <f ca="1">SUM(L9:L12)</f>
        <v>82.618396481944714</v>
      </c>
      <c r="M13" s="36">
        <f ca="1">SUM(M9:M12)</f>
        <v>154.37332430886852</v>
      </c>
      <c r="N13" s="36">
        <f ca="1">SUM(N9:N12)</f>
        <v>184.72050870414898</v>
      </c>
      <c r="O13" s="36">
        <f ca="1">SUM(O9:O12)</f>
        <v>216.34441407554448</v>
      </c>
      <c r="P13" s="36">
        <f ca="1">SUM(P9:P12)</f>
        <v>248.48568839383</v>
      </c>
    </row>
    <row r="14" spans="2:17" ht="14.4" x14ac:dyDescent="0.3">
      <c r="B14" s="28"/>
      <c r="C14" t="s">
        <v>116</v>
      </c>
      <c r="D14" s="106"/>
      <c r="E14" s="106"/>
      <c r="F14" s="106"/>
      <c r="G14" s="106"/>
      <c r="H14" s="106"/>
      <c r="I14" s="125"/>
      <c r="J14" s="125"/>
      <c r="K14" s="122"/>
      <c r="L14" s="160">
        <f t="shared" ref="L14:P15" si="3">L25</f>
        <v>0</v>
      </c>
      <c r="M14" s="160">
        <f t="shared" si="3"/>
        <v>0</v>
      </c>
      <c r="N14" s="160">
        <f t="shared" si="3"/>
        <v>0</v>
      </c>
      <c r="O14" s="160">
        <f t="shared" si="3"/>
        <v>0</v>
      </c>
      <c r="P14" s="160">
        <f t="shared" si="3"/>
        <v>0</v>
      </c>
      <c r="Q14" s="283" t="s">
        <v>184</v>
      </c>
    </row>
    <row r="15" spans="2:17" x14ac:dyDescent="0.25">
      <c r="B15" s="28"/>
      <c r="C15" s="106" t="s">
        <v>117</v>
      </c>
      <c r="D15" s="106"/>
      <c r="E15" s="106"/>
      <c r="F15" s="106"/>
      <c r="G15" s="106"/>
      <c r="H15" s="106"/>
      <c r="I15" s="126"/>
      <c r="J15" s="126"/>
      <c r="K15" s="124"/>
      <c r="L15" s="174">
        <f t="shared" si="3"/>
        <v>-100.2</v>
      </c>
      <c r="M15" s="174">
        <f t="shared" si="3"/>
        <v>-0.3</v>
      </c>
      <c r="N15" s="174">
        <f t="shared" si="3"/>
        <v>-250.3</v>
      </c>
      <c r="O15" s="174">
        <f t="shared" si="3"/>
        <v>-0.4</v>
      </c>
      <c r="P15" s="174">
        <f t="shared" si="3"/>
        <v>-200.6</v>
      </c>
      <c r="Q15" s="283" t="s">
        <v>184</v>
      </c>
    </row>
    <row r="16" spans="2:17" ht="14.4" x14ac:dyDescent="0.3">
      <c r="B16" s="28" t="s">
        <v>118</v>
      </c>
      <c r="C16"/>
      <c r="D16"/>
      <c r="E16"/>
      <c r="F16"/>
      <c r="G16"/>
      <c r="H16"/>
      <c r="I16" s="125"/>
      <c r="J16" s="125"/>
      <c r="K16" s="122"/>
      <c r="L16" s="36">
        <f ca="1">SUM(L13:L15)</f>
        <v>-17.581603518055289</v>
      </c>
      <c r="M16" s="36">
        <f ca="1">SUM(M13:M15)</f>
        <v>154.07332430886851</v>
      </c>
      <c r="N16" s="36">
        <f ca="1">SUM(N13:N15)</f>
        <v>-65.579491295851028</v>
      </c>
      <c r="O16" s="36">
        <f ca="1">SUM(O13:O15)</f>
        <v>215.94441407554447</v>
      </c>
      <c r="P16" s="36">
        <f ca="1">SUM(P13:P15)</f>
        <v>47.885688393830009</v>
      </c>
    </row>
    <row r="17" spans="2:18" ht="14.4" x14ac:dyDescent="0.3">
      <c r="B17"/>
      <c r="C17"/>
      <c r="D17"/>
      <c r="E17"/>
      <c r="F17"/>
      <c r="G17"/>
      <c r="H17"/>
      <c r="I17" s="106"/>
      <c r="J17" s="106"/>
      <c r="K17" s="127"/>
    </row>
    <row r="18" spans="2:18" ht="14.4" x14ac:dyDescent="0.3">
      <c r="B18" s="128" t="str">
        <f>BS!B25</f>
        <v>Revolver</v>
      </c>
      <c r="C18"/>
      <c r="D18"/>
      <c r="E18"/>
      <c r="F18"/>
      <c r="G18"/>
      <c r="H18"/>
      <c r="I18" s="106"/>
      <c r="J18" s="106"/>
      <c r="K18" s="127"/>
    </row>
    <row r="19" spans="2:18" ht="14.4" x14ac:dyDescent="0.3">
      <c r="B19"/>
      <c r="C19" t="s">
        <v>119</v>
      </c>
      <c r="D19"/>
      <c r="E19"/>
      <c r="F19"/>
      <c r="G19"/>
      <c r="H19"/>
      <c r="I19" s="125"/>
      <c r="J19" s="125"/>
      <c r="K19" s="122"/>
      <c r="L19" s="36">
        <f>K21</f>
        <v>305.2</v>
      </c>
      <c r="M19" s="36">
        <f ca="1">L21</f>
        <v>322.78160353295766</v>
      </c>
      <c r="N19" s="36">
        <f ca="1">M21</f>
        <v>168.7082796261962</v>
      </c>
      <c r="O19" s="36">
        <f ca="1">N21</f>
        <v>234.28778072852657</v>
      </c>
      <c r="P19" s="36">
        <f ca="1">O21</f>
        <v>18.343477181959116</v>
      </c>
    </row>
    <row r="20" spans="2:18" ht="14.4" x14ac:dyDescent="0.3">
      <c r="B20"/>
      <c r="C20" t="s">
        <v>106</v>
      </c>
      <c r="D20"/>
      <c r="E20"/>
      <c r="F20"/>
      <c r="G20"/>
      <c r="H20"/>
      <c r="I20" s="126"/>
      <c r="J20" s="129" t="s">
        <v>120</v>
      </c>
      <c r="K20" s="122"/>
      <c r="L20" s="284">
        <f ca="1">IF(L19&gt;0, -MIN(L16,L19),-MIN(L16,0))</f>
        <v>17.581603518055289</v>
      </c>
      <c r="M20" s="284">
        <f ca="1">IF(M19&gt;0, -MIN(M16,M19),-MIN(M16,0))</f>
        <v>-154.07332430886851</v>
      </c>
      <c r="N20" s="284">
        <f ca="1">IF(N19&gt;0, -MIN(N16,N19),-MIN(N16,0))</f>
        <v>65.579491295851028</v>
      </c>
      <c r="O20" s="284">
        <f ca="1">IF(O19&gt;0, -MIN(O16,O19),-MIN(O16,0))</f>
        <v>-215.94441407554447</v>
      </c>
      <c r="P20" s="284">
        <f ca="1">IF(P19&gt;0, -MIN(P16,P19),-MIN(P16,0))</f>
        <v>-18.343477181959116</v>
      </c>
      <c r="Q20" s="283" t="s">
        <v>187</v>
      </c>
    </row>
    <row r="21" spans="2:18" ht="14.4" x14ac:dyDescent="0.3">
      <c r="B21"/>
      <c r="C21" s="106" t="s">
        <v>121</v>
      </c>
      <c r="D21" s="106"/>
      <c r="E21" s="106"/>
      <c r="F21" s="106"/>
      <c r="G21" s="106"/>
      <c r="H21" s="106"/>
      <c r="I21" s="130">
        <f>BS!I25</f>
        <v>303.10000000000002</v>
      </c>
      <c r="J21" s="130">
        <f>BS!J25</f>
        <v>221.2</v>
      </c>
      <c r="K21" s="147">
        <f>BS!K25</f>
        <v>305.2</v>
      </c>
      <c r="L21" s="36">
        <f ca="1">L19+L20</f>
        <v>322.78160351805525</v>
      </c>
      <c r="M21" s="36">
        <f ca="1">M19+M20</f>
        <v>168.70827922408915</v>
      </c>
      <c r="N21" s="36">
        <f ca="1">N19+N20</f>
        <v>234.28777092204723</v>
      </c>
      <c r="O21" s="36">
        <f ca="1">O19+O20</f>
        <v>18.343366652982098</v>
      </c>
      <c r="P21" s="36">
        <f ca="1">P19+P20</f>
        <v>0</v>
      </c>
    </row>
    <row r="22" spans="2:18" ht="14.4" x14ac:dyDescent="0.3">
      <c r="B22"/>
      <c r="C22" s="105"/>
      <c r="D22"/>
      <c r="E22"/>
      <c r="F22"/>
      <c r="G22"/>
      <c r="H22"/>
      <c r="I22" s="106"/>
      <c r="J22" s="106"/>
      <c r="K22" s="127"/>
    </row>
    <row r="23" spans="2:18" ht="14.4" x14ac:dyDescent="0.3">
      <c r="B23" s="128" t="str">
        <f>BS!B26</f>
        <v>Long-term debt</v>
      </c>
      <c r="C23"/>
      <c r="D23"/>
      <c r="E23"/>
      <c r="F23"/>
      <c r="G23"/>
      <c r="H23"/>
      <c r="I23" s="106"/>
      <c r="J23" s="106"/>
      <c r="K23" s="127"/>
    </row>
    <row r="24" spans="2:18" ht="14.4" x14ac:dyDescent="0.3">
      <c r="B24"/>
      <c r="C24" s="105" t="s">
        <v>119</v>
      </c>
      <c r="D24"/>
      <c r="E24"/>
      <c r="F24"/>
      <c r="G24"/>
      <c r="H24"/>
      <c r="I24" s="125"/>
      <c r="J24" s="125"/>
      <c r="K24" s="122"/>
      <c r="L24" s="36">
        <f>BS!K26</f>
        <v>760</v>
      </c>
      <c r="M24" s="36">
        <f>L27</f>
        <v>659.8</v>
      </c>
      <c r="N24" s="36">
        <f t="shared" ref="N24:P24" si="4">M27</f>
        <v>659.5</v>
      </c>
      <c r="O24" s="36">
        <f t="shared" si="4"/>
        <v>409.2</v>
      </c>
      <c r="P24" s="36">
        <f t="shared" si="4"/>
        <v>408.8</v>
      </c>
    </row>
    <row r="25" spans="2:18" ht="14.4" x14ac:dyDescent="0.3">
      <c r="B25"/>
      <c r="C25" s="105" t="s">
        <v>122</v>
      </c>
      <c r="D25"/>
      <c r="E25"/>
      <c r="F25"/>
      <c r="G25"/>
      <c r="H25"/>
      <c r="I25" s="132"/>
      <c r="J25" s="132"/>
      <c r="K25" s="133"/>
      <c r="L25" s="140">
        <v>0</v>
      </c>
      <c r="M25" s="140">
        <v>0</v>
      </c>
      <c r="N25" s="140">
        <v>0</v>
      </c>
      <c r="O25" s="140">
        <v>0</v>
      </c>
      <c r="P25" s="140">
        <v>0</v>
      </c>
    </row>
    <row r="26" spans="2:18" x14ac:dyDescent="0.25">
      <c r="B26" s="106"/>
      <c r="C26" s="105" t="s">
        <v>123</v>
      </c>
      <c r="D26" s="106"/>
      <c r="E26" s="106"/>
      <c r="F26" s="106"/>
      <c r="G26" s="106"/>
      <c r="H26" s="106"/>
      <c r="I26" s="134"/>
      <c r="J26" s="134"/>
      <c r="K26" s="135"/>
      <c r="L26" s="148">
        <v>-100.2</v>
      </c>
      <c r="M26" s="148">
        <v>-0.3</v>
      </c>
      <c r="N26" s="148">
        <v>-250.3</v>
      </c>
      <c r="O26" s="148">
        <v>-0.4</v>
      </c>
      <c r="P26" s="148">
        <v>-200.6</v>
      </c>
    </row>
    <row r="27" spans="2:18" ht="14.4" x14ac:dyDescent="0.3">
      <c r="B27"/>
      <c r="C27" s="105" t="s">
        <v>121</v>
      </c>
      <c r="D27"/>
      <c r="E27"/>
      <c r="F27"/>
      <c r="G27"/>
      <c r="H27"/>
      <c r="I27" s="130">
        <f>BS!I26</f>
        <v>1012</v>
      </c>
      <c r="J27" s="130">
        <f>BS!J26</f>
        <v>950</v>
      </c>
      <c r="K27" s="131">
        <f>BS!K26</f>
        <v>760</v>
      </c>
      <c r="L27" s="36">
        <f>SUM(L24:L26)</f>
        <v>659.8</v>
      </c>
      <c r="M27" s="36">
        <f t="shared" ref="M27:P27" si="5">SUM(M24:M26)</f>
        <v>659.5</v>
      </c>
      <c r="N27" s="36">
        <f t="shared" si="5"/>
        <v>409.2</v>
      </c>
      <c r="O27" s="36">
        <f t="shared" si="5"/>
        <v>408.8</v>
      </c>
      <c r="P27" s="36">
        <f t="shared" si="5"/>
        <v>208.20000000000002</v>
      </c>
    </row>
    <row r="28" spans="2:18" ht="14.4" x14ac:dyDescent="0.3">
      <c r="B28"/>
      <c r="C28" s="105"/>
      <c r="D28"/>
      <c r="E28"/>
      <c r="F28"/>
      <c r="G28"/>
      <c r="H28"/>
      <c r="I28" s="106"/>
      <c r="J28" s="106"/>
      <c r="K28" s="127"/>
    </row>
    <row r="29" spans="2:18" x14ac:dyDescent="0.25">
      <c r="B29" s="136"/>
      <c r="C29" s="137"/>
      <c r="D29" s="136"/>
      <c r="E29" s="136"/>
      <c r="F29" s="136"/>
      <c r="G29" s="136"/>
      <c r="H29" s="136"/>
      <c r="I29" s="138"/>
      <c r="J29" s="138"/>
      <c r="K29" s="139"/>
    </row>
    <row r="30" spans="2:18" x14ac:dyDescent="0.25">
      <c r="B30" s="106" t="str">
        <f>B18</f>
        <v>Revolver</v>
      </c>
      <c r="C30" s="106"/>
      <c r="D30" s="106"/>
      <c r="E30" s="106"/>
      <c r="F30" s="106"/>
      <c r="G30" s="106"/>
      <c r="H30" s="106"/>
      <c r="I30" s="118" t="s">
        <v>124</v>
      </c>
      <c r="J30" s="140"/>
      <c r="K30" s="141"/>
      <c r="L30" s="36">
        <f ca="1">AVERAGE(L19,L21)</f>
        <v>313.99080175902759</v>
      </c>
      <c r="M30" s="36">
        <f ca="1">AVERAGE(M19,M21)</f>
        <v>245.74494137852341</v>
      </c>
      <c r="N30" s="36">
        <f ca="1">AVERAGE(N19,N21)</f>
        <v>201.49802527412172</v>
      </c>
      <c r="O30" s="36">
        <f ca="1">AVERAGE(O19,O21)</f>
        <v>126.31557369075433</v>
      </c>
      <c r="P30" s="36">
        <f ca="1">AVERAGE(P19,P21)</f>
        <v>9.1717385909795581</v>
      </c>
      <c r="R30" s="7" t="s">
        <v>82</v>
      </c>
    </row>
    <row r="31" spans="2:18" ht="14.4" x14ac:dyDescent="0.3">
      <c r="B31"/>
      <c r="C31"/>
      <c r="D31"/>
      <c r="E31"/>
      <c r="F31"/>
      <c r="G31"/>
      <c r="H31"/>
      <c r="I31" t="s">
        <v>189</v>
      </c>
      <c r="J31" s="106"/>
      <c r="K31" s="142" t="s">
        <v>125</v>
      </c>
      <c r="L31" s="151">
        <v>0.05</v>
      </c>
      <c r="M31" s="153">
        <f>L31+$R31</f>
        <v>4.5000000000000005E-2</v>
      </c>
      <c r="N31" s="153">
        <f t="shared" ref="N31:P31" si="6">M31+$R31</f>
        <v>4.0000000000000008E-2</v>
      </c>
      <c r="O31" s="153">
        <f t="shared" si="6"/>
        <v>3.500000000000001E-2</v>
      </c>
      <c r="P31" s="153">
        <f t="shared" si="6"/>
        <v>3.0000000000000009E-2</v>
      </c>
      <c r="R31" s="151">
        <v>-5.0000000000000001E-3</v>
      </c>
    </row>
    <row r="32" spans="2:18" ht="14.4" x14ac:dyDescent="0.3">
      <c r="B32"/>
      <c r="C32"/>
      <c r="D32"/>
      <c r="E32"/>
      <c r="F32"/>
      <c r="G32"/>
      <c r="H32"/>
      <c r="I32" t="s">
        <v>126</v>
      </c>
      <c r="J32" s="106"/>
      <c r="K32" s="143">
        <v>200</v>
      </c>
      <c r="L32" s="152">
        <f>L31+$K32/10000</f>
        <v>7.0000000000000007E-2</v>
      </c>
      <c r="M32" s="152">
        <f t="shared" ref="M32:P32" si="7">M31+$K32/10000</f>
        <v>6.5000000000000002E-2</v>
      </c>
      <c r="N32" s="152">
        <f t="shared" si="7"/>
        <v>6.0000000000000012E-2</v>
      </c>
      <c r="O32" s="152">
        <f t="shared" si="7"/>
        <v>5.5000000000000007E-2</v>
      </c>
      <c r="P32" s="152">
        <f t="shared" si="7"/>
        <v>5.000000000000001E-2</v>
      </c>
    </row>
    <row r="33" spans="2:18" ht="14.4" x14ac:dyDescent="0.3">
      <c r="B33"/>
      <c r="C33"/>
      <c r="D33"/>
      <c r="E33"/>
      <c r="F33"/>
      <c r="G33"/>
      <c r="H33"/>
      <c r="I33" t="s">
        <v>14</v>
      </c>
      <c r="J33" s="106"/>
      <c r="K33" s="127"/>
      <c r="L33" s="36">
        <f ca="1">L32*L30*365/360</f>
        <v>22.284624958175431</v>
      </c>
      <c r="M33" s="36">
        <f ca="1">M32*M30*365/360</f>
        <v>16.195274261681853</v>
      </c>
      <c r="N33" s="36">
        <f ca="1">N32*N30*365/360</f>
        <v>12.257796537509073</v>
      </c>
      <c r="O33" s="36">
        <f ca="1">O32*O30*365/360</f>
        <v>7.0438476162274819</v>
      </c>
      <c r="P33" s="36">
        <f ca="1">P32*P30*365/360</f>
        <v>0.46495619245938047</v>
      </c>
    </row>
    <row r="34" spans="2:18" ht="14.4" x14ac:dyDescent="0.3">
      <c r="B34" s="106"/>
      <c r="C34"/>
      <c r="D34"/>
      <c r="E34"/>
      <c r="F34"/>
      <c r="G34"/>
      <c r="H34"/>
      <c r="I34" s="144"/>
      <c r="J34" s="140"/>
      <c r="K34" s="141"/>
    </row>
    <row r="35" spans="2:18" ht="14.4" x14ac:dyDescent="0.3">
      <c r="B35" s="106" t="str">
        <f>B23</f>
        <v>Long-term debt</v>
      </c>
      <c r="C35"/>
      <c r="D35"/>
      <c r="E35"/>
      <c r="F35"/>
      <c r="G35"/>
      <c r="H35" s="145"/>
      <c r="I35" s="144" t="str">
        <f>I30</f>
        <v>Average balances</v>
      </c>
      <c r="J35" s="106"/>
      <c r="K35" s="127"/>
      <c r="L35" s="36">
        <f>AVERAGE(L24,L27)</f>
        <v>709.9</v>
      </c>
      <c r="M35" s="36">
        <f t="shared" ref="M35:P35" si="8">AVERAGE(M24,M27)</f>
        <v>659.65</v>
      </c>
      <c r="N35" s="36">
        <f t="shared" si="8"/>
        <v>534.35</v>
      </c>
      <c r="O35" s="36">
        <f t="shared" si="8"/>
        <v>409</v>
      </c>
      <c r="P35" s="36">
        <f t="shared" si="8"/>
        <v>308.5</v>
      </c>
    </row>
    <row r="36" spans="2:18" ht="14.4" x14ac:dyDescent="0.3">
      <c r="B36" s="106"/>
      <c r="C36"/>
      <c r="D36"/>
      <c r="E36"/>
      <c r="F36"/>
      <c r="G36"/>
      <c r="H36"/>
      <c r="I36" s="144" t="str">
        <f>I32</f>
        <v>Interest rate</v>
      </c>
      <c r="J36" s="106"/>
      <c r="K36" s="127"/>
      <c r="L36" s="151">
        <v>0.08</v>
      </c>
      <c r="M36" s="153">
        <f>L36</f>
        <v>0.08</v>
      </c>
      <c r="N36" s="153">
        <f t="shared" ref="N36:P36" si="9">M36</f>
        <v>0.08</v>
      </c>
      <c r="O36" s="153">
        <f t="shared" si="9"/>
        <v>0.08</v>
      </c>
      <c r="P36" s="153">
        <f t="shared" si="9"/>
        <v>0.08</v>
      </c>
    </row>
    <row r="37" spans="2:18" ht="14.4" x14ac:dyDescent="0.3">
      <c r="B37"/>
      <c r="C37"/>
      <c r="D37"/>
      <c r="E37"/>
      <c r="F37"/>
      <c r="G37"/>
      <c r="H37"/>
      <c r="I37" t="str">
        <f>I33</f>
        <v>Interest expense</v>
      </c>
      <c r="J37" s="106"/>
      <c r="K37" s="127"/>
      <c r="L37" s="35">
        <f>L35*L36</f>
        <v>56.792000000000002</v>
      </c>
      <c r="M37" s="35">
        <f t="shared" ref="M37:P37" si="10">M35*M36</f>
        <v>52.771999999999998</v>
      </c>
      <c r="N37" s="35">
        <f t="shared" si="10"/>
        <v>42.748000000000005</v>
      </c>
      <c r="O37" s="35">
        <f t="shared" si="10"/>
        <v>32.72</v>
      </c>
      <c r="P37" s="35">
        <f t="shared" si="10"/>
        <v>24.68</v>
      </c>
    </row>
    <row r="38" spans="2:18" x14ac:dyDescent="0.25">
      <c r="B38" s="28"/>
      <c r="C38" s="28"/>
      <c r="D38" s="28"/>
      <c r="E38" s="28"/>
      <c r="F38" s="28"/>
      <c r="G38" s="28"/>
      <c r="H38" s="28"/>
      <c r="I38" s="28"/>
      <c r="J38" s="28"/>
      <c r="K38" s="146"/>
    </row>
    <row r="39" spans="2:18" ht="14.4" x14ac:dyDescent="0.3">
      <c r="B39"/>
      <c r="C39"/>
      <c r="D39"/>
      <c r="E39"/>
      <c r="F39"/>
      <c r="G39"/>
      <c r="H39"/>
      <c r="I39" t="s">
        <v>127</v>
      </c>
      <c r="J39" s="106"/>
      <c r="K39" s="127"/>
      <c r="L39" s="35">
        <f ca="1">L33+L37</f>
        <v>79.076624958175429</v>
      </c>
      <c r="M39" s="35">
        <f ca="1">M33+M37</f>
        <v>68.967274261681851</v>
      </c>
      <c r="N39" s="35">
        <f ca="1">N33+N37</f>
        <v>55.005796537509077</v>
      </c>
      <c r="O39" s="35">
        <f ca="1">O33+O37</f>
        <v>39.76384761622748</v>
      </c>
      <c r="P39" s="35">
        <f ca="1">P33+P37</f>
        <v>25.144956192459379</v>
      </c>
    </row>
    <row r="40" spans="2:18" ht="14.4" x14ac:dyDescent="0.3">
      <c r="B40" s="106"/>
      <c r="C40"/>
      <c r="D40"/>
      <c r="E40"/>
      <c r="F40"/>
      <c r="G40"/>
      <c r="H40"/>
      <c r="I40" s="118"/>
      <c r="J40" s="130"/>
      <c r="K40" s="147"/>
    </row>
    <row r="41" spans="2:18" ht="14.4" x14ac:dyDescent="0.3">
      <c r="B41" s="106" t="s">
        <v>128</v>
      </c>
      <c r="C41"/>
      <c r="D41"/>
      <c r="E41"/>
      <c r="F41"/>
      <c r="G41"/>
      <c r="H41"/>
      <c r="I41" s="118" t="str">
        <f>I35</f>
        <v>Average balances</v>
      </c>
      <c r="J41" s="106"/>
      <c r="K41" s="127"/>
      <c r="L41" s="36">
        <f ca="1">AVERAGE(BS!K8:L8)</f>
        <v>45.400000005968565</v>
      </c>
      <c r="M41" s="36">
        <f ca="1">AVERAGE(BS!L8:M8)</f>
        <v>35.000000500436315</v>
      </c>
      <c r="N41" s="36">
        <f ca="1">AVERAGE(BS!M8:N8)</f>
        <v>35.000008050605473</v>
      </c>
      <c r="O41" s="36">
        <f ca="1">AVERAGE(BS!N8:O8)</f>
        <v>35.000057994233416</v>
      </c>
      <c r="P41" s="36">
        <f ca="1">AVERAGE(BS!O8:P8)</f>
        <v>49.771114820541683</v>
      </c>
      <c r="R41" s="7" t="s">
        <v>82</v>
      </c>
    </row>
    <row r="42" spans="2:18" ht="14.4" x14ac:dyDescent="0.3">
      <c r="B42"/>
      <c r="C42"/>
      <c r="D42"/>
      <c r="E42"/>
      <c r="F42"/>
      <c r="G42"/>
      <c r="H42"/>
      <c r="I42" s="106" t="str">
        <f>I36</f>
        <v>Interest rate</v>
      </c>
      <c r="J42" s="106"/>
      <c r="K42" s="127"/>
      <c r="L42" s="151">
        <v>0.03</v>
      </c>
      <c r="M42" s="153">
        <f>L42+$R42</f>
        <v>2.75E-2</v>
      </c>
      <c r="N42" s="153">
        <f t="shared" ref="N42:P42" si="11">M42+$R42</f>
        <v>2.5000000000000001E-2</v>
      </c>
      <c r="O42" s="153">
        <f t="shared" si="11"/>
        <v>2.2500000000000003E-2</v>
      </c>
      <c r="P42" s="153">
        <f t="shared" si="11"/>
        <v>2.0000000000000004E-2</v>
      </c>
      <c r="R42" s="151">
        <v>-2.5000000000000001E-3</v>
      </c>
    </row>
    <row r="43" spans="2:18" ht="14.4" x14ac:dyDescent="0.3">
      <c r="B43"/>
      <c r="C43"/>
      <c r="D43"/>
      <c r="E43"/>
      <c r="F43"/>
      <c r="G43"/>
      <c r="H43"/>
      <c r="I43" t="s">
        <v>15</v>
      </c>
      <c r="J43" s="106"/>
      <c r="K43" s="127"/>
      <c r="L43" s="36">
        <f ca="1">L41*L42</f>
        <v>1.3620000001790569</v>
      </c>
      <c r="M43" s="36">
        <f ca="1">M41*M42</f>
        <v>0.96250001376199867</v>
      </c>
      <c r="N43" s="36">
        <f ca="1">N41*N42</f>
        <v>0.87500020126513689</v>
      </c>
      <c r="O43" s="36">
        <f ca="1">O41*O42</f>
        <v>0.78750130487025194</v>
      </c>
      <c r="P43" s="36">
        <f ca="1">P41*P42</f>
        <v>0.99542229641083391</v>
      </c>
    </row>
    <row r="1000" spans="648:648" ht="15" x14ac:dyDescent="0.25">
      <c r="XX1000" s="305">
        <v>127155</v>
      </c>
    </row>
  </sheetData>
  <mergeCells count="2">
    <mergeCell ref="I6:K6"/>
    <mergeCell ref="L6:P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6E3166B-EC7D-4C17-9EA5-7CA3C676FD4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18</vt:i4>
      </vt:variant>
    </vt:vector>
  </HeadingPairs>
  <TitlesOfParts>
    <vt:vector size="29" baseType="lpstr">
      <vt:lpstr>Inputs</vt:lpstr>
      <vt:lpstr>Assumptions</vt:lpstr>
      <vt:lpstr>IS</vt:lpstr>
      <vt:lpstr>BS</vt:lpstr>
      <vt:lpstr>WC</vt:lpstr>
      <vt:lpstr>Dep</vt:lpstr>
      <vt:lpstr>Amort</vt:lpstr>
      <vt:lpstr>Other</vt:lpstr>
      <vt:lpstr>Equity</vt:lpstr>
      <vt:lpstr>CF</vt:lpstr>
      <vt:lpstr>Debt&amp;Int</vt:lpstr>
      <vt:lpstr>CAofSales</vt:lpstr>
      <vt:lpstr>CapexofSales</vt:lpstr>
      <vt:lpstr>CircToggle</vt:lpstr>
      <vt:lpstr>CoName</vt:lpstr>
      <vt:lpstr>datareq</vt:lpstr>
      <vt:lpstr>Days</vt:lpstr>
      <vt:lpstr>DIH</vt:lpstr>
      <vt:lpstr>DPO</vt:lpstr>
      <vt:lpstr>DSO</vt:lpstr>
      <vt:lpstr>EndCashTable</vt:lpstr>
      <vt:lpstr>FYE</vt:lpstr>
      <vt:lpstr>GrossMargins</vt:lpstr>
      <vt:lpstr>IntangAdd</vt:lpstr>
      <vt:lpstr>OpScenario</vt:lpstr>
      <vt:lpstr>OtherCLofSales</vt:lpstr>
      <vt:lpstr>SalesGrowth</vt:lpstr>
      <vt:lpstr>SGAofSales</vt:lpstr>
      <vt:lpstr>subhead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Chuck Brobst</dc:creator>
  <cp:lastModifiedBy>Sharanh Mantri</cp:lastModifiedBy>
  <dcterms:created xsi:type="dcterms:W3CDTF">2020-06-17T19:11:45Z</dcterms:created>
  <dcterms:modified xsi:type="dcterms:W3CDTF">2024-10-06T20:40:27Z</dcterms:modified>
</cp:coreProperties>
</file>