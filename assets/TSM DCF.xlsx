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ie/Desktop/2025_fall/Real Client Portfolio/tech file/"/>
    </mc:Choice>
  </mc:AlternateContent>
  <xr:revisionPtr revIDLastSave="0" documentId="13_ncr:1_{14E29796-25E4-5141-A3CE-056EFDF59BB0}" xr6:coauthVersionLast="47" xr6:coauthVersionMax="47" xr10:uidLastSave="{00000000-0000-0000-0000-000000000000}"/>
  <bookViews>
    <workbookView xWindow="29400" yWindow="0" windowWidth="51200" windowHeight="28800" activeTab="2" xr2:uid="{00000000-000D-0000-FFFF-FFFF00000000}"/>
  </bookViews>
  <sheets>
    <sheet name="Assumption" sheetId="3" r:id="rId1"/>
    <sheet name="DCF" sheetId="1" r:id="rId2"/>
    <sheet name="Sheet1" sheetId="5" r:id="rId3"/>
    <sheet name="working_capita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B92" i="1" l="1"/>
  <c r="D34" i="1" s="1"/>
  <c r="F93" i="1"/>
  <c r="G93" i="1" s="1"/>
  <c r="H93" i="1" s="1"/>
  <c r="I93" i="1" s="1"/>
  <c r="J93" i="1" s="1"/>
  <c r="K93" i="1" s="1"/>
  <c r="L93" i="1" s="1"/>
  <c r="M93" i="1" s="1"/>
  <c r="N93" i="1" s="1"/>
  <c r="B14" i="4" l="1"/>
  <c r="C6" i="4"/>
  <c r="D6" i="4"/>
  <c r="E6" i="4"/>
  <c r="F6" i="4"/>
  <c r="G6" i="4"/>
  <c r="B6" i="4"/>
  <c r="C31" i="1"/>
  <c r="B31" i="1"/>
  <c r="D3" i="4"/>
  <c r="E3" i="4"/>
  <c r="F3" i="4"/>
  <c r="G3" i="4"/>
  <c r="C3" i="4"/>
  <c r="B65" i="1"/>
  <c r="C65" i="1"/>
  <c r="B88" i="1"/>
  <c r="E34" i="1" s="1"/>
  <c r="B22" i="1" l="1"/>
  <c r="B25" i="1"/>
  <c r="C20" i="1"/>
  <c r="D102" i="1"/>
  <c r="E102" i="1"/>
  <c r="F102" i="1"/>
  <c r="G102" i="1"/>
  <c r="H102" i="1"/>
  <c r="B114" i="1" l="1"/>
  <c r="B29" i="1"/>
  <c r="B11" i="1" l="1"/>
  <c r="E8" i="3"/>
  <c r="E57" i="1" s="1"/>
  <c r="F8" i="3"/>
  <c r="F57" i="1" s="1"/>
  <c r="G8" i="3"/>
  <c r="G57" i="1" s="1"/>
  <c r="H8" i="3"/>
  <c r="H57" i="1" s="1"/>
  <c r="I8" i="3"/>
  <c r="I57" i="1" s="1"/>
  <c r="J8" i="3"/>
  <c r="J57" i="1" s="1"/>
  <c r="D8" i="3"/>
  <c r="D57" i="1" s="1"/>
  <c r="K8" i="3"/>
  <c r="K57" i="1" s="1"/>
  <c r="L8" i="3"/>
  <c r="L57" i="1" s="1"/>
  <c r="M8" i="3"/>
  <c r="M57" i="1" s="1"/>
  <c r="C64" i="1"/>
  <c r="B64" i="1"/>
  <c r="C63" i="1"/>
  <c r="B63" i="1"/>
  <c r="C80" i="1"/>
  <c r="B80" i="1"/>
  <c r="E14" i="3" a="1"/>
  <c r="E14" i="3" s="1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L14" i="3" a="1"/>
  <c r="L14" i="3" s="1"/>
  <c r="M14" i="3" a="1"/>
  <c r="M14" i="3" s="1"/>
  <c r="D14" i="3" a="1"/>
  <c r="D14" i="3" s="1"/>
  <c r="C29" i="1"/>
  <c r="B55" i="1"/>
  <c r="B6" i="1"/>
  <c r="B100" i="1"/>
  <c r="E71" i="1"/>
  <c r="F38" i="3" a="1"/>
  <c r="F38" i="3" s="1"/>
  <c r="F71" i="1" s="1"/>
  <c r="G38" i="3" a="1"/>
  <c r="G38" i="3" s="1"/>
  <c r="G71" i="1" s="1"/>
  <c r="H38" i="3" a="1"/>
  <c r="H38" i="3" s="1"/>
  <c r="H71" i="1" s="1"/>
  <c r="I38" i="3" a="1"/>
  <c r="I38" i="3" s="1"/>
  <c r="I71" i="1" s="1"/>
  <c r="J38" i="3" a="1"/>
  <c r="J38" i="3" s="1"/>
  <c r="J71" i="1" s="1"/>
  <c r="K38" i="3" a="1"/>
  <c r="K38" i="3" s="1"/>
  <c r="K71" i="1" s="1"/>
  <c r="L38" i="3" a="1"/>
  <c r="L38" i="3" s="1"/>
  <c r="L71" i="1" s="1"/>
  <c r="M38" i="3" a="1"/>
  <c r="M38" i="3" s="1"/>
  <c r="M71" i="1" s="1"/>
  <c r="D38" i="3" a="1"/>
  <c r="D38" i="3" s="1"/>
  <c r="D71" i="1" s="1"/>
  <c r="D8" i="1" l="1"/>
  <c r="D31" i="1" s="1"/>
  <c r="D58" i="1"/>
  <c r="D13" i="3"/>
  <c r="M58" i="1"/>
  <c r="M13" i="3"/>
  <c r="L58" i="1"/>
  <c r="L13" i="3"/>
  <c r="K58" i="1"/>
  <c r="K13" i="3"/>
  <c r="J58" i="1"/>
  <c r="J13" i="3"/>
  <c r="I58" i="1"/>
  <c r="I13" i="3"/>
  <c r="H58" i="1"/>
  <c r="H13" i="3"/>
  <c r="G58" i="1"/>
  <c r="G13" i="3"/>
  <c r="F58" i="1"/>
  <c r="F13" i="3"/>
  <c r="E58" i="1"/>
  <c r="E13" i="3"/>
  <c r="E5" i="3"/>
  <c r="F5" i="3" s="1"/>
  <c r="G5" i="3" s="1"/>
  <c r="H5" i="3" s="1"/>
  <c r="I5" i="3" s="1"/>
  <c r="J5" i="3" s="1"/>
  <c r="K5" i="3" s="1"/>
  <c r="L5" i="3" s="1"/>
  <c r="M5" i="3" s="1"/>
  <c r="C57" i="1"/>
  <c r="C114" i="1"/>
  <c r="C58" i="1"/>
  <c r="C55" i="1"/>
  <c r="D55" i="1" s="1"/>
  <c r="E55" i="1" s="1"/>
  <c r="F55" i="1" s="1"/>
  <c r="G55" i="1" s="1"/>
  <c r="H55" i="1" s="1"/>
  <c r="I55" i="1" s="1"/>
  <c r="J55" i="1" s="1"/>
  <c r="K55" i="1" s="1"/>
  <c r="L55" i="1" s="1"/>
  <c r="M55" i="1" s="1"/>
  <c r="C6" i="1"/>
  <c r="D9" i="1" l="1"/>
  <c r="E8" i="1"/>
  <c r="F34" i="1"/>
  <c r="B60" i="1"/>
  <c r="F8" i="1" l="1"/>
  <c r="E16" i="1"/>
  <c r="G34" i="1"/>
  <c r="B81" i="1"/>
  <c r="C22" i="1"/>
  <c r="C11" i="1"/>
  <c r="C60" i="1" s="1"/>
  <c r="C100" i="1"/>
  <c r="G8" i="1" l="1"/>
  <c r="F16" i="1"/>
  <c r="H34" i="1"/>
  <c r="C81" i="1"/>
  <c r="C18" i="1"/>
  <c r="B18" i="1"/>
  <c r="B79" i="1"/>
  <c r="D100" i="1"/>
  <c r="H8" i="1" l="1"/>
  <c r="G16" i="1"/>
  <c r="I34" i="1"/>
  <c r="C67" i="1"/>
  <c r="C79" i="1"/>
  <c r="B20" i="1"/>
  <c r="B67" i="1"/>
  <c r="E100" i="1"/>
  <c r="I8" i="1" l="1"/>
  <c r="H16" i="1"/>
  <c r="J34" i="1"/>
  <c r="B24" i="1"/>
  <c r="B69" i="1"/>
  <c r="C24" i="1"/>
  <c r="C69" i="1"/>
  <c r="F100" i="1"/>
  <c r="J8" i="1" l="1"/>
  <c r="I16" i="1"/>
  <c r="K34" i="1"/>
  <c r="C25" i="1"/>
  <c r="C27" i="1" s="1"/>
  <c r="C33" i="1" s="1"/>
  <c r="C73" i="1"/>
  <c r="B73" i="1"/>
  <c r="B27" i="1"/>
  <c r="B33" i="1" s="1"/>
  <c r="G100" i="1"/>
  <c r="K8" i="1" l="1"/>
  <c r="J16" i="1"/>
  <c r="L34" i="1"/>
  <c r="B76" i="1"/>
  <c r="C76" i="1"/>
  <c r="H100" i="1"/>
  <c r="L8" i="1" l="1"/>
  <c r="K16" i="1"/>
  <c r="N34" i="1"/>
  <c r="M34" i="1"/>
  <c r="I100" i="1"/>
  <c r="M8" i="1" l="1"/>
  <c r="M16" i="1" s="1"/>
  <c r="L16" i="1"/>
  <c r="J100" i="1"/>
  <c r="K100" i="1" l="1"/>
  <c r="L100" i="1" l="1"/>
  <c r="M100" i="1" l="1"/>
  <c r="D60" i="1" l="1"/>
  <c r="M60" i="1"/>
  <c r="J60" i="1"/>
  <c r="L60" i="1"/>
  <c r="E60" i="1"/>
  <c r="F60" i="1"/>
  <c r="H60" i="1"/>
  <c r="I60" i="1"/>
  <c r="K60" i="1"/>
  <c r="G60" i="1"/>
  <c r="E22" i="1" l="1"/>
  <c r="E9" i="1"/>
  <c r="E11" i="1" s="1"/>
  <c r="F22" i="1" l="1"/>
  <c r="G31" i="1"/>
  <c r="F9" i="1"/>
  <c r="F11" i="1" s="1"/>
  <c r="F31" i="1"/>
  <c r="G22" i="1" l="1"/>
  <c r="H31" i="1"/>
  <c r="G9" i="1"/>
  <c r="G11" i="1" s="1"/>
  <c r="H22" i="1" l="1"/>
  <c r="I31" i="1"/>
  <c r="H9" i="1"/>
  <c r="H11" i="1" s="1"/>
  <c r="I22" i="1" l="1"/>
  <c r="J31" i="1"/>
  <c r="I9" i="1"/>
  <c r="I11" i="1" s="1"/>
  <c r="J22" i="1" l="1"/>
  <c r="K31" i="1"/>
  <c r="J9" i="1"/>
  <c r="J11" i="1" s="1"/>
  <c r="K22" i="1" l="1"/>
  <c r="L31" i="1"/>
  <c r="K9" i="1"/>
  <c r="K11" i="1" s="1"/>
  <c r="M22" i="1" l="1"/>
  <c r="M9" i="1"/>
  <c r="M11" i="1" s="1"/>
  <c r="L22" i="1"/>
  <c r="M31" i="1"/>
  <c r="L9" i="1"/>
  <c r="L11" i="1" s="1"/>
  <c r="D22" i="3" a="1"/>
  <c r="D22" i="3" s="1"/>
  <c r="D63" i="1" s="1"/>
  <c r="E22" i="3" a="1"/>
  <c r="E22" i="3" s="1"/>
  <c r="E63" i="1" s="1"/>
  <c r="E14" i="1" s="1"/>
  <c r="F22" i="3" a="1"/>
  <c r="F22" i="3" s="1"/>
  <c r="F63" i="1" s="1"/>
  <c r="F14" i="1" s="1"/>
  <c r="G22" i="3" a="1"/>
  <c r="G22" i="3" s="1"/>
  <c r="G63" i="1" s="1"/>
  <c r="G14" i="1" s="1"/>
  <c r="H22" i="3" a="1"/>
  <c r="H22" i="3" s="1"/>
  <c r="H63" i="1" s="1"/>
  <c r="H14" i="1" s="1"/>
  <c r="I22" i="3" a="1"/>
  <c r="I22" i="3" s="1"/>
  <c r="I63" i="1" s="1"/>
  <c r="I14" i="1" s="1"/>
  <c r="J22" i="3" a="1"/>
  <c r="J22" i="3" s="1"/>
  <c r="J63" i="1" s="1"/>
  <c r="J14" i="1" s="1"/>
  <c r="K22" i="3" a="1"/>
  <c r="K22" i="3" s="1"/>
  <c r="K63" i="1" s="1"/>
  <c r="K14" i="1" s="1"/>
  <c r="L22" i="3" a="1"/>
  <c r="L22" i="3" s="1"/>
  <c r="L63" i="1" s="1"/>
  <c r="L14" i="1" s="1"/>
  <c r="M22" i="3" a="1"/>
  <c r="M22" i="3" s="1"/>
  <c r="M63" i="1" s="1"/>
  <c r="M14" i="1" s="1"/>
  <c r="D27" i="3" a="1"/>
  <c r="D27" i="3" s="1"/>
  <c r="D64" i="1" s="1"/>
  <c r="E27" i="3" l="1" a="1"/>
  <c r="E27" i="3" s="1"/>
  <c r="E64" i="1" s="1"/>
  <c r="E15" i="1" s="1"/>
  <c r="E18" i="1" s="1"/>
  <c r="E67" i="1" s="1"/>
  <c r="E20" i="1" l="1"/>
  <c r="E69" i="1" l="1"/>
  <c r="E24" i="1"/>
  <c r="E25" i="1" s="1"/>
  <c r="F27" i="3" a="1"/>
  <c r="F27" i="3" s="1"/>
  <c r="F64" i="1" s="1"/>
  <c r="F15" i="1" s="1"/>
  <c r="F18" i="1" s="1"/>
  <c r="F67" i="1" s="1"/>
  <c r="F20" i="1" l="1"/>
  <c r="E27" i="1"/>
  <c r="E76" i="1" s="1"/>
  <c r="E73" i="1"/>
  <c r="F69" i="1" l="1"/>
  <c r="F24" i="1"/>
  <c r="G27" i="3" a="1"/>
  <c r="G27" i="3" s="1"/>
  <c r="G64" i="1" s="1"/>
  <c r="G15" i="1" s="1"/>
  <c r="G18" i="1" s="1"/>
  <c r="G67" i="1" s="1"/>
  <c r="G20" i="1" l="1"/>
  <c r="G69" i="1" s="1"/>
  <c r="F73" i="1"/>
  <c r="F25" i="1"/>
  <c r="F27" i="1" s="1"/>
  <c r="F76" i="1" s="1"/>
  <c r="G24" i="1" l="1"/>
  <c r="G73" i="1" s="1"/>
  <c r="H27" i="3" a="1"/>
  <c r="H27" i="3" s="1"/>
  <c r="H64" i="1" s="1"/>
  <c r="H15" i="1" s="1"/>
  <c r="H18" i="1" s="1"/>
  <c r="H67" i="1" s="1"/>
  <c r="G25" i="1" l="1"/>
  <c r="G27" i="1" s="1"/>
  <c r="G76" i="1" s="1"/>
  <c r="H20" i="1"/>
  <c r="H24" i="1" s="1"/>
  <c r="H69" i="1" l="1"/>
  <c r="H25" i="1"/>
  <c r="H27" i="1" s="1"/>
  <c r="H73" i="1"/>
  <c r="H76" i="1" l="1"/>
  <c r="I27" i="3" a="1"/>
  <c r="I27" i="3" s="1"/>
  <c r="I64" i="1" s="1"/>
  <c r="I15" i="1" s="1"/>
  <c r="I18" i="1" s="1"/>
  <c r="I67" i="1" s="1"/>
  <c r="I20" i="1" l="1"/>
  <c r="I24" i="1" s="1"/>
  <c r="I69" i="1" l="1"/>
  <c r="I25" i="1"/>
  <c r="I27" i="1" s="1"/>
  <c r="I73" i="1"/>
  <c r="I76" i="1" l="1"/>
  <c r="J27" i="3" a="1"/>
  <c r="J27" i="3" s="1"/>
  <c r="J64" i="1" s="1"/>
  <c r="J15" i="1" s="1"/>
  <c r="J18" i="1" s="1"/>
  <c r="J67" i="1" s="1"/>
  <c r="J20" i="1" l="1"/>
  <c r="J69" i="1" l="1"/>
  <c r="J24" i="1"/>
  <c r="K27" i="3" a="1"/>
  <c r="K27" i="3" s="1"/>
  <c r="K64" i="1" s="1"/>
  <c r="K15" i="1" s="1"/>
  <c r="K18" i="1" s="1"/>
  <c r="K67" i="1" s="1"/>
  <c r="J25" i="1" l="1"/>
  <c r="J27" i="1" s="1"/>
  <c r="J76" i="1" s="1"/>
  <c r="J73" i="1"/>
  <c r="K20" i="1"/>
  <c r="K69" i="1" l="1"/>
  <c r="K24" i="1"/>
  <c r="L27" i="3" a="1"/>
  <c r="L27" i="3" s="1"/>
  <c r="L64" i="1" s="1"/>
  <c r="L15" i="1" s="1"/>
  <c r="L18" i="1" s="1"/>
  <c r="L67" i="1" s="1"/>
  <c r="K25" i="1" l="1"/>
  <c r="K27" i="1" s="1"/>
  <c r="K76" i="1" s="1"/>
  <c r="K73" i="1"/>
  <c r="L20" i="1"/>
  <c r="L24" i="1" s="1"/>
  <c r="L69" i="1" l="1"/>
  <c r="L25" i="1"/>
  <c r="L27" i="1" s="1"/>
  <c r="L73" i="1"/>
  <c r="L76" i="1" l="1"/>
  <c r="M27" i="3" a="1"/>
  <c r="M27" i="3" s="1"/>
  <c r="M64" i="1" s="1"/>
  <c r="M15" i="1" s="1"/>
  <c r="M18" i="1" s="1"/>
  <c r="M67" i="1" l="1"/>
  <c r="M20" i="1"/>
  <c r="M69" i="1" l="1"/>
  <c r="M24" i="1"/>
  <c r="D33" i="3" a="1"/>
  <c r="D33" i="3" s="1"/>
  <c r="D80" i="1" s="1"/>
  <c r="D30" i="1" s="1"/>
  <c r="D103" i="1" l="1"/>
  <c r="F103" i="1"/>
  <c r="G103" i="1"/>
  <c r="H103" i="1"/>
  <c r="E103" i="1"/>
  <c r="M73" i="1"/>
  <c r="M25" i="1"/>
  <c r="M27" i="1" s="1"/>
  <c r="E33" i="3" a="1"/>
  <c r="E33" i="3" s="1"/>
  <c r="E80" i="1" s="1"/>
  <c r="E30" i="1" s="1"/>
  <c r="E104" i="1" l="1"/>
  <c r="G104" i="1"/>
  <c r="H104" i="1"/>
  <c r="I104" i="1"/>
  <c r="F104" i="1"/>
  <c r="N33" i="1"/>
  <c r="N36" i="1" s="1"/>
  <c r="M76" i="1"/>
  <c r="F33" i="3" l="1" a="1"/>
  <c r="F33" i="3" s="1"/>
  <c r="F80" i="1" s="1"/>
  <c r="F30" i="1" s="1"/>
  <c r="H105" i="1" l="1"/>
  <c r="I105" i="1"/>
  <c r="J105" i="1"/>
  <c r="F105" i="1"/>
  <c r="G105" i="1"/>
  <c r="G33" i="3" a="1"/>
  <c r="G33" i="3" s="1"/>
  <c r="G80" i="1" s="1"/>
  <c r="G30" i="1" s="1"/>
  <c r="H106" i="1" l="1"/>
  <c r="I106" i="1"/>
  <c r="J106" i="1"/>
  <c r="K106" i="1"/>
  <c r="G106" i="1"/>
  <c r="H33" i="3" a="1"/>
  <c r="H33" i="3" s="1"/>
  <c r="H80" i="1" s="1"/>
  <c r="H30" i="1" s="1"/>
  <c r="I107" i="1" l="1"/>
  <c r="J107" i="1"/>
  <c r="K107" i="1"/>
  <c r="H107" i="1"/>
  <c r="I33" i="3" a="1"/>
  <c r="I33" i="3" s="1"/>
  <c r="I80" i="1" s="1"/>
  <c r="I30" i="1" s="1"/>
  <c r="M108" i="1" l="1"/>
  <c r="I108" i="1"/>
  <c r="J108" i="1"/>
  <c r="K108" i="1"/>
  <c r="L108" i="1"/>
  <c r="J33" i="3" a="1"/>
  <c r="J33" i="3" s="1"/>
  <c r="J80" i="1" s="1"/>
  <c r="J30" i="1" s="1"/>
  <c r="K109" i="1" l="1"/>
  <c r="M109" i="1"/>
  <c r="J109" i="1"/>
  <c r="L109" i="1"/>
  <c r="K33" i="3" a="1"/>
  <c r="K33" i="3" s="1"/>
  <c r="K80" i="1" s="1"/>
  <c r="K30" i="1" s="1"/>
  <c r="K110" i="1" l="1"/>
  <c r="L110" i="1"/>
  <c r="M110" i="1"/>
  <c r="L33" i="3" a="1"/>
  <c r="L33" i="3" s="1"/>
  <c r="L80" i="1" s="1"/>
  <c r="L30" i="1" s="1"/>
  <c r="M111" i="1" l="1"/>
  <c r="L111" i="1"/>
  <c r="M33" i="3" a="1"/>
  <c r="M33" i="3" s="1"/>
  <c r="M80" i="1" s="1"/>
  <c r="M30" i="1" s="1"/>
  <c r="M112" i="1" s="1"/>
  <c r="D114" i="1"/>
  <c r="D78" i="1" s="1"/>
  <c r="D14" i="1"/>
  <c r="D15" i="1"/>
  <c r="E31" i="1"/>
  <c r="D11" i="1"/>
  <c r="D22" i="1"/>
  <c r="D117" i="1" l="1"/>
  <c r="D29" i="1" s="1"/>
  <c r="D81" i="1"/>
  <c r="M114" i="1"/>
  <c r="L114" i="1"/>
  <c r="K114" i="1"/>
  <c r="J114" i="1"/>
  <c r="I114" i="1"/>
  <c r="H114" i="1"/>
  <c r="G114" i="1"/>
  <c r="F114" i="1"/>
  <c r="E114" i="1"/>
  <c r="E117" i="1" l="1"/>
  <c r="E29" i="1" s="1"/>
  <c r="E33" i="1" s="1"/>
  <c r="E36" i="1" s="1"/>
  <c r="E81" i="1"/>
  <c r="F81" i="1"/>
  <c r="F117" i="1"/>
  <c r="F29" i="1" s="1"/>
  <c r="F33" i="1" s="1"/>
  <c r="F36" i="1" s="1"/>
  <c r="G81" i="1"/>
  <c r="G117" i="1"/>
  <c r="G29" i="1" s="1"/>
  <c r="G33" i="1" s="1"/>
  <c r="G36" i="1" s="1"/>
  <c r="H117" i="1"/>
  <c r="H29" i="1" s="1"/>
  <c r="H33" i="1" s="1"/>
  <c r="H36" i="1" s="1"/>
  <c r="H81" i="1"/>
  <c r="I81" i="1"/>
  <c r="I117" i="1"/>
  <c r="I29" i="1" s="1"/>
  <c r="I33" i="1" s="1"/>
  <c r="I36" i="1" s="1"/>
  <c r="J117" i="1"/>
  <c r="J29" i="1" s="1"/>
  <c r="J33" i="1" s="1"/>
  <c r="J36" i="1" s="1"/>
  <c r="J81" i="1"/>
  <c r="K81" i="1"/>
  <c r="K117" i="1"/>
  <c r="K29" i="1" s="1"/>
  <c r="K33" i="1" s="1"/>
  <c r="K36" i="1" s="1"/>
  <c r="L117" i="1"/>
  <c r="L29" i="1" s="1"/>
  <c r="L33" i="1" s="1"/>
  <c r="L36" i="1" s="1"/>
  <c r="L81" i="1"/>
  <c r="M117" i="1"/>
  <c r="M29" i="1" s="1"/>
  <c r="M33" i="1" s="1"/>
  <c r="M36" i="1" s="1"/>
  <c r="M81" i="1"/>
  <c r="E78" i="1"/>
  <c r="D79" i="1"/>
  <c r="F78" i="1" l="1"/>
  <c r="E79" i="1"/>
  <c r="G78" i="1" l="1"/>
  <c r="F79" i="1"/>
  <c r="H78" i="1" l="1"/>
  <c r="G79" i="1"/>
  <c r="I78" i="1" l="1"/>
  <c r="H79" i="1"/>
  <c r="J78" i="1" l="1"/>
  <c r="I79" i="1"/>
  <c r="K78" i="1" l="1"/>
  <c r="J79" i="1"/>
  <c r="L78" i="1" l="1"/>
  <c r="K79" i="1"/>
  <c r="M78" i="1" l="1"/>
  <c r="M79" i="1" s="1"/>
  <c r="L79" i="1"/>
  <c r="D16" i="1" l="1"/>
  <c r="D18" i="1" s="1"/>
  <c r="D20" i="1" s="1"/>
  <c r="D69" i="1" l="1"/>
  <c r="D24" i="1"/>
  <c r="D67" i="1"/>
  <c r="D25" i="1" l="1"/>
  <c r="D27" i="1" s="1"/>
  <c r="D33" i="1" s="1"/>
  <c r="D73" i="1"/>
  <c r="D36" i="1" l="1"/>
  <c r="D38" i="1" s="1"/>
  <c r="D42" i="1" s="1"/>
  <c r="D45" i="1" s="1"/>
  <c r="G45" i="1" s="1"/>
  <c r="M45" i="1" s="1"/>
  <c r="D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1" authorId="0" shapeId="0" xr:uid="{C3F0D2B6-F088-5043-A4DB-80E88EC325D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net change in working capital from bloomberg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39" authorId="0" shapeId="0" xr:uid="{352258CA-7286-C148-86E1-C8687E119FB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 of 11/14/2025 from bloomberg
</t>
        </r>
      </text>
    </comment>
    <comment ref="D102" authorId="0" shapeId="0" xr:uid="{273DA14A-C888-0F40-AF73-1A7B00C5653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tsm use 5 year for depreciation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<sst xmlns="http://schemas.openxmlformats.org/spreadsheetml/2006/main" count="364" uniqueCount="110">
  <si>
    <t>Option Selection</t>
  </si>
  <si>
    <t>Operating Scenario</t>
  </si>
  <si>
    <t>Projected</t>
  </si>
  <si>
    <t>Total Revenue Growth</t>
  </si>
  <si>
    <t xml:space="preserve">   Base</t>
  </si>
  <si>
    <t xml:space="preserve">   Bull</t>
  </si>
  <si>
    <t xml:space="preserve">   Bear</t>
  </si>
  <si>
    <t>Gross Margin</t>
  </si>
  <si>
    <t>COGS</t>
  </si>
  <si>
    <t>Operating Expense</t>
  </si>
  <si>
    <t>SG&amp;A</t>
  </si>
  <si>
    <t>R&amp;D</t>
  </si>
  <si>
    <t>Capex</t>
  </si>
  <si>
    <t>Other Income</t>
  </si>
  <si>
    <t>Discounted Cash Flow Analysis</t>
  </si>
  <si>
    <t>For the Years Ended December 31</t>
  </si>
  <si>
    <t>Terminal</t>
  </si>
  <si>
    <t>Value</t>
  </si>
  <si>
    <t>--------------</t>
  </si>
  <si>
    <t>Revenue</t>
  </si>
  <si>
    <t>Cost of Goods Sold</t>
  </si>
  <si>
    <t>Operating Expenses:</t>
  </si>
  <si>
    <t>Total Operating Expenses</t>
  </si>
  <si>
    <t>Operating Income</t>
  </si>
  <si>
    <t>Other Income/(Expense)</t>
  </si>
  <si>
    <t>Pretax Income</t>
  </si>
  <si>
    <t>Income Taxes</t>
  </si>
  <si>
    <t>Net Income</t>
  </si>
  <si>
    <t>+  Depreciation &amp; Amortization</t>
  </si>
  <si>
    <t>-   Capital Expenditures</t>
  </si>
  <si>
    <t>-   Working Capital Additions</t>
  </si>
  <si>
    <t>Free Cash Flow</t>
  </si>
  <si>
    <t>Present Value Factor</t>
  </si>
  <si>
    <t>PV Free Cash Flow</t>
  </si>
  <si>
    <t>Value of Firm</t>
  </si>
  <si>
    <t>Less:  Debt Outstanding</t>
  </si>
  <si>
    <t>Plus:  Cash</t>
  </si>
  <si>
    <t>Equity Value</t>
  </si>
  <si>
    <t>Shares Outstanding</t>
  </si>
  <si>
    <t>Value Per Share</t>
  </si>
  <si>
    <t>========</t>
  </si>
  <si>
    <t xml:space="preserve">For the Years Ended </t>
  </si>
  <si>
    <t>Assumptions</t>
  </si>
  <si>
    <t>Revenue Growth</t>
  </si>
  <si>
    <t>Income Tax Rate</t>
  </si>
  <si>
    <t>Net PP&amp;E</t>
  </si>
  <si>
    <t>Revenue/Net PP&amp;E</t>
  </si>
  <si>
    <t>Capital Expenditure % of Rev</t>
  </si>
  <si>
    <t>Depreciation/Revenue</t>
  </si>
  <si>
    <t>Working Capital/Revenue</t>
  </si>
  <si>
    <t>Discount Rate:</t>
  </si>
  <si>
    <t>Risk-Free Rate</t>
  </si>
  <si>
    <t>Risk Premium</t>
  </si>
  <si>
    <t>Beta</t>
  </si>
  <si>
    <t>K(e)</t>
  </si>
  <si>
    <t>K(d)</t>
  </si>
  <si>
    <t>Tax Rate</t>
  </si>
  <si>
    <t>Debt/Capital</t>
  </si>
  <si>
    <t>WACC</t>
  </si>
  <si>
    <t>Depreciation Schedule</t>
  </si>
  <si>
    <t>2024 Net PP&amp;E</t>
  </si>
  <si>
    <t>2025 Capital Expenditures</t>
  </si>
  <si>
    <t>2026 Capital Expenditures</t>
  </si>
  <si>
    <t>2027 Capital Expenditures</t>
  </si>
  <si>
    <t>2028 Capital Expenditures</t>
  </si>
  <si>
    <t>2029 Capital Expenditures</t>
  </si>
  <si>
    <t>2030 Capital Expenditures</t>
  </si>
  <si>
    <t>2031 Capital Expenditures</t>
  </si>
  <si>
    <t>2032 Capital Expenditures</t>
  </si>
  <si>
    <t>2033 Capital Expenditures</t>
  </si>
  <si>
    <t>2034 Capital Expenditures</t>
  </si>
  <si>
    <t>Total Depreciation Schedule</t>
  </si>
  <si>
    <t>Intangible Amortization</t>
  </si>
  <si>
    <t>Total Depreciation &amp; Amortization</t>
  </si>
  <si>
    <t>=========</t>
  </si>
  <si>
    <t>Millions of New Taiwan Dollars</t>
  </si>
  <si>
    <t>2025E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</si>
  <si>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</si>
  <si>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</si>
  <si>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</si>
  <si>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</si>
  <si>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</si>
  <si>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</si>
  <si>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</si>
  <si>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</si>
  <si>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</si>
  <si>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Marketing</t>
  </si>
  <si>
    <t>TSM</t>
  </si>
  <si>
    <t>Share Price (11/14/25)</t>
  </si>
  <si>
    <t>2025e</t>
  </si>
  <si>
    <t>working capital</t>
  </si>
  <si>
    <t>change in working capital</t>
  </si>
  <si>
    <t>rev</t>
  </si>
  <si>
    <t>working capital/rev</t>
  </si>
  <si>
    <t>11/14 market cap</t>
  </si>
  <si>
    <t>11/14 total debt</t>
  </si>
  <si>
    <t>11/14 debt/capital</t>
  </si>
  <si>
    <t>adr</t>
  </si>
  <si>
    <t>rev yoy</t>
  </si>
  <si>
    <t>r&amp;d (% of rev)</t>
  </si>
  <si>
    <t>cogs ( % rev)</t>
  </si>
  <si>
    <t xml:space="preserve">fx </t>
  </si>
  <si>
    <t>% of change</t>
  </si>
  <si>
    <t>Case</t>
  </si>
  <si>
    <t>Gross Margins</t>
  </si>
  <si>
    <t>Operating Expenses</t>
  </si>
  <si>
    <t>Base</t>
  </si>
  <si>
    <t>Bull</t>
  </si>
  <si>
    <t>Bear</t>
  </si>
  <si>
    <t>FY2026 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</si>
</sst>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0.0000"/>
    <numFmt numFmtId="167" formatCode="0.000%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quotePrefix="1" applyFont="1"/>
    <xf numFmtId="0" fontId="3" fillId="0" borderId="0" xfId="0" quotePrefix="1" applyFont="1" applyAlignment="1">
      <alignment horizontal="right"/>
    </xf>
    <xf numFmtId="43" fontId="3" fillId="0" borderId="0" xfId="1" applyFont="1"/>
    <xf numFmtId="164" fontId="3" fillId="0" borderId="0" xfId="1" applyNumberFormat="1" applyFont="1"/>
    <xf numFmtId="165" fontId="3" fillId="0" borderId="0" xfId="3" applyNumberFormat="1" applyFont="1"/>
    <xf numFmtId="164" fontId="3" fillId="0" borderId="0" xfId="1" quotePrefix="1" applyNumberFormat="1" applyFont="1" applyAlignment="1">
      <alignment horizontal="right"/>
    </xf>
    <xf numFmtId="166" fontId="3" fillId="0" borderId="0" xfId="0" applyNumberFormat="1" applyFont="1"/>
    <xf numFmtId="44" fontId="3" fillId="0" borderId="0" xfId="2" applyFont="1"/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wrapText="1"/>
    </xf>
    <xf numFmtId="10" fontId="3" fillId="0" borderId="0" xfId="3" applyNumberFormat="1" applyFont="1"/>
    <xf numFmtId="10" fontId="3" fillId="0" borderId="0" xfId="0" quotePrefix="1" applyNumberFormat="1" applyFont="1" applyAlignment="1">
      <alignment horizontal="right"/>
    </xf>
    <xf numFmtId="10" fontId="0" fillId="2" borderId="0" xfId="3" applyNumberFormat="1" applyFont="1" applyFill="1"/>
    <xf numFmtId="10" fontId="0" fillId="2" borderId="0" xfId="0" applyNumberFormat="1" applyFill="1"/>
    <xf numFmtId="9" fontId="0" fillId="0" borderId="0" xfId="0" applyNumberFormat="1"/>
    <xf numFmtId="10" fontId="0" fillId="0" borderId="0" xfId="0" applyNumberFormat="1"/>
    <xf numFmtId="167" fontId="0" fillId="0" borderId="0" xfId="0" applyNumberFormat="1"/>
    <xf numFmtId="10" fontId="3" fillId="0" borderId="0" xfId="0" applyNumberFormat="1" applyFont="1"/>
    <xf numFmtId="9" fontId="3" fillId="0" borderId="0" xfId="1" applyNumberFormat="1" applyFont="1"/>
    <xf numFmtId="9" fontId="3" fillId="2" borderId="0" xfId="3" applyFont="1" applyFill="1"/>
    <xf numFmtId="10" fontId="3" fillId="2" borderId="0" xfId="3" applyNumberFormat="1" applyFont="1" applyFill="1"/>
    <xf numFmtId="165" fontId="3" fillId="0" borderId="0" xfId="0" applyNumberFormat="1" applyFont="1"/>
    <xf numFmtId="10" fontId="5" fillId="2" borderId="0" xfId="3" applyNumberFormat="1" applyFont="1" applyFill="1"/>
    <xf numFmtId="10" fontId="5" fillId="2" borderId="0" xfId="0" applyNumberFormat="1" applyFont="1" applyFill="1"/>
    <xf numFmtId="10" fontId="3" fillId="0" borderId="0" xfId="1" applyNumberFormat="1" applyFont="1"/>
    <xf numFmtId="165" fontId="3" fillId="0" borderId="0" xfId="1" applyNumberFormat="1" applyFont="1"/>
    <xf numFmtId="164" fontId="3" fillId="0" borderId="0" xfId="1" applyNumberFormat="1" applyFont="1" applyFill="1"/>
    <xf numFmtId="10" fontId="0" fillId="4" borderId="0" xfId="0" applyNumberFormat="1" applyFill="1"/>
    <xf numFmtId="164" fontId="3" fillId="4" borderId="0" xfId="1" applyNumberFormat="1" applyFont="1" applyFill="1"/>
    <xf numFmtId="9" fontId="0" fillId="4" borderId="0" xfId="0" applyNumberFormat="1" applyFill="1"/>
    <xf numFmtId="10" fontId="3" fillId="4" borderId="0" xfId="3" applyNumberFormat="1" applyFont="1" applyFill="1"/>
    <xf numFmtId="9" fontId="0" fillId="0" borderId="0" xfId="3" applyFont="1"/>
    <xf numFmtId="10" fontId="3" fillId="0" borderId="0" xfId="3" applyNumberFormat="1" applyFont="1" applyFill="1"/>
    <xf numFmtId="165" fontId="3" fillId="0" borderId="0" xfId="3" applyNumberFormat="1" applyFont="1" applyFill="1"/>
    <xf numFmtId="0" fontId="3" fillId="0" borderId="0" xfId="3" applyNumberFormat="1" applyFont="1" applyFill="1"/>
    <xf numFmtId="10" fontId="10" fillId="0" borderId="0" xfId="0" applyNumberFormat="1" applyFont="1"/>
    <xf numFmtId="0" fontId="0" fillId="4" borderId="0" xfId="0" applyFill="1"/>
    <xf numFmtId="0" fontId="5" fillId="4" borderId="0" xfId="0" applyFont="1" applyFill="1"/>
    <xf numFmtId="10" fontId="5" fillId="4" borderId="0" xfId="3" applyNumberFormat="1" applyFont="1" applyFill="1"/>
    <xf numFmtId="10" fontId="0" fillId="4" borderId="0" xfId="3" applyNumberFormat="1" applyFont="1" applyFill="1"/>
    <xf numFmtId="10" fontId="5" fillId="4" borderId="0" xfId="0" applyNumberFormat="1" applyFont="1" applyFill="1"/>
    <xf numFmtId="9" fontId="3" fillId="4" borderId="0" xfId="3" applyFont="1" applyFill="1"/>
    <xf numFmtId="44" fontId="3" fillId="3" borderId="0" xfId="2" applyFont="1" applyFill="1"/>
    <xf numFmtId="10" fontId="0" fillId="0" borderId="0" xfId="3" applyNumberFormat="1" applyFont="1" applyFill="1"/>
    <xf numFmtId="0" fontId="0" fillId="5" borderId="0" xfId="0" applyFill="1"/>
    <xf numFmtId="10" fontId="11" fillId="5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center"/>
    </xf>
    <xf numFmtId="0" fontId="0" fillId="6" borderId="0" xfId="0" applyFill="1"/>
    <xf numFmtId="10" fontId="11" fillId="6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41"/>
  <sheetViews>
    <sheetView zoomScale="140" zoomScaleNormal="140" workbookViewId="0">
      <selection activeCell="C4" sqref="C4"/>
    </sheetView>
  </sheetViews>
  <sheetFormatPr baseColWidth="10" defaultColWidth="8.83203125" defaultRowHeight="15" x14ac:dyDescent="0.2"/>
  <cols>
    <col min="1" max="1" width="28.83203125" style="11" customWidth="1"/>
    <col min="2" max="7" width="8.83203125" style="11"/>
    <col min="8" max="8" width="8.83203125" style="41"/>
    <col min="9" max="16384" width="8.83203125" style="11"/>
  </cols>
  <sheetData>
    <row r="2" spans="1:13" x14ac:dyDescent="0.2">
      <c r="A2" s="54" t="s">
        <v>0</v>
      </c>
      <c r="B2" s="54"/>
      <c r="C2" s="54"/>
      <c r="D2" s="54"/>
    </row>
    <row r="3" spans="1:13" x14ac:dyDescent="0.2">
      <c r="A3" s="54" t="s">
        <v>1</v>
      </c>
      <c r="B3" s="54"/>
      <c r="C3" s="55">
        <v>3</v>
      </c>
      <c r="D3" s="55"/>
    </row>
    <row r="4" spans="1:13" x14ac:dyDescent="0.2">
      <c r="D4" s="54" t="s">
        <v>2</v>
      </c>
      <c r="E4" s="54"/>
      <c r="F4" s="54"/>
      <c r="G4" s="54"/>
      <c r="H4" s="54"/>
      <c r="I4" s="54"/>
      <c r="J4" s="54"/>
      <c r="K4" s="54"/>
      <c r="L4" s="54"/>
      <c r="M4" s="54"/>
    </row>
    <row r="5" spans="1:13" x14ac:dyDescent="0.2">
      <c r="D5" s="12">
        <v>2025</v>
      </c>
      <c r="E5" s="12">
        <f>D5+1</f>
        <v>2026</v>
      </c>
      <c r="F5" s="12">
        <f t="shared" ref="F5:M5" si="0">E5+1</f>
        <v>2027</v>
      </c>
      <c r="G5" s="12">
        <f t="shared" si="0"/>
        <v>2028</v>
      </c>
      <c r="H5" s="42">
        <f t="shared" si="0"/>
        <v>2029</v>
      </c>
      <c r="I5" s="12">
        <f t="shared" si="0"/>
        <v>2030</v>
      </c>
      <c r="J5" s="12">
        <f t="shared" si="0"/>
        <v>2031</v>
      </c>
      <c r="K5" s="12">
        <f t="shared" si="0"/>
        <v>2032</v>
      </c>
      <c r="L5" s="12">
        <f t="shared" si="0"/>
        <v>2033</v>
      </c>
      <c r="M5" s="12">
        <f t="shared" si="0"/>
        <v>2034</v>
      </c>
    </row>
    <row r="8" spans="1:13" ht="20" x14ac:dyDescent="0.25">
      <c r="A8" s="14" t="s">
        <v>3</v>
      </c>
      <c r="D8" s="27">
        <f t="shared" ref="D8:M8" si="1">CHOOSE($C$3,D9,D10,D11)</f>
        <v>0.27</v>
      </c>
      <c r="E8" s="27">
        <f t="shared" si="1"/>
        <v>0.24</v>
      </c>
      <c r="F8" s="27">
        <f t="shared" si="1"/>
        <v>0.22</v>
      </c>
      <c r="G8" s="27">
        <f t="shared" si="1"/>
        <v>0.22</v>
      </c>
      <c r="H8" s="43">
        <f t="shared" si="1"/>
        <v>0.22</v>
      </c>
      <c r="I8" s="27">
        <f t="shared" si="1"/>
        <v>0.2</v>
      </c>
      <c r="J8" s="27">
        <f t="shared" si="1"/>
        <v>0.2</v>
      </c>
      <c r="K8" s="27">
        <f t="shared" si="1"/>
        <v>0.18</v>
      </c>
      <c r="L8" s="27">
        <f t="shared" si="1"/>
        <v>0.18</v>
      </c>
      <c r="M8" s="27">
        <f t="shared" si="1"/>
        <v>0.18</v>
      </c>
    </row>
    <row r="9" spans="1:13" customFormat="1" x14ac:dyDescent="0.2">
      <c r="A9" t="s">
        <v>4</v>
      </c>
      <c r="D9" s="48">
        <v>0.3</v>
      </c>
      <c r="E9" s="48">
        <v>0.27</v>
      </c>
      <c r="F9" s="48">
        <v>0.25</v>
      </c>
      <c r="G9" s="48">
        <v>0.25</v>
      </c>
      <c r="H9" s="44">
        <v>0.25</v>
      </c>
      <c r="I9" s="48">
        <v>0.23</v>
      </c>
      <c r="J9" s="48">
        <v>0.23</v>
      </c>
      <c r="K9" s="48">
        <v>0.21</v>
      </c>
      <c r="L9" s="48">
        <v>0.21</v>
      </c>
      <c r="M9" s="48">
        <v>0.21</v>
      </c>
    </row>
    <row r="10" spans="1:13" x14ac:dyDescent="0.2">
      <c r="A10" s="11" t="s">
        <v>5</v>
      </c>
      <c r="D10" s="17">
        <v>0.32500000000000001</v>
      </c>
      <c r="E10" s="17">
        <v>0.3</v>
      </c>
      <c r="F10" s="17">
        <v>0.28000000000000003</v>
      </c>
      <c r="G10" s="17">
        <v>0.28000000000000003</v>
      </c>
      <c r="H10" s="44">
        <v>0.28000000000000003</v>
      </c>
      <c r="I10" s="17">
        <v>0.26</v>
      </c>
      <c r="J10" s="17">
        <v>0.26</v>
      </c>
      <c r="K10" s="17">
        <v>0.24</v>
      </c>
      <c r="L10" s="17">
        <v>0.24</v>
      </c>
      <c r="M10" s="17">
        <v>0.24</v>
      </c>
    </row>
    <row r="11" spans="1:13" x14ac:dyDescent="0.2">
      <c r="A11" s="11" t="s">
        <v>6</v>
      </c>
      <c r="D11" s="17">
        <v>0.27</v>
      </c>
      <c r="E11" s="17">
        <v>0.24</v>
      </c>
      <c r="F11" s="17">
        <v>0.22</v>
      </c>
      <c r="G11" s="17">
        <v>0.22</v>
      </c>
      <c r="H11" s="44">
        <v>0.22</v>
      </c>
      <c r="I11" s="17">
        <v>0.2</v>
      </c>
      <c r="J11" s="17">
        <v>0.2</v>
      </c>
      <c r="K11" s="17">
        <v>0.18</v>
      </c>
      <c r="L11" s="17">
        <v>0.18</v>
      </c>
      <c r="M11" s="17">
        <v>0.18</v>
      </c>
    </row>
    <row r="12" spans="1:13" x14ac:dyDescent="0.2">
      <c r="A12" s="12"/>
      <c r="D12" s="18"/>
    </row>
    <row r="13" spans="1:13" x14ac:dyDescent="0.2">
      <c r="A13" s="12" t="s">
        <v>7</v>
      </c>
      <c r="D13" s="27">
        <f>1-D14</f>
        <v>0.57000000000000006</v>
      </c>
      <c r="E13" s="27">
        <f t="shared" ref="E13:M13" si="2">1-E14</f>
        <v>0.56000000000000005</v>
      </c>
      <c r="F13" s="27">
        <f t="shared" si="2"/>
        <v>0.56000000000000005</v>
      </c>
      <c r="G13" s="27">
        <f t="shared" si="2"/>
        <v>0.5625</v>
      </c>
      <c r="H13" s="43">
        <f t="shared" si="2"/>
        <v>0.5625</v>
      </c>
      <c r="I13" s="27">
        <f t="shared" si="2"/>
        <v>0.56499999999999995</v>
      </c>
      <c r="J13" s="27">
        <f t="shared" si="2"/>
        <v>0.56499999999999995</v>
      </c>
      <c r="K13" s="27">
        <f t="shared" si="2"/>
        <v>0.57000000000000006</v>
      </c>
      <c r="L13" s="27">
        <f t="shared" si="2"/>
        <v>0.57000000000000006</v>
      </c>
      <c r="M13" s="27">
        <f t="shared" si="2"/>
        <v>0.57000000000000006</v>
      </c>
    </row>
    <row r="14" spans="1:13" x14ac:dyDescent="0.2">
      <c r="A14" s="12" t="s">
        <v>8</v>
      </c>
      <c r="D14" s="28" cm="1">
        <f t="array" ref="D14">INDEX(D15:D17,$C$3)</f>
        <v>0.43</v>
      </c>
      <c r="E14" s="28" cm="1">
        <f t="array" ref="E14">INDEX(E15:E17,$C$3)</f>
        <v>0.44</v>
      </c>
      <c r="F14" s="28" cm="1">
        <f t="array" ref="F14">INDEX(F15:F17,$C$3)</f>
        <v>0.44</v>
      </c>
      <c r="G14" s="28" cm="1">
        <f t="array" ref="G14">INDEX(G15:G17,$C$3)</f>
        <v>0.4375</v>
      </c>
      <c r="H14" s="45" cm="1">
        <f t="array" ref="H14">INDEX(H15:H17,$C$3)</f>
        <v>0.4375</v>
      </c>
      <c r="I14" s="28" cm="1">
        <f t="array" ref="I14">INDEX(I15:I17,$C$3)</f>
        <v>0.435</v>
      </c>
      <c r="J14" s="28" cm="1">
        <f t="array" ref="J14">INDEX(J15:J17,$C$3)</f>
        <v>0.435</v>
      </c>
      <c r="K14" s="28" cm="1">
        <f t="array" ref="K14">INDEX(K15:K17,$C$3)</f>
        <v>0.43</v>
      </c>
      <c r="L14" s="28" cm="1">
        <f t="array" ref="L14">INDEX(L15:L17,$C$3)</f>
        <v>0.43</v>
      </c>
      <c r="M14" s="28" cm="1">
        <f t="array" ref="M14">INDEX(M15:M17,$C$3)</f>
        <v>0.43</v>
      </c>
    </row>
    <row r="15" spans="1:13" customFormat="1" x14ac:dyDescent="0.2">
      <c r="A15" t="s">
        <v>4</v>
      </c>
      <c r="D15" s="48">
        <v>0.4083</v>
      </c>
      <c r="E15" s="48">
        <v>0.42499999999999999</v>
      </c>
      <c r="F15" s="48">
        <v>0.42499999999999999</v>
      </c>
      <c r="G15" s="48">
        <v>0.42</v>
      </c>
      <c r="H15" s="44">
        <v>0.42</v>
      </c>
      <c r="I15" s="48">
        <v>0.41499999999999998</v>
      </c>
      <c r="J15" s="48">
        <v>0.41499999999999998</v>
      </c>
      <c r="K15" s="48">
        <v>0.41499999999999998</v>
      </c>
      <c r="L15" s="48">
        <v>0.41499999999999998</v>
      </c>
      <c r="M15" s="48">
        <v>0.41499999999999998</v>
      </c>
    </row>
    <row r="16" spans="1:13" x14ac:dyDescent="0.2">
      <c r="A16" s="11" t="s">
        <v>5</v>
      </c>
      <c r="D16" s="17">
        <v>0.39250000000000002</v>
      </c>
      <c r="E16" s="17">
        <v>0.41249999999999998</v>
      </c>
      <c r="F16" s="17">
        <v>0.41249999999999998</v>
      </c>
      <c r="G16" s="17">
        <v>0.40749999999999997</v>
      </c>
      <c r="H16" s="44">
        <v>0.40749999999999997</v>
      </c>
      <c r="I16" s="17">
        <v>0.40250000000000002</v>
      </c>
      <c r="J16" s="17">
        <v>0.40250000000000002</v>
      </c>
      <c r="K16" s="17">
        <v>0.40250000000000002</v>
      </c>
      <c r="L16" s="17">
        <v>0.40250000000000002</v>
      </c>
      <c r="M16" s="17">
        <v>0.40250000000000002</v>
      </c>
    </row>
    <row r="17" spans="1:13" x14ac:dyDescent="0.2">
      <c r="A17" s="11" t="s">
        <v>6</v>
      </c>
      <c r="D17" s="17">
        <v>0.43</v>
      </c>
      <c r="E17" s="17">
        <v>0.44</v>
      </c>
      <c r="F17" s="17">
        <v>0.44</v>
      </c>
      <c r="G17" s="17">
        <v>0.4375</v>
      </c>
      <c r="H17" s="44">
        <v>0.4375</v>
      </c>
      <c r="I17" s="17">
        <v>0.435</v>
      </c>
      <c r="J17" s="17">
        <v>0.435</v>
      </c>
      <c r="K17" s="17">
        <v>0.43</v>
      </c>
      <c r="L17" s="17">
        <v>0.43</v>
      </c>
      <c r="M17" s="17">
        <v>0.43</v>
      </c>
    </row>
    <row r="18" spans="1:13" x14ac:dyDescent="0.2">
      <c r="A18" s="12"/>
      <c r="D18" s="18"/>
    </row>
    <row r="19" spans="1:13" x14ac:dyDescent="0.2">
      <c r="A19" s="12"/>
      <c r="D19" s="18"/>
    </row>
    <row r="20" spans="1:13" x14ac:dyDescent="0.2">
      <c r="A20" s="12" t="s">
        <v>9</v>
      </c>
      <c r="D20" s="18"/>
    </row>
    <row r="21" spans="1:13" x14ac:dyDescent="0.2">
      <c r="A21" s="12"/>
      <c r="D21" s="18"/>
    </row>
    <row r="22" spans="1:13" x14ac:dyDescent="0.2">
      <c r="A22" s="12" t="s">
        <v>10</v>
      </c>
      <c r="D22" s="28" cm="1">
        <f t="array" ref="D22">INDEX(D23:D25,$C$3)</f>
        <v>0.03</v>
      </c>
      <c r="E22" s="28" cm="1">
        <f t="array" ref="E22">INDEX(E23:E25,$C$3)</f>
        <v>3.3000000000000002E-2</v>
      </c>
      <c r="F22" s="28" cm="1">
        <f t="array" ref="F22">INDEX(F23:F25,$C$3)</f>
        <v>3.5000000000000003E-2</v>
      </c>
      <c r="G22" s="28" cm="1">
        <f t="array" ref="G22">INDEX(G23:G25,$C$3)</f>
        <v>3.5000000000000003E-2</v>
      </c>
      <c r="H22" s="45" cm="1">
        <f t="array" ref="H22">INDEX(H23:H25,$C$3)</f>
        <v>3.5000000000000003E-2</v>
      </c>
      <c r="I22" s="28" cm="1">
        <f t="array" ref="I22">INDEX(I23:I25,$C$3)</f>
        <v>3.5000000000000003E-2</v>
      </c>
      <c r="J22" s="28" cm="1">
        <f t="array" ref="J22">INDEX(J23:J25,$C$3)</f>
        <v>3.5000000000000003E-2</v>
      </c>
      <c r="K22" s="28" cm="1">
        <f t="array" ref="K22">INDEX(K23:K25,$C$3)</f>
        <v>3.5000000000000003E-2</v>
      </c>
      <c r="L22" s="28" cm="1">
        <f t="array" ref="L22">INDEX(L23:L25,$C$3)</f>
        <v>3.5000000000000003E-2</v>
      </c>
      <c r="M22" s="28" cm="1">
        <f t="array" ref="M22">INDEX(M23:M25,$C$3)</f>
        <v>3.5000000000000003E-2</v>
      </c>
    </row>
    <row r="23" spans="1:13" customFormat="1" x14ac:dyDescent="0.2">
      <c r="A23" t="s">
        <v>4</v>
      </c>
      <c r="D23" s="48">
        <v>2.7099999999999999E-2</v>
      </c>
      <c r="E23" s="48">
        <v>2.8000000000000001E-2</v>
      </c>
      <c r="F23" s="48">
        <v>0.03</v>
      </c>
      <c r="G23" s="48">
        <v>0.03</v>
      </c>
      <c r="H23" s="44">
        <v>0.03</v>
      </c>
      <c r="I23" s="48">
        <v>0.03</v>
      </c>
      <c r="J23" s="48">
        <v>0.03</v>
      </c>
      <c r="K23" s="48">
        <v>0.03</v>
      </c>
      <c r="L23" s="48">
        <v>0.03</v>
      </c>
      <c r="M23" s="48">
        <v>0.03</v>
      </c>
    </row>
    <row r="24" spans="1:13" x14ac:dyDescent="0.2">
      <c r="A24" s="11" t="s">
        <v>5</v>
      </c>
      <c r="D24" s="18">
        <v>2.5000000000000001E-2</v>
      </c>
      <c r="E24" s="17">
        <v>2.5499999999999998E-2</v>
      </c>
      <c r="F24" s="17">
        <v>3.2500000000000001E-2</v>
      </c>
      <c r="G24" s="17">
        <v>3.2500000000000001E-2</v>
      </c>
      <c r="H24" s="44">
        <v>3.2500000000000001E-2</v>
      </c>
      <c r="I24" s="17">
        <v>3.2500000000000001E-2</v>
      </c>
      <c r="J24" s="17">
        <v>3.2500000000000001E-2</v>
      </c>
      <c r="K24" s="17">
        <v>3.2500000000000001E-2</v>
      </c>
      <c r="L24" s="17">
        <v>3.2500000000000001E-2</v>
      </c>
      <c r="M24" s="17">
        <v>3.2500000000000001E-2</v>
      </c>
    </row>
    <row r="25" spans="1:13" x14ac:dyDescent="0.2">
      <c r="A25" s="11" t="s">
        <v>6</v>
      </c>
      <c r="D25" s="17">
        <v>0.03</v>
      </c>
      <c r="E25" s="17">
        <v>3.3000000000000002E-2</v>
      </c>
      <c r="F25" s="17">
        <v>3.5000000000000003E-2</v>
      </c>
      <c r="G25" s="17">
        <v>3.5000000000000003E-2</v>
      </c>
      <c r="H25" s="44">
        <v>3.5000000000000003E-2</v>
      </c>
      <c r="I25" s="17">
        <v>3.5000000000000003E-2</v>
      </c>
      <c r="J25" s="17">
        <v>3.5000000000000003E-2</v>
      </c>
      <c r="K25" s="17">
        <v>3.5000000000000003E-2</v>
      </c>
      <c r="L25" s="17">
        <v>3.5000000000000003E-2</v>
      </c>
      <c r="M25" s="17">
        <v>3.5000000000000003E-2</v>
      </c>
    </row>
    <row r="26" spans="1:13" x14ac:dyDescent="0.2">
      <c r="A26" s="12"/>
      <c r="D26" s="18"/>
    </row>
    <row r="27" spans="1:13" x14ac:dyDescent="0.2">
      <c r="A27" s="13" t="s">
        <v>11</v>
      </c>
      <c r="D27" s="27" cm="1">
        <f t="array" ref="D27">INDEX(D28:D30,$C$3)</f>
        <v>0.08</v>
      </c>
      <c r="E27" s="27" cm="1">
        <f t="array" ref="E27">INDEX(E28:E30,$C$3)</f>
        <v>8.5000000000000006E-2</v>
      </c>
      <c r="F27" s="27" cm="1">
        <f t="array" ref="F27">INDEX(F28:F30,$C$3)</f>
        <v>8.6499999999999994E-2</v>
      </c>
      <c r="G27" s="27" cm="1">
        <f t="array" ref="G27">INDEX(G28:G30,$C$3)</f>
        <v>8.1500000000000003E-2</v>
      </c>
      <c r="H27" s="43" cm="1">
        <f t="array" ref="H27">INDEX(H28:H30,$C$3)</f>
        <v>8.1500000000000003E-2</v>
      </c>
      <c r="I27" s="27" cm="1">
        <f t="array" ref="I27">INDEX(I28:I30,$C$3)</f>
        <v>8.1500000000000003E-2</v>
      </c>
      <c r="J27" s="27" cm="1">
        <f t="array" ref="J27">INDEX(J28:J30,$C$3)</f>
        <v>8.1500000000000003E-2</v>
      </c>
      <c r="K27" s="27" cm="1">
        <f t="array" ref="K27">INDEX(K28:K30,$C$3)</f>
        <v>8.1500000000000003E-2</v>
      </c>
      <c r="L27" s="27" cm="1">
        <f t="array" ref="L27">INDEX(L28:L30,$C$3)</f>
        <v>8.1500000000000003E-2</v>
      </c>
      <c r="M27" s="27" cm="1">
        <f t="array" ref="M27">INDEX(M28:M30,$C$3)</f>
        <v>8.1500000000000003E-2</v>
      </c>
    </row>
    <row r="28" spans="1:13" customFormat="1" x14ac:dyDescent="0.2">
      <c r="A28" t="s">
        <v>4</v>
      </c>
      <c r="D28" s="48">
        <v>7.4999999999999997E-2</v>
      </c>
      <c r="E28" s="48">
        <v>0.08</v>
      </c>
      <c r="F28" s="48">
        <v>8.2000000000000003E-2</v>
      </c>
      <c r="G28" s="48">
        <v>7.6999999999999999E-2</v>
      </c>
      <c r="H28" s="44">
        <v>7.6999999999999999E-2</v>
      </c>
      <c r="I28" s="48">
        <v>7.6999999999999999E-2</v>
      </c>
      <c r="J28" s="48">
        <v>7.6999999999999999E-2</v>
      </c>
      <c r="K28" s="48">
        <v>7.6999999999999999E-2</v>
      </c>
      <c r="L28" s="48">
        <v>7.6999999999999999E-2</v>
      </c>
      <c r="M28" s="48">
        <v>7.6999999999999999E-2</v>
      </c>
    </row>
    <row r="29" spans="1:13" x14ac:dyDescent="0.2">
      <c r="A29" s="11" t="s">
        <v>5</v>
      </c>
      <c r="D29" s="17">
        <v>7.2499999999999995E-2</v>
      </c>
      <c r="E29" s="17">
        <v>7.7499999999999999E-2</v>
      </c>
      <c r="F29" s="17">
        <v>7.9500000000000001E-2</v>
      </c>
      <c r="G29" s="17">
        <v>7.5499999999999998E-2</v>
      </c>
      <c r="H29" s="44">
        <v>7.5499999999999998E-2</v>
      </c>
      <c r="I29" s="17">
        <v>7.5499999999999998E-2</v>
      </c>
      <c r="J29" s="17">
        <v>7.5499999999999998E-2</v>
      </c>
      <c r="K29" s="17">
        <v>7.5499999999999998E-2</v>
      </c>
      <c r="L29" s="17">
        <v>7.5499999999999998E-2</v>
      </c>
      <c r="M29" s="17">
        <v>7.5499999999999998E-2</v>
      </c>
    </row>
    <row r="30" spans="1:13" x14ac:dyDescent="0.2">
      <c r="A30" s="11" t="s">
        <v>6</v>
      </c>
      <c r="D30" s="17">
        <v>0.08</v>
      </c>
      <c r="E30" s="17">
        <v>8.5000000000000006E-2</v>
      </c>
      <c r="F30" s="17">
        <v>8.6499999999999994E-2</v>
      </c>
      <c r="G30" s="17">
        <v>8.1500000000000003E-2</v>
      </c>
      <c r="H30" s="44">
        <v>8.1500000000000003E-2</v>
      </c>
      <c r="I30" s="17">
        <v>8.1500000000000003E-2</v>
      </c>
      <c r="J30" s="17">
        <v>8.1500000000000003E-2</v>
      </c>
      <c r="K30" s="17">
        <v>8.1500000000000003E-2</v>
      </c>
      <c r="L30" s="17">
        <v>8.1500000000000003E-2</v>
      </c>
      <c r="M30" s="17">
        <v>8.1500000000000003E-2</v>
      </c>
    </row>
    <row r="31" spans="1:13" x14ac:dyDescent="0.2">
      <c r="A31" s="12"/>
      <c r="D31" s="18"/>
    </row>
    <row r="32" spans="1:13" x14ac:dyDescent="0.2">
      <c r="D32" s="18"/>
    </row>
    <row r="33" spans="1:13" x14ac:dyDescent="0.2">
      <c r="A33" s="13" t="s">
        <v>12</v>
      </c>
      <c r="D33" s="27" cm="1">
        <f t="array" ref="D33">INDEX(D34:D36,$C$3)</f>
        <v>0.40250000000000002</v>
      </c>
      <c r="E33" s="27" cm="1">
        <f t="array" ref="E33">INDEX(E34:E36,$C$3)</f>
        <v>0.3725</v>
      </c>
      <c r="F33" s="27" cm="1">
        <f t="array" ref="F33">INDEX(F34:F36,$C$3)</f>
        <v>0.3725</v>
      </c>
      <c r="G33" s="27" cm="1">
        <f t="array" ref="G33">INDEX(G34:G36,$C$3)</f>
        <v>0.35249999999999998</v>
      </c>
      <c r="H33" s="43" cm="1">
        <f t="array" ref="H33">INDEX(H34:H36,$C$3)</f>
        <v>0.35249999999999998</v>
      </c>
      <c r="I33" s="27" cm="1">
        <f t="array" ref="I33">INDEX(I34:I36,$C$3)</f>
        <v>0.34250000000000003</v>
      </c>
      <c r="J33" s="27" cm="1">
        <f t="array" ref="J33">INDEX(J34:J36,$C$3)</f>
        <v>0.34250000000000003</v>
      </c>
      <c r="K33" s="27" cm="1">
        <f t="array" ref="K33">INDEX(K34:K36,$C$3)</f>
        <v>0.34250000000000003</v>
      </c>
      <c r="L33" s="27" cm="1">
        <f t="array" ref="L33">INDEX(L34:L36,$C$3)</f>
        <v>0.34250000000000003</v>
      </c>
      <c r="M33" s="27" cm="1">
        <f t="array" ref="M33">INDEX(M34:M36,$C$3)</f>
        <v>0.34250000000000003</v>
      </c>
    </row>
    <row r="34" spans="1:13" customFormat="1" x14ac:dyDescent="0.2">
      <c r="A34" t="s">
        <v>4</v>
      </c>
      <c r="D34" s="48">
        <v>0.4</v>
      </c>
      <c r="E34" s="48">
        <v>0.37</v>
      </c>
      <c r="F34" s="48">
        <v>0.37</v>
      </c>
      <c r="G34" s="48">
        <v>0.35</v>
      </c>
      <c r="H34" s="44">
        <v>0.35</v>
      </c>
      <c r="I34" s="48">
        <v>0.34</v>
      </c>
      <c r="J34" s="48">
        <v>0.34</v>
      </c>
      <c r="K34" s="48">
        <v>0.34</v>
      </c>
      <c r="L34" s="48">
        <v>0.34</v>
      </c>
      <c r="M34" s="48">
        <v>0.34</v>
      </c>
    </row>
    <row r="35" spans="1:13" x14ac:dyDescent="0.2">
      <c r="A35" s="11" t="s">
        <v>5</v>
      </c>
      <c r="D35" s="17">
        <v>0.39750000000000002</v>
      </c>
      <c r="E35" s="17">
        <v>0.36749999999999999</v>
      </c>
      <c r="F35" s="17">
        <v>0.36749999999999999</v>
      </c>
      <c r="G35" s="17">
        <v>0.34749999999999998</v>
      </c>
      <c r="H35" s="44">
        <v>0.34749999999999998</v>
      </c>
      <c r="I35" s="17">
        <v>0.33750000000000002</v>
      </c>
      <c r="J35" s="17">
        <v>0.33750000000000002</v>
      </c>
      <c r="K35" s="17">
        <v>0.33750000000000002</v>
      </c>
      <c r="L35" s="17">
        <v>0.33750000000000002</v>
      </c>
      <c r="M35" s="17">
        <v>0.33750000000000002</v>
      </c>
    </row>
    <row r="36" spans="1:13" x14ac:dyDescent="0.2">
      <c r="A36" s="11" t="s">
        <v>6</v>
      </c>
      <c r="D36" s="18">
        <v>0.40250000000000002</v>
      </c>
      <c r="E36" s="18">
        <v>0.3725</v>
      </c>
      <c r="F36" s="18">
        <v>0.3725</v>
      </c>
      <c r="G36" s="18">
        <v>0.35249999999999998</v>
      </c>
      <c r="H36" s="32">
        <v>0.35249999999999998</v>
      </c>
      <c r="I36" s="18">
        <v>0.34250000000000003</v>
      </c>
      <c r="J36" s="18">
        <v>0.34250000000000003</v>
      </c>
      <c r="K36" s="18">
        <v>0.34250000000000003</v>
      </c>
      <c r="L36" s="18">
        <v>0.34250000000000003</v>
      </c>
      <c r="M36" s="18">
        <v>0.34250000000000003</v>
      </c>
    </row>
    <row r="37" spans="1:13" x14ac:dyDescent="0.2">
      <c r="D37" s="18"/>
    </row>
    <row r="38" spans="1:13" x14ac:dyDescent="0.2">
      <c r="A38" s="13" t="s">
        <v>13</v>
      </c>
      <c r="D38" s="25" cm="1">
        <f t="array" ref="D38">INDEX(D39:D41,$C$3)</f>
        <v>0</v>
      </c>
      <c r="E38" s="24">
        <v>0</v>
      </c>
      <c r="F38" s="24" cm="1">
        <f t="array" ref="F38">INDEX(F39:F41,$C$3)</f>
        <v>0</v>
      </c>
      <c r="G38" s="24" cm="1">
        <f t="array" ref="G38">INDEX(G39:G41,$C$3)</f>
        <v>0</v>
      </c>
      <c r="H38" s="46" cm="1">
        <f t="array" ref="H38">INDEX(H39:H41,$C$3)</f>
        <v>0</v>
      </c>
      <c r="I38" s="24" cm="1">
        <f t="array" ref="I38">INDEX(I39:I41,$C$3)</f>
        <v>0</v>
      </c>
      <c r="J38" s="24" cm="1">
        <f t="array" ref="J38">INDEX(J39:J41,$C$3)</f>
        <v>0</v>
      </c>
      <c r="K38" s="24" cm="1">
        <f t="array" ref="K38">INDEX(K39:K41,$C$3)</f>
        <v>0</v>
      </c>
      <c r="L38" s="24" cm="1">
        <f t="array" ref="L38">INDEX(L39:L41,$C$3)</f>
        <v>0</v>
      </c>
      <c r="M38" s="24" cm="1">
        <f t="array" ref="M38">INDEX(M39:M41,$C$3)</f>
        <v>0</v>
      </c>
    </row>
    <row r="39" spans="1:13" x14ac:dyDescent="0.2">
      <c r="A39" s="11" t="s">
        <v>4</v>
      </c>
      <c r="D39" s="25">
        <v>0</v>
      </c>
      <c r="E39" s="24">
        <v>0</v>
      </c>
      <c r="F39" s="24">
        <v>0</v>
      </c>
      <c r="G39" s="24">
        <v>0</v>
      </c>
      <c r="H39" s="46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</row>
    <row r="40" spans="1:13" x14ac:dyDescent="0.2">
      <c r="A40" s="11" t="s">
        <v>5</v>
      </c>
      <c r="D40" s="25">
        <v>0</v>
      </c>
      <c r="E40" s="25">
        <v>0</v>
      </c>
      <c r="F40" s="25">
        <v>0</v>
      </c>
      <c r="G40" s="25">
        <v>0</v>
      </c>
      <c r="H40" s="3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</row>
    <row r="41" spans="1:13" x14ac:dyDescent="0.2">
      <c r="A41" s="11" t="s">
        <v>6</v>
      </c>
      <c r="D41" s="25">
        <v>0</v>
      </c>
      <c r="E41" s="25">
        <v>0</v>
      </c>
      <c r="F41" s="25">
        <v>0</v>
      </c>
      <c r="G41" s="25">
        <v>0</v>
      </c>
      <c r="H41" s="3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</row>
  </sheetData>
  <mergeCells count="4">
    <mergeCell ref="A3:B3"/>
    <mergeCell ref="A2:D2"/>
    <mergeCell ref="C3:D3"/>
    <mergeCell ref="D4:M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443"/>
  <sheetViews>
    <sheetView showGridLines="0" zoomScale="120" zoomScaleNormal="120" workbookViewId="0">
      <selection activeCell="P50" sqref="P50"/>
    </sheetView>
  </sheetViews>
  <sheetFormatPr baseColWidth="10" defaultColWidth="8.83203125" defaultRowHeight="15" x14ac:dyDescent="0.2"/>
  <cols>
    <col min="1" max="1" width="34.33203125" customWidth="1"/>
    <col min="2" max="2" width="12.6640625" customWidth="1"/>
    <col min="3" max="3" width="11.1640625" bestFit="1" customWidth="1"/>
    <col min="4" max="8" width="12.6640625" bestFit="1" customWidth="1"/>
    <col min="9" max="13" width="13.6640625" bestFit="1" customWidth="1"/>
    <col min="14" max="14" width="12.83203125" bestFit="1" customWidth="1"/>
    <col min="15" max="101" width="10.6640625" customWidth="1"/>
  </cols>
  <sheetData>
    <row r="1" spans="1:107" ht="16" x14ac:dyDescent="0.2">
      <c r="A1" s="57" t="s">
        <v>87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x14ac:dyDescent="0.2">
      <c r="A2" s="56" t="s">
        <v>14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x14ac:dyDescent="0.2">
      <c r="A3" s="56" t="s">
        <v>15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x14ac:dyDescent="0.2">
      <c r="A4" s="56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x14ac:dyDescent="0.2">
      <c r="A5" s="1"/>
      <c r="B5" s="1"/>
      <c r="N5" s="2" t="s">
        <v>16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x14ac:dyDescent="0.2">
      <c r="A6" s="1"/>
      <c r="B6" s="1">
        <f>2023</f>
        <v>2023</v>
      </c>
      <c r="C6" s="1">
        <f t="shared" ref="C6" si="0">+B6+1</f>
        <v>2024</v>
      </c>
      <c r="D6" s="2" t="s">
        <v>76</v>
      </c>
      <c r="E6" s="2" t="s">
        <v>77</v>
      </c>
      <c r="F6" s="2" t="s">
        <v>78</v>
      </c>
      <c r="G6" s="2" t="s">
        <v>79</v>
      </c>
      <c r="H6" s="2" t="s">
        <v>80</v>
      </c>
      <c r="I6" s="2" t="s">
        <v>81</v>
      </c>
      <c r="J6" s="2" t="s">
        <v>82</v>
      </c>
      <c r="K6" s="2" t="s">
        <v>83</v>
      </c>
      <c r="L6" s="2" t="s">
        <v>84</v>
      </c>
      <c r="M6" s="2" t="s">
        <v>85</v>
      </c>
      <c r="N6" s="2" t="s">
        <v>17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 x14ac:dyDescent="0.2">
      <c r="A7" s="1"/>
      <c r="B7" s="4" t="s">
        <v>18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4" t="s">
        <v>18</v>
      </c>
      <c r="M7" s="4" t="s">
        <v>18</v>
      </c>
      <c r="N7" s="4" t="s">
        <v>18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 x14ac:dyDescent="0.2">
      <c r="A8" s="1" t="s">
        <v>19</v>
      </c>
      <c r="B8" s="6">
        <v>2161735.7999999998</v>
      </c>
      <c r="C8" s="6">
        <v>2894307.7</v>
      </c>
      <c r="D8" s="5">
        <f>C8*(1+D57)</f>
        <v>3675770.7790000001</v>
      </c>
      <c r="E8" s="5">
        <f t="shared" ref="E8:M8" si="1">D8*(1+E57)</f>
        <v>4557955.7659600005</v>
      </c>
      <c r="F8" s="5">
        <f t="shared" si="1"/>
        <v>5560706.0344712008</v>
      </c>
      <c r="G8" s="5">
        <f t="shared" si="1"/>
        <v>6784061.3620548649</v>
      </c>
      <c r="H8" s="5">
        <f t="shared" si="1"/>
        <v>8276554.8617069349</v>
      </c>
      <c r="I8" s="5">
        <f t="shared" si="1"/>
        <v>9931865.8340483215</v>
      </c>
      <c r="J8" s="5">
        <f t="shared" si="1"/>
        <v>11918239.000857985</v>
      </c>
      <c r="K8" s="5">
        <f t="shared" si="1"/>
        <v>14063522.021012422</v>
      </c>
      <c r="L8" s="5">
        <f t="shared" si="1"/>
        <v>16594955.984794656</v>
      </c>
      <c r="M8" s="5">
        <f t="shared" si="1"/>
        <v>19582048.062057693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 x14ac:dyDescent="0.2">
      <c r="A9" s="1" t="s">
        <v>20</v>
      </c>
      <c r="B9" s="6">
        <v>986625.2</v>
      </c>
      <c r="C9" s="6">
        <v>1269954.1000000001</v>
      </c>
      <c r="D9" s="6">
        <f>D8*D58</f>
        <v>1580581.4349700001</v>
      </c>
      <c r="E9" s="6">
        <f t="shared" ref="E9:M9" si="2">E8*E58</f>
        <v>2005500.5370224002</v>
      </c>
      <c r="F9" s="6">
        <f t="shared" si="2"/>
        <v>2446710.6551673282</v>
      </c>
      <c r="G9" s="6">
        <f t="shared" si="2"/>
        <v>2968026.8458990036</v>
      </c>
      <c r="H9" s="6">
        <f t="shared" si="2"/>
        <v>3620992.751996784</v>
      </c>
      <c r="I9" s="6">
        <f t="shared" si="2"/>
        <v>4320361.63781102</v>
      </c>
      <c r="J9" s="6">
        <f t="shared" si="2"/>
        <v>5184433.9653732236</v>
      </c>
      <c r="K9" s="6">
        <f t="shared" si="2"/>
        <v>6047314.4690353414</v>
      </c>
      <c r="L9" s="6">
        <f t="shared" si="2"/>
        <v>7135831.0734617021</v>
      </c>
      <c r="M9" s="6">
        <f t="shared" si="2"/>
        <v>8420280.6666848082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</row>
    <row r="10" spans="1:107" x14ac:dyDescent="0.2">
      <c r="A10" s="1"/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x14ac:dyDescent="0.2">
      <c r="A11" s="1" t="s">
        <v>7</v>
      </c>
      <c r="B11" s="6">
        <f>+B8-B9</f>
        <v>1175110.5999999999</v>
      </c>
      <c r="C11" s="6">
        <f>+C8-C9</f>
        <v>1624353.6</v>
      </c>
      <c r="D11" s="6">
        <f t="shared" ref="D11:M11" si="3">D8-D9</f>
        <v>2095189.34403</v>
      </c>
      <c r="E11" s="6">
        <f t="shared" si="3"/>
        <v>2552455.2289376003</v>
      </c>
      <c r="F11" s="6">
        <f t="shared" si="3"/>
        <v>3113995.3793038726</v>
      </c>
      <c r="G11" s="6">
        <f t="shared" si="3"/>
        <v>3816034.5161558613</v>
      </c>
      <c r="H11" s="6">
        <f t="shared" si="3"/>
        <v>4655562.1097101513</v>
      </c>
      <c r="I11" s="6">
        <f t="shared" si="3"/>
        <v>5611504.1962373015</v>
      </c>
      <c r="J11" s="6">
        <f t="shared" si="3"/>
        <v>6733805.035484761</v>
      </c>
      <c r="K11" s="6">
        <f t="shared" si="3"/>
        <v>8016207.5519770803</v>
      </c>
      <c r="L11" s="6">
        <f t="shared" si="3"/>
        <v>9459124.9113329537</v>
      </c>
      <c r="M11" s="6">
        <f t="shared" si="3"/>
        <v>11161767.395372884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x14ac:dyDescent="0.2">
      <c r="A12" s="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 x14ac:dyDescent="0.2">
      <c r="A13" s="1" t="s">
        <v>21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x14ac:dyDescent="0.2">
      <c r="A14" s="1" t="s">
        <v>10</v>
      </c>
      <c r="B14">
        <v>60872.800000000003</v>
      </c>
      <c r="C14" s="6">
        <v>83745</v>
      </c>
      <c r="D14" s="6">
        <f t="shared" ref="D14:M14" si="4">D8*D63</f>
        <v>110273.12337</v>
      </c>
      <c r="E14" s="6">
        <f t="shared" si="4"/>
        <v>150412.54027668003</v>
      </c>
      <c r="F14" s="6">
        <f t="shared" si="4"/>
        <v>194624.71120649204</v>
      </c>
      <c r="G14" s="6">
        <f t="shared" si="4"/>
        <v>237442.14767192031</v>
      </c>
      <c r="H14" s="6">
        <f t="shared" si="4"/>
        <v>289679.42015974276</v>
      </c>
      <c r="I14" s="6">
        <f t="shared" si="4"/>
        <v>347615.30419169128</v>
      </c>
      <c r="J14" s="6">
        <f t="shared" si="4"/>
        <v>417138.3650300295</v>
      </c>
      <c r="K14" s="6">
        <f t="shared" si="4"/>
        <v>492223.27073543478</v>
      </c>
      <c r="L14" s="6">
        <f t="shared" si="4"/>
        <v>580823.45946781302</v>
      </c>
      <c r="M14" s="6">
        <f t="shared" si="4"/>
        <v>685371.68217201927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x14ac:dyDescent="0.2">
      <c r="A15" s="1" t="s">
        <v>11</v>
      </c>
      <c r="B15">
        <v>182370.2</v>
      </c>
      <c r="C15" s="6">
        <v>204181.8</v>
      </c>
      <c r="D15" s="6">
        <f t="shared" ref="D15:M15" si="5">D8*D64</f>
        <v>294061.66232</v>
      </c>
      <c r="E15" s="6">
        <f t="shared" si="5"/>
        <v>387426.24010660005</v>
      </c>
      <c r="F15" s="6">
        <f t="shared" si="5"/>
        <v>481001.07198175881</v>
      </c>
      <c r="G15" s="6">
        <f t="shared" si="5"/>
        <v>552901.00100747147</v>
      </c>
      <c r="H15" s="6">
        <f t="shared" si="5"/>
        <v>674539.22122911527</v>
      </c>
      <c r="I15" s="6">
        <f t="shared" si="5"/>
        <v>809447.06547493825</v>
      </c>
      <c r="J15" s="6">
        <f t="shared" si="5"/>
        <v>971336.47856992576</v>
      </c>
      <c r="K15" s="6">
        <f t="shared" si="5"/>
        <v>1146177.0447125125</v>
      </c>
      <c r="L15" s="6">
        <f t="shared" si="5"/>
        <v>1352488.9127607646</v>
      </c>
      <c r="M15" s="6">
        <f t="shared" si="5"/>
        <v>1595936.9170577021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x14ac:dyDescent="0.2">
      <c r="A16" s="1" t="s">
        <v>86</v>
      </c>
      <c r="B16">
        <v>10590.7</v>
      </c>
      <c r="C16">
        <v>13143.6</v>
      </c>
      <c r="D16" s="6">
        <f>D8*D65</f>
        <v>16540.968505500001</v>
      </c>
      <c r="E16" s="6">
        <f t="shared" ref="E16:M16" si="6">E8*E65</f>
        <v>20510.80094682</v>
      </c>
      <c r="F16" s="6">
        <f t="shared" si="6"/>
        <v>25023.1771551204</v>
      </c>
      <c r="G16" s="6">
        <f t="shared" si="6"/>
        <v>30528.276129246889</v>
      </c>
      <c r="H16" s="6">
        <f t="shared" si="6"/>
        <v>37244.496877681202</v>
      </c>
      <c r="I16" s="6">
        <f t="shared" si="6"/>
        <v>44693.396253217441</v>
      </c>
      <c r="J16" s="6">
        <f t="shared" si="6"/>
        <v>53632.075503860928</v>
      </c>
      <c r="K16" s="6">
        <f t="shared" si="6"/>
        <v>63285.849094555895</v>
      </c>
      <c r="L16" s="6">
        <f t="shared" si="6"/>
        <v>74677.301931575945</v>
      </c>
      <c r="M16" s="6">
        <f t="shared" si="6"/>
        <v>88119.216279259606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 x14ac:dyDescent="0.2">
      <c r="A17" s="1"/>
      <c r="B17" s="4" t="s">
        <v>18</v>
      </c>
      <c r="C17" s="4" t="s">
        <v>18</v>
      </c>
      <c r="D17" s="4" t="s">
        <v>18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  <c r="L17" s="4" t="s">
        <v>18</v>
      </c>
      <c r="M17" s="4" t="s">
        <v>18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 x14ac:dyDescent="0.2">
      <c r="A18" s="1" t="s">
        <v>22</v>
      </c>
      <c r="B18" s="6">
        <f t="shared" ref="B18" si="7">SUM(B14:B17)</f>
        <v>253833.7</v>
      </c>
      <c r="C18" s="6">
        <f>SUM(C14:C17)</f>
        <v>301070.39999999997</v>
      </c>
      <c r="D18" s="6">
        <f>SUM(D14:D16)</f>
        <v>420875.75419549999</v>
      </c>
      <c r="E18" s="6">
        <f t="shared" ref="E18:M18" si="8">SUM(E14:E16)</f>
        <v>558349.58133009996</v>
      </c>
      <c r="F18" s="6">
        <f t="shared" si="8"/>
        <v>700648.96034337126</v>
      </c>
      <c r="G18" s="6">
        <f>SUM(G14:G16)</f>
        <v>820871.42480863864</v>
      </c>
      <c r="H18" s="6">
        <f>SUM(H14:H16)</f>
        <v>1001463.1382665392</v>
      </c>
      <c r="I18" s="6">
        <f t="shared" si="8"/>
        <v>1201755.7659198469</v>
      </c>
      <c r="J18" s="6">
        <f t="shared" si="8"/>
        <v>1442106.9191038162</v>
      </c>
      <c r="K18" s="6">
        <f t="shared" si="8"/>
        <v>1701686.1645425032</v>
      </c>
      <c r="L18" s="6">
        <f t="shared" si="8"/>
        <v>2007989.6741601536</v>
      </c>
      <c r="M18" s="6">
        <f t="shared" si="8"/>
        <v>2369427.8155089808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x14ac:dyDescent="0.2">
      <c r="A19" s="1"/>
      <c r="B19" s="4" t="s">
        <v>18</v>
      </c>
      <c r="C19" s="4" t="s">
        <v>18</v>
      </c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  <c r="L19" s="4" t="s">
        <v>18</v>
      </c>
      <c r="M19" s="4" t="s">
        <v>18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x14ac:dyDescent="0.2">
      <c r="A20" s="1" t="s">
        <v>23</v>
      </c>
      <c r="B20" s="6">
        <f t="shared" ref="B20" si="9">+B11-B18</f>
        <v>921276.89999999991</v>
      </c>
      <c r="C20" s="6">
        <f>+C11-C18</f>
        <v>1323283.2000000002</v>
      </c>
      <c r="D20" s="6">
        <f>D11-D18</f>
        <v>1674313.5898345001</v>
      </c>
      <c r="E20" s="6">
        <f t="shared" ref="E20:M20" si="10">E11-E18</f>
        <v>1994105.6476075002</v>
      </c>
      <c r="F20" s="6">
        <f t="shared" si="10"/>
        <v>2413346.4189605014</v>
      </c>
      <c r="G20" s="6">
        <f t="shared" si="10"/>
        <v>2995163.0913472227</v>
      </c>
      <c r="H20" s="6">
        <f t="shared" si="10"/>
        <v>3654098.9714436121</v>
      </c>
      <c r="I20" s="6">
        <f t="shared" si="10"/>
        <v>4409748.430317454</v>
      </c>
      <c r="J20" s="6">
        <f t="shared" si="10"/>
        <v>5291698.1163809448</v>
      </c>
      <c r="K20" s="6">
        <f t="shared" si="10"/>
        <v>6314521.3874345776</v>
      </c>
      <c r="L20" s="6">
        <f t="shared" si="10"/>
        <v>7451135.2371728001</v>
      </c>
      <c r="M20" s="6">
        <f t="shared" si="10"/>
        <v>8792339.579863904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 x14ac:dyDescent="0.2">
      <c r="A21" s="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 x14ac:dyDescent="0.2">
      <c r="A22" s="1" t="s">
        <v>24</v>
      </c>
      <c r="B22" s="6">
        <f>+B8*B71</f>
        <v>0</v>
      </c>
      <c r="C22" s="6">
        <f>+C8*C71</f>
        <v>0</v>
      </c>
      <c r="D22" s="6">
        <f t="shared" ref="D22:M22" si="11">D71*D8</f>
        <v>0</v>
      </c>
      <c r="E22" s="6">
        <f t="shared" si="11"/>
        <v>0</v>
      </c>
      <c r="F22" s="6">
        <f t="shared" si="11"/>
        <v>0</v>
      </c>
      <c r="G22" s="6">
        <f t="shared" si="11"/>
        <v>0</v>
      </c>
      <c r="H22" s="6">
        <f t="shared" si="11"/>
        <v>0</v>
      </c>
      <c r="I22" s="6">
        <f t="shared" si="11"/>
        <v>0</v>
      </c>
      <c r="J22" s="6">
        <f t="shared" si="11"/>
        <v>0</v>
      </c>
      <c r="K22" s="6">
        <f t="shared" si="11"/>
        <v>0</v>
      </c>
      <c r="L22" s="6">
        <f t="shared" si="11"/>
        <v>0</v>
      </c>
      <c r="M22" s="6">
        <f t="shared" si="11"/>
        <v>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</row>
    <row r="23" spans="1:107" x14ac:dyDescent="0.2">
      <c r="A23" s="1"/>
      <c r="B23" s="4" t="s">
        <v>18</v>
      </c>
      <c r="C23" s="4" t="s">
        <v>18</v>
      </c>
      <c r="D23" s="4" t="s">
        <v>18</v>
      </c>
      <c r="E23" s="4" t="s">
        <v>18</v>
      </c>
      <c r="F23" s="4" t="s">
        <v>18</v>
      </c>
      <c r="G23" s="4" t="s">
        <v>18</v>
      </c>
      <c r="H23" s="4" t="s">
        <v>18</v>
      </c>
      <c r="I23" s="4" t="s">
        <v>18</v>
      </c>
      <c r="J23" s="4" t="s">
        <v>18</v>
      </c>
      <c r="K23" s="4" t="s">
        <v>18</v>
      </c>
      <c r="L23" s="4" t="s">
        <v>18</v>
      </c>
      <c r="M23" s="4" t="s">
        <v>18</v>
      </c>
      <c r="N23" s="6"/>
      <c r="O23" s="6"/>
      <c r="P23" s="5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 x14ac:dyDescent="0.2">
      <c r="A24" s="1" t="s">
        <v>25</v>
      </c>
      <c r="B24" s="6">
        <f t="shared" ref="B24:C24" si="12">+B20+SUM(B22:B23)</f>
        <v>921276.89999999991</v>
      </c>
      <c r="C24" s="6">
        <f t="shared" si="12"/>
        <v>1323283.2000000002</v>
      </c>
      <c r="D24" s="6">
        <f>SUM(D20:D22)</f>
        <v>1674313.5898345001</v>
      </c>
      <c r="E24" s="6">
        <f t="shared" ref="E24:M24" si="13">SUM(E20:E22)</f>
        <v>1994105.6476075002</v>
      </c>
      <c r="F24" s="6">
        <f t="shared" si="13"/>
        <v>2413346.4189605014</v>
      </c>
      <c r="G24" s="6">
        <f t="shared" si="13"/>
        <v>2995163.0913472227</v>
      </c>
      <c r="H24" s="6">
        <f t="shared" si="13"/>
        <v>3654098.9714436121</v>
      </c>
      <c r="I24" s="6">
        <f t="shared" si="13"/>
        <v>4409748.430317454</v>
      </c>
      <c r="J24" s="6">
        <f t="shared" si="13"/>
        <v>5291698.1163809448</v>
      </c>
      <c r="K24" s="6">
        <f t="shared" si="13"/>
        <v>6314521.3874345776</v>
      </c>
      <c r="L24" s="6">
        <f t="shared" si="13"/>
        <v>7451135.2371728001</v>
      </c>
      <c r="M24" s="6">
        <f t="shared" si="13"/>
        <v>8792339.579863904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 x14ac:dyDescent="0.2">
      <c r="A25" s="1" t="s">
        <v>26</v>
      </c>
      <c r="B25" s="6">
        <f>+B24*B74</f>
        <v>184255.38</v>
      </c>
      <c r="C25" s="6">
        <f>+C24*C74</f>
        <v>264656.64000000007</v>
      </c>
      <c r="D25" s="6">
        <f t="shared" ref="D25:M25" si="14">D24*D74</f>
        <v>334862.71796690003</v>
      </c>
      <c r="E25" s="6">
        <f>E24*E74</f>
        <v>398821.12952150009</v>
      </c>
      <c r="F25" s="6">
        <f t="shared" si="14"/>
        <v>482669.28379210032</v>
      </c>
      <c r="G25" s="6">
        <f t="shared" si="14"/>
        <v>599032.61826944456</v>
      </c>
      <c r="H25" s="6">
        <f t="shared" si="14"/>
        <v>730819.79428872245</v>
      </c>
      <c r="I25" s="6">
        <f t="shared" si="14"/>
        <v>881949.68606349081</v>
      </c>
      <c r="J25" s="6">
        <f t="shared" si="14"/>
        <v>1058339.623276189</v>
      </c>
      <c r="K25" s="6">
        <f t="shared" si="14"/>
        <v>1262904.2774869157</v>
      </c>
      <c r="L25" s="6">
        <f t="shared" si="14"/>
        <v>1490227.04743456</v>
      </c>
      <c r="M25" s="6">
        <f t="shared" si="14"/>
        <v>1758467.9159727809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 x14ac:dyDescent="0.2">
      <c r="A26" s="1"/>
      <c r="B26" s="4" t="s">
        <v>18</v>
      </c>
      <c r="C26" s="4" t="s">
        <v>18</v>
      </c>
      <c r="D26" s="4" t="s">
        <v>18</v>
      </c>
      <c r="E26" s="4" t="s">
        <v>18</v>
      </c>
      <c r="F26" s="4" t="s">
        <v>18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x14ac:dyDescent="0.2">
      <c r="A27" s="1" t="s">
        <v>27</v>
      </c>
      <c r="B27" s="6">
        <f t="shared" ref="B27:C27" si="15">+B24-B25</f>
        <v>737021.5199999999</v>
      </c>
      <c r="C27" s="6">
        <f t="shared" si="15"/>
        <v>1058626.5600000001</v>
      </c>
      <c r="D27" s="6">
        <f>D24-D25</f>
        <v>1339450.8718676001</v>
      </c>
      <c r="E27" s="6">
        <f t="shared" ref="E27:M27" si="16">E24-E25</f>
        <v>1595284.5180860001</v>
      </c>
      <c r="F27" s="6">
        <f t="shared" si="16"/>
        <v>1930677.1351684011</v>
      </c>
      <c r="G27" s="6">
        <f t="shared" si="16"/>
        <v>2396130.4730777782</v>
      </c>
      <c r="H27" s="6">
        <f t="shared" si="16"/>
        <v>2923279.1771548898</v>
      </c>
      <c r="I27" s="6">
        <f t="shared" si="16"/>
        <v>3527798.7442539632</v>
      </c>
      <c r="J27" s="6">
        <f t="shared" si="16"/>
        <v>4233358.4931047559</v>
      </c>
      <c r="K27" s="6">
        <f t="shared" si="16"/>
        <v>5051617.1099476619</v>
      </c>
      <c r="L27" s="6">
        <f t="shared" si="16"/>
        <v>5960908.1897382401</v>
      </c>
      <c r="M27" s="6">
        <f t="shared" si="16"/>
        <v>7033871.6638911236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 x14ac:dyDescent="0.2">
      <c r="A28" s="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 x14ac:dyDescent="0.2">
      <c r="A29" s="3" t="s">
        <v>28</v>
      </c>
      <c r="B29" s="6">
        <f>B117</f>
        <v>532190.92000000004</v>
      </c>
      <c r="C29" s="6">
        <f t="shared" ref="C29:M29" si="17">C117</f>
        <v>662796.64</v>
      </c>
      <c r="D29" s="6">
        <f t="shared" si="17"/>
        <v>1167747.0077095001</v>
      </c>
      <c r="E29" s="6">
        <f t="shared" si="17"/>
        <v>1291649.3722735201</v>
      </c>
      <c r="F29" s="6">
        <f t="shared" si="17"/>
        <v>1490256.6318416246</v>
      </c>
      <c r="G29" s="6">
        <f t="shared" si="17"/>
        <v>1752867.6178664928</v>
      </c>
      <c r="H29" s="6">
        <f t="shared" si="17"/>
        <v>2120699.3956168313</v>
      </c>
      <c r="I29" s="6">
        <f t="shared" si="17"/>
        <v>2505132.6575396415</v>
      </c>
      <c r="J29" s="6">
        <f t="shared" si="17"/>
        <v>2981964.3245343934</v>
      </c>
      <c r="K29" s="6">
        <f t="shared" si="17"/>
        <v>3531042.9834056399</v>
      </c>
      <c r="L29" s="6">
        <f t="shared" si="17"/>
        <v>3606024.0245888671</v>
      </c>
      <c r="M29" s="6">
        <f t="shared" si="17"/>
        <v>4947394.3168398188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x14ac:dyDescent="0.2">
      <c r="A30" s="3" t="s">
        <v>29</v>
      </c>
      <c r="B30" s="6">
        <v>-949817</v>
      </c>
      <c r="C30" s="6">
        <v>-956006.54</v>
      </c>
      <c r="D30" s="6">
        <f>-D8*D80</f>
        <v>-1479497.7385475002</v>
      </c>
      <c r="E30" s="6">
        <f t="shared" ref="E30:M30" si="18">-E8*E80</f>
        <v>-1697838.5228201002</v>
      </c>
      <c r="F30" s="6">
        <f t="shared" si="18"/>
        <v>-2071362.9978405223</v>
      </c>
      <c r="G30" s="6">
        <f t="shared" si="18"/>
        <v>-2391381.6301243398</v>
      </c>
      <c r="H30" s="6">
        <f t="shared" si="18"/>
        <v>-2917485.5887516942</v>
      </c>
      <c r="I30" s="6">
        <f t="shared" si="18"/>
        <v>-3401664.0481615504</v>
      </c>
      <c r="J30" s="6">
        <f t="shared" si="18"/>
        <v>-4081996.8577938601</v>
      </c>
      <c r="K30" s="6">
        <f t="shared" si="18"/>
        <v>-4816756.2921967544</v>
      </c>
      <c r="L30" s="6">
        <f t="shared" si="18"/>
        <v>-5683772.4247921696</v>
      </c>
      <c r="M30" s="6">
        <f t="shared" si="18"/>
        <v>-6706851.4612547606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x14ac:dyDescent="0.2">
      <c r="A31" s="3" t="s">
        <v>30</v>
      </c>
      <c r="B31" s="31">
        <f>56852.1</f>
        <v>56852.1</v>
      </c>
      <c r="C31" s="31">
        <f>-13350.8</f>
        <v>-13350.8</v>
      </c>
      <c r="D31" s="6">
        <f>(C8-D8)*$B$82</f>
        <v>-437619.32423999999</v>
      </c>
      <c r="E31" s="6">
        <f t="shared" ref="E31:M31" si="19">(D8-E8)*$B$82</f>
        <v>-494023.59269760025</v>
      </c>
      <c r="F31" s="6">
        <f t="shared" si="19"/>
        <v>-561540.1503662722</v>
      </c>
      <c r="G31" s="6">
        <f t="shared" si="19"/>
        <v>-685078.98344685195</v>
      </c>
      <c r="H31" s="6">
        <f t="shared" si="19"/>
        <v>-835796.35980515927</v>
      </c>
      <c r="I31" s="6">
        <f t="shared" si="19"/>
        <v>-926974.14451117662</v>
      </c>
      <c r="J31" s="6">
        <f t="shared" si="19"/>
        <v>-1112368.9734134115</v>
      </c>
      <c r="K31" s="6">
        <f t="shared" si="19"/>
        <v>-1201358.4912864848</v>
      </c>
      <c r="L31" s="6">
        <f t="shared" si="19"/>
        <v>-1417603.0197180512</v>
      </c>
      <c r="M31" s="6">
        <f t="shared" si="19"/>
        <v>-1672771.5632673008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x14ac:dyDescent="0.2">
      <c r="A32" s="1"/>
      <c r="B32" s="4" t="s">
        <v>18</v>
      </c>
      <c r="C32" s="4" t="s">
        <v>18</v>
      </c>
      <c r="D32" s="4" t="s">
        <v>18</v>
      </c>
      <c r="E32" s="4" t="s">
        <v>18</v>
      </c>
      <c r="F32" s="4" t="s">
        <v>18</v>
      </c>
      <c r="G32" s="4" t="s">
        <v>18</v>
      </c>
      <c r="H32" s="4" t="s">
        <v>18</v>
      </c>
      <c r="I32" s="4" t="s">
        <v>18</v>
      </c>
      <c r="J32" s="4" t="s">
        <v>18</v>
      </c>
      <c r="K32" s="4" t="s">
        <v>18</v>
      </c>
      <c r="L32" s="4" t="s">
        <v>18</v>
      </c>
      <c r="M32" s="4" t="s">
        <v>18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x14ac:dyDescent="0.2">
      <c r="A33" s="1" t="s">
        <v>31</v>
      </c>
      <c r="B33" s="31">
        <f>+B27+SUM(B29:B32)</f>
        <v>376247.53999999992</v>
      </c>
      <c r="C33" s="31">
        <f>+C27+SUM(C29:C32)</f>
        <v>752065.8600000001</v>
      </c>
      <c r="D33" s="6">
        <f>(D27+SUM(D29:D31))*0.25</f>
        <v>147520.20419740002</v>
      </c>
      <c r="E33" s="6">
        <f t="shared" ref="E33:M33" si="20">E27+SUM(E29:E31)</f>
        <v>695071.77484181977</v>
      </c>
      <c r="F33" s="6">
        <f t="shared" si="20"/>
        <v>788030.61880323105</v>
      </c>
      <c r="G33" s="6">
        <f t="shared" si="20"/>
        <v>1072537.4773730794</v>
      </c>
      <c r="H33" s="6">
        <f t="shared" si="20"/>
        <v>1290696.6242148676</v>
      </c>
      <c r="I33" s="6">
        <f t="shared" si="20"/>
        <v>1704293.2091208776</v>
      </c>
      <c r="J33" s="6">
        <f t="shared" si="20"/>
        <v>2020956.9864318776</v>
      </c>
      <c r="K33" s="6">
        <f t="shared" si="20"/>
        <v>2564545.3098700624</v>
      </c>
      <c r="L33" s="6">
        <f t="shared" si="20"/>
        <v>2465556.7698168866</v>
      </c>
      <c r="M33" s="6">
        <f t="shared" si="20"/>
        <v>3601642.956208881</v>
      </c>
      <c r="N33" s="6">
        <f>M27*(1-0.01/0.1846)/(B92-0.01)</f>
        <v>70531394.593512908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x14ac:dyDescent="0.2">
      <c r="A34" s="1" t="s">
        <v>32</v>
      </c>
      <c r="B34" s="9"/>
      <c r="C34" s="9"/>
      <c r="D34" s="9">
        <f>1/(1+$B$92)^(D93/12)</f>
        <v>0.98767238586439698</v>
      </c>
      <c r="E34" s="9">
        <f>1/(1+$B$92)^(E93/12)</f>
        <v>0.92827674239160873</v>
      </c>
      <c r="F34" s="9">
        <f t="shared" ref="F34:N34" si="21">1/(1+$B$92)^(F93/12)</f>
        <v>0.84058330897449873</v>
      </c>
      <c r="G34" s="9">
        <f t="shared" si="21"/>
        <v>0.76117419198297132</v>
      </c>
      <c r="H34" s="9">
        <f t="shared" si="21"/>
        <v>0.68926677981242956</v>
      </c>
      <c r="I34" s="9">
        <f t="shared" si="21"/>
        <v>0.624152393442715</v>
      </c>
      <c r="J34" s="9">
        <f t="shared" si="21"/>
        <v>0.5651893020961819</v>
      </c>
      <c r="K34" s="9">
        <f t="shared" si="21"/>
        <v>0.51179639870000349</v>
      </c>
      <c r="L34" s="9">
        <f t="shared" si="21"/>
        <v>0.46344747282162396</v>
      </c>
      <c r="M34" s="9">
        <f t="shared" si="21"/>
        <v>0.41966602463462865</v>
      </c>
      <c r="N34" s="9">
        <f t="shared" si="21"/>
        <v>0.3993516262512658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x14ac:dyDescent="0.2">
      <c r="A35" s="1"/>
      <c r="B35" s="4"/>
      <c r="C35" s="4"/>
      <c r="D35" s="4" t="s">
        <v>18</v>
      </c>
      <c r="E35" s="4" t="s">
        <v>18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  <c r="L35" s="4" t="s">
        <v>18</v>
      </c>
      <c r="M35" s="4" t="s">
        <v>18</v>
      </c>
      <c r="N35" s="4" t="s">
        <v>18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 x14ac:dyDescent="0.2">
      <c r="A36" s="1" t="s">
        <v>33</v>
      </c>
      <c r="B36" s="6"/>
      <c r="C36" s="6"/>
      <c r="D36" s="6">
        <f>D33*D34</f>
        <v>145701.63204284912</v>
      </c>
      <c r="E36" s="6">
        <f>E33*E34</f>
        <v>645218.96287851816</v>
      </c>
      <c r="F36" s="6">
        <f t="shared" ref="F36:J36" si="22">+F33*F34</f>
        <v>662405.38512684184</v>
      </c>
      <c r="G36" s="6">
        <f t="shared" si="22"/>
        <v>816387.84771090804</v>
      </c>
      <c r="H36" s="6">
        <f t="shared" si="22"/>
        <v>889634.30588735524</v>
      </c>
      <c r="I36" s="6">
        <f t="shared" si="22"/>
        <v>1063738.6856009613</v>
      </c>
      <c r="J36" s="6">
        <f t="shared" si="22"/>
        <v>1142223.268727836</v>
      </c>
      <c r="K36" s="6">
        <f t="shared" ref="K36:L36" si="23">+K33*K34</f>
        <v>1312525.0538944826</v>
      </c>
      <c r="L36" s="6">
        <f t="shared" si="23"/>
        <v>1142656.0540698825</v>
      </c>
      <c r="M36" s="6">
        <f t="shared" ref="M36" si="24">+M33*M34</f>
        <v>1511487.181585493</v>
      </c>
      <c r="N36" s="6">
        <f>+N33*N34</f>
        <v>28166827.132689115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 x14ac:dyDescent="0.2">
      <c r="A37" s="1"/>
      <c r="D37" s="4" t="s">
        <v>18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 x14ac:dyDescent="0.2">
      <c r="A38" s="1" t="s">
        <v>34</v>
      </c>
      <c r="D38" s="6">
        <f>SUM(D36:N36)</f>
        <v>37498805.510214239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 x14ac:dyDescent="0.2">
      <c r="A39" s="1" t="s">
        <v>35</v>
      </c>
      <c r="D39" s="33">
        <v>-2318529</v>
      </c>
      <c r="E39" s="6"/>
      <c r="F39" s="6"/>
      <c r="G39" s="6"/>
      <c r="H39" s="23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 x14ac:dyDescent="0.2">
      <c r="A40" s="1" t="s">
        <v>36</v>
      </c>
      <c r="D40" s="33">
        <v>2470759</v>
      </c>
      <c r="E40" s="6"/>
      <c r="F40" s="30"/>
      <c r="G40" s="6"/>
      <c r="H40" s="6"/>
      <c r="I40" s="29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 x14ac:dyDescent="0.2">
      <c r="A41" s="1"/>
      <c r="D41" s="4" t="s">
        <v>18</v>
      </c>
      <c r="E41" s="6"/>
      <c r="F41" s="6"/>
      <c r="G41" s="6"/>
      <c r="H41" s="6"/>
      <c r="I41" s="29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 x14ac:dyDescent="0.2">
      <c r="A42" s="1" t="s">
        <v>37</v>
      </c>
      <c r="D42" s="6">
        <f>SUM(D38:D40)</f>
        <v>37651035.510214239</v>
      </c>
      <c r="E42" s="6"/>
      <c r="F42" s="6"/>
      <c r="G42" s="6"/>
      <c r="H42" s="6"/>
      <c r="I42" s="29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x14ac:dyDescent="0.2">
      <c r="A43" s="1" t="s">
        <v>38</v>
      </c>
      <c r="D43" s="6">
        <v>25932.6</v>
      </c>
      <c r="E43" s="6"/>
      <c r="F43" s="6"/>
      <c r="G43" s="6"/>
      <c r="H43" s="6"/>
      <c r="I43" s="29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 x14ac:dyDescent="0.2">
      <c r="A44" s="1"/>
      <c r="D44" s="4" t="s">
        <v>18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 x14ac:dyDescent="0.2">
      <c r="A45" s="1" t="s">
        <v>39</v>
      </c>
      <c r="D45" s="10">
        <f>D42/D43</f>
        <v>1451.8804713069358</v>
      </c>
      <c r="E45" s="6"/>
      <c r="F45" s="6" t="s">
        <v>97</v>
      </c>
      <c r="G45" s="47">
        <f>D45/J45*5</f>
        <v>233.42129763777103</v>
      </c>
      <c r="H45" s="6"/>
      <c r="I45" s="6" t="s">
        <v>101</v>
      </c>
      <c r="J45" s="6">
        <v>31.1</v>
      </c>
      <c r="K45" s="6"/>
      <c r="L45" s="6" t="s">
        <v>102</v>
      </c>
      <c r="M45" s="15">
        <f>(G45-G48)/G48</f>
        <v>-0.18046029900368288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 x14ac:dyDescent="0.2">
      <c r="A46" s="1"/>
      <c r="D46" s="8" t="s">
        <v>40</v>
      </c>
      <c r="E46" s="6"/>
      <c r="F46" s="6"/>
      <c r="G46" s="8" t="s">
        <v>40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 x14ac:dyDescent="0.2">
      <c r="A47" s="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x14ac:dyDescent="0.2">
      <c r="A48" s="1" t="s">
        <v>88</v>
      </c>
      <c r="D48" s="10">
        <v>1430</v>
      </c>
      <c r="E48" s="6"/>
      <c r="F48" s="6"/>
      <c r="G48" s="47">
        <v>284.82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x14ac:dyDescent="0.2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16" x14ac:dyDescent="0.2">
      <c r="A50" s="57" t="s">
        <v>87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x14ac:dyDescent="0.2">
      <c r="A51" s="56" t="s">
        <v>14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x14ac:dyDescent="0.2">
      <c r="A52" s="56" t="s">
        <v>41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x14ac:dyDescent="0.2">
      <c r="A53" s="56" t="s">
        <v>42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x14ac:dyDescent="0.2">
      <c r="A55" s="1"/>
      <c r="B55" s="1">
        <f>2023</f>
        <v>2023</v>
      </c>
      <c r="C55" s="1">
        <f t="shared" ref="C55:M55" si="25">+B55+1</f>
        <v>2024</v>
      </c>
      <c r="D55" s="1">
        <f t="shared" si="25"/>
        <v>2025</v>
      </c>
      <c r="E55" s="1">
        <f t="shared" si="25"/>
        <v>2026</v>
      </c>
      <c r="F55" s="1">
        <f t="shared" si="25"/>
        <v>2027</v>
      </c>
      <c r="G55" s="1">
        <f t="shared" si="25"/>
        <v>2028</v>
      </c>
      <c r="H55" s="1">
        <f t="shared" si="25"/>
        <v>2029</v>
      </c>
      <c r="I55" s="1">
        <f t="shared" si="25"/>
        <v>2030</v>
      </c>
      <c r="J55" s="1">
        <f t="shared" si="25"/>
        <v>2031</v>
      </c>
      <c r="K55" s="1">
        <f t="shared" si="25"/>
        <v>2032</v>
      </c>
      <c r="L55" s="1">
        <f t="shared" si="25"/>
        <v>2033</v>
      </c>
      <c r="M55" s="1">
        <f t="shared" si="25"/>
        <v>2034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x14ac:dyDescent="0.2">
      <c r="A56" s="1"/>
      <c r="B56" s="4" t="s">
        <v>18</v>
      </c>
      <c r="C56" s="4" t="s">
        <v>18</v>
      </c>
      <c r="D56" s="4" t="s">
        <v>18</v>
      </c>
      <c r="E56" s="4" t="s">
        <v>18</v>
      </c>
      <c r="F56" s="4" t="s">
        <v>18</v>
      </c>
      <c r="G56" s="4" t="s">
        <v>18</v>
      </c>
      <c r="H56" s="4" t="s">
        <v>18</v>
      </c>
      <c r="I56" s="4" t="s">
        <v>18</v>
      </c>
      <c r="J56" s="4" t="s">
        <v>18</v>
      </c>
      <c r="K56" s="4" t="s">
        <v>18</v>
      </c>
      <c r="L56" s="4" t="s">
        <v>18</v>
      </c>
      <c r="M56" s="4" t="s">
        <v>18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x14ac:dyDescent="0.2">
      <c r="A57" s="1" t="s">
        <v>43</v>
      </c>
      <c r="B57" s="15">
        <v>-4.5100000000000001E-2</v>
      </c>
      <c r="C57" s="15">
        <f>+C8/B8-1</f>
        <v>0.33888132860639142</v>
      </c>
      <c r="D57" s="35">
        <f>Assumption!D8</f>
        <v>0.27</v>
      </c>
      <c r="E57" s="35">
        <f>Assumption!E8</f>
        <v>0.24</v>
      </c>
      <c r="F57" s="35">
        <f>Assumption!F8</f>
        <v>0.22</v>
      </c>
      <c r="G57" s="35">
        <f>Assumption!G8</f>
        <v>0.22</v>
      </c>
      <c r="H57" s="35">
        <f>Assumption!H8</f>
        <v>0.22</v>
      </c>
      <c r="I57" s="35">
        <f>Assumption!I8</f>
        <v>0.2</v>
      </c>
      <c r="J57" s="35">
        <f>Assumption!J8</f>
        <v>0.2</v>
      </c>
      <c r="K57" s="35">
        <f>Assumption!K8</f>
        <v>0.18</v>
      </c>
      <c r="L57" s="35">
        <f>Assumption!L8</f>
        <v>0.18</v>
      </c>
      <c r="M57" s="35">
        <f>Assumption!M8</f>
        <v>0.18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x14ac:dyDescent="0.2">
      <c r="A58" s="1" t="s">
        <v>20</v>
      </c>
      <c r="B58" s="15">
        <f>+B9/B8</f>
        <v>0.45640415447623156</v>
      </c>
      <c r="C58" s="15">
        <f>+C9/C8</f>
        <v>0.43877646457562203</v>
      </c>
      <c r="D58" s="35">
        <f>Assumption!D14</f>
        <v>0.43</v>
      </c>
      <c r="E58" s="35">
        <f>Assumption!E14</f>
        <v>0.44</v>
      </c>
      <c r="F58" s="35">
        <f>Assumption!F14</f>
        <v>0.44</v>
      </c>
      <c r="G58" s="35">
        <f>Assumption!G14</f>
        <v>0.4375</v>
      </c>
      <c r="H58" s="35">
        <f>Assumption!H14</f>
        <v>0.4375</v>
      </c>
      <c r="I58" s="35">
        <f>Assumption!I14</f>
        <v>0.435</v>
      </c>
      <c r="J58" s="35">
        <f>Assumption!J14</f>
        <v>0.435</v>
      </c>
      <c r="K58" s="35">
        <f>Assumption!K14</f>
        <v>0.43</v>
      </c>
      <c r="L58" s="35">
        <f>Assumption!L14</f>
        <v>0.43</v>
      </c>
      <c r="M58" s="35">
        <f>Assumption!M14</f>
        <v>0.43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x14ac:dyDescent="0.2">
      <c r="A59" s="1"/>
      <c r="B59" s="16" t="s">
        <v>18</v>
      </c>
      <c r="C59" s="16" t="s">
        <v>18</v>
      </c>
      <c r="D59" s="16" t="s">
        <v>18</v>
      </c>
      <c r="E59" s="16" t="s">
        <v>18</v>
      </c>
      <c r="F59" s="16" t="s">
        <v>18</v>
      </c>
      <c r="G59" s="16" t="s">
        <v>18</v>
      </c>
      <c r="H59" s="16" t="s">
        <v>18</v>
      </c>
      <c r="I59" s="16" t="s">
        <v>18</v>
      </c>
      <c r="J59" s="16" t="s">
        <v>18</v>
      </c>
      <c r="K59" s="16" t="s">
        <v>18</v>
      </c>
      <c r="L59" s="16" t="s">
        <v>18</v>
      </c>
      <c r="M59" s="16" t="s">
        <v>18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x14ac:dyDescent="0.2">
      <c r="A60" s="1" t="s">
        <v>7</v>
      </c>
      <c r="B60" s="15">
        <f>+B11/B8</f>
        <v>0.54359584552376838</v>
      </c>
      <c r="C60" s="15">
        <f>+C11/C8</f>
        <v>0.56122353542437797</v>
      </c>
      <c r="D60" s="15">
        <f>Assumption!D13</f>
        <v>0.57000000000000006</v>
      </c>
      <c r="E60" s="15">
        <f>Assumption!E13</f>
        <v>0.56000000000000005</v>
      </c>
      <c r="F60" s="15">
        <f>Assumption!F13</f>
        <v>0.56000000000000005</v>
      </c>
      <c r="G60" s="15">
        <f>Assumption!G13</f>
        <v>0.5625</v>
      </c>
      <c r="H60" s="15">
        <f>Assumption!H13</f>
        <v>0.5625</v>
      </c>
      <c r="I60" s="15">
        <f>Assumption!I13</f>
        <v>0.56499999999999995</v>
      </c>
      <c r="J60" s="15">
        <f>Assumption!J13</f>
        <v>0.56499999999999995</v>
      </c>
      <c r="K60" s="15">
        <f>Assumption!K13</f>
        <v>0.57000000000000006</v>
      </c>
      <c r="L60" s="15">
        <f>Assumption!L13</f>
        <v>0.57000000000000006</v>
      </c>
      <c r="M60" s="15">
        <f>Assumption!M13</f>
        <v>0.57000000000000006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x14ac:dyDescent="0.2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x14ac:dyDescent="0.2">
      <c r="A62" s="1" t="s">
        <v>21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x14ac:dyDescent="0.2">
      <c r="A63" s="1" t="s">
        <v>10</v>
      </c>
      <c r="B63" s="15">
        <f>B14/B8</f>
        <v>2.8159222787539535E-2</v>
      </c>
      <c r="C63" s="15">
        <f>C14/C8</f>
        <v>2.8934380404681919E-2</v>
      </c>
      <c r="D63" s="35">
        <f>Assumption!D22</f>
        <v>0.03</v>
      </c>
      <c r="E63" s="35">
        <f>Assumption!E22</f>
        <v>3.3000000000000002E-2</v>
      </c>
      <c r="F63" s="35">
        <f>Assumption!F22</f>
        <v>3.5000000000000003E-2</v>
      </c>
      <c r="G63" s="35">
        <f>Assumption!G22</f>
        <v>3.5000000000000003E-2</v>
      </c>
      <c r="H63" s="35">
        <f>Assumption!H22</f>
        <v>3.5000000000000003E-2</v>
      </c>
      <c r="I63" s="35">
        <f>Assumption!I22</f>
        <v>3.5000000000000003E-2</v>
      </c>
      <c r="J63" s="35">
        <f>Assumption!J22</f>
        <v>3.5000000000000003E-2</v>
      </c>
      <c r="K63" s="35">
        <f>Assumption!K22</f>
        <v>3.5000000000000003E-2</v>
      </c>
      <c r="L63" s="35">
        <f>Assumption!L22</f>
        <v>3.5000000000000003E-2</v>
      </c>
      <c r="M63" s="35">
        <f>Assumption!M22</f>
        <v>3.5000000000000003E-2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x14ac:dyDescent="0.2">
      <c r="A64" s="1" t="s">
        <v>11</v>
      </c>
      <c r="B64" s="15">
        <f>B15/B8</f>
        <v>8.4362853221933973E-2</v>
      </c>
      <c r="C64" s="15">
        <f>C15/C8</f>
        <v>7.0545989287870106E-2</v>
      </c>
      <c r="D64" s="35">
        <f>Assumption!D27</f>
        <v>0.08</v>
      </c>
      <c r="E64" s="35">
        <f>Assumption!E27</f>
        <v>8.5000000000000006E-2</v>
      </c>
      <c r="F64" s="35">
        <f>Assumption!F27</f>
        <v>8.6499999999999994E-2</v>
      </c>
      <c r="G64" s="35">
        <f>Assumption!G27</f>
        <v>8.1500000000000003E-2</v>
      </c>
      <c r="H64" s="35">
        <f>Assumption!H27</f>
        <v>8.1500000000000003E-2</v>
      </c>
      <c r="I64" s="35">
        <f>Assumption!I27</f>
        <v>8.1500000000000003E-2</v>
      </c>
      <c r="J64" s="35">
        <f>Assumption!J27</f>
        <v>8.1500000000000003E-2</v>
      </c>
      <c r="K64" s="35">
        <f>Assumption!K27</f>
        <v>8.1500000000000003E-2</v>
      </c>
      <c r="L64" s="35">
        <f>Assumption!L27</f>
        <v>8.1500000000000003E-2</v>
      </c>
      <c r="M64" s="35">
        <f>Assumption!M27</f>
        <v>8.1500000000000003E-2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x14ac:dyDescent="0.2">
      <c r="A65" s="1" t="s">
        <v>86</v>
      </c>
      <c r="B65" s="15">
        <f>+B16/B8</f>
        <v>4.8991648285604565E-3</v>
      </c>
      <c r="C65" s="15">
        <f>+C16/C8</f>
        <v>4.5411895908648546E-3</v>
      </c>
      <c r="D65" s="35">
        <v>4.4999999999999997E-3</v>
      </c>
      <c r="E65" s="35">
        <v>4.4999999999999997E-3</v>
      </c>
      <c r="F65" s="35">
        <v>4.4999999999999997E-3</v>
      </c>
      <c r="G65" s="35">
        <v>4.4999999999999997E-3</v>
      </c>
      <c r="H65" s="35">
        <v>4.4999999999999997E-3</v>
      </c>
      <c r="I65" s="35">
        <v>4.4999999999999997E-3</v>
      </c>
      <c r="J65" s="35">
        <v>4.4999999999999997E-3</v>
      </c>
      <c r="K65" s="35">
        <v>4.4999999999999997E-3</v>
      </c>
      <c r="L65" s="35">
        <v>4.4999999999999997E-3</v>
      </c>
      <c r="M65" s="35">
        <v>4.4999999999999997E-3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x14ac:dyDescent="0.2">
      <c r="A66" s="1"/>
      <c r="B66" s="16" t="s">
        <v>18</v>
      </c>
      <c r="C66" s="16" t="s">
        <v>18</v>
      </c>
      <c r="D66" s="16" t="s">
        <v>18</v>
      </c>
      <c r="E66" s="16" t="s">
        <v>18</v>
      </c>
      <c r="F66" s="16" t="s">
        <v>18</v>
      </c>
      <c r="G66" s="16" t="s">
        <v>18</v>
      </c>
      <c r="H66" s="16" t="s">
        <v>18</v>
      </c>
      <c r="I66" s="16" t="s">
        <v>18</v>
      </c>
      <c r="J66" s="16" t="s">
        <v>18</v>
      </c>
      <c r="K66" s="16" t="s">
        <v>18</v>
      </c>
      <c r="L66" s="16" t="s">
        <v>18</v>
      </c>
      <c r="M66" s="16" t="s">
        <v>18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x14ac:dyDescent="0.2">
      <c r="A67" s="1" t="s">
        <v>22</v>
      </c>
      <c r="B67" s="15">
        <f>+B18/B8</f>
        <v>0.11742124083803397</v>
      </c>
      <c r="C67" s="15">
        <f>+C18/C8</f>
        <v>0.10402155928341687</v>
      </c>
      <c r="D67" s="15">
        <f t="shared" ref="D67:M67" si="26">+D18/D8</f>
        <v>0.11449999999999999</v>
      </c>
      <c r="E67" s="15">
        <f t="shared" si="26"/>
        <v>0.12249999999999998</v>
      </c>
      <c r="F67" s="15">
        <f t="shared" si="26"/>
        <v>0.126</v>
      </c>
      <c r="G67" s="15">
        <f t="shared" si="26"/>
        <v>0.121</v>
      </c>
      <c r="H67" s="15">
        <f t="shared" si="26"/>
        <v>0.12100000000000001</v>
      </c>
      <c r="I67" s="15">
        <f t="shared" si="26"/>
        <v>0.12100000000000001</v>
      </c>
      <c r="J67" s="15">
        <f t="shared" si="26"/>
        <v>0.121</v>
      </c>
      <c r="K67" s="15">
        <f t="shared" si="26"/>
        <v>0.12100000000000001</v>
      </c>
      <c r="L67" s="15">
        <f t="shared" si="26"/>
        <v>0.12100000000000001</v>
      </c>
      <c r="M67" s="15">
        <f t="shared" si="26"/>
        <v>0.121</v>
      </c>
      <c r="N67" s="15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x14ac:dyDescent="0.2">
      <c r="A68" s="1"/>
      <c r="B68" s="16" t="s">
        <v>18</v>
      </c>
      <c r="C68" s="16" t="s">
        <v>18</v>
      </c>
      <c r="D68" s="16" t="s">
        <v>18</v>
      </c>
      <c r="E68" s="16" t="s">
        <v>18</v>
      </c>
      <c r="F68" s="16" t="s">
        <v>18</v>
      </c>
      <c r="G68" s="16" t="s">
        <v>18</v>
      </c>
      <c r="H68" s="16" t="s">
        <v>18</v>
      </c>
      <c r="I68" s="16" t="s">
        <v>18</v>
      </c>
      <c r="J68" s="16" t="s">
        <v>18</v>
      </c>
      <c r="K68" s="16" t="s">
        <v>18</v>
      </c>
      <c r="L68" s="16" t="s">
        <v>18</v>
      </c>
      <c r="M68" s="16" t="s">
        <v>18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x14ac:dyDescent="0.2">
      <c r="A69" s="1" t="s">
        <v>23</v>
      </c>
      <c r="B69" s="15">
        <f>+B20/B8</f>
        <v>0.42617460468573448</v>
      </c>
      <c r="C69" s="15">
        <f>+C20/C8</f>
        <v>0.45720197614096114</v>
      </c>
      <c r="D69" s="15">
        <f t="shared" ref="D69:M69" si="27">D20/D11</f>
        <v>0.7991228070175439</v>
      </c>
      <c r="E69" s="15">
        <f t="shared" si="27"/>
        <v>0.78125</v>
      </c>
      <c r="F69" s="15">
        <f t="shared" si="27"/>
        <v>0.77500000000000002</v>
      </c>
      <c r="G69" s="15">
        <f t="shared" si="27"/>
        <v>0.78488888888888886</v>
      </c>
      <c r="H69" s="15">
        <f t="shared" si="27"/>
        <v>0.78488888888888886</v>
      </c>
      <c r="I69" s="15">
        <f t="shared" si="27"/>
        <v>0.7858407079646017</v>
      </c>
      <c r="J69" s="15">
        <f t="shared" si="27"/>
        <v>0.7858407079646017</v>
      </c>
      <c r="K69" s="15">
        <f t="shared" si="27"/>
        <v>0.78771929824561404</v>
      </c>
      <c r="L69" s="15">
        <f t="shared" si="27"/>
        <v>0.78771929824561404</v>
      </c>
      <c r="M69" s="15">
        <f t="shared" si="27"/>
        <v>0.78771929824561404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x14ac:dyDescent="0.2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x14ac:dyDescent="0.2">
      <c r="A71" s="1" t="s">
        <v>24</v>
      </c>
      <c r="B71" s="15">
        <v>0</v>
      </c>
      <c r="C71" s="15">
        <v>0</v>
      </c>
      <c r="D71" s="15">
        <f>Assumption!D38</f>
        <v>0</v>
      </c>
      <c r="E71" s="15">
        <f>Assumption!E38</f>
        <v>0</v>
      </c>
      <c r="F71" s="15">
        <f>Assumption!F38</f>
        <v>0</v>
      </c>
      <c r="G71" s="15">
        <f>Assumption!G38</f>
        <v>0</v>
      </c>
      <c r="H71" s="15">
        <f>Assumption!H38</f>
        <v>0</v>
      </c>
      <c r="I71" s="15">
        <f>Assumption!I38</f>
        <v>0</v>
      </c>
      <c r="J71" s="15">
        <f>Assumption!J38</f>
        <v>0</v>
      </c>
      <c r="K71" s="15">
        <f>Assumption!K38</f>
        <v>0</v>
      </c>
      <c r="L71" s="15">
        <f>Assumption!L38</f>
        <v>0</v>
      </c>
      <c r="M71" s="15">
        <f>Assumption!M38</f>
        <v>0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x14ac:dyDescent="0.2">
      <c r="A72" s="1"/>
      <c r="B72" s="16" t="s">
        <v>18</v>
      </c>
      <c r="C72" s="16" t="s">
        <v>18</v>
      </c>
      <c r="D72" s="16" t="s">
        <v>18</v>
      </c>
      <c r="E72" s="16" t="s">
        <v>18</v>
      </c>
      <c r="F72" s="16" t="s">
        <v>18</v>
      </c>
      <c r="G72" s="16" t="s">
        <v>18</v>
      </c>
      <c r="H72" s="16" t="s">
        <v>18</v>
      </c>
      <c r="I72" s="16" t="s">
        <v>18</v>
      </c>
      <c r="J72" s="16" t="s">
        <v>18</v>
      </c>
      <c r="K72" s="16" t="s">
        <v>18</v>
      </c>
      <c r="L72" s="16" t="s">
        <v>18</v>
      </c>
      <c r="M72" s="16" t="s">
        <v>18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x14ac:dyDescent="0.2">
      <c r="A73" s="1" t="s">
        <v>25</v>
      </c>
      <c r="B73" s="15">
        <f>+B24/B8</f>
        <v>0.42617460468573448</v>
      </c>
      <c r="C73" s="15">
        <f>+C24/C8</f>
        <v>0.45720197614096114</v>
      </c>
      <c r="D73" s="15">
        <f t="shared" ref="D73:M73" si="28">D24/D8</f>
        <v>0.45550000000000002</v>
      </c>
      <c r="E73" s="15">
        <f t="shared" si="28"/>
        <v>0.4375</v>
      </c>
      <c r="F73" s="15">
        <f t="shared" si="28"/>
        <v>0.43400000000000005</v>
      </c>
      <c r="G73" s="15">
        <f t="shared" si="28"/>
        <v>0.4415</v>
      </c>
      <c r="H73" s="15">
        <f t="shared" si="28"/>
        <v>0.44150000000000006</v>
      </c>
      <c r="I73" s="15">
        <f t="shared" si="28"/>
        <v>0.44399999999999995</v>
      </c>
      <c r="J73" s="15">
        <f t="shared" si="28"/>
        <v>0.44399999999999995</v>
      </c>
      <c r="K73" s="15">
        <f t="shared" si="28"/>
        <v>0.44900000000000001</v>
      </c>
      <c r="L73" s="15">
        <f t="shared" si="28"/>
        <v>0.44899999999999995</v>
      </c>
      <c r="M73" s="15">
        <f t="shared" si="28"/>
        <v>0.44900000000000001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x14ac:dyDescent="0.2">
      <c r="A74" s="1" t="s">
        <v>44</v>
      </c>
      <c r="B74" s="15">
        <v>0.2</v>
      </c>
      <c r="C74" s="15">
        <v>0.2</v>
      </c>
      <c r="D74" s="35">
        <v>0.2</v>
      </c>
      <c r="E74" s="35">
        <v>0.2</v>
      </c>
      <c r="F74" s="35">
        <v>0.2</v>
      </c>
      <c r="G74" s="35">
        <v>0.2</v>
      </c>
      <c r="H74" s="35">
        <v>0.2</v>
      </c>
      <c r="I74" s="35">
        <v>0.2</v>
      </c>
      <c r="J74" s="35">
        <v>0.2</v>
      </c>
      <c r="K74" s="35">
        <v>0.2</v>
      </c>
      <c r="L74" s="35">
        <v>0.2</v>
      </c>
      <c r="M74" s="35">
        <v>0.2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x14ac:dyDescent="0.2">
      <c r="A75" s="1"/>
      <c r="B75" s="16" t="s">
        <v>18</v>
      </c>
      <c r="C75" s="16" t="s">
        <v>18</v>
      </c>
      <c r="D75" s="16" t="s">
        <v>18</v>
      </c>
      <c r="E75" s="16" t="s">
        <v>18</v>
      </c>
      <c r="F75" s="16" t="s">
        <v>18</v>
      </c>
      <c r="G75" s="16" t="s">
        <v>18</v>
      </c>
      <c r="H75" s="16" t="s">
        <v>18</v>
      </c>
      <c r="I75" s="16" t="s">
        <v>18</v>
      </c>
      <c r="J75" s="16" t="s">
        <v>18</v>
      </c>
      <c r="K75" s="16" t="s">
        <v>18</v>
      </c>
      <c r="L75" s="16" t="s">
        <v>18</v>
      </c>
      <c r="M75" s="16" t="s">
        <v>18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x14ac:dyDescent="0.2">
      <c r="A76" s="1" t="s">
        <v>27</v>
      </c>
      <c r="B76" s="15">
        <f>+B27/B8</f>
        <v>0.34093968374858757</v>
      </c>
      <c r="C76" s="15">
        <f>+C27/C8</f>
        <v>0.36576158091276889</v>
      </c>
      <c r="D76" s="15">
        <f t="shared" ref="D76:M76" si="29">D27/D8</f>
        <v>0.3644</v>
      </c>
      <c r="E76" s="15">
        <f t="shared" si="29"/>
        <v>0.35</v>
      </c>
      <c r="F76" s="15">
        <f t="shared" si="29"/>
        <v>0.34720000000000001</v>
      </c>
      <c r="G76" s="15">
        <f t="shared" si="29"/>
        <v>0.35320000000000001</v>
      </c>
      <c r="H76" s="15">
        <f t="shared" si="29"/>
        <v>0.35320000000000007</v>
      </c>
      <c r="I76" s="15">
        <f t="shared" si="29"/>
        <v>0.35519999999999996</v>
      </c>
      <c r="J76" s="15">
        <f t="shared" si="29"/>
        <v>0.35519999999999996</v>
      </c>
      <c r="K76" s="15">
        <f t="shared" si="29"/>
        <v>0.35920000000000002</v>
      </c>
      <c r="L76" s="15">
        <f t="shared" si="29"/>
        <v>0.35919999999999996</v>
      </c>
      <c r="M76" s="15">
        <f t="shared" si="29"/>
        <v>0.35920000000000002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x14ac:dyDescent="0.2">
      <c r="A78" s="1" t="s">
        <v>45</v>
      </c>
      <c r="B78" s="6">
        <v>3064475</v>
      </c>
      <c r="C78" s="6">
        <v>3234980.1</v>
      </c>
      <c r="D78" s="6">
        <f>C78-D114-D30</f>
        <v>3555916.930838</v>
      </c>
      <c r="E78" s="6">
        <f t="shared" ref="E78:M78" si="30">D78-E114-E30</f>
        <v>3971292.1813845802</v>
      </c>
      <c r="F78" s="6">
        <f t="shared" si="30"/>
        <v>4561584.6473834775</v>
      </c>
      <c r="G78" s="6">
        <f t="shared" si="30"/>
        <v>5209284.7596413251</v>
      </c>
      <c r="H78" s="6">
        <f t="shared" si="30"/>
        <v>6015257.0527761877</v>
      </c>
      <c r="I78" s="6">
        <f t="shared" si="30"/>
        <v>6920974.5433980972</v>
      </c>
      <c r="J78" s="6">
        <f t="shared" si="30"/>
        <v>8030193.176657564</v>
      </c>
      <c r="K78" s="6">
        <f t="shared" si="30"/>
        <v>9325092.5854486786</v>
      </c>
      <c r="L78" s="6">
        <f t="shared" si="30"/>
        <v>11412027.085651983</v>
      </c>
      <c r="M78" s="6">
        <f t="shared" si="30"/>
        <v>13180670.330066923</v>
      </c>
      <c r="N78" s="6"/>
      <c r="O78" s="6"/>
      <c r="P78" s="6"/>
      <c r="Q78" s="6"/>
      <c r="R78" s="6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x14ac:dyDescent="0.2">
      <c r="A79" s="1" t="s">
        <v>46</v>
      </c>
      <c r="B79" s="5">
        <f>+B8/B78</f>
        <v>0.70541799166251962</v>
      </c>
      <c r="C79" s="5">
        <f>+C8/C78</f>
        <v>0.89469103689385909</v>
      </c>
      <c r="D79" s="5">
        <f t="shared" ref="D79:M79" si="31">D8/D78</f>
        <v>1.0337054690796039</v>
      </c>
      <c r="E79" s="5">
        <f t="shared" si="31"/>
        <v>1.1477261198068991</v>
      </c>
      <c r="F79" s="5">
        <f t="shared" si="31"/>
        <v>1.2190294523331533</v>
      </c>
      <c r="G79" s="5">
        <f t="shared" si="31"/>
        <v>1.302301885013859</v>
      </c>
      <c r="H79" s="5">
        <f t="shared" si="31"/>
        <v>1.3759270450274612</v>
      </c>
      <c r="I79" s="5">
        <f t="shared" si="31"/>
        <v>1.4350386310150942</v>
      </c>
      <c r="J79" s="5">
        <f t="shared" si="31"/>
        <v>1.4841783676515183</v>
      </c>
      <c r="K79" s="5">
        <f t="shared" si="31"/>
        <v>1.5081375216539743</v>
      </c>
      <c r="L79" s="5">
        <f t="shared" si="31"/>
        <v>1.454163739732008</v>
      </c>
      <c r="M79" s="5">
        <f t="shared" si="31"/>
        <v>1.4856640498312401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x14ac:dyDescent="0.2">
      <c r="A80" s="1" t="s">
        <v>47</v>
      </c>
      <c r="B80" s="37">
        <f>-B30/B8</f>
        <v>0.43937700434993032</v>
      </c>
      <c r="C80" s="37">
        <f>-C30/C8</f>
        <v>0.33030577225773194</v>
      </c>
      <c r="D80" s="35">
        <f>Assumption!D33</f>
        <v>0.40250000000000002</v>
      </c>
      <c r="E80" s="35">
        <f>Assumption!E33</f>
        <v>0.3725</v>
      </c>
      <c r="F80" s="35">
        <f>Assumption!F33</f>
        <v>0.3725</v>
      </c>
      <c r="G80" s="35">
        <f>Assumption!G33</f>
        <v>0.35249999999999998</v>
      </c>
      <c r="H80" s="35">
        <f>Assumption!H33</f>
        <v>0.35249999999999998</v>
      </c>
      <c r="I80" s="35">
        <f>Assumption!I33</f>
        <v>0.34250000000000003</v>
      </c>
      <c r="J80" s="35">
        <f>Assumption!J33</f>
        <v>0.34250000000000003</v>
      </c>
      <c r="K80" s="35">
        <f>Assumption!K33</f>
        <v>0.34250000000000003</v>
      </c>
      <c r="L80" s="35">
        <f>Assumption!L33</f>
        <v>0.34250000000000003</v>
      </c>
      <c r="M80" s="35">
        <f>Assumption!M33</f>
        <v>0.34250000000000003</v>
      </c>
      <c r="N80" s="38"/>
      <c r="O80" s="38"/>
      <c r="P80" s="39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x14ac:dyDescent="0.2">
      <c r="A81" s="1" t="s">
        <v>48</v>
      </c>
      <c r="B81" s="7">
        <f>+B114/B8</f>
        <v>0.24190408467121657</v>
      </c>
      <c r="C81" s="7">
        <f>+C114/C8</f>
        <v>0.22582621053041457</v>
      </c>
      <c r="D81" s="7">
        <f t="shared" ref="D81:M81" si="32">D114/D8</f>
        <v>0.31518856244476934</v>
      </c>
      <c r="E81" s="7">
        <f t="shared" si="32"/>
        <v>0.28136808212385239</v>
      </c>
      <c r="F81" s="7">
        <f t="shared" si="32"/>
        <v>0.26634577024218975</v>
      </c>
      <c r="G81" s="7">
        <f t="shared" si="32"/>
        <v>0.25702620079756155</v>
      </c>
      <c r="H81" s="7">
        <f t="shared" si="32"/>
        <v>0.25511983317915909</v>
      </c>
      <c r="I81" s="7">
        <f t="shared" si="32"/>
        <v>0.25130691445539494</v>
      </c>
      <c r="J81" s="7">
        <f t="shared" si="32"/>
        <v>0.24943099599868615</v>
      </c>
      <c r="K81" s="7">
        <f t="shared" si="32"/>
        <v>0.25042495600629805</v>
      </c>
      <c r="L81" s="7">
        <f t="shared" si="32"/>
        <v>0.21674284209518341</v>
      </c>
      <c r="M81" s="7">
        <f t="shared" si="32"/>
        <v>0.2521803746569351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x14ac:dyDescent="0.2">
      <c r="A82" s="1" t="s">
        <v>49</v>
      </c>
      <c r="B82" s="34">
        <v>0.56000000000000005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x14ac:dyDescent="0.2">
      <c r="A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x14ac:dyDescent="0.2">
      <c r="A84" s="1" t="s">
        <v>50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x14ac:dyDescent="0.2">
      <c r="A85" s="1" t="s">
        <v>51</v>
      </c>
      <c r="B85" s="20">
        <v>4.2999999999999997E-2</v>
      </c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x14ac:dyDescent="0.2">
      <c r="A86" s="1" t="s">
        <v>52</v>
      </c>
      <c r="B86" s="32">
        <v>4.4999999999999998E-2</v>
      </c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x14ac:dyDescent="0.2">
      <c r="A87" s="1" t="s">
        <v>53</v>
      </c>
      <c r="B87">
        <v>1.496</v>
      </c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x14ac:dyDescent="0.2">
      <c r="A88" s="1" t="s">
        <v>54</v>
      </c>
      <c r="B88" s="21">
        <f>B85+B87*B86</f>
        <v>0.11031999999999999</v>
      </c>
      <c r="C88" s="7"/>
      <c r="D88" s="2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x14ac:dyDescent="0.2">
      <c r="A89" s="1" t="s">
        <v>55</v>
      </c>
      <c r="B89" s="40">
        <v>1.7989999999999999E-2</v>
      </c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x14ac:dyDescent="0.2">
      <c r="A90" s="1" t="s">
        <v>56</v>
      </c>
      <c r="B90" s="20">
        <v>0.2</v>
      </c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x14ac:dyDescent="0.2">
      <c r="A91" s="1" t="s">
        <v>57</v>
      </c>
      <c r="B91" s="19">
        <v>6.25E-2</v>
      </c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x14ac:dyDescent="0.2">
      <c r="A92" s="1" t="s">
        <v>58</v>
      </c>
      <c r="B92" s="22">
        <f>(B89*(1-B90)*B91+B88*(1-B91))</f>
        <v>0.10432449999999999</v>
      </c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x14ac:dyDescent="0.2">
      <c r="A93" s="1"/>
      <c r="B93" s="1">
        <v>0</v>
      </c>
      <c r="C93" s="1">
        <v>0</v>
      </c>
      <c r="D93" s="1">
        <v>1.5</v>
      </c>
      <c r="E93" s="1">
        <v>9</v>
      </c>
      <c r="F93" s="1">
        <f t="shared" ref="F93:M93" si="33">+E93+12</f>
        <v>21</v>
      </c>
      <c r="G93" s="1">
        <f t="shared" si="33"/>
        <v>33</v>
      </c>
      <c r="H93" s="1">
        <f t="shared" si="33"/>
        <v>45</v>
      </c>
      <c r="I93" s="1">
        <f t="shared" si="33"/>
        <v>57</v>
      </c>
      <c r="J93" s="1">
        <f t="shared" si="33"/>
        <v>69</v>
      </c>
      <c r="K93" s="1">
        <f t="shared" si="33"/>
        <v>81</v>
      </c>
      <c r="L93" s="1">
        <f t="shared" si="33"/>
        <v>93</v>
      </c>
      <c r="M93" s="1">
        <f t="shared" si="33"/>
        <v>105</v>
      </c>
      <c r="N93" s="1">
        <f>+M93+6</f>
        <v>111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15.5" customHeight="1" x14ac:dyDescent="0.2">
      <c r="A95" s="57" t="s">
        <v>87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x14ac:dyDescent="0.2">
      <c r="A96" s="56" t="s">
        <v>14</v>
      </c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x14ac:dyDescent="0.2">
      <c r="A97" s="56" t="s">
        <v>41</v>
      </c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x14ac:dyDescent="0.2">
      <c r="A98" s="56" t="s">
        <v>59</v>
      </c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x14ac:dyDescent="0.2">
      <c r="A100" s="1"/>
      <c r="B100" s="1">
        <f>2023</f>
        <v>2023</v>
      </c>
      <c r="C100" s="1">
        <f t="shared" ref="C100:M100" si="34">+B100+1</f>
        <v>2024</v>
      </c>
      <c r="D100" s="1">
        <f t="shared" si="34"/>
        <v>2025</v>
      </c>
      <c r="E100" s="1">
        <f t="shared" si="34"/>
        <v>2026</v>
      </c>
      <c r="F100" s="1">
        <f t="shared" si="34"/>
        <v>2027</v>
      </c>
      <c r="G100" s="1">
        <f t="shared" si="34"/>
        <v>2028</v>
      </c>
      <c r="H100" s="1">
        <f t="shared" si="34"/>
        <v>2029</v>
      </c>
      <c r="I100" s="1">
        <f t="shared" si="34"/>
        <v>2030</v>
      </c>
      <c r="J100" s="1">
        <f t="shared" si="34"/>
        <v>2031</v>
      </c>
      <c r="K100" s="1">
        <f t="shared" si="34"/>
        <v>2032</v>
      </c>
      <c r="L100" s="1">
        <f t="shared" si="34"/>
        <v>2033</v>
      </c>
      <c r="M100" s="1">
        <f t="shared" si="34"/>
        <v>2034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x14ac:dyDescent="0.2">
      <c r="A101" s="1"/>
      <c r="B101" s="4" t="s">
        <v>18</v>
      </c>
      <c r="C101" s="4" t="s">
        <v>18</v>
      </c>
      <c r="D101" s="4" t="s">
        <v>18</v>
      </c>
      <c r="E101" s="4" t="s">
        <v>18</v>
      </c>
      <c r="F101" s="4" t="s">
        <v>18</v>
      </c>
      <c r="G101" s="4" t="s">
        <v>18</v>
      </c>
      <c r="H101" s="4" t="s">
        <v>18</v>
      </c>
      <c r="I101" s="4" t="s">
        <v>18</v>
      </c>
      <c r="J101" s="4" t="s">
        <v>18</v>
      </c>
      <c r="K101" s="4" t="s">
        <v>18</v>
      </c>
      <c r="L101" s="4" t="s">
        <v>18</v>
      </c>
      <c r="M101" s="4" t="s">
        <v>18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x14ac:dyDescent="0.2">
      <c r="A102" s="3" t="s">
        <v>60</v>
      </c>
      <c r="B102" s="6"/>
      <c r="C102" s="6"/>
      <c r="D102" s="6">
        <f>$C$78*(2029-D100)/15</f>
        <v>862661.36</v>
      </c>
      <c r="E102" s="6">
        <f t="shared" ref="E102:H102" si="35">$C$78*(2029-E100)/15</f>
        <v>646996.02</v>
      </c>
      <c r="F102" s="6">
        <f t="shared" si="35"/>
        <v>431330.68</v>
      </c>
      <c r="G102" s="6">
        <f t="shared" si="35"/>
        <v>215665.34</v>
      </c>
      <c r="H102" s="6">
        <f t="shared" si="35"/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x14ac:dyDescent="0.2">
      <c r="A103" s="3" t="s">
        <v>61</v>
      </c>
      <c r="B103" s="6"/>
      <c r="C103" s="6"/>
      <c r="D103" s="6">
        <f>-$D$30/5</f>
        <v>295899.54770950007</v>
      </c>
      <c r="E103" s="6">
        <f t="shared" ref="E103:H103" si="36">-$D$30/5</f>
        <v>295899.54770950007</v>
      </c>
      <c r="F103" s="6">
        <f t="shared" si="36"/>
        <v>295899.54770950007</v>
      </c>
      <c r="G103" s="6">
        <f t="shared" si="36"/>
        <v>295899.54770950007</v>
      </c>
      <c r="H103" s="6">
        <f t="shared" si="36"/>
        <v>295899.54770950007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x14ac:dyDescent="0.2">
      <c r="A104" s="3" t="s">
        <v>62</v>
      </c>
      <c r="B104" s="6"/>
      <c r="C104" s="6"/>
      <c r="D104" s="6"/>
      <c r="E104" s="6">
        <f>-$E$30/5</f>
        <v>339567.70456402004</v>
      </c>
      <c r="F104" s="6">
        <f t="shared" ref="F104:I104" si="37">-$E$30/5</f>
        <v>339567.70456402004</v>
      </c>
      <c r="G104" s="6">
        <f t="shared" si="37"/>
        <v>339567.70456402004</v>
      </c>
      <c r="H104" s="6">
        <f t="shared" si="37"/>
        <v>339567.70456402004</v>
      </c>
      <c r="I104" s="6">
        <f t="shared" si="37"/>
        <v>339567.70456402004</v>
      </c>
      <c r="J104" s="6">
        <v>0</v>
      </c>
      <c r="K104" s="6">
        <v>0</v>
      </c>
      <c r="L104" s="6">
        <v>0</v>
      </c>
      <c r="M104" s="6">
        <v>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x14ac:dyDescent="0.2">
      <c r="A105" s="3" t="s">
        <v>63</v>
      </c>
      <c r="B105" s="6"/>
      <c r="C105" s="6"/>
      <c r="D105" s="6"/>
      <c r="E105" s="6"/>
      <c r="F105" s="6">
        <f>-$F$30/5</f>
        <v>414272.59956810449</v>
      </c>
      <c r="G105" s="6">
        <f t="shared" ref="G105:J105" si="38">-$F$30/5</f>
        <v>414272.59956810449</v>
      </c>
      <c r="H105" s="6">
        <f t="shared" si="38"/>
        <v>414272.59956810449</v>
      </c>
      <c r="I105" s="6">
        <f t="shared" si="38"/>
        <v>414272.59956810449</v>
      </c>
      <c r="J105" s="6">
        <f t="shared" si="38"/>
        <v>414272.59956810449</v>
      </c>
      <c r="K105" s="6">
        <v>0</v>
      </c>
      <c r="L105" s="6">
        <v>0</v>
      </c>
      <c r="M105" s="6">
        <v>0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x14ac:dyDescent="0.2">
      <c r="A106" s="3" t="s">
        <v>64</v>
      </c>
      <c r="B106" s="6"/>
      <c r="C106" s="6"/>
      <c r="D106" s="6"/>
      <c r="E106" s="6"/>
      <c r="F106" s="6"/>
      <c r="G106" s="6">
        <f>-$G$30/5</f>
        <v>478276.32602486794</v>
      </c>
      <c r="H106" s="6">
        <f t="shared" ref="H106:K106" si="39">-$G$30/5</f>
        <v>478276.32602486794</v>
      </c>
      <c r="I106" s="6">
        <f t="shared" si="39"/>
        <v>478276.32602486794</v>
      </c>
      <c r="J106" s="6">
        <f t="shared" si="39"/>
        <v>478276.32602486794</v>
      </c>
      <c r="K106" s="6">
        <f t="shared" si="39"/>
        <v>478276.32602486794</v>
      </c>
      <c r="L106" s="6">
        <v>0</v>
      </c>
      <c r="M106" s="6">
        <v>0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x14ac:dyDescent="0.2">
      <c r="A107" s="3" t="s">
        <v>65</v>
      </c>
      <c r="B107" s="6"/>
      <c r="C107" s="6"/>
      <c r="D107" s="6"/>
      <c r="E107" s="6"/>
      <c r="F107" s="6"/>
      <c r="G107" s="6"/>
      <c r="H107" s="6">
        <f>-$H$30/5</f>
        <v>583497.11775033886</v>
      </c>
      <c r="I107" s="6">
        <f t="shared" ref="I107:K107" si="40">-$H$30/5</f>
        <v>583497.11775033886</v>
      </c>
      <c r="J107" s="6">
        <f t="shared" si="40"/>
        <v>583497.11775033886</v>
      </c>
      <c r="K107" s="6">
        <f t="shared" si="40"/>
        <v>583497.11775033886</v>
      </c>
      <c r="L107" s="6">
        <v>0</v>
      </c>
      <c r="M107" s="6">
        <v>0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x14ac:dyDescent="0.2">
      <c r="A108" s="3" t="s">
        <v>66</v>
      </c>
      <c r="B108" s="6"/>
      <c r="C108" s="6"/>
      <c r="D108" s="6"/>
      <c r="E108" s="6"/>
      <c r="F108" s="6"/>
      <c r="G108" s="6"/>
      <c r="H108" s="6"/>
      <c r="I108" s="6">
        <f>-$I$30/5</f>
        <v>680332.80963231006</v>
      </c>
      <c r="J108" s="6">
        <f t="shared" ref="J108:M108" si="41">-$I$30/5</f>
        <v>680332.80963231006</v>
      </c>
      <c r="K108" s="6">
        <f t="shared" si="41"/>
        <v>680332.80963231006</v>
      </c>
      <c r="L108" s="6">
        <f t="shared" si="41"/>
        <v>680332.80963231006</v>
      </c>
      <c r="M108" s="6">
        <f t="shared" si="41"/>
        <v>680332.80963231006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x14ac:dyDescent="0.2">
      <c r="A109" s="3" t="s">
        <v>67</v>
      </c>
      <c r="B109" s="6"/>
      <c r="C109" s="6"/>
      <c r="D109" s="6"/>
      <c r="E109" s="6"/>
      <c r="F109" s="6"/>
      <c r="G109" s="6"/>
      <c r="H109" s="6"/>
      <c r="I109" s="6"/>
      <c r="J109" s="6">
        <f>-$J$30/5</f>
        <v>816399.37155877205</v>
      </c>
      <c r="K109" s="6">
        <f t="shared" ref="K109:M109" si="42">-$J$30/5</f>
        <v>816399.37155877205</v>
      </c>
      <c r="L109" s="6">
        <f t="shared" si="42"/>
        <v>816399.37155877205</v>
      </c>
      <c r="M109" s="6">
        <f t="shared" si="42"/>
        <v>816399.37155877205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x14ac:dyDescent="0.2">
      <c r="A110" s="3" t="s">
        <v>68</v>
      </c>
      <c r="B110" s="6"/>
      <c r="C110" s="6"/>
      <c r="D110" s="6"/>
      <c r="E110" s="6"/>
      <c r="F110" s="6"/>
      <c r="G110" s="6"/>
      <c r="H110" s="6"/>
      <c r="I110" s="6"/>
      <c r="J110" s="6"/>
      <c r="K110" s="6">
        <f>-$K$30/5</f>
        <v>963351.25843935087</v>
      </c>
      <c r="L110" s="6">
        <f t="shared" ref="L110:M110" si="43">-$K$30/5</f>
        <v>963351.25843935087</v>
      </c>
      <c r="M110" s="6">
        <f t="shared" si="43"/>
        <v>963351.25843935087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x14ac:dyDescent="0.2">
      <c r="A111" s="3" t="s">
        <v>69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>
        <f>-$L$30/5</f>
        <v>1136754.484958434</v>
      </c>
      <c r="M111" s="6">
        <f>-$L$30/5</f>
        <v>1136754.484958434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x14ac:dyDescent="0.2">
      <c r="A112" s="3" t="s">
        <v>70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>
        <f>-$M$30/5</f>
        <v>1341370.2922509522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x14ac:dyDescent="0.2">
      <c r="A113" s="1"/>
      <c r="B113" s="4" t="s">
        <v>18</v>
      </c>
      <c r="C113" s="4" t="s">
        <v>18</v>
      </c>
      <c r="D113" s="4" t="s">
        <v>18</v>
      </c>
      <c r="E113" s="4" t="s">
        <v>18</v>
      </c>
      <c r="F113" s="4" t="s">
        <v>18</v>
      </c>
      <c r="G113" s="4" t="s">
        <v>18</v>
      </c>
      <c r="H113" s="4" t="s">
        <v>18</v>
      </c>
      <c r="I113" s="4" t="s">
        <v>18</v>
      </c>
      <c r="J113" s="4" t="s">
        <v>18</v>
      </c>
      <c r="K113" s="4" t="s">
        <v>18</v>
      </c>
      <c r="L113" s="4" t="s">
        <v>18</v>
      </c>
      <c r="M113" s="4" t="s">
        <v>18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x14ac:dyDescent="0.2">
      <c r="A114" s="1" t="s">
        <v>71</v>
      </c>
      <c r="B114" s="6">
        <f>+B117-B115</f>
        <v>522932.72000000003</v>
      </c>
      <c r="C114" s="6">
        <f>+C117-C115</f>
        <v>653610.54</v>
      </c>
      <c r="D114" s="6">
        <f>SUM(D102:D112)</f>
        <v>1158560.9077095001</v>
      </c>
      <c r="E114" s="6">
        <f t="shared" ref="E114:M114" si="44">SUM(E102:E112)</f>
        <v>1282463.27227352</v>
      </c>
      <c r="F114" s="6">
        <f t="shared" si="44"/>
        <v>1481070.5318416245</v>
      </c>
      <c r="G114" s="6">
        <f t="shared" si="44"/>
        <v>1743681.5178664927</v>
      </c>
      <c r="H114" s="6">
        <f t="shared" si="44"/>
        <v>2111513.2956168312</v>
      </c>
      <c r="I114" s="6">
        <f t="shared" si="44"/>
        <v>2495946.5575396414</v>
      </c>
      <c r="J114" s="6">
        <f t="shared" si="44"/>
        <v>2972778.2245343933</v>
      </c>
      <c r="K114" s="6">
        <f t="shared" si="44"/>
        <v>3521856.8834056398</v>
      </c>
      <c r="L114" s="6">
        <f t="shared" si="44"/>
        <v>3596837.924588867</v>
      </c>
      <c r="M114" s="6">
        <f t="shared" si="44"/>
        <v>4938208.2168398192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x14ac:dyDescent="0.2">
      <c r="A115" s="1" t="s">
        <v>72</v>
      </c>
      <c r="B115" s="31">
        <v>9258.2000000000007</v>
      </c>
      <c r="C115" s="31">
        <v>9186.1</v>
      </c>
      <c r="D115" s="33">
        <v>9186.1</v>
      </c>
      <c r="E115" s="33">
        <v>9186.1</v>
      </c>
      <c r="F115" s="33">
        <v>9186.1</v>
      </c>
      <c r="G115" s="33">
        <v>9186.1</v>
      </c>
      <c r="H115" s="33">
        <v>9186.1</v>
      </c>
      <c r="I115" s="33">
        <v>9186.1</v>
      </c>
      <c r="J115" s="33">
        <v>9186.1</v>
      </c>
      <c r="K115" s="33">
        <v>9186.1</v>
      </c>
      <c r="L115" s="33">
        <v>9186.1</v>
      </c>
      <c r="M115" s="33">
        <v>9186.1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x14ac:dyDescent="0.2">
      <c r="A116" s="1"/>
      <c r="B116" s="4" t="s">
        <v>18</v>
      </c>
      <c r="C116" s="4" t="s">
        <v>18</v>
      </c>
      <c r="D116" s="4" t="s">
        <v>18</v>
      </c>
      <c r="E116" s="4" t="s">
        <v>18</v>
      </c>
      <c r="F116" s="4" t="s">
        <v>18</v>
      </c>
      <c r="G116" s="4" t="s">
        <v>18</v>
      </c>
      <c r="H116" s="4" t="s">
        <v>18</v>
      </c>
      <c r="I116" s="4" t="s">
        <v>18</v>
      </c>
      <c r="J116" s="4" t="s">
        <v>18</v>
      </c>
      <c r="K116" s="4" t="s">
        <v>18</v>
      </c>
      <c r="L116" s="4" t="s">
        <v>18</v>
      </c>
      <c r="M116" s="4" t="s">
        <v>18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x14ac:dyDescent="0.2">
      <c r="A117" s="1" t="s">
        <v>73</v>
      </c>
      <c r="B117" s="6">
        <v>532190.92000000004</v>
      </c>
      <c r="C117" s="6">
        <v>662796.64</v>
      </c>
      <c r="D117" s="6">
        <f>SUM(D114:D115)</f>
        <v>1167747.0077095001</v>
      </c>
      <c r="E117" s="6">
        <f t="shared" ref="E117:M117" si="45">SUM(E114:E115)</f>
        <v>1291649.3722735201</v>
      </c>
      <c r="F117" s="6">
        <f t="shared" si="45"/>
        <v>1490256.6318416246</v>
      </c>
      <c r="G117" s="6">
        <f t="shared" si="45"/>
        <v>1752867.6178664928</v>
      </c>
      <c r="H117" s="6">
        <f t="shared" si="45"/>
        <v>2120699.3956168313</v>
      </c>
      <c r="I117" s="6">
        <f t="shared" si="45"/>
        <v>2505132.6575396415</v>
      </c>
      <c r="J117" s="6">
        <f t="shared" si="45"/>
        <v>2981964.3245343934</v>
      </c>
      <c r="K117" s="6">
        <f t="shared" si="45"/>
        <v>3531042.9834056399</v>
      </c>
      <c r="L117" s="6">
        <f t="shared" si="45"/>
        <v>3606024.0245888671</v>
      </c>
      <c r="M117" s="6">
        <f t="shared" si="45"/>
        <v>4947394.3168398188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x14ac:dyDescent="0.2">
      <c r="A118" s="1"/>
      <c r="B118" s="8" t="s">
        <v>74</v>
      </c>
      <c r="C118" s="8" t="s">
        <v>74</v>
      </c>
      <c r="D118" s="8" t="s">
        <v>74</v>
      </c>
      <c r="E118" s="8" t="s">
        <v>74</v>
      </c>
      <c r="F118" s="8" t="s">
        <v>74</v>
      </c>
      <c r="G118" s="8" t="s">
        <v>74</v>
      </c>
      <c r="H118" s="8" t="s">
        <v>74</v>
      </c>
      <c r="I118" s="8" t="s">
        <v>74</v>
      </c>
      <c r="J118" s="8" t="s">
        <v>74</v>
      </c>
      <c r="K118" s="8" t="s">
        <v>74</v>
      </c>
      <c r="L118" s="8" t="s">
        <v>74</v>
      </c>
      <c r="M118" s="8" t="s">
        <v>74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</row>
    <row r="803" spans="1:10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</row>
    <row r="804" spans="1:10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</row>
    <row r="805" spans="1:10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</row>
    <row r="806" spans="1:10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</row>
    <row r="807" spans="1:10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</row>
    <row r="808" spans="1:10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</row>
    <row r="809" spans="1:10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</row>
    <row r="810" spans="1:10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</row>
    <row r="811" spans="1:10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</row>
    <row r="812" spans="1:10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</row>
    <row r="813" spans="1:10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</row>
    <row r="814" spans="1:10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</row>
    <row r="815" spans="1:10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</row>
    <row r="816" spans="1:10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</row>
    <row r="817" spans="1:10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</row>
    <row r="818" spans="1:10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</row>
    <row r="819" spans="1:10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</row>
    <row r="820" spans="1:10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</row>
    <row r="821" spans="1:10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</row>
    <row r="822" spans="1:10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</row>
    <row r="823" spans="1:10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</row>
    <row r="824" spans="1:10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</row>
    <row r="825" spans="1:10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</row>
    <row r="826" spans="1:10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</row>
    <row r="827" spans="1:10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</row>
    <row r="828" spans="1:10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</row>
    <row r="829" spans="1:10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</row>
    <row r="830" spans="1:10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</row>
    <row r="831" spans="1:10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</row>
    <row r="832" spans="1:10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</row>
    <row r="833" spans="1:10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</row>
    <row r="834" spans="1:10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</row>
    <row r="835" spans="1:10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</row>
    <row r="836" spans="1:10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</row>
    <row r="837" spans="1:10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</row>
    <row r="838" spans="1:10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</row>
    <row r="839" spans="1:10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</row>
    <row r="840" spans="1:10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</row>
    <row r="841" spans="1:10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</row>
    <row r="842" spans="1:10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</row>
    <row r="843" spans="1:10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</row>
    <row r="844" spans="1:10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</row>
    <row r="845" spans="1:10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</row>
    <row r="846" spans="1:10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</row>
    <row r="847" spans="1:10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</row>
    <row r="848" spans="1:10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</row>
    <row r="849" spans="1:10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</row>
    <row r="850" spans="1:10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</row>
    <row r="851" spans="1:10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</row>
    <row r="852" spans="1:10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</row>
    <row r="853" spans="1:10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</row>
    <row r="854" spans="1:10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</row>
    <row r="855" spans="1:10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</row>
    <row r="856" spans="1:10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</row>
    <row r="857" spans="1:10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</row>
    <row r="858" spans="1:10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</row>
    <row r="859" spans="1:10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</row>
    <row r="860" spans="1:10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</row>
    <row r="861" spans="1:10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</row>
    <row r="862" spans="1:10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</row>
    <row r="863" spans="1:10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</row>
    <row r="864" spans="1:10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</row>
    <row r="865" spans="1:10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</row>
    <row r="866" spans="1:10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</row>
    <row r="867" spans="1:10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</row>
    <row r="868" spans="1:10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</row>
    <row r="869" spans="1:10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</row>
    <row r="870" spans="1:10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</row>
    <row r="871" spans="1:10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</row>
    <row r="872" spans="1:10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</row>
    <row r="873" spans="1:10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</row>
    <row r="874" spans="1:10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</row>
    <row r="875" spans="1:10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</row>
    <row r="876" spans="1:10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</row>
    <row r="877" spans="1:10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</row>
    <row r="878" spans="1:10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</row>
    <row r="879" spans="1:10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</row>
    <row r="880" spans="1:10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</row>
    <row r="881" spans="1:10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</row>
    <row r="882" spans="1:10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</row>
    <row r="883" spans="1:10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</row>
    <row r="884" spans="1:10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</row>
    <row r="885" spans="1:10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</row>
    <row r="886" spans="1:10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</row>
    <row r="887" spans="1:10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</row>
    <row r="888" spans="1:10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</row>
    <row r="889" spans="1:10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</row>
    <row r="890" spans="1:10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</row>
    <row r="891" spans="1:10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</row>
    <row r="892" spans="1:10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</row>
    <row r="893" spans="1:10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</row>
    <row r="894" spans="1:10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</row>
    <row r="895" spans="1:10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</row>
    <row r="896" spans="1:10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</row>
    <row r="897" spans="1:10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</row>
    <row r="898" spans="1:10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</row>
    <row r="899" spans="1:10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</row>
    <row r="900" spans="1:10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</row>
    <row r="901" spans="1:10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</row>
    <row r="902" spans="1:10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</row>
    <row r="903" spans="1:10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</row>
    <row r="904" spans="1:10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</row>
    <row r="905" spans="1:10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</row>
    <row r="906" spans="1:10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</row>
    <row r="907" spans="1:10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</row>
    <row r="908" spans="1:10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</row>
    <row r="909" spans="1:10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</row>
    <row r="910" spans="1:10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</row>
    <row r="911" spans="1:10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</row>
    <row r="912" spans="1:10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</row>
    <row r="913" spans="1:10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</row>
    <row r="914" spans="1:10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</row>
    <row r="915" spans="1:10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</row>
    <row r="916" spans="1:10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</row>
    <row r="917" spans="1:10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</row>
    <row r="918" spans="1:10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</row>
    <row r="919" spans="1:10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</row>
    <row r="920" spans="1:10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</row>
    <row r="921" spans="1:10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</row>
    <row r="922" spans="1:10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</row>
    <row r="923" spans="1:10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</row>
    <row r="924" spans="1:10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</row>
    <row r="925" spans="1:10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</row>
    <row r="926" spans="1:10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</row>
    <row r="927" spans="1:10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</row>
    <row r="928" spans="1:10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</row>
    <row r="929" spans="1:10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</row>
    <row r="930" spans="1:10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</row>
    <row r="931" spans="1:10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</row>
    <row r="932" spans="1:10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</row>
    <row r="933" spans="1:10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</row>
    <row r="934" spans="1:10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</row>
    <row r="935" spans="1:10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</row>
    <row r="936" spans="1:10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</row>
    <row r="937" spans="1:10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</row>
    <row r="938" spans="1:10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</row>
    <row r="939" spans="1:10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</row>
    <row r="940" spans="1:10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</row>
    <row r="941" spans="1:10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</row>
    <row r="942" spans="1:10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</row>
    <row r="943" spans="1:10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</row>
    <row r="944" spans="1:10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</row>
    <row r="945" spans="1:10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</row>
    <row r="946" spans="1:10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</row>
    <row r="947" spans="1:10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</row>
    <row r="948" spans="1:10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</row>
    <row r="949" spans="1:10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</row>
    <row r="950" spans="1:10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</row>
    <row r="951" spans="1:10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</row>
    <row r="952" spans="1:10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</row>
    <row r="953" spans="1:10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</row>
    <row r="954" spans="1:10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</row>
    <row r="955" spans="1:10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</row>
    <row r="956" spans="1:10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</row>
    <row r="957" spans="1:10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</row>
    <row r="958" spans="1:10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</row>
    <row r="959" spans="1:10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</row>
    <row r="960" spans="1:10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</row>
    <row r="961" spans="1:10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</row>
    <row r="962" spans="1:10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</row>
    <row r="963" spans="1:10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</row>
    <row r="964" spans="1:10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</row>
    <row r="965" spans="1:10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</row>
    <row r="966" spans="1:10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</row>
    <row r="967" spans="1:10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</row>
    <row r="968" spans="1:10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</row>
    <row r="969" spans="1:10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</row>
    <row r="970" spans="1:10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</row>
    <row r="971" spans="1:10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</row>
    <row r="972" spans="1:10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</row>
    <row r="973" spans="1:10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</row>
    <row r="974" spans="1:10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</row>
    <row r="975" spans="1:10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</row>
    <row r="976" spans="1:10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</row>
    <row r="977" spans="1:10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</row>
    <row r="978" spans="1:10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</row>
    <row r="979" spans="1:107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</row>
    <row r="980" spans="1:107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</row>
    <row r="981" spans="1:107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</row>
    <row r="982" spans="1:107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</row>
    <row r="983" spans="1:107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</row>
    <row r="984" spans="1:107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</row>
    <row r="985" spans="1:107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</row>
    <row r="986" spans="1:107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</row>
    <row r="987" spans="1:107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</row>
    <row r="988" spans="1:107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</row>
    <row r="989" spans="1:107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</row>
    <row r="990" spans="1:107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</row>
    <row r="991" spans="1:107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</row>
    <row r="992" spans="1:107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</row>
    <row r="993" spans="1:107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</row>
    <row r="994" spans="1:107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</row>
    <row r="995" spans="1:107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</row>
    <row r="996" spans="1:107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</row>
    <row r="997" spans="1:107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</row>
    <row r="998" spans="1:107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</row>
    <row r="999" spans="1:107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</row>
    <row r="1000" spans="1:107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</row>
    <row r="1001" spans="1:107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</row>
    <row r="1002" spans="1:107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</row>
    <row r="1003" spans="1:107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</row>
    <row r="1004" spans="1:107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</row>
    <row r="1005" spans="1:107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</row>
    <row r="1006" spans="1:107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</row>
    <row r="1007" spans="1:107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</row>
    <row r="1008" spans="1:107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</row>
    <row r="1009" spans="1:107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</row>
    <row r="1010" spans="1:107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</row>
    <row r="1011" spans="1:107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</row>
    <row r="1012" spans="1:107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</row>
    <row r="1013" spans="1:107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</row>
    <row r="1014" spans="1:107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</row>
    <row r="1015" spans="1:107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</row>
    <row r="1016" spans="1:107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</row>
    <row r="1017" spans="1:107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</row>
    <row r="1018" spans="1:107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</row>
    <row r="1019" spans="1:107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</row>
    <row r="1020" spans="1:107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</row>
    <row r="1021" spans="1:107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</row>
    <row r="1022" spans="1:107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</row>
    <row r="1023" spans="1:107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</row>
    <row r="1024" spans="1:107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</row>
    <row r="1025" spans="1:107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</row>
    <row r="1026" spans="1:107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</row>
    <row r="1027" spans="1:107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</row>
    <row r="1028" spans="1:107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</row>
    <row r="1029" spans="1:107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</row>
    <row r="1030" spans="1:107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</row>
    <row r="1031" spans="1:107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</row>
    <row r="1032" spans="1:107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</row>
    <row r="1033" spans="1:107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</row>
    <row r="1034" spans="1:107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</row>
    <row r="1035" spans="1:107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</row>
    <row r="1036" spans="1:107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</row>
    <row r="1037" spans="1:107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</row>
    <row r="1038" spans="1:107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</row>
    <row r="1039" spans="1:107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</row>
    <row r="1040" spans="1:107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</row>
    <row r="1041" spans="1:107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</row>
    <row r="1042" spans="1:107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</row>
    <row r="1043" spans="1:107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</row>
    <row r="1044" spans="1:107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</row>
    <row r="1045" spans="1:107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</row>
    <row r="1046" spans="1:107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</row>
    <row r="1047" spans="1:107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</row>
    <row r="1048" spans="1:107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</row>
    <row r="1049" spans="1:107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</row>
    <row r="1050" spans="1:107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</row>
    <row r="1051" spans="1:107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</row>
    <row r="1052" spans="1:107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</row>
    <row r="1053" spans="1:107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</row>
    <row r="1054" spans="1:107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</row>
    <row r="1055" spans="1:107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</row>
    <row r="1056" spans="1:107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</row>
    <row r="1057" spans="1:107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</row>
    <row r="1058" spans="1:107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</row>
    <row r="1059" spans="1:107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</row>
    <row r="1060" spans="1:107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</row>
    <row r="1061" spans="1:107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</row>
    <row r="1062" spans="1:107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</row>
    <row r="1063" spans="1:107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</row>
    <row r="1064" spans="1:107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</row>
    <row r="1065" spans="1:107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</row>
    <row r="1066" spans="1:107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</row>
    <row r="1067" spans="1:107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</row>
    <row r="1068" spans="1:107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</row>
    <row r="1069" spans="1:107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</row>
    <row r="1070" spans="1:107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</row>
    <row r="1071" spans="1:107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</row>
    <row r="1072" spans="1:107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</row>
    <row r="1073" spans="1:107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</row>
    <row r="1074" spans="1:107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</row>
    <row r="1075" spans="1:107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</row>
    <row r="1076" spans="1:107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</row>
    <row r="1077" spans="1:107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</row>
    <row r="1078" spans="1:107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</row>
    <row r="1079" spans="1:107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</row>
    <row r="1080" spans="1:107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</row>
    <row r="1081" spans="1:107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</row>
    <row r="1082" spans="1:107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</row>
    <row r="1083" spans="1:107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</row>
    <row r="1084" spans="1:107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</row>
    <row r="1085" spans="1:107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</row>
    <row r="1086" spans="1:107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</row>
    <row r="1087" spans="1:107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</row>
    <row r="1088" spans="1:107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</row>
    <row r="1089" spans="1:107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</row>
    <row r="1090" spans="1:107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</row>
    <row r="1091" spans="1:107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</row>
    <row r="1092" spans="1:107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</row>
    <row r="1093" spans="1:107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</row>
    <row r="1094" spans="1:107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</row>
    <row r="1095" spans="1:107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</row>
    <row r="1096" spans="1:107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</row>
    <row r="1097" spans="1:107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</row>
    <row r="1098" spans="1:107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</row>
    <row r="1099" spans="1:107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</row>
    <row r="1100" spans="1:107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</row>
    <row r="1101" spans="1:107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</row>
    <row r="1102" spans="1:107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</row>
    <row r="1103" spans="1:107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</row>
    <row r="1104" spans="1:107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</row>
    <row r="1105" spans="1:107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</row>
    <row r="1106" spans="1:107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</row>
    <row r="1107" spans="1:107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</row>
    <row r="1108" spans="1:107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</row>
    <row r="1109" spans="1:107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</row>
    <row r="1110" spans="1:107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</row>
    <row r="1111" spans="1:107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</row>
    <row r="1112" spans="1:107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</row>
    <row r="1113" spans="1:107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</row>
    <row r="1114" spans="1:107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</row>
    <row r="1115" spans="1:107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</row>
    <row r="1116" spans="1:107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</row>
    <row r="1117" spans="1:107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</row>
    <row r="1118" spans="1:107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</row>
    <row r="1119" spans="1:107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</row>
    <row r="1120" spans="1:107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</row>
    <row r="1121" spans="1:107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</row>
    <row r="1122" spans="1:107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</row>
    <row r="1123" spans="1:107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</row>
    <row r="1124" spans="1:107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</row>
    <row r="1125" spans="1:107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</row>
    <row r="1126" spans="1:107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</row>
    <row r="1127" spans="1:107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</row>
    <row r="1128" spans="1:107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</row>
    <row r="1129" spans="1:107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</row>
    <row r="1130" spans="1:107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</row>
    <row r="1131" spans="1:107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</row>
    <row r="1132" spans="1:107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</row>
    <row r="1133" spans="1:107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</row>
    <row r="1134" spans="1:107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</row>
    <row r="1135" spans="1:107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</row>
    <row r="1136" spans="1:107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</row>
    <row r="1137" spans="1:107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</row>
    <row r="1138" spans="1:107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</row>
    <row r="1139" spans="1:107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</row>
    <row r="1140" spans="1:107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</row>
    <row r="1141" spans="1:107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</row>
    <row r="1142" spans="1:107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</row>
    <row r="1143" spans="1:107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</row>
    <row r="1144" spans="1:107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</row>
    <row r="1145" spans="1:107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</row>
    <row r="1146" spans="1:107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</row>
    <row r="1147" spans="1:107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</row>
    <row r="1148" spans="1:107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</row>
    <row r="1149" spans="1:107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</row>
    <row r="1150" spans="1:107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</row>
    <row r="1151" spans="1:107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</row>
    <row r="1152" spans="1:107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</row>
    <row r="1153" spans="1:107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</row>
    <row r="1154" spans="1:107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</row>
    <row r="1155" spans="1:107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</row>
    <row r="1156" spans="1:107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</row>
    <row r="1157" spans="1:107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</row>
    <row r="1158" spans="1:107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</row>
    <row r="1159" spans="1:107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</row>
    <row r="1160" spans="1:107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</row>
    <row r="1161" spans="1:107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</row>
    <row r="1162" spans="1:107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</row>
    <row r="1163" spans="1:107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</row>
    <row r="1164" spans="1:107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</row>
    <row r="1165" spans="1:107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</row>
    <row r="1166" spans="1:107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</row>
    <row r="1167" spans="1:107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</row>
    <row r="1168" spans="1:107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</row>
    <row r="1169" spans="1:107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</row>
    <row r="1170" spans="1:107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</row>
    <row r="1171" spans="1:107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</row>
    <row r="1172" spans="1:107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</row>
    <row r="1173" spans="1:107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</row>
    <row r="1174" spans="1:107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</row>
    <row r="1175" spans="1:107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</row>
    <row r="1176" spans="1:107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</row>
    <row r="1177" spans="1:107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</row>
    <row r="1178" spans="1:107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</row>
    <row r="1179" spans="1:107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</row>
    <row r="1180" spans="1:107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</row>
    <row r="1181" spans="1:107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</row>
    <row r="1182" spans="1:107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</row>
    <row r="1183" spans="1:107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</row>
    <row r="1184" spans="1:107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</row>
    <row r="1185" spans="1:107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</row>
    <row r="1186" spans="1:107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</row>
    <row r="1187" spans="1:107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</row>
    <row r="1188" spans="1:107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</row>
    <row r="1189" spans="1:107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</row>
    <row r="1190" spans="1:107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</row>
    <row r="1191" spans="1:107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</row>
    <row r="1192" spans="1:107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</row>
    <row r="1193" spans="1:107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</row>
    <row r="1194" spans="1:107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</row>
    <row r="1195" spans="1:107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</row>
    <row r="1196" spans="1:107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</row>
    <row r="1197" spans="1:107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</row>
    <row r="1198" spans="1:107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</row>
    <row r="1199" spans="1:107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</row>
    <row r="1200" spans="1:107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</row>
    <row r="1201" spans="1:107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</row>
    <row r="1202" spans="1:107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</row>
    <row r="1203" spans="1:107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</row>
    <row r="1204" spans="1:107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</row>
    <row r="1205" spans="1:107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</row>
    <row r="1206" spans="1:107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</row>
    <row r="1207" spans="1:107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</row>
    <row r="1208" spans="1:107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</row>
    <row r="1209" spans="1:107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</row>
    <row r="1210" spans="1:107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</row>
    <row r="1211" spans="1:107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</row>
    <row r="1212" spans="1:107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</row>
    <row r="1213" spans="1:107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</row>
    <row r="1214" spans="1:107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</row>
    <row r="1215" spans="1:107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</row>
    <row r="1216" spans="1:107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</row>
    <row r="1217" spans="1:107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</row>
    <row r="1218" spans="1:107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</row>
    <row r="1219" spans="1:107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</row>
    <row r="1220" spans="1:107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</row>
    <row r="1221" spans="1:107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</row>
    <row r="1222" spans="1:107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</row>
    <row r="1223" spans="1:107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</row>
    <row r="1224" spans="1:107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</row>
    <row r="1225" spans="1:107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</row>
    <row r="1226" spans="1:107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</row>
    <row r="1227" spans="1:107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</row>
    <row r="1228" spans="1:107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</row>
    <row r="1229" spans="1:107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</row>
    <row r="1230" spans="1:107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</row>
    <row r="1231" spans="1:107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</row>
    <row r="1232" spans="1:107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</row>
    <row r="1233" spans="1:107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</row>
    <row r="1234" spans="1:107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</row>
    <row r="1235" spans="1:107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</row>
    <row r="1236" spans="1:107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</row>
    <row r="1237" spans="1:107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</row>
    <row r="1238" spans="1:107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</row>
    <row r="1239" spans="1:107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</row>
    <row r="1240" spans="1:107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</row>
    <row r="1241" spans="1:107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</row>
    <row r="1242" spans="1:107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</row>
    <row r="1243" spans="1:107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</row>
    <row r="1244" spans="1:107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</row>
    <row r="1245" spans="1:107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</row>
    <row r="1246" spans="1:107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</row>
    <row r="1247" spans="1:107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</row>
    <row r="1248" spans="1:107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</row>
    <row r="1249" spans="1:107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</row>
    <row r="1250" spans="1:107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</row>
    <row r="1251" spans="1:107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</row>
    <row r="1252" spans="1:107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</row>
    <row r="1253" spans="1:107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</row>
    <row r="1254" spans="1:107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</row>
    <row r="1255" spans="1:107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</row>
    <row r="1256" spans="1:107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</row>
    <row r="1257" spans="1:107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</row>
    <row r="1258" spans="1:107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</row>
    <row r="1259" spans="1:107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</row>
    <row r="1260" spans="1:107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</row>
    <row r="1261" spans="1:107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</row>
    <row r="1262" spans="1:107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</row>
    <row r="1263" spans="1:107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</row>
    <row r="1264" spans="1:107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</row>
    <row r="1265" spans="1:107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</row>
    <row r="1266" spans="1:107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</row>
    <row r="1267" spans="1:107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</row>
    <row r="1268" spans="1:107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</row>
    <row r="1269" spans="1:107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</row>
    <row r="1270" spans="1:107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</row>
    <row r="1271" spans="1:107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</row>
    <row r="1272" spans="1:107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</row>
    <row r="1273" spans="1:107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</row>
    <row r="1274" spans="1:107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</row>
    <row r="1275" spans="1:107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</row>
    <row r="1276" spans="1:107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</row>
    <row r="1277" spans="1:107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</row>
    <row r="1278" spans="1:107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</row>
    <row r="1279" spans="1:107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</row>
    <row r="1280" spans="1:107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</row>
    <row r="1281" spans="1:107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</row>
    <row r="1282" spans="1:107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</row>
    <row r="1283" spans="1:107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</row>
    <row r="1284" spans="1:107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</row>
    <row r="1285" spans="1:107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</row>
    <row r="1286" spans="1:107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</row>
    <row r="1287" spans="1:107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</row>
    <row r="1288" spans="1:107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</row>
    <row r="1289" spans="1:107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</row>
    <row r="1290" spans="1:107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</row>
    <row r="1291" spans="1:107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</row>
    <row r="1292" spans="1:107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</row>
    <row r="1293" spans="1:107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</row>
    <row r="1294" spans="1:107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</row>
    <row r="1295" spans="1:107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</row>
    <row r="1296" spans="1:107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</row>
    <row r="1297" spans="1:107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</row>
    <row r="1298" spans="1:107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</row>
    <row r="1299" spans="1:107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</row>
    <row r="1300" spans="1:107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</row>
    <row r="1301" spans="1:107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</row>
    <row r="1302" spans="1:107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</row>
    <row r="1303" spans="1:107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</row>
    <row r="1304" spans="1:107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</row>
    <row r="1305" spans="1:107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</row>
    <row r="1306" spans="1:107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</row>
    <row r="1307" spans="1:107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</row>
    <row r="1308" spans="1:107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</row>
    <row r="1309" spans="1:107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</row>
    <row r="1310" spans="1:107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</row>
    <row r="1311" spans="1:107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</row>
    <row r="1312" spans="1:107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</row>
    <row r="1313" spans="1:107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</row>
    <row r="1314" spans="1:107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</row>
    <row r="1315" spans="1:107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</row>
    <row r="1316" spans="1:107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</row>
    <row r="1317" spans="1:107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</row>
    <row r="1318" spans="1:107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</row>
    <row r="1319" spans="1:107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</row>
    <row r="1320" spans="1:107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</row>
    <row r="1321" spans="1:107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</row>
    <row r="1322" spans="1:107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</row>
    <row r="1323" spans="1:107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</row>
    <row r="1324" spans="1:107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</row>
    <row r="1325" spans="1:107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</row>
    <row r="1326" spans="1:107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</row>
    <row r="1327" spans="1:107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</row>
    <row r="1328" spans="1:107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</row>
    <row r="1329" spans="1:107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</row>
    <row r="1330" spans="1:107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</row>
    <row r="1331" spans="1:107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</row>
    <row r="1332" spans="1:107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</row>
    <row r="1333" spans="1:107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</row>
    <row r="1334" spans="1:107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</row>
    <row r="1335" spans="1:107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</row>
    <row r="1336" spans="1:107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</row>
    <row r="1337" spans="1:107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</row>
    <row r="1338" spans="1:107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</row>
    <row r="1339" spans="1:107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</row>
    <row r="1340" spans="1:107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</row>
    <row r="1341" spans="1:107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</row>
    <row r="1342" spans="1:107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</row>
    <row r="1343" spans="1:107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</row>
    <row r="1344" spans="1:107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</row>
    <row r="1345" spans="1:107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</row>
    <row r="1346" spans="1:107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</row>
    <row r="1347" spans="1:107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</row>
    <row r="1348" spans="1:107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</row>
    <row r="1349" spans="1:107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</row>
    <row r="1350" spans="1:107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</row>
    <row r="1351" spans="1:107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</row>
    <row r="1352" spans="1:107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</row>
    <row r="1353" spans="1:107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</row>
    <row r="1354" spans="1:107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</row>
    <row r="1355" spans="1:107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</row>
    <row r="1356" spans="1:107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</row>
    <row r="1357" spans="1:107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</row>
    <row r="1358" spans="1:107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</row>
    <row r="1359" spans="1:107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</row>
    <row r="1360" spans="1:107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</row>
    <row r="1361" spans="1:107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</row>
    <row r="1362" spans="1:107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</row>
    <row r="1363" spans="1:107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</row>
    <row r="1364" spans="1:107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</row>
    <row r="1365" spans="1:107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</row>
    <row r="1366" spans="1:107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</row>
    <row r="1367" spans="1:107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</row>
    <row r="1368" spans="1:107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</row>
    <row r="1369" spans="1:107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</row>
    <row r="1370" spans="1:107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</row>
    <row r="1371" spans="1:107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</row>
    <row r="1372" spans="1:107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</row>
    <row r="1373" spans="1:107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</row>
    <row r="1374" spans="1:107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</row>
    <row r="1375" spans="1:107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</row>
    <row r="1376" spans="1:107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</row>
    <row r="1377" spans="1:107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</row>
    <row r="1378" spans="1:107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</row>
    <row r="1379" spans="1:107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</row>
    <row r="1380" spans="1:107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</row>
    <row r="1381" spans="1:107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</row>
    <row r="1382" spans="1:107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</row>
    <row r="1383" spans="1:107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</row>
    <row r="1384" spans="1:107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</row>
    <row r="1385" spans="1:107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</row>
    <row r="1386" spans="1:107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</row>
    <row r="1387" spans="1:107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</row>
    <row r="1388" spans="1:107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</row>
    <row r="1389" spans="1:107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</row>
    <row r="1390" spans="1:107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</row>
    <row r="1391" spans="1:107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</row>
    <row r="1392" spans="1:107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</row>
    <row r="1393" spans="1:107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</row>
    <row r="1394" spans="1:107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</row>
    <row r="1395" spans="1:107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</row>
    <row r="1396" spans="1:107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</row>
    <row r="1397" spans="1:107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</row>
    <row r="1398" spans="1:107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</row>
    <row r="1399" spans="1:107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</row>
    <row r="1400" spans="1:107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</row>
    <row r="1401" spans="1:107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</row>
    <row r="1402" spans="1:107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</row>
    <row r="1403" spans="1:107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</row>
    <row r="1404" spans="1:107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</row>
    <row r="1405" spans="1:107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</row>
    <row r="1406" spans="1:107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</row>
    <row r="1407" spans="1:107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</row>
    <row r="1408" spans="1:107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</row>
    <row r="1409" spans="1:107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</row>
    <row r="1410" spans="1:107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</row>
    <row r="1411" spans="1:107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</row>
    <row r="1412" spans="1:107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</row>
    <row r="1413" spans="1:107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</row>
    <row r="1414" spans="1:107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</row>
    <row r="1415" spans="1:107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</row>
    <row r="1416" spans="1:107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</row>
    <row r="1417" spans="1:107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</row>
    <row r="1418" spans="1:107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</row>
    <row r="1419" spans="1:107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</row>
    <row r="1420" spans="1:107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</row>
    <row r="1421" spans="1:107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</row>
    <row r="1422" spans="1:107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</row>
    <row r="1423" spans="1:107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</row>
    <row r="1424" spans="1:107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</row>
    <row r="1425" spans="1:107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</row>
    <row r="1426" spans="1:107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</row>
    <row r="1427" spans="1:107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</row>
    <row r="1428" spans="1:107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</row>
    <row r="1429" spans="1:107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</row>
    <row r="1430" spans="1:107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</row>
    <row r="1431" spans="1:107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</row>
    <row r="1432" spans="1:107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</row>
    <row r="1433" spans="1:107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</row>
    <row r="1434" spans="1:107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</row>
    <row r="1435" spans="1:107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</row>
    <row r="1436" spans="1:107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</row>
    <row r="1437" spans="1:107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</row>
    <row r="1438" spans="1:107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</row>
    <row r="1439" spans="1:107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</row>
    <row r="1440" spans="1:107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</row>
    <row r="1441" spans="1:107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</row>
    <row r="1442" spans="1:107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</row>
    <row r="1443" spans="1:107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</row>
    <row r="1444" spans="1:107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</row>
    <row r="1445" spans="1:107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</row>
    <row r="1446" spans="1:107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</row>
    <row r="1447" spans="1:107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</row>
    <row r="1448" spans="1:107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</row>
    <row r="1449" spans="1:107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</row>
    <row r="1450" spans="1:107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</row>
    <row r="1451" spans="1:107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</row>
    <row r="1452" spans="1:107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</row>
    <row r="1453" spans="1:107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</row>
    <row r="1454" spans="1:107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</row>
    <row r="1455" spans="1:107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</row>
    <row r="1456" spans="1:107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</row>
    <row r="1457" spans="1:107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</row>
    <row r="1458" spans="1:107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</row>
    <row r="1459" spans="1:107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</row>
    <row r="1460" spans="1:107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</row>
    <row r="1461" spans="1:107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</row>
    <row r="1462" spans="1:107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</row>
    <row r="1463" spans="1:107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</row>
    <row r="1464" spans="1:107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</row>
    <row r="1465" spans="1:107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</row>
    <row r="1466" spans="1:107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</row>
    <row r="1467" spans="1:107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</row>
    <row r="1468" spans="1:107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</row>
    <row r="1469" spans="1:107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</row>
    <row r="1470" spans="1:107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</row>
    <row r="1471" spans="1:107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</row>
    <row r="1472" spans="1:107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</row>
    <row r="1473" spans="1:107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</row>
    <row r="1474" spans="1:107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</row>
    <row r="1475" spans="1:107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</row>
    <row r="1476" spans="1:107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</row>
    <row r="1477" spans="1:107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</row>
    <row r="1478" spans="1:107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</row>
    <row r="1479" spans="1:107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</row>
    <row r="1480" spans="1:107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</row>
    <row r="1481" spans="1:107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</row>
    <row r="1482" spans="1:107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</row>
    <row r="1483" spans="1:107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</row>
    <row r="1484" spans="1:107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</row>
    <row r="1485" spans="1:107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</row>
    <row r="1486" spans="1:107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</row>
    <row r="1487" spans="1:107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</row>
    <row r="1488" spans="1:107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</row>
    <row r="1489" spans="1:107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</row>
    <row r="1490" spans="1:107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</row>
    <row r="1491" spans="1:107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</row>
    <row r="1492" spans="1:107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</row>
    <row r="1493" spans="1:107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</row>
    <row r="1494" spans="1:107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</row>
    <row r="1495" spans="1:107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</row>
    <row r="1496" spans="1:107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</row>
    <row r="1497" spans="1:107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</row>
    <row r="1498" spans="1:107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</row>
    <row r="1499" spans="1:107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</row>
    <row r="1500" spans="1:107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</row>
    <row r="1501" spans="1:107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</row>
    <row r="1502" spans="1:107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</row>
    <row r="1503" spans="1:107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</row>
    <row r="1504" spans="1:107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</row>
    <row r="1505" spans="1:107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</row>
    <row r="1506" spans="1:107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</row>
    <row r="1507" spans="1:107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</row>
    <row r="1508" spans="1:107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</row>
    <row r="1509" spans="1:107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</row>
    <row r="1510" spans="1:107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</row>
    <row r="1511" spans="1:107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</row>
    <row r="1512" spans="1:107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</row>
    <row r="1513" spans="1:107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</row>
    <row r="1514" spans="1:107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</row>
    <row r="1515" spans="1:107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</row>
    <row r="1516" spans="1:107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</row>
    <row r="1517" spans="1:107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</row>
    <row r="1518" spans="1:107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</row>
    <row r="1519" spans="1:107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</row>
    <row r="1520" spans="1:107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</row>
    <row r="1521" spans="1:107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</row>
    <row r="1522" spans="1:107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</row>
    <row r="1523" spans="1:107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</row>
    <row r="1524" spans="1:107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</row>
    <row r="1525" spans="1:107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</row>
    <row r="1526" spans="1:107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</row>
    <row r="1527" spans="1:107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</row>
    <row r="1528" spans="1:107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</row>
    <row r="1529" spans="1:107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</row>
    <row r="1530" spans="1:107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</row>
    <row r="1531" spans="1:107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</row>
    <row r="1532" spans="1:107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</row>
    <row r="1533" spans="1:107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</row>
    <row r="1534" spans="1:107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</row>
    <row r="1535" spans="1:107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</row>
    <row r="1536" spans="1:107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</row>
    <row r="1537" spans="1:107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</row>
    <row r="1538" spans="1:107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</row>
    <row r="1539" spans="1:107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</row>
    <row r="1540" spans="1:107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</row>
    <row r="1541" spans="1:107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</row>
    <row r="1542" spans="1:107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</row>
    <row r="1543" spans="1:107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</row>
    <row r="1544" spans="1:107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</row>
    <row r="1545" spans="1:107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</row>
    <row r="1546" spans="1:107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</row>
    <row r="1547" spans="1:107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</row>
    <row r="1548" spans="1:107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</row>
    <row r="1549" spans="1:107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</row>
    <row r="1550" spans="1:107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</row>
    <row r="1551" spans="1:107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</row>
    <row r="1552" spans="1:107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</row>
    <row r="1553" spans="1:107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</row>
    <row r="1554" spans="1:107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</row>
    <row r="1555" spans="1:107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</row>
    <row r="1556" spans="1:107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</row>
    <row r="1557" spans="1:107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</row>
    <row r="1558" spans="1:107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</row>
    <row r="1559" spans="1:107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</row>
    <row r="1560" spans="1:107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</row>
    <row r="1561" spans="1:107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</row>
    <row r="1562" spans="1:107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</row>
    <row r="1563" spans="1:107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</row>
    <row r="1564" spans="1:107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</row>
    <row r="1565" spans="1:107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</row>
    <row r="1566" spans="1:107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</row>
    <row r="1567" spans="1:107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</row>
    <row r="1568" spans="1:107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</row>
    <row r="1569" spans="1:107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</row>
    <row r="1570" spans="1:107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</row>
    <row r="1571" spans="1:107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</row>
    <row r="1572" spans="1:107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</row>
    <row r="1573" spans="1:107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</row>
    <row r="1574" spans="1:107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</row>
    <row r="1575" spans="1:107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</row>
    <row r="1576" spans="1:107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</row>
    <row r="1577" spans="1:107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</row>
    <row r="1578" spans="1:107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</row>
    <row r="1579" spans="1:107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</row>
    <row r="1580" spans="1:107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</row>
    <row r="1581" spans="1:107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</row>
    <row r="1582" spans="1:107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</row>
    <row r="1583" spans="1:107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</row>
    <row r="1584" spans="1:107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</row>
    <row r="1585" spans="1:107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</row>
    <row r="1586" spans="1:107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</row>
    <row r="1587" spans="1:107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</row>
    <row r="1588" spans="1:107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</row>
    <row r="1589" spans="1:107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</row>
    <row r="1590" spans="1:107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</row>
    <row r="1591" spans="1:107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</row>
    <row r="1592" spans="1:107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</row>
    <row r="1593" spans="1:107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</row>
    <row r="1594" spans="1:107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</row>
    <row r="1595" spans="1:107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</row>
    <row r="1596" spans="1:107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</row>
    <row r="1597" spans="1:107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</row>
    <row r="1598" spans="1:107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</row>
    <row r="1599" spans="1:107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</row>
    <row r="1600" spans="1:107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</row>
    <row r="1601" spans="1:107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</row>
    <row r="1602" spans="1:107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</row>
    <row r="1603" spans="1:107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</row>
    <row r="1604" spans="1:107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</row>
    <row r="1605" spans="1:107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</row>
    <row r="1606" spans="1:107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</row>
    <row r="1607" spans="1:107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</row>
    <row r="1608" spans="1:107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</row>
    <row r="1609" spans="1:107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</row>
    <row r="1610" spans="1:107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</row>
    <row r="1611" spans="1:107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</row>
    <row r="1612" spans="1:107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</row>
    <row r="1613" spans="1:107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</row>
    <row r="1614" spans="1:107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</row>
    <row r="1615" spans="1:107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</row>
    <row r="1616" spans="1:107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  <c r="DC1616" s="1"/>
    </row>
    <row r="1617" spans="1:107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</row>
    <row r="1618" spans="1:107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  <c r="DC1618" s="1"/>
    </row>
    <row r="1619" spans="1:107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  <c r="DC1619" s="1"/>
    </row>
    <row r="1620" spans="1:107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  <c r="DC1620" s="1"/>
    </row>
    <row r="1621" spans="1:107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</row>
    <row r="1622" spans="1:107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  <c r="DC1622" s="1"/>
    </row>
    <row r="1623" spans="1:107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</row>
    <row r="1624" spans="1:107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  <c r="DC1624" s="1"/>
    </row>
    <row r="1625" spans="1:107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</row>
    <row r="1626" spans="1:107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  <c r="DC1626" s="1"/>
    </row>
    <row r="1627" spans="1:107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</row>
    <row r="1628" spans="1:107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</row>
    <row r="1629" spans="1:107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</row>
    <row r="1630" spans="1:107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</row>
    <row r="1631" spans="1:107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</row>
    <row r="1632" spans="1:107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</row>
    <row r="1633" spans="1:107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</row>
    <row r="1634" spans="1:107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</row>
    <row r="1635" spans="1:107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</row>
    <row r="1636" spans="1:107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</row>
    <row r="1637" spans="1:107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</row>
    <row r="1638" spans="1:107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</row>
    <row r="1639" spans="1:107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</row>
    <row r="1640" spans="1:107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</row>
    <row r="1641" spans="1:107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</row>
    <row r="1642" spans="1:107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</row>
    <row r="1643" spans="1:107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</row>
    <row r="1644" spans="1:107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</row>
    <row r="1645" spans="1:107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</row>
    <row r="1646" spans="1:107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  <c r="DC1646" s="1"/>
    </row>
    <row r="1647" spans="1:107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</row>
    <row r="1648" spans="1:107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  <c r="DC1648" s="1"/>
    </row>
    <row r="1649" spans="1:107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</row>
    <row r="1650" spans="1:107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  <c r="DC1650" s="1"/>
    </row>
    <row r="1651" spans="1:107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</row>
    <row r="1652" spans="1:107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  <c r="DC1652" s="1"/>
    </row>
    <row r="1653" spans="1:107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</row>
    <row r="1654" spans="1:107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  <c r="DC1654" s="1"/>
    </row>
    <row r="1655" spans="1:107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</row>
    <row r="1656" spans="1:107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</row>
    <row r="1657" spans="1:107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</row>
    <row r="1658" spans="1:107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  <c r="DC1658" s="1"/>
    </row>
    <row r="1659" spans="1:107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</row>
    <row r="1660" spans="1:107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  <c r="DC1660" s="1"/>
    </row>
    <row r="1661" spans="1:107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</row>
    <row r="1662" spans="1:107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  <c r="DC1662" s="1"/>
    </row>
    <row r="1663" spans="1:107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</row>
    <row r="1664" spans="1:107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  <c r="DC1664" s="1"/>
    </row>
    <row r="1665" spans="1:107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</row>
    <row r="1666" spans="1:107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  <c r="DC1666" s="1"/>
    </row>
    <row r="1667" spans="1:107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/>
    </row>
    <row r="1668" spans="1:107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</row>
    <row r="1669" spans="1:107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</row>
    <row r="1670" spans="1:107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  <c r="DC1670" s="1"/>
    </row>
    <row r="1671" spans="1:107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</row>
    <row r="1672" spans="1:107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  <c r="DC1672" s="1"/>
    </row>
    <row r="1673" spans="1:107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</row>
    <row r="1674" spans="1:107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  <c r="DC1674" s="1"/>
    </row>
    <row r="1675" spans="1:107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</row>
    <row r="1676" spans="1:107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  <c r="DC1676" s="1"/>
    </row>
    <row r="1677" spans="1:107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</row>
    <row r="1678" spans="1:107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  <c r="DC1678" s="1"/>
    </row>
    <row r="1679" spans="1:107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</row>
    <row r="1680" spans="1:107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  <c r="DC1680" s="1"/>
    </row>
    <row r="1681" spans="1:107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</row>
    <row r="1682" spans="1:107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  <c r="DC1682" s="1"/>
    </row>
    <row r="1683" spans="1:107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  <c r="DC1683" s="1"/>
    </row>
    <row r="1684" spans="1:107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  <c r="DC1684" s="1"/>
    </row>
    <row r="1685" spans="1:107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</row>
    <row r="1686" spans="1:107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  <c r="DC1686" s="1"/>
    </row>
    <row r="1687" spans="1:107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</row>
    <row r="1688" spans="1:107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  <c r="DC1688" s="1"/>
    </row>
    <row r="1689" spans="1:107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</row>
    <row r="1690" spans="1:107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  <c r="DC1690" s="1"/>
    </row>
    <row r="1691" spans="1:107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</row>
    <row r="1692" spans="1:107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  <c r="DC1692" s="1"/>
    </row>
    <row r="1693" spans="1:107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</row>
    <row r="1694" spans="1:107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  <c r="DC1694" s="1"/>
    </row>
    <row r="1695" spans="1:107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  <c r="DC1695" s="1"/>
    </row>
    <row r="1696" spans="1:107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  <c r="DC1696" s="1"/>
    </row>
    <row r="1697" spans="1:107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</row>
    <row r="1698" spans="1:107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  <c r="DC1698" s="1"/>
    </row>
    <row r="1699" spans="1:107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</row>
    <row r="1700" spans="1:107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</row>
    <row r="1701" spans="1:107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</row>
    <row r="1702" spans="1:107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</row>
    <row r="1703" spans="1:107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</row>
    <row r="1704" spans="1:107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</row>
    <row r="1705" spans="1:107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</row>
    <row r="1706" spans="1:107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</row>
    <row r="1707" spans="1:107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</row>
    <row r="1708" spans="1:107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</row>
    <row r="1709" spans="1:107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</row>
    <row r="1710" spans="1:107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</row>
    <row r="1711" spans="1:107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</row>
    <row r="1712" spans="1:107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</row>
    <row r="1713" spans="1:107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</row>
    <row r="1714" spans="1:107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</row>
    <row r="1715" spans="1:107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</row>
    <row r="1716" spans="1:107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  <c r="DC1716" s="1"/>
    </row>
    <row r="1717" spans="1:107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</row>
    <row r="1718" spans="1:107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  <c r="DC1718" s="1"/>
    </row>
    <row r="1719" spans="1:107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</row>
    <row r="1720" spans="1:107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</row>
    <row r="1721" spans="1:107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</row>
    <row r="1722" spans="1:107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  <c r="DC1722" s="1"/>
    </row>
    <row r="1723" spans="1:107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</row>
    <row r="1724" spans="1:107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</row>
    <row r="1725" spans="1:107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</row>
    <row r="1726" spans="1:107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  <c r="DC1726" s="1"/>
    </row>
    <row r="1727" spans="1:107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</row>
    <row r="1728" spans="1:107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  <c r="DC1728" s="1"/>
    </row>
    <row r="1729" spans="1:107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</row>
    <row r="1730" spans="1:107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</row>
    <row r="1731" spans="1:107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</row>
    <row r="1732" spans="1:107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</row>
    <row r="1733" spans="1:107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</row>
    <row r="1734" spans="1:107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</row>
    <row r="1735" spans="1:107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</row>
    <row r="1736" spans="1:107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</row>
    <row r="1737" spans="1:107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</row>
    <row r="1738" spans="1:107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</row>
    <row r="1739" spans="1:107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</row>
    <row r="1740" spans="1:107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</row>
    <row r="1741" spans="1:107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</row>
    <row r="1742" spans="1:107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</row>
    <row r="1743" spans="1:107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</row>
    <row r="1744" spans="1:107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</row>
    <row r="1745" spans="1:107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</row>
    <row r="1746" spans="1:107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</row>
    <row r="1747" spans="1:107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</row>
    <row r="1748" spans="1:107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</row>
    <row r="1749" spans="1:107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</row>
    <row r="1750" spans="1:107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</row>
    <row r="1751" spans="1:107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</row>
    <row r="1752" spans="1:107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</row>
    <row r="1753" spans="1:107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</row>
    <row r="1754" spans="1:107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</row>
    <row r="1755" spans="1:107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</row>
    <row r="1756" spans="1:107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</row>
    <row r="1757" spans="1:107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</row>
    <row r="1758" spans="1:107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</row>
    <row r="1759" spans="1:107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</row>
    <row r="1760" spans="1:107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</row>
    <row r="1761" spans="1:107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</row>
    <row r="1762" spans="1:107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</row>
    <row r="1763" spans="1:107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</row>
    <row r="1764" spans="1:107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</row>
    <row r="1765" spans="1:107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</row>
    <row r="1766" spans="1:107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</row>
    <row r="1767" spans="1:107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</row>
    <row r="1768" spans="1:107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</row>
    <row r="1769" spans="1:107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</row>
    <row r="1770" spans="1:107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</row>
    <row r="1771" spans="1:107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</row>
    <row r="1772" spans="1:107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</row>
    <row r="1773" spans="1:107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</row>
    <row r="1774" spans="1:107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</row>
    <row r="1775" spans="1:107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</row>
    <row r="1776" spans="1:107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</row>
    <row r="1777" spans="1:107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</row>
    <row r="1778" spans="1:107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</row>
    <row r="1779" spans="1:107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</row>
    <row r="1780" spans="1:107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</row>
    <row r="1781" spans="1:107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</row>
    <row r="1782" spans="1:107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</row>
    <row r="1783" spans="1:107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</row>
    <row r="1784" spans="1:107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</row>
    <row r="1785" spans="1:107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</row>
    <row r="1786" spans="1:107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</row>
    <row r="1787" spans="1:107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</row>
    <row r="1788" spans="1:107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</row>
    <row r="1789" spans="1:107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</row>
    <row r="1790" spans="1:107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</row>
    <row r="1791" spans="1:107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</row>
    <row r="1792" spans="1:107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</row>
    <row r="1793" spans="1:107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</row>
    <row r="1794" spans="1:107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</row>
    <row r="1795" spans="1:107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</row>
    <row r="1796" spans="1:107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</row>
    <row r="1797" spans="1:107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</row>
    <row r="1798" spans="1:107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</row>
    <row r="1799" spans="1:107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</row>
    <row r="1800" spans="1:107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</row>
    <row r="1801" spans="1:107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</row>
    <row r="1802" spans="1:107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</row>
    <row r="1803" spans="1:107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</row>
    <row r="1804" spans="1:107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</row>
    <row r="1805" spans="1:107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</row>
    <row r="1806" spans="1:107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  <c r="DC1806" s="1"/>
    </row>
    <row r="1807" spans="1:107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</row>
    <row r="1808" spans="1:107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  <c r="DC1808" s="1"/>
    </row>
    <row r="1809" spans="1:107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</row>
    <row r="1810" spans="1:107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  <c r="DC1810" s="1"/>
    </row>
    <row r="1811" spans="1:107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</row>
    <row r="1812" spans="1:107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</row>
    <row r="1813" spans="1:107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</row>
    <row r="1814" spans="1:107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  <c r="DC1814" s="1"/>
    </row>
    <row r="1815" spans="1:107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</row>
    <row r="1816" spans="1:107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  <c r="DC1816" s="1"/>
    </row>
    <row r="1817" spans="1:107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</row>
    <row r="1818" spans="1:107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</row>
    <row r="1819" spans="1:107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</row>
    <row r="1820" spans="1:107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  <c r="DC1820" s="1"/>
    </row>
    <row r="1821" spans="1:107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</row>
    <row r="1822" spans="1:107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  <c r="DC1822" s="1"/>
    </row>
    <row r="1823" spans="1:107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</row>
    <row r="1824" spans="1:107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  <c r="DC1824" s="1"/>
    </row>
    <row r="1825" spans="1:107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</row>
    <row r="1826" spans="1:107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</row>
    <row r="1827" spans="1:107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</row>
    <row r="1828" spans="1:107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  <c r="DC1828" s="1"/>
    </row>
    <row r="1829" spans="1:107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  <c r="DC1829" s="1"/>
    </row>
    <row r="1830" spans="1:107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</row>
    <row r="1831" spans="1:107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</row>
    <row r="1832" spans="1:107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</row>
    <row r="1833" spans="1:107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</row>
    <row r="1834" spans="1:107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</row>
    <row r="1835" spans="1:107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</row>
    <row r="1836" spans="1:107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  <c r="DC1836" s="1"/>
    </row>
    <row r="1837" spans="1:107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</row>
    <row r="1838" spans="1:107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  <c r="DC1838" s="1"/>
    </row>
    <row r="1839" spans="1:107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  <c r="DC1839" s="1"/>
    </row>
    <row r="1840" spans="1:107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  <c r="DC1840" s="1"/>
    </row>
    <row r="1841" spans="1:107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</row>
    <row r="1842" spans="1:107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  <c r="DC1842" s="1"/>
    </row>
    <row r="1843" spans="1:107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</row>
    <row r="1844" spans="1:107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</row>
    <row r="1845" spans="1:107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</row>
    <row r="1846" spans="1:107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  <c r="DC1846" s="1"/>
    </row>
    <row r="1847" spans="1:107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</row>
    <row r="1848" spans="1:107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  <c r="DC1848" s="1"/>
    </row>
    <row r="1849" spans="1:107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</row>
    <row r="1850" spans="1:107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  <c r="DC1850" s="1"/>
    </row>
    <row r="1851" spans="1:107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</row>
    <row r="1852" spans="1:107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</row>
    <row r="1853" spans="1:107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</row>
    <row r="1854" spans="1:107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</row>
    <row r="1855" spans="1:107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</row>
    <row r="1856" spans="1:107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</row>
    <row r="1857" spans="1:107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</row>
    <row r="1858" spans="1:107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</row>
    <row r="1859" spans="1:107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</row>
    <row r="1860" spans="1:107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</row>
    <row r="1861" spans="1:107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</row>
    <row r="1862" spans="1:107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</row>
    <row r="1863" spans="1:107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</row>
    <row r="1864" spans="1:107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</row>
    <row r="1865" spans="1:107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</row>
    <row r="1866" spans="1:107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</row>
    <row r="1867" spans="1:107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</row>
    <row r="1868" spans="1:107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  <c r="DC1868" s="1"/>
    </row>
    <row r="1869" spans="1:107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</row>
    <row r="1870" spans="1:107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  <c r="DC1870" s="1"/>
    </row>
    <row r="1871" spans="1:107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</row>
    <row r="1872" spans="1:107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</row>
    <row r="1873" spans="1:107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</row>
    <row r="1874" spans="1:107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</row>
    <row r="1875" spans="1:107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</row>
    <row r="1876" spans="1:107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</row>
    <row r="1877" spans="1:107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</row>
    <row r="1878" spans="1:107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</row>
    <row r="1879" spans="1:107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</row>
    <row r="1880" spans="1:107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</row>
    <row r="1881" spans="1:107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</row>
    <row r="1882" spans="1:107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</row>
    <row r="1883" spans="1:107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</row>
    <row r="1884" spans="1:107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</row>
    <row r="1885" spans="1:107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</row>
    <row r="1886" spans="1:107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</row>
    <row r="1887" spans="1:107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</row>
    <row r="1888" spans="1:107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</row>
    <row r="1889" spans="1:107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</row>
    <row r="1890" spans="1:107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</row>
    <row r="1891" spans="1:107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</row>
    <row r="1892" spans="1:107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  <c r="DC1892" s="1"/>
    </row>
    <row r="1893" spans="1:107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</row>
    <row r="1894" spans="1:107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</row>
    <row r="1895" spans="1:107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</row>
    <row r="1896" spans="1:107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  <c r="DC1896" s="1"/>
    </row>
    <row r="1897" spans="1:107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</row>
    <row r="1898" spans="1:107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  <c r="DC1898" s="1"/>
    </row>
    <row r="1899" spans="1:107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</row>
    <row r="1900" spans="1:107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</row>
    <row r="1901" spans="1:107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</row>
    <row r="1902" spans="1:107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  <c r="DC1902" s="1"/>
    </row>
    <row r="1903" spans="1:107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  <c r="DC1903" s="1"/>
    </row>
    <row r="1904" spans="1:107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  <c r="DC1904" s="1"/>
    </row>
    <row r="1905" spans="1:107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</row>
    <row r="1906" spans="1:107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  <c r="DC1906" s="1"/>
    </row>
    <row r="1907" spans="1:107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</row>
    <row r="1908" spans="1:107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  <c r="DC1908" s="1"/>
    </row>
    <row r="1909" spans="1:107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</row>
    <row r="1910" spans="1:107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  <c r="DC1910" s="1"/>
    </row>
    <row r="1911" spans="1:107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</row>
    <row r="1912" spans="1:107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  <c r="DC1912" s="1"/>
    </row>
    <row r="1913" spans="1:107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</row>
    <row r="1914" spans="1:107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  <c r="DC1914" s="1"/>
    </row>
    <row r="1915" spans="1:107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</row>
    <row r="1916" spans="1:107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  <c r="DC1916" s="1"/>
    </row>
    <row r="1917" spans="1:107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</row>
    <row r="1918" spans="1:107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  <c r="DC1918" s="1"/>
    </row>
    <row r="1919" spans="1:107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</row>
    <row r="1920" spans="1:107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  <c r="DC1920" s="1"/>
    </row>
    <row r="1921" spans="1:107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</row>
    <row r="1922" spans="1:107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  <c r="DC1922" s="1"/>
    </row>
    <row r="1923" spans="1:107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</row>
    <row r="1924" spans="1:107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  <c r="DC1924" s="1"/>
    </row>
    <row r="1925" spans="1:107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</row>
    <row r="1926" spans="1:107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  <c r="DC1926" s="1"/>
    </row>
    <row r="1927" spans="1:107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  <c r="DC1927" s="1"/>
    </row>
    <row r="1928" spans="1:107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  <c r="DC1928" s="1"/>
    </row>
    <row r="1929" spans="1:107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</row>
    <row r="1930" spans="1:107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  <c r="DC1930" s="1"/>
    </row>
    <row r="1931" spans="1:107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</row>
    <row r="1932" spans="1:107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  <c r="DC1932" s="1"/>
    </row>
    <row r="1933" spans="1:107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</row>
    <row r="1934" spans="1:107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  <c r="DC1934" s="1"/>
    </row>
    <row r="1935" spans="1:107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</row>
    <row r="1936" spans="1:107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  <c r="DC1936" s="1"/>
    </row>
    <row r="1937" spans="1:107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</row>
    <row r="1938" spans="1:107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  <c r="DC1938" s="1"/>
    </row>
    <row r="1939" spans="1:107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</row>
    <row r="1940" spans="1:107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  <c r="DC1940" s="1"/>
    </row>
    <row r="1941" spans="1:107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</row>
    <row r="1942" spans="1:107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  <c r="DC1942" s="1"/>
    </row>
    <row r="1943" spans="1:107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</row>
    <row r="1944" spans="1:107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  <c r="DC1944" s="1"/>
    </row>
    <row r="1945" spans="1:107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</row>
    <row r="1946" spans="1:107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  <c r="DC1946" s="1"/>
    </row>
    <row r="1947" spans="1:107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</row>
    <row r="1948" spans="1:107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  <c r="DC1948" s="1"/>
    </row>
    <row r="1949" spans="1:107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</row>
    <row r="1950" spans="1:107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  <c r="DC1950" s="1"/>
    </row>
    <row r="1951" spans="1:107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</row>
    <row r="1952" spans="1:107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  <c r="DC1952" s="1"/>
    </row>
    <row r="1953" spans="1:107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</row>
    <row r="1954" spans="1:107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  <c r="DC1954" s="1"/>
    </row>
    <row r="1955" spans="1:107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</row>
    <row r="1956" spans="1:107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  <c r="DC1956" s="1"/>
    </row>
    <row r="1957" spans="1:107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</row>
    <row r="1958" spans="1:107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  <c r="DC1958" s="1"/>
    </row>
    <row r="1959" spans="1:107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</row>
    <row r="1960" spans="1:107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  <c r="DC1960" s="1"/>
    </row>
    <row r="1961" spans="1:107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</row>
    <row r="1962" spans="1:107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  <c r="DC1962" s="1"/>
    </row>
    <row r="1963" spans="1:107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</row>
    <row r="1964" spans="1:107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  <c r="DC1964" s="1"/>
    </row>
    <row r="1965" spans="1:107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</row>
    <row r="1966" spans="1:107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  <c r="DC1966" s="1"/>
    </row>
    <row r="1967" spans="1:107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</row>
    <row r="1968" spans="1:107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  <c r="DC1968" s="1"/>
    </row>
    <row r="1969" spans="1:107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</row>
    <row r="1970" spans="1:107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  <c r="DC1970" s="1"/>
    </row>
    <row r="1971" spans="1:107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</row>
    <row r="1972" spans="1:107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  <c r="DC1972" s="1"/>
    </row>
    <row r="1973" spans="1:107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</row>
    <row r="1974" spans="1:107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  <c r="DC1974" s="1"/>
    </row>
    <row r="1975" spans="1:107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</row>
    <row r="1976" spans="1:107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  <c r="DC1976" s="1"/>
    </row>
    <row r="1977" spans="1:107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</row>
    <row r="1978" spans="1:107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  <c r="DC1978" s="1"/>
    </row>
    <row r="1979" spans="1:107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</row>
    <row r="1980" spans="1:107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  <c r="DC1980" s="1"/>
    </row>
    <row r="1981" spans="1:107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</row>
    <row r="1982" spans="1:107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  <c r="DC1982" s="1"/>
    </row>
    <row r="1983" spans="1:107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</row>
    <row r="1984" spans="1:107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  <c r="DC1984" s="1"/>
    </row>
    <row r="1985" spans="1:107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</row>
    <row r="1986" spans="1:107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  <c r="DC1986" s="1"/>
    </row>
    <row r="1987" spans="1:107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  <c r="DC1987" s="1"/>
    </row>
    <row r="1988" spans="1:107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  <c r="DC1988" s="1"/>
    </row>
    <row r="1989" spans="1:107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  <c r="DC1989" s="1"/>
    </row>
    <row r="1990" spans="1:107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  <c r="DC1990" s="1"/>
    </row>
    <row r="1991" spans="1:107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</row>
    <row r="1992" spans="1:107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  <c r="DC1992" s="1"/>
    </row>
    <row r="1993" spans="1:107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</row>
    <row r="1994" spans="1:107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  <c r="DC1994" s="1"/>
    </row>
    <row r="1995" spans="1:107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</row>
    <row r="1996" spans="1:107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  <c r="DC1996" s="1"/>
    </row>
    <row r="1997" spans="1:107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</row>
    <row r="1998" spans="1:107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  <c r="DC1998" s="1"/>
    </row>
    <row r="1999" spans="1:107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</row>
    <row r="2000" spans="1:107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  <c r="DC2000" s="1"/>
    </row>
    <row r="2001" spans="1:107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  <c r="DC2001" s="1"/>
    </row>
    <row r="2002" spans="1:107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/>
      <c r="DB2002" s="1"/>
      <c r="DC2002" s="1"/>
    </row>
    <row r="2003" spans="1:107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  <c r="DC2003" s="1"/>
    </row>
    <row r="2004" spans="1:107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/>
      <c r="DB2004" s="1"/>
      <c r="DC2004" s="1"/>
    </row>
    <row r="2005" spans="1:107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/>
      <c r="DB2005" s="1"/>
      <c r="DC2005" s="1"/>
    </row>
    <row r="2006" spans="1:107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/>
      <c r="DB2006" s="1"/>
      <c r="DC2006" s="1"/>
    </row>
    <row r="2007" spans="1:107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  <c r="DC2007" s="1"/>
    </row>
    <row r="2008" spans="1:107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/>
      <c r="DB2008" s="1"/>
      <c r="DC2008" s="1"/>
    </row>
    <row r="2009" spans="1:107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  <c r="DC2009" s="1"/>
    </row>
    <row r="2010" spans="1:107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/>
      <c r="DB2010" s="1"/>
      <c r="DC2010" s="1"/>
    </row>
    <row r="2011" spans="1:107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/>
      <c r="DB2011" s="1"/>
      <c r="DC2011" s="1"/>
    </row>
    <row r="2012" spans="1:107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/>
      <c r="DB2012" s="1"/>
      <c r="DC2012" s="1"/>
    </row>
    <row r="2013" spans="1:107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  <c r="DC2013" s="1"/>
    </row>
    <row r="2014" spans="1:107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/>
      <c r="DB2014" s="1"/>
      <c r="DC2014" s="1"/>
    </row>
    <row r="2015" spans="1:107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  <c r="DC2015" s="1"/>
    </row>
    <row r="2016" spans="1:107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/>
      <c r="DB2016" s="1"/>
      <c r="DC2016" s="1"/>
    </row>
    <row r="2017" spans="1:107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  <c r="DC2017" s="1"/>
    </row>
    <row r="2018" spans="1:107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/>
      <c r="DB2018" s="1"/>
      <c r="DC2018" s="1"/>
    </row>
    <row r="2019" spans="1:107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/>
      <c r="DB2019" s="1"/>
      <c r="DC2019" s="1"/>
    </row>
    <row r="2020" spans="1:107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/>
      <c r="DB2020" s="1"/>
      <c r="DC2020" s="1"/>
    </row>
    <row r="2021" spans="1:107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  <c r="DC2021" s="1"/>
    </row>
    <row r="2022" spans="1:107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/>
      <c r="DB2022" s="1"/>
      <c r="DC2022" s="1"/>
    </row>
    <row r="2023" spans="1:107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  <c r="DC2023" s="1"/>
    </row>
    <row r="2024" spans="1:107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/>
      <c r="DB2024" s="1"/>
      <c r="DC2024" s="1"/>
    </row>
    <row r="2025" spans="1:107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  <c r="DC2025" s="1"/>
    </row>
    <row r="2026" spans="1:107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/>
      <c r="DB2026" s="1"/>
      <c r="DC2026" s="1"/>
    </row>
    <row r="2027" spans="1:107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  <c r="DC2027" s="1"/>
    </row>
    <row r="2028" spans="1:107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/>
      <c r="DB2028" s="1"/>
      <c r="DC2028" s="1"/>
    </row>
    <row r="2029" spans="1:107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  <c r="DC2029" s="1"/>
    </row>
    <row r="2030" spans="1:107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/>
      <c r="DB2030" s="1"/>
      <c r="DC2030" s="1"/>
    </row>
    <row r="2031" spans="1:107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  <c r="DC2031" s="1"/>
    </row>
    <row r="2032" spans="1:107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/>
      <c r="DB2032" s="1"/>
      <c r="DC2032" s="1"/>
    </row>
    <row r="2033" spans="1:107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  <c r="DC2033" s="1"/>
    </row>
    <row r="2034" spans="1:107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  <c r="DC2034" s="1"/>
    </row>
    <row r="2035" spans="1:107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  <c r="DC2035" s="1"/>
    </row>
    <row r="2036" spans="1:107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/>
      <c r="DB2036" s="1"/>
      <c r="DC2036" s="1"/>
    </row>
    <row r="2037" spans="1:107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  <c r="DC2037" s="1"/>
    </row>
    <row r="2038" spans="1:107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  <c r="DC2038" s="1"/>
    </row>
    <row r="2039" spans="1:107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</row>
    <row r="2040" spans="1:107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  <c r="DC2040" s="1"/>
    </row>
    <row r="2041" spans="1:107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</row>
    <row r="2042" spans="1:107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  <c r="DC2042" s="1"/>
    </row>
    <row r="2043" spans="1:107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</row>
    <row r="2044" spans="1:107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  <c r="DC2044" s="1"/>
    </row>
    <row r="2045" spans="1:107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</row>
    <row r="2046" spans="1:107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  <c r="DC2046" s="1"/>
    </row>
    <row r="2047" spans="1:107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  <c r="DC2047" s="1"/>
    </row>
    <row r="2048" spans="1:107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/>
      <c r="DB2048" s="1"/>
      <c r="DC2048" s="1"/>
    </row>
    <row r="2049" spans="1:107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  <c r="DC2049" s="1"/>
    </row>
    <row r="2050" spans="1:107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/>
      <c r="DB2050" s="1"/>
      <c r="DC2050" s="1"/>
    </row>
    <row r="2051" spans="1:107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  <c r="DC2051" s="1"/>
    </row>
    <row r="2052" spans="1:107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/>
      <c r="DB2052" s="1"/>
      <c r="DC2052" s="1"/>
    </row>
    <row r="2053" spans="1:107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  <c r="DC2053" s="1"/>
    </row>
    <row r="2054" spans="1:107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/>
      <c r="DB2054" s="1"/>
      <c r="DC2054" s="1"/>
    </row>
    <row r="2055" spans="1:107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  <c r="DC2055" s="1"/>
    </row>
    <row r="2056" spans="1:107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/>
      <c r="DB2056" s="1"/>
      <c r="DC2056" s="1"/>
    </row>
    <row r="2057" spans="1:107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  <c r="DC2057" s="1"/>
    </row>
    <row r="2058" spans="1:107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/>
      <c r="DB2058" s="1"/>
      <c r="DC2058" s="1"/>
    </row>
    <row r="2059" spans="1:107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  <c r="DC2059" s="1"/>
    </row>
    <row r="2060" spans="1:107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/>
      <c r="DB2060" s="1"/>
      <c r="DC2060" s="1"/>
    </row>
    <row r="2061" spans="1:107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  <c r="DC2061" s="1"/>
    </row>
    <row r="2062" spans="1:107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/>
      <c r="DB2062" s="1"/>
      <c r="DC2062" s="1"/>
    </row>
    <row r="2063" spans="1:107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  <c r="DC2063" s="1"/>
    </row>
    <row r="2064" spans="1:107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/>
      <c r="DB2064" s="1"/>
      <c r="DC2064" s="1"/>
    </row>
    <row r="2065" spans="1:107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/>
      <c r="DB2065" s="1"/>
      <c r="DC2065" s="1"/>
    </row>
    <row r="2066" spans="1:107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/>
      <c r="DB2066" s="1"/>
      <c r="DC2066" s="1"/>
    </row>
    <row r="2067" spans="1:107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  <c r="DC2067" s="1"/>
    </row>
    <row r="2068" spans="1:107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/>
      <c r="DB2068" s="1"/>
      <c r="DC2068" s="1"/>
    </row>
    <row r="2069" spans="1:107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  <c r="DC2069" s="1"/>
    </row>
    <row r="2070" spans="1:107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/>
      <c r="DB2070" s="1"/>
      <c r="DC2070" s="1"/>
    </row>
    <row r="2071" spans="1:107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  <c r="DC2071" s="1"/>
    </row>
    <row r="2072" spans="1:107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/>
      <c r="DB2072" s="1"/>
      <c r="DC2072" s="1"/>
    </row>
    <row r="2073" spans="1:107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  <c r="DC2073" s="1"/>
    </row>
    <row r="2074" spans="1:107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/>
      <c r="DB2074" s="1"/>
      <c r="DC2074" s="1"/>
    </row>
    <row r="2075" spans="1:107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</row>
    <row r="2076" spans="1:107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  <c r="DC2076" s="1"/>
    </row>
    <row r="2077" spans="1:107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  <c r="DC2077" s="1"/>
    </row>
    <row r="2078" spans="1:107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/>
      <c r="DB2078" s="1"/>
      <c r="DC2078" s="1"/>
    </row>
    <row r="2079" spans="1:107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  <c r="DC2079" s="1"/>
    </row>
    <row r="2080" spans="1:107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/>
      <c r="DB2080" s="1"/>
      <c r="DC2080" s="1"/>
    </row>
    <row r="2081" spans="1:107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  <c r="DC2081" s="1"/>
    </row>
    <row r="2082" spans="1:107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/>
      <c r="DB2082" s="1"/>
      <c r="DC2082" s="1"/>
    </row>
    <row r="2083" spans="1:107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  <c r="DC2083" s="1"/>
    </row>
    <row r="2084" spans="1:107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/>
      <c r="DB2084" s="1"/>
      <c r="DC2084" s="1"/>
    </row>
    <row r="2085" spans="1:107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  <c r="DC2085" s="1"/>
    </row>
    <row r="2086" spans="1:107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/>
      <c r="DB2086" s="1"/>
      <c r="DC2086" s="1"/>
    </row>
    <row r="2087" spans="1:107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  <c r="DC2087" s="1"/>
    </row>
    <row r="2088" spans="1:107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/>
      <c r="DB2088" s="1"/>
      <c r="DC2088" s="1"/>
    </row>
    <row r="2089" spans="1:107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  <c r="DC2089" s="1"/>
    </row>
    <row r="2090" spans="1:107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/>
      <c r="DB2090" s="1"/>
      <c r="DC2090" s="1"/>
    </row>
    <row r="2091" spans="1:107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/>
      <c r="DB2091" s="1"/>
      <c r="DC2091" s="1"/>
    </row>
    <row r="2092" spans="1:107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/>
      <c r="DB2092" s="1"/>
      <c r="DC2092" s="1"/>
    </row>
    <row r="2093" spans="1:107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/>
      <c r="DB2093" s="1"/>
      <c r="DC2093" s="1"/>
    </row>
    <row r="2094" spans="1:107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/>
      <c r="DB2094" s="1"/>
      <c r="DC2094" s="1"/>
    </row>
    <row r="2095" spans="1:107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/>
      <c r="DB2095" s="1"/>
      <c r="DC2095" s="1"/>
    </row>
    <row r="2096" spans="1:107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/>
      <c r="DB2096" s="1"/>
      <c r="DC2096" s="1"/>
    </row>
    <row r="2097" spans="1:107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/>
      <c r="DB2097" s="1"/>
      <c r="DC2097" s="1"/>
    </row>
    <row r="2098" spans="1:107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/>
      <c r="DB2098" s="1"/>
      <c r="DC2098" s="1"/>
    </row>
    <row r="2099" spans="1:107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/>
      <c r="DB2099" s="1"/>
      <c r="DC2099" s="1"/>
    </row>
    <row r="2100" spans="1:107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/>
      <c r="DB2100" s="1"/>
      <c r="DC2100" s="1"/>
    </row>
    <row r="2101" spans="1:107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/>
      <c r="DB2101" s="1"/>
      <c r="DC2101" s="1"/>
    </row>
    <row r="2102" spans="1:107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/>
      <c r="DB2102" s="1"/>
      <c r="DC2102" s="1"/>
    </row>
    <row r="2103" spans="1:107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/>
      <c r="DB2103" s="1"/>
      <c r="DC2103" s="1"/>
    </row>
    <row r="2104" spans="1:107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/>
      <c r="DB2104" s="1"/>
      <c r="DC2104" s="1"/>
    </row>
    <row r="2105" spans="1:107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/>
      <c r="DB2105" s="1"/>
      <c r="DC2105" s="1"/>
    </row>
    <row r="2106" spans="1:107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/>
      <c r="DB2106" s="1"/>
      <c r="DC2106" s="1"/>
    </row>
    <row r="2107" spans="1:107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  <c r="DC2107" s="1"/>
    </row>
    <row r="2108" spans="1:107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/>
      <c r="DB2108" s="1"/>
      <c r="DC2108" s="1"/>
    </row>
    <row r="2109" spans="1:107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  <c r="DC2109" s="1"/>
    </row>
    <row r="2110" spans="1:107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/>
      <c r="DB2110" s="1"/>
      <c r="DC2110" s="1"/>
    </row>
    <row r="2111" spans="1:107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/>
      <c r="DB2111" s="1"/>
      <c r="DC2111" s="1"/>
    </row>
    <row r="2112" spans="1:107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/>
      <c r="DB2112" s="1"/>
      <c r="DC2112" s="1"/>
    </row>
    <row r="2113" spans="1:107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/>
      <c r="DB2113" s="1"/>
      <c r="DC2113" s="1"/>
    </row>
    <row r="2114" spans="1:107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/>
      <c r="DB2114" s="1"/>
      <c r="DC2114" s="1"/>
    </row>
    <row r="2115" spans="1:107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/>
      <c r="DB2115" s="1"/>
      <c r="DC2115" s="1"/>
    </row>
    <row r="2116" spans="1:107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/>
      <c r="DB2116" s="1"/>
      <c r="DC2116" s="1"/>
    </row>
    <row r="2117" spans="1:107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/>
      <c r="DB2117" s="1"/>
      <c r="DC2117" s="1"/>
    </row>
    <row r="2118" spans="1:107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/>
      <c r="DB2118" s="1"/>
      <c r="DC2118" s="1"/>
    </row>
    <row r="2119" spans="1:107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/>
      <c r="DB2119" s="1"/>
      <c r="DC2119" s="1"/>
    </row>
    <row r="2120" spans="1:107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/>
      <c r="DB2120" s="1"/>
      <c r="DC2120" s="1"/>
    </row>
    <row r="2121" spans="1:107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/>
      <c r="DB2121" s="1"/>
      <c r="DC2121" s="1"/>
    </row>
    <row r="2122" spans="1:107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/>
      <c r="DB2122" s="1"/>
      <c r="DC2122" s="1"/>
    </row>
    <row r="2123" spans="1:107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/>
      <c r="DB2123" s="1"/>
      <c r="DC2123" s="1"/>
    </row>
    <row r="2124" spans="1:107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/>
      <c r="DB2124" s="1"/>
      <c r="DC2124" s="1"/>
    </row>
    <row r="2125" spans="1:107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/>
      <c r="DB2125" s="1"/>
      <c r="DC2125" s="1"/>
    </row>
    <row r="2126" spans="1:107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/>
      <c r="DB2126" s="1"/>
      <c r="DC2126" s="1"/>
    </row>
    <row r="2127" spans="1:107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/>
      <c r="DB2127" s="1"/>
      <c r="DC2127" s="1"/>
    </row>
    <row r="2128" spans="1:107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/>
      <c r="DB2128" s="1"/>
      <c r="DC2128" s="1"/>
    </row>
    <row r="2129" spans="1:107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/>
      <c r="DB2129" s="1"/>
      <c r="DC2129" s="1"/>
    </row>
    <row r="2130" spans="1:107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/>
      <c r="DB2130" s="1"/>
      <c r="DC2130" s="1"/>
    </row>
    <row r="2131" spans="1:107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/>
      <c r="DB2131" s="1"/>
      <c r="DC2131" s="1"/>
    </row>
    <row r="2132" spans="1:107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/>
      <c r="DB2132" s="1"/>
      <c r="DC2132" s="1"/>
    </row>
    <row r="2133" spans="1:107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/>
      <c r="DB2133" s="1"/>
      <c r="DC2133" s="1"/>
    </row>
    <row r="2134" spans="1:107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/>
      <c r="DB2134" s="1"/>
      <c r="DC2134" s="1"/>
    </row>
    <row r="2135" spans="1:107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  <c r="DC2135" s="1"/>
    </row>
    <row r="2136" spans="1:107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/>
      <c r="DB2136" s="1"/>
      <c r="DC2136" s="1"/>
    </row>
    <row r="2137" spans="1:107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/>
      <c r="DB2137" s="1"/>
      <c r="DC2137" s="1"/>
    </row>
    <row r="2138" spans="1:107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/>
      <c r="DB2138" s="1"/>
      <c r="DC2138" s="1"/>
    </row>
    <row r="2139" spans="1:107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/>
      <c r="DB2139" s="1"/>
      <c r="DC2139" s="1"/>
    </row>
    <row r="2140" spans="1:107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/>
      <c r="DB2140" s="1"/>
      <c r="DC2140" s="1"/>
    </row>
    <row r="2141" spans="1:107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/>
      <c r="DB2141" s="1"/>
      <c r="DC2141" s="1"/>
    </row>
    <row r="2142" spans="1:107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/>
      <c r="DB2142" s="1"/>
      <c r="DC2142" s="1"/>
    </row>
    <row r="2143" spans="1:107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/>
      <c r="DB2143" s="1"/>
      <c r="DC2143" s="1"/>
    </row>
    <row r="2144" spans="1:107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/>
      <c r="DB2144" s="1"/>
      <c r="DC2144" s="1"/>
    </row>
    <row r="2145" spans="1:107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/>
      <c r="DB2145" s="1"/>
      <c r="DC2145" s="1"/>
    </row>
    <row r="2146" spans="1:107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/>
      <c r="DB2146" s="1"/>
      <c r="DC2146" s="1"/>
    </row>
    <row r="2147" spans="1:107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/>
      <c r="DB2147" s="1"/>
      <c r="DC2147" s="1"/>
    </row>
    <row r="2148" spans="1:107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/>
      <c r="DB2148" s="1"/>
      <c r="DC2148" s="1"/>
    </row>
    <row r="2149" spans="1:107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/>
      <c r="DB2149" s="1"/>
      <c r="DC2149" s="1"/>
    </row>
    <row r="2150" spans="1:107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/>
      <c r="DB2150" s="1"/>
      <c r="DC2150" s="1"/>
    </row>
    <row r="2151" spans="1:107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/>
      <c r="DB2151" s="1"/>
      <c r="DC2151" s="1"/>
    </row>
    <row r="2152" spans="1:107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/>
      <c r="DB2152" s="1"/>
      <c r="DC2152" s="1"/>
    </row>
    <row r="2153" spans="1:107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/>
      <c r="DB2153" s="1"/>
      <c r="DC2153" s="1"/>
    </row>
    <row r="2154" spans="1:107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/>
      <c r="DB2154" s="1"/>
      <c r="DC2154" s="1"/>
    </row>
    <row r="2155" spans="1:107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/>
      <c r="DB2155" s="1"/>
      <c r="DC2155" s="1"/>
    </row>
    <row r="2156" spans="1:107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/>
      <c r="DB2156" s="1"/>
      <c r="DC2156" s="1"/>
    </row>
    <row r="2157" spans="1:107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/>
      <c r="DB2157" s="1"/>
      <c r="DC2157" s="1"/>
    </row>
    <row r="2158" spans="1:107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/>
      <c r="DB2158" s="1"/>
      <c r="DC2158" s="1"/>
    </row>
    <row r="2159" spans="1:107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/>
      <c r="DB2159" s="1"/>
      <c r="DC2159" s="1"/>
    </row>
    <row r="2160" spans="1:107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/>
      <c r="DB2160" s="1"/>
      <c r="DC2160" s="1"/>
    </row>
    <row r="2161" spans="1:107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/>
      <c r="DB2161" s="1"/>
      <c r="DC2161" s="1"/>
    </row>
    <row r="2162" spans="1:107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/>
      <c r="DB2162" s="1"/>
      <c r="DC2162" s="1"/>
    </row>
    <row r="2163" spans="1:107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/>
      <c r="DB2163" s="1"/>
      <c r="DC2163" s="1"/>
    </row>
    <row r="2164" spans="1:107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/>
      <c r="DB2164" s="1"/>
      <c r="DC2164" s="1"/>
    </row>
    <row r="2165" spans="1:107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/>
      <c r="DB2165" s="1"/>
      <c r="DC2165" s="1"/>
    </row>
    <row r="2166" spans="1:107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/>
      <c r="DB2166" s="1"/>
      <c r="DC2166" s="1"/>
    </row>
    <row r="2167" spans="1:107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/>
      <c r="DB2167" s="1"/>
      <c r="DC2167" s="1"/>
    </row>
    <row r="2168" spans="1:107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/>
      <c r="DB2168" s="1"/>
      <c r="DC2168" s="1"/>
    </row>
    <row r="2169" spans="1:107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/>
      <c r="DB2169" s="1"/>
      <c r="DC2169" s="1"/>
    </row>
    <row r="2170" spans="1:107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/>
      <c r="DB2170" s="1"/>
      <c r="DC2170" s="1"/>
    </row>
    <row r="2171" spans="1:107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/>
      <c r="DB2171" s="1"/>
      <c r="DC2171" s="1"/>
    </row>
    <row r="2172" spans="1:107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/>
      <c r="DB2172" s="1"/>
      <c r="DC2172" s="1"/>
    </row>
    <row r="2173" spans="1:107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/>
      <c r="DB2173" s="1"/>
      <c r="DC2173" s="1"/>
    </row>
    <row r="2174" spans="1:107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/>
      <c r="DB2174" s="1"/>
      <c r="DC2174" s="1"/>
    </row>
    <row r="2175" spans="1:107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/>
      <c r="DB2175" s="1"/>
      <c r="DC2175" s="1"/>
    </row>
    <row r="2176" spans="1:107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/>
      <c r="DB2176" s="1"/>
      <c r="DC2176" s="1"/>
    </row>
    <row r="2177" spans="1:107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/>
      <c r="DB2177" s="1"/>
      <c r="DC2177" s="1"/>
    </row>
    <row r="2178" spans="1:107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/>
      <c r="DB2178" s="1"/>
      <c r="DC2178" s="1"/>
    </row>
    <row r="2179" spans="1:107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/>
      <c r="DB2179" s="1"/>
      <c r="DC2179" s="1"/>
    </row>
    <row r="2180" spans="1:107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/>
      <c r="DB2180" s="1"/>
      <c r="DC2180" s="1"/>
    </row>
    <row r="2181" spans="1:107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/>
      <c r="DB2181" s="1"/>
      <c r="DC2181" s="1"/>
    </row>
    <row r="2182" spans="1:107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/>
      <c r="DB2182" s="1"/>
      <c r="DC2182" s="1"/>
    </row>
    <row r="2183" spans="1:107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/>
      <c r="DB2183" s="1"/>
      <c r="DC2183" s="1"/>
    </row>
    <row r="2184" spans="1:107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/>
      <c r="DB2184" s="1"/>
      <c r="DC2184" s="1"/>
    </row>
    <row r="2185" spans="1:107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/>
      <c r="DB2185" s="1"/>
      <c r="DC2185" s="1"/>
    </row>
    <row r="2186" spans="1:107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/>
      <c r="DB2186" s="1"/>
      <c r="DC2186" s="1"/>
    </row>
    <row r="2187" spans="1:107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/>
      <c r="DB2187" s="1"/>
      <c r="DC2187" s="1"/>
    </row>
    <row r="2188" spans="1:107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/>
      <c r="DB2188" s="1"/>
      <c r="DC2188" s="1"/>
    </row>
    <row r="2189" spans="1:107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/>
      <c r="DB2189" s="1"/>
      <c r="DC2189" s="1"/>
    </row>
    <row r="2190" spans="1:107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/>
      <c r="DB2190" s="1"/>
      <c r="DC2190" s="1"/>
    </row>
    <row r="2191" spans="1:107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/>
      <c r="DB2191" s="1"/>
      <c r="DC2191" s="1"/>
    </row>
    <row r="2192" spans="1:107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/>
      <c r="DB2192" s="1"/>
      <c r="DC2192" s="1"/>
    </row>
    <row r="2193" spans="1:107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/>
      <c r="DB2193" s="1"/>
      <c r="DC2193" s="1"/>
    </row>
    <row r="2194" spans="1:107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/>
      <c r="DB2194" s="1"/>
      <c r="DC2194" s="1"/>
    </row>
    <row r="2195" spans="1:107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/>
      <c r="DB2195" s="1"/>
      <c r="DC2195" s="1"/>
    </row>
    <row r="2196" spans="1:107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/>
      <c r="DB2196" s="1"/>
      <c r="DC2196" s="1"/>
    </row>
    <row r="2197" spans="1:107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/>
      <c r="DB2197" s="1"/>
      <c r="DC2197" s="1"/>
    </row>
    <row r="2198" spans="1:107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/>
      <c r="DB2198" s="1"/>
      <c r="DC2198" s="1"/>
    </row>
    <row r="2199" spans="1:107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/>
      <c r="DB2199" s="1"/>
      <c r="DC2199" s="1"/>
    </row>
    <row r="2200" spans="1:107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/>
      <c r="DB2200" s="1"/>
      <c r="DC2200" s="1"/>
    </row>
    <row r="2201" spans="1:107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/>
      <c r="DB2201" s="1"/>
      <c r="DC2201" s="1"/>
    </row>
    <row r="2202" spans="1:107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/>
      <c r="DB2202" s="1"/>
      <c r="DC2202" s="1"/>
    </row>
    <row r="2203" spans="1:107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/>
      <c r="DB2203" s="1"/>
      <c r="DC2203" s="1"/>
    </row>
    <row r="2204" spans="1:107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/>
      <c r="DB2204" s="1"/>
      <c r="DC2204" s="1"/>
    </row>
    <row r="2205" spans="1:107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/>
      <c r="DB2205" s="1"/>
      <c r="DC2205" s="1"/>
    </row>
    <row r="2206" spans="1:107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/>
      <c r="DB2206" s="1"/>
      <c r="DC2206" s="1"/>
    </row>
    <row r="2207" spans="1:107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/>
      <c r="DB2207" s="1"/>
      <c r="DC2207" s="1"/>
    </row>
    <row r="2208" spans="1:107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/>
      <c r="DB2208" s="1"/>
      <c r="DC2208" s="1"/>
    </row>
    <row r="2209" spans="1:107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/>
      <c r="DB2209" s="1"/>
      <c r="DC2209" s="1"/>
    </row>
    <row r="2210" spans="1:107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/>
      <c r="DB2210" s="1"/>
      <c r="DC2210" s="1"/>
    </row>
    <row r="2211" spans="1:107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/>
      <c r="DB2211" s="1"/>
      <c r="DC2211" s="1"/>
    </row>
    <row r="2212" spans="1:107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/>
      <c r="DB2212" s="1"/>
      <c r="DC2212" s="1"/>
    </row>
    <row r="2213" spans="1:107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  <c r="DC2213" s="1"/>
    </row>
    <row r="2214" spans="1:107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/>
      <c r="DB2214" s="1"/>
      <c r="DC2214" s="1"/>
    </row>
    <row r="2215" spans="1:107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/>
      <c r="DB2215" s="1"/>
      <c r="DC2215" s="1"/>
    </row>
    <row r="2216" spans="1:107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/>
      <c r="DB2216" s="1"/>
      <c r="DC2216" s="1"/>
    </row>
    <row r="2217" spans="1:107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/>
      <c r="DB2217" s="1"/>
      <c r="DC2217" s="1"/>
    </row>
    <row r="2218" spans="1:107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/>
      <c r="DB2218" s="1"/>
      <c r="DC2218" s="1"/>
    </row>
    <row r="2219" spans="1:107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/>
      <c r="DB2219" s="1"/>
      <c r="DC2219" s="1"/>
    </row>
    <row r="2220" spans="1:107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/>
      <c r="DB2220" s="1"/>
      <c r="DC2220" s="1"/>
    </row>
    <row r="2221" spans="1:107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/>
      <c r="DB2221" s="1"/>
      <c r="DC2221" s="1"/>
    </row>
    <row r="2222" spans="1:107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/>
      <c r="DB2222" s="1"/>
      <c r="DC2222" s="1"/>
    </row>
    <row r="2223" spans="1:107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/>
      <c r="DB2223" s="1"/>
      <c r="DC2223" s="1"/>
    </row>
    <row r="2224" spans="1:107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/>
      <c r="DB2224" s="1"/>
      <c r="DC2224" s="1"/>
    </row>
    <row r="2225" spans="1:107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/>
      <c r="DB2225" s="1"/>
      <c r="DC2225" s="1"/>
    </row>
    <row r="2226" spans="1:107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/>
      <c r="DB2226" s="1"/>
      <c r="DC2226" s="1"/>
    </row>
    <row r="2227" spans="1:107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  <c r="DC2227" s="1"/>
    </row>
    <row r="2228" spans="1:107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/>
      <c r="DB2228" s="1"/>
      <c r="DC2228" s="1"/>
    </row>
    <row r="2229" spans="1:107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  <c r="DC2229" s="1"/>
    </row>
    <row r="2230" spans="1:107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/>
      <c r="DB2230" s="1"/>
      <c r="DC2230" s="1"/>
    </row>
    <row r="2231" spans="1:107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  <c r="DC2231" s="1"/>
    </row>
    <row r="2232" spans="1:107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/>
      <c r="DB2232" s="1"/>
      <c r="DC2232" s="1"/>
    </row>
    <row r="2233" spans="1:107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  <c r="DC2233" s="1"/>
    </row>
    <row r="2234" spans="1:107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/>
      <c r="DB2234" s="1"/>
      <c r="DC2234" s="1"/>
    </row>
    <row r="2235" spans="1:107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  <c r="DC2235" s="1"/>
    </row>
    <row r="2236" spans="1:107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/>
      <c r="DB2236" s="1"/>
      <c r="DC2236" s="1"/>
    </row>
    <row r="2237" spans="1:107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  <c r="DC2237" s="1"/>
    </row>
    <row r="2238" spans="1:107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/>
      <c r="DB2238" s="1"/>
      <c r="DC2238" s="1"/>
    </row>
    <row r="2239" spans="1:107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  <c r="DC2239" s="1"/>
    </row>
    <row r="2240" spans="1:107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/>
      <c r="DB2240" s="1"/>
      <c r="DC2240" s="1"/>
    </row>
    <row r="2241" spans="1:107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  <c r="DC2241" s="1"/>
    </row>
    <row r="2242" spans="1:107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/>
      <c r="DB2242" s="1"/>
      <c r="DC2242" s="1"/>
    </row>
    <row r="2243" spans="1:107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/>
      <c r="DB2243" s="1"/>
      <c r="DC2243" s="1"/>
    </row>
    <row r="2244" spans="1:107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/>
      <c r="DB2244" s="1"/>
      <c r="DC2244" s="1"/>
    </row>
    <row r="2245" spans="1:107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/>
      <c r="DB2245" s="1"/>
      <c r="DC2245" s="1"/>
    </row>
    <row r="2246" spans="1:107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/>
      <c r="DB2246" s="1"/>
      <c r="DC2246" s="1"/>
    </row>
    <row r="2247" spans="1:107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/>
      <c r="DB2247" s="1"/>
      <c r="DC2247" s="1"/>
    </row>
    <row r="2248" spans="1:107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/>
      <c r="DB2248" s="1"/>
      <c r="DC2248" s="1"/>
    </row>
    <row r="2249" spans="1:107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/>
      <c r="DB2249" s="1"/>
      <c r="DC2249" s="1"/>
    </row>
    <row r="2250" spans="1:107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/>
      <c r="DB2250" s="1"/>
      <c r="DC2250" s="1"/>
    </row>
    <row r="2251" spans="1:107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/>
      <c r="DB2251" s="1"/>
      <c r="DC2251" s="1"/>
    </row>
    <row r="2252" spans="1:107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/>
      <c r="DB2252" s="1"/>
      <c r="DC2252" s="1"/>
    </row>
    <row r="2253" spans="1:107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/>
      <c r="DB2253" s="1"/>
      <c r="DC2253" s="1"/>
    </row>
    <row r="2254" spans="1:107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/>
      <c r="DB2254" s="1"/>
      <c r="DC2254" s="1"/>
    </row>
    <row r="2255" spans="1:107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/>
      <c r="DB2255" s="1"/>
      <c r="DC2255" s="1"/>
    </row>
    <row r="2256" spans="1:107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/>
      <c r="DB2256" s="1"/>
      <c r="DC2256" s="1"/>
    </row>
    <row r="2257" spans="1:107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/>
      <c r="DB2257" s="1"/>
      <c r="DC2257" s="1"/>
    </row>
    <row r="2258" spans="1:107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/>
      <c r="DB2258" s="1"/>
      <c r="DC2258" s="1"/>
    </row>
    <row r="2259" spans="1:107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/>
      <c r="DB2259" s="1"/>
      <c r="DC2259" s="1"/>
    </row>
    <row r="2260" spans="1:107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/>
      <c r="DB2260" s="1"/>
      <c r="DC2260" s="1"/>
    </row>
    <row r="2261" spans="1:107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/>
      <c r="DB2261" s="1"/>
      <c r="DC2261" s="1"/>
    </row>
    <row r="2262" spans="1:107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/>
      <c r="DB2262" s="1"/>
      <c r="DC2262" s="1"/>
    </row>
    <row r="2263" spans="1:107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/>
      <c r="DB2263" s="1"/>
      <c r="DC2263" s="1"/>
    </row>
    <row r="2264" spans="1:107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/>
      <c r="DB2264" s="1"/>
      <c r="DC2264" s="1"/>
    </row>
    <row r="2265" spans="1:107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/>
      <c r="DB2265" s="1"/>
      <c r="DC2265" s="1"/>
    </row>
    <row r="2266" spans="1:107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/>
      <c r="DB2266" s="1"/>
      <c r="DC2266" s="1"/>
    </row>
    <row r="2267" spans="1:107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/>
      <c r="DB2267" s="1"/>
      <c r="DC2267" s="1"/>
    </row>
    <row r="2268" spans="1:107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/>
      <c r="DB2268" s="1"/>
      <c r="DC2268" s="1"/>
    </row>
    <row r="2269" spans="1:107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/>
      <c r="DB2269" s="1"/>
      <c r="DC2269" s="1"/>
    </row>
    <row r="2270" spans="1:107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/>
      <c r="DB2270" s="1"/>
      <c r="DC2270" s="1"/>
    </row>
    <row r="2271" spans="1:107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/>
      <c r="DB2271" s="1"/>
      <c r="DC2271" s="1"/>
    </row>
    <row r="2272" spans="1:107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/>
      <c r="DB2272" s="1"/>
      <c r="DC2272" s="1"/>
    </row>
    <row r="2273" spans="1:107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/>
      <c r="DB2273" s="1"/>
      <c r="DC2273" s="1"/>
    </row>
    <row r="2274" spans="1:107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/>
      <c r="DB2274" s="1"/>
      <c r="DC2274" s="1"/>
    </row>
    <row r="2275" spans="1:107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/>
      <c r="DB2275" s="1"/>
      <c r="DC2275" s="1"/>
    </row>
    <row r="2276" spans="1:107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/>
      <c r="DB2276" s="1"/>
      <c r="DC2276" s="1"/>
    </row>
    <row r="2277" spans="1:107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/>
      <c r="DB2277" s="1"/>
      <c r="DC2277" s="1"/>
    </row>
    <row r="2278" spans="1:107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/>
      <c r="DB2278" s="1"/>
      <c r="DC2278" s="1"/>
    </row>
    <row r="2279" spans="1:107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  <c r="DC2279" s="1"/>
    </row>
    <row r="2280" spans="1:107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/>
      <c r="DB2280" s="1"/>
      <c r="DC2280" s="1"/>
    </row>
    <row r="2281" spans="1:107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/>
      <c r="DB2281" s="1"/>
      <c r="DC2281" s="1"/>
    </row>
    <row r="2282" spans="1:107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/>
      <c r="DB2282" s="1"/>
      <c r="DC2282" s="1"/>
    </row>
    <row r="2283" spans="1:107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/>
      <c r="DB2283" s="1"/>
      <c r="DC2283" s="1"/>
    </row>
    <row r="2284" spans="1:107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/>
      <c r="DB2284" s="1"/>
      <c r="DC2284" s="1"/>
    </row>
    <row r="2285" spans="1:107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/>
      <c r="DB2285" s="1"/>
      <c r="DC2285" s="1"/>
    </row>
    <row r="2286" spans="1:107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/>
      <c r="DB2286" s="1"/>
      <c r="DC2286" s="1"/>
    </row>
    <row r="2287" spans="1:107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/>
      <c r="DB2287" s="1"/>
      <c r="DC2287" s="1"/>
    </row>
    <row r="2288" spans="1:107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/>
      <c r="DB2288" s="1"/>
      <c r="DC2288" s="1"/>
    </row>
    <row r="2289" spans="1:107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/>
      <c r="DB2289" s="1"/>
      <c r="DC2289" s="1"/>
    </row>
    <row r="2290" spans="1:107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/>
      <c r="DB2290" s="1"/>
      <c r="DC2290" s="1"/>
    </row>
    <row r="2291" spans="1:107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/>
      <c r="DB2291" s="1"/>
      <c r="DC2291" s="1"/>
    </row>
    <row r="2292" spans="1:107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/>
      <c r="DB2292" s="1"/>
      <c r="DC2292" s="1"/>
    </row>
    <row r="2293" spans="1:107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/>
      <c r="DB2293" s="1"/>
      <c r="DC2293" s="1"/>
    </row>
    <row r="2294" spans="1:107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/>
      <c r="DB2294" s="1"/>
      <c r="DC2294" s="1"/>
    </row>
    <row r="2295" spans="1:107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  <c r="DB2295" s="1"/>
      <c r="DC2295" s="1"/>
    </row>
    <row r="2296" spans="1:107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/>
      <c r="DB2296" s="1"/>
      <c r="DC2296" s="1"/>
    </row>
    <row r="2297" spans="1:107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  <c r="DC2297" s="1"/>
    </row>
    <row r="2298" spans="1:107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  <c r="DC2298" s="1"/>
    </row>
    <row r="2299" spans="1:107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</row>
    <row r="2300" spans="1:107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  <c r="DC2300" s="1"/>
    </row>
    <row r="2301" spans="1:107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</row>
    <row r="2302" spans="1:107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  <c r="DC2302" s="1"/>
    </row>
    <row r="2303" spans="1:107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</row>
    <row r="2304" spans="1:107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  <c r="DC2304" s="1"/>
    </row>
    <row r="2305" spans="1:107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</row>
    <row r="2306" spans="1:107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  <c r="DC2306" s="1"/>
    </row>
    <row r="2307" spans="1:107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</row>
    <row r="2308" spans="1:107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  <c r="DC2308" s="1"/>
    </row>
    <row r="2309" spans="1:107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</row>
    <row r="2310" spans="1:107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  <c r="DC2310" s="1"/>
    </row>
    <row r="2311" spans="1:107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</row>
    <row r="2312" spans="1:107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  <c r="DC2312" s="1"/>
    </row>
    <row r="2313" spans="1:107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</row>
    <row r="2314" spans="1:107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  <c r="DC2314" s="1"/>
    </row>
    <row r="2315" spans="1:107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</row>
    <row r="2316" spans="1:107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  <c r="DC2316" s="1"/>
    </row>
    <row r="2317" spans="1:107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</row>
    <row r="2318" spans="1:107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  <c r="DC2318" s="1"/>
    </row>
    <row r="2319" spans="1:107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  <c r="DC2319" s="1"/>
    </row>
    <row r="2320" spans="1:107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  <c r="DC2320" s="1"/>
    </row>
    <row r="2321" spans="1:107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</row>
    <row r="2322" spans="1:107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  <c r="DC2322" s="1"/>
    </row>
    <row r="2323" spans="1:107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</row>
    <row r="2324" spans="1:107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  <c r="DC2324" s="1"/>
    </row>
    <row r="2325" spans="1:107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</row>
    <row r="2326" spans="1:107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  <c r="DC2326" s="1"/>
    </row>
    <row r="2327" spans="1:107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</row>
    <row r="2328" spans="1:107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  <c r="DC2328" s="1"/>
    </row>
    <row r="2329" spans="1:107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</row>
    <row r="2330" spans="1:107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  <c r="DC2330" s="1"/>
    </row>
    <row r="2331" spans="1:107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</row>
    <row r="2332" spans="1:107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  <c r="DC2332" s="1"/>
    </row>
    <row r="2333" spans="1:107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</row>
    <row r="2334" spans="1:107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  <c r="DC2334" s="1"/>
    </row>
    <row r="2335" spans="1:107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</row>
    <row r="2336" spans="1:107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  <c r="DC2336" s="1"/>
    </row>
    <row r="2337" spans="1:107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</row>
    <row r="2338" spans="1:107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  <c r="DC2338" s="1"/>
    </row>
    <row r="2339" spans="1:107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  <c r="DC2339" s="1"/>
    </row>
    <row r="2340" spans="1:107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  <c r="DB2340" s="1"/>
      <c r="DC2340" s="1"/>
    </row>
    <row r="2341" spans="1:107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  <c r="DB2341" s="1"/>
      <c r="DC2341" s="1"/>
    </row>
    <row r="2342" spans="1:107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  <c r="DB2342" s="1"/>
      <c r="DC2342" s="1"/>
    </row>
    <row r="2343" spans="1:107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  <c r="DC2343" s="1"/>
    </row>
    <row r="2344" spans="1:107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  <c r="DB2344" s="1"/>
      <c r="DC2344" s="1"/>
    </row>
    <row r="2345" spans="1:107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  <c r="DC2345" s="1"/>
    </row>
    <row r="2346" spans="1:107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  <c r="DB2346" s="1"/>
      <c r="DC2346" s="1"/>
    </row>
    <row r="2347" spans="1:107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  <c r="DC2347" s="1"/>
    </row>
    <row r="2348" spans="1:107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  <c r="DB2348" s="1"/>
      <c r="DC2348" s="1"/>
    </row>
    <row r="2349" spans="1:107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  <c r="DC2349" s="1"/>
    </row>
    <row r="2350" spans="1:107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  <c r="DB2350" s="1"/>
      <c r="DC2350" s="1"/>
    </row>
    <row r="2351" spans="1:107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</row>
    <row r="2352" spans="1:107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  <c r="DB2352" s="1"/>
      <c r="DC2352" s="1"/>
    </row>
    <row r="2353" spans="1:107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  <c r="DC2353" s="1"/>
    </row>
    <row r="2354" spans="1:107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/>
      <c r="DB2354" s="1"/>
      <c r="DC2354" s="1"/>
    </row>
    <row r="2355" spans="1:107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  <c r="DB2355" s="1"/>
      <c r="DC2355" s="1"/>
    </row>
    <row r="2356" spans="1:107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/>
      <c r="DB2356" s="1"/>
      <c r="DC2356" s="1"/>
    </row>
    <row r="2357" spans="1:107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  <c r="DB2357" s="1"/>
      <c r="DC2357" s="1"/>
    </row>
    <row r="2358" spans="1:107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/>
      <c r="DB2358" s="1"/>
      <c r="DC2358" s="1"/>
    </row>
    <row r="2359" spans="1:107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  <c r="DB2359" s="1"/>
      <c r="DC2359" s="1"/>
    </row>
    <row r="2360" spans="1:107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/>
      <c r="DB2360" s="1"/>
      <c r="DC2360" s="1"/>
    </row>
    <row r="2361" spans="1:107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  <c r="DB2361" s="1"/>
      <c r="DC2361" s="1"/>
    </row>
    <row r="2362" spans="1:107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/>
      <c r="DB2362" s="1"/>
      <c r="DC2362" s="1"/>
    </row>
    <row r="2363" spans="1:107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  <c r="DB2363" s="1"/>
      <c r="DC2363" s="1"/>
    </row>
    <row r="2364" spans="1:107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/>
      <c r="DB2364" s="1"/>
      <c r="DC2364" s="1"/>
    </row>
    <row r="2365" spans="1:107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  <c r="DB2365" s="1"/>
      <c r="DC2365" s="1"/>
    </row>
    <row r="2366" spans="1:107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  <c r="DB2366" s="1"/>
      <c r="DC2366" s="1"/>
    </row>
    <row r="2367" spans="1:107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  <c r="DB2367" s="1"/>
      <c r="DC2367" s="1"/>
    </row>
    <row r="2368" spans="1:107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  <c r="DB2368" s="1"/>
      <c r="DC2368" s="1"/>
    </row>
    <row r="2369" spans="1:107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  <c r="DC2369" s="1"/>
    </row>
    <row r="2370" spans="1:107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  <c r="DB2370" s="1"/>
      <c r="DC2370" s="1"/>
    </row>
    <row r="2371" spans="1:107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  <c r="DC2371" s="1"/>
    </row>
    <row r="2372" spans="1:107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  <c r="DB2372" s="1"/>
      <c r="DC2372" s="1"/>
    </row>
    <row r="2373" spans="1:107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  <c r="DC2373" s="1"/>
    </row>
    <row r="2374" spans="1:107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  <c r="DB2374" s="1"/>
      <c r="DC2374" s="1"/>
    </row>
    <row r="2375" spans="1:107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  <c r="DC2375" s="1"/>
    </row>
    <row r="2376" spans="1:107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  <c r="DB2376" s="1"/>
      <c r="DC2376" s="1"/>
    </row>
    <row r="2377" spans="1:107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  <c r="DC2377" s="1"/>
    </row>
    <row r="2378" spans="1:107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  <c r="DB2378" s="1"/>
      <c r="DC2378" s="1"/>
    </row>
    <row r="2379" spans="1:107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  <c r="DC2379" s="1"/>
    </row>
    <row r="2380" spans="1:107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  <c r="DB2380" s="1"/>
      <c r="DC2380" s="1"/>
    </row>
    <row r="2381" spans="1:107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  <c r="DC2381" s="1"/>
    </row>
    <row r="2382" spans="1:107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  <c r="DB2382" s="1"/>
      <c r="DC2382" s="1"/>
    </row>
    <row r="2383" spans="1:107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  <c r="DC2383" s="1"/>
    </row>
    <row r="2384" spans="1:107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  <c r="DB2384" s="1"/>
      <c r="DC2384" s="1"/>
    </row>
    <row r="2385" spans="1:107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  <c r="DC2385" s="1"/>
    </row>
    <row r="2386" spans="1:107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  <c r="DB2386" s="1"/>
      <c r="DC2386" s="1"/>
    </row>
    <row r="2387" spans="1:107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  <c r="DC2387" s="1"/>
    </row>
    <row r="2388" spans="1:107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  <c r="DB2388" s="1"/>
      <c r="DC2388" s="1"/>
    </row>
    <row r="2389" spans="1:107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  <c r="DC2389" s="1"/>
    </row>
    <row r="2390" spans="1:107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  <c r="DB2390" s="1"/>
      <c r="DC2390" s="1"/>
    </row>
    <row r="2391" spans="1:107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  <c r="DC2391" s="1"/>
    </row>
    <row r="2392" spans="1:107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  <c r="DB2392" s="1"/>
      <c r="DC2392" s="1"/>
    </row>
    <row r="2393" spans="1:107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  <c r="DC2393" s="1"/>
    </row>
    <row r="2394" spans="1:107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  <c r="DB2394" s="1"/>
      <c r="DC2394" s="1"/>
    </row>
    <row r="2395" spans="1:107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  <c r="DC2395" s="1"/>
    </row>
    <row r="2396" spans="1:107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  <c r="DB2396" s="1"/>
      <c r="DC2396" s="1"/>
    </row>
    <row r="2397" spans="1:107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  <c r="DC2397" s="1"/>
    </row>
    <row r="2398" spans="1:107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  <c r="DB2398" s="1"/>
      <c r="DC2398" s="1"/>
    </row>
    <row r="2399" spans="1:107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  <c r="DC2399" s="1"/>
    </row>
    <row r="2400" spans="1:107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/>
      <c r="DB2400" s="1"/>
      <c r="DC2400" s="1"/>
    </row>
    <row r="2401" spans="1:107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  <c r="DB2401" s="1"/>
      <c r="DC2401" s="1"/>
    </row>
    <row r="2402" spans="1:107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/>
      <c r="DB2402" s="1"/>
      <c r="DC2402" s="1"/>
    </row>
    <row r="2403" spans="1:107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  <c r="DB2403" s="1"/>
      <c r="DC2403" s="1"/>
    </row>
    <row r="2404" spans="1:107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/>
      <c r="CD2404" s="1"/>
      <c r="CE2404" s="1"/>
      <c r="CF2404" s="1"/>
      <c r="CG2404" s="1"/>
      <c r="CH2404" s="1"/>
      <c r="CI2404" s="1"/>
      <c r="CJ2404" s="1"/>
      <c r="CK2404" s="1"/>
      <c r="CL2404" s="1"/>
      <c r="CM2404" s="1"/>
      <c r="CN2404" s="1"/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/>
      <c r="CZ2404" s="1"/>
      <c r="DA2404" s="1"/>
      <c r="DB2404" s="1"/>
      <c r="DC2404" s="1"/>
    </row>
    <row r="2405" spans="1:107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L2405" s="1"/>
      <c r="CM2405" s="1"/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/>
      <c r="DB2405" s="1"/>
      <c r="DC2405" s="1"/>
    </row>
    <row r="2406" spans="1:107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L2406" s="1"/>
      <c r="CM2406" s="1"/>
      <c r="CN2406" s="1"/>
      <c r="CO2406" s="1"/>
      <c r="CP2406" s="1"/>
      <c r="CQ2406" s="1"/>
      <c r="CR2406" s="1"/>
      <c r="CS2406" s="1"/>
      <c r="CT2406" s="1"/>
      <c r="CU2406" s="1"/>
      <c r="CV2406" s="1"/>
      <c r="CW2406" s="1"/>
      <c r="CX2406" s="1"/>
      <c r="CY2406" s="1"/>
      <c r="CZ2406" s="1"/>
      <c r="DA2406" s="1"/>
      <c r="DB2406" s="1"/>
      <c r="DC2406" s="1"/>
    </row>
    <row r="2407" spans="1:107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/>
      <c r="DB2407" s="1"/>
      <c r="DC2407" s="1"/>
    </row>
    <row r="2408" spans="1:107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L2408" s="1"/>
      <c r="CM2408" s="1"/>
      <c r="CN2408" s="1"/>
      <c r="CO2408" s="1"/>
      <c r="CP2408" s="1"/>
      <c r="CQ2408" s="1"/>
      <c r="CR2408" s="1"/>
      <c r="CS2408" s="1"/>
      <c r="CT2408" s="1"/>
      <c r="CU2408" s="1"/>
      <c r="CV2408" s="1"/>
      <c r="CW2408" s="1"/>
      <c r="CX2408" s="1"/>
      <c r="CY2408" s="1"/>
      <c r="CZ2408" s="1"/>
      <c r="DA2408" s="1"/>
      <c r="DB2408" s="1"/>
      <c r="DC2408" s="1"/>
    </row>
    <row r="2409" spans="1:107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/>
      <c r="DB2409" s="1"/>
      <c r="DC2409" s="1"/>
    </row>
    <row r="2410" spans="1:107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/>
      <c r="CC2410" s="1"/>
      <c r="CD2410" s="1"/>
      <c r="CE2410" s="1"/>
      <c r="CF2410" s="1"/>
      <c r="CG2410" s="1"/>
      <c r="CH2410" s="1"/>
      <c r="CI2410" s="1"/>
      <c r="CJ2410" s="1"/>
      <c r="CK2410" s="1"/>
      <c r="CL2410" s="1"/>
      <c r="CM2410" s="1"/>
      <c r="CN2410" s="1"/>
      <c r="CO2410" s="1"/>
      <c r="CP2410" s="1"/>
      <c r="CQ2410" s="1"/>
      <c r="CR2410" s="1"/>
      <c r="CS2410" s="1"/>
      <c r="CT2410" s="1"/>
      <c r="CU2410" s="1"/>
      <c r="CV2410" s="1"/>
      <c r="CW2410" s="1"/>
      <c r="CX2410" s="1"/>
      <c r="CY2410" s="1"/>
      <c r="CZ2410" s="1"/>
      <c r="DA2410" s="1"/>
      <c r="DB2410" s="1"/>
      <c r="DC2410" s="1"/>
    </row>
    <row r="2411" spans="1:107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L2411" s="1"/>
      <c r="CM2411" s="1"/>
      <c r="CN2411" s="1"/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/>
      <c r="DB2411" s="1"/>
      <c r="DC2411" s="1"/>
    </row>
    <row r="2412" spans="1:107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/>
      <c r="CC2412" s="1"/>
      <c r="CD2412" s="1"/>
      <c r="CE2412" s="1"/>
      <c r="CF2412" s="1"/>
      <c r="CG2412" s="1"/>
      <c r="CH2412" s="1"/>
      <c r="CI2412" s="1"/>
      <c r="CJ2412" s="1"/>
      <c r="CK2412" s="1"/>
      <c r="CL2412" s="1"/>
      <c r="CM2412" s="1"/>
      <c r="CN2412" s="1"/>
      <c r="CO2412" s="1"/>
      <c r="CP2412" s="1"/>
      <c r="CQ2412" s="1"/>
      <c r="CR2412" s="1"/>
      <c r="CS2412" s="1"/>
      <c r="CT2412" s="1"/>
      <c r="CU2412" s="1"/>
      <c r="CV2412" s="1"/>
      <c r="CW2412" s="1"/>
      <c r="CX2412" s="1"/>
      <c r="CY2412" s="1"/>
      <c r="CZ2412" s="1"/>
      <c r="DA2412" s="1"/>
      <c r="DB2412" s="1"/>
      <c r="DC2412" s="1"/>
    </row>
    <row r="2413" spans="1:107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/>
      <c r="DB2413" s="1"/>
      <c r="DC2413" s="1"/>
    </row>
    <row r="2414" spans="1:107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/>
      <c r="DB2414" s="1"/>
      <c r="DC2414" s="1"/>
    </row>
    <row r="2415" spans="1:107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L2415" s="1"/>
      <c r="CM2415" s="1"/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/>
      <c r="DB2415" s="1"/>
      <c r="DC2415" s="1"/>
    </row>
    <row r="2416" spans="1:107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L2416" s="1"/>
      <c r="CM2416" s="1"/>
      <c r="CN2416" s="1"/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/>
      <c r="CZ2416" s="1"/>
      <c r="DA2416" s="1"/>
      <c r="DB2416" s="1"/>
      <c r="DC2416" s="1"/>
    </row>
    <row r="2417" spans="1:107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/>
      <c r="CF2417" s="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/>
      <c r="DB2417" s="1"/>
      <c r="DC2417" s="1"/>
    </row>
    <row r="2418" spans="1:107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L2418" s="1"/>
      <c r="CM2418" s="1"/>
      <c r="CN2418" s="1"/>
      <c r="CO2418" s="1"/>
      <c r="CP2418" s="1"/>
      <c r="CQ2418" s="1"/>
      <c r="CR2418" s="1"/>
      <c r="CS2418" s="1"/>
      <c r="CT2418" s="1"/>
      <c r="CU2418" s="1"/>
      <c r="CV2418" s="1"/>
      <c r="CW2418" s="1"/>
      <c r="CX2418" s="1"/>
      <c r="CY2418" s="1"/>
      <c r="CZ2418" s="1"/>
      <c r="DA2418" s="1"/>
      <c r="DB2418" s="1"/>
      <c r="DC2418" s="1"/>
    </row>
    <row r="2419" spans="1:107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/>
      <c r="DB2419" s="1"/>
      <c r="DC2419" s="1"/>
    </row>
    <row r="2420" spans="1:107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L2420" s="1"/>
      <c r="CM2420" s="1"/>
      <c r="CN2420" s="1"/>
      <c r="CO2420" s="1"/>
      <c r="CP2420" s="1"/>
      <c r="CQ2420" s="1"/>
      <c r="CR2420" s="1"/>
      <c r="CS2420" s="1"/>
      <c r="CT2420" s="1"/>
      <c r="CU2420" s="1"/>
      <c r="CV2420" s="1"/>
      <c r="CW2420" s="1"/>
      <c r="CX2420" s="1"/>
      <c r="CY2420" s="1"/>
      <c r="CZ2420" s="1"/>
      <c r="DA2420" s="1"/>
      <c r="DB2420" s="1"/>
      <c r="DC2420" s="1"/>
    </row>
    <row r="2421" spans="1:107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L2421" s="1"/>
      <c r="CM2421" s="1"/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/>
      <c r="DB2421" s="1"/>
      <c r="DC2421" s="1"/>
    </row>
    <row r="2422" spans="1:107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L2422" s="1"/>
      <c r="CM2422" s="1"/>
      <c r="CN2422" s="1"/>
      <c r="CO2422" s="1"/>
      <c r="CP2422" s="1"/>
      <c r="CQ2422" s="1"/>
      <c r="CR2422" s="1"/>
      <c r="CS2422" s="1"/>
      <c r="CT2422" s="1"/>
      <c r="CU2422" s="1"/>
      <c r="CV2422" s="1"/>
      <c r="CW2422" s="1"/>
      <c r="CX2422" s="1"/>
      <c r="CY2422" s="1"/>
      <c r="CZ2422" s="1"/>
      <c r="DA2422" s="1"/>
      <c r="DB2422" s="1"/>
      <c r="DC2422" s="1"/>
    </row>
    <row r="2423" spans="1:107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L2423" s="1"/>
      <c r="CM2423" s="1"/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/>
      <c r="DB2423" s="1"/>
      <c r="DC2423" s="1"/>
    </row>
    <row r="2424" spans="1:107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L2424" s="1"/>
      <c r="CM2424" s="1"/>
      <c r="CN2424" s="1"/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/>
      <c r="CZ2424" s="1"/>
      <c r="DA2424" s="1"/>
      <c r="DB2424" s="1"/>
      <c r="DC2424" s="1"/>
    </row>
    <row r="2425" spans="1:107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L2425" s="1"/>
      <c r="CM2425" s="1"/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/>
      <c r="DB2425" s="1"/>
      <c r="DC2425" s="1"/>
    </row>
    <row r="2426" spans="1:107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L2426" s="1"/>
      <c r="CM2426" s="1"/>
      <c r="CN2426" s="1"/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/>
      <c r="CZ2426" s="1"/>
      <c r="DA2426" s="1"/>
      <c r="DB2426" s="1"/>
      <c r="DC2426" s="1"/>
    </row>
    <row r="2427" spans="1:107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/>
      <c r="DB2427" s="1"/>
      <c r="DC2427" s="1"/>
    </row>
    <row r="2428" spans="1:107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L2428" s="1"/>
      <c r="CM2428" s="1"/>
      <c r="CN2428" s="1"/>
      <c r="CO2428" s="1"/>
      <c r="CP2428" s="1"/>
      <c r="CQ2428" s="1"/>
      <c r="CR2428" s="1"/>
      <c r="CS2428" s="1"/>
      <c r="CT2428" s="1"/>
      <c r="CU2428" s="1"/>
      <c r="CV2428" s="1"/>
      <c r="CW2428" s="1"/>
      <c r="CX2428" s="1"/>
      <c r="CY2428" s="1"/>
      <c r="CZ2428" s="1"/>
      <c r="DA2428" s="1"/>
      <c r="DB2428" s="1"/>
      <c r="DC2428" s="1"/>
    </row>
    <row r="2429" spans="1:107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L2429" s="1"/>
      <c r="CM2429" s="1"/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/>
      <c r="DB2429" s="1"/>
      <c r="DC2429" s="1"/>
    </row>
    <row r="2430" spans="1:107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/>
      <c r="CC2430" s="1"/>
      <c r="CD2430" s="1"/>
      <c r="CE2430" s="1"/>
      <c r="CF2430" s="1"/>
      <c r="CG2430" s="1"/>
      <c r="CH2430" s="1"/>
      <c r="CI2430" s="1"/>
      <c r="CJ2430" s="1"/>
      <c r="CK2430" s="1"/>
      <c r="CL2430" s="1"/>
      <c r="CM2430" s="1"/>
      <c r="CN2430" s="1"/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/>
      <c r="CZ2430" s="1"/>
      <c r="DA2430" s="1"/>
      <c r="DB2430" s="1"/>
      <c r="DC2430" s="1"/>
    </row>
    <row r="2431" spans="1:107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L2431" s="1"/>
      <c r="CM2431" s="1"/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/>
      <c r="DB2431" s="1"/>
      <c r="DC2431" s="1"/>
    </row>
    <row r="2432" spans="1:107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L2432" s="1"/>
      <c r="CM2432" s="1"/>
      <c r="CN2432" s="1"/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/>
      <c r="CZ2432" s="1"/>
      <c r="DA2432" s="1"/>
      <c r="DB2432" s="1"/>
      <c r="DC2432" s="1"/>
    </row>
    <row r="2433" spans="1:107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L2433" s="1"/>
      <c r="CM2433" s="1"/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/>
      <c r="DB2433" s="1"/>
      <c r="DC2433" s="1"/>
    </row>
    <row r="2434" spans="1:107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L2434" s="1"/>
      <c r="CM2434" s="1"/>
      <c r="CN2434" s="1"/>
      <c r="CO2434" s="1"/>
      <c r="CP2434" s="1"/>
      <c r="CQ2434" s="1"/>
      <c r="CR2434" s="1"/>
      <c r="CS2434" s="1"/>
      <c r="CT2434" s="1"/>
      <c r="CU2434" s="1"/>
      <c r="CV2434" s="1"/>
      <c r="CW2434" s="1"/>
      <c r="CX2434" s="1"/>
      <c r="CY2434" s="1"/>
      <c r="CZ2434" s="1"/>
      <c r="DA2434" s="1"/>
      <c r="DB2434" s="1"/>
      <c r="DC2434" s="1"/>
    </row>
    <row r="2435" spans="1:107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"/>
      <c r="CG2435" s="1"/>
      <c r="CH2435" s="1"/>
      <c r="CI2435" s="1"/>
      <c r="CJ2435" s="1"/>
      <c r="CK2435" s="1"/>
      <c r="CL2435" s="1"/>
      <c r="CM2435" s="1"/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/>
      <c r="CZ2435" s="1"/>
      <c r="DA2435" s="1"/>
      <c r="DB2435" s="1"/>
      <c r="DC2435" s="1"/>
    </row>
    <row r="2436" spans="1:107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L2436" s="1"/>
      <c r="CM2436" s="1"/>
      <c r="CN2436" s="1"/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/>
      <c r="CZ2436" s="1"/>
      <c r="DA2436" s="1"/>
      <c r="DB2436" s="1"/>
      <c r="DC2436" s="1"/>
    </row>
    <row r="2437" spans="1:107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/>
      <c r="DB2437" s="1"/>
      <c r="DC2437" s="1"/>
    </row>
    <row r="2438" spans="1:107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/>
      <c r="CD2438" s="1"/>
      <c r="CE2438" s="1"/>
      <c r="CF2438" s="1"/>
      <c r="CG2438" s="1"/>
      <c r="CH2438" s="1"/>
      <c r="CI2438" s="1"/>
      <c r="CJ2438" s="1"/>
      <c r="CK2438" s="1"/>
      <c r="CL2438" s="1"/>
      <c r="CM2438" s="1"/>
      <c r="CN2438" s="1"/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/>
      <c r="CZ2438" s="1"/>
      <c r="DA2438" s="1"/>
      <c r="DB2438" s="1"/>
      <c r="DC2438" s="1"/>
    </row>
    <row r="2439" spans="1:107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/>
      <c r="DB2439" s="1"/>
      <c r="DC2439" s="1"/>
    </row>
    <row r="2440" spans="1:107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L2440" s="1"/>
      <c r="CM2440" s="1"/>
      <c r="CN2440" s="1"/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/>
      <c r="CZ2440" s="1"/>
      <c r="DA2440" s="1"/>
      <c r="DB2440" s="1"/>
      <c r="DC2440" s="1"/>
    </row>
    <row r="2441" spans="1:107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/>
      <c r="CC2441" s="1"/>
      <c r="CD2441" s="1"/>
      <c r="CE2441" s="1"/>
      <c r="CF2441" s="1"/>
      <c r="CG2441" s="1"/>
      <c r="CH2441" s="1"/>
      <c r="CI2441" s="1"/>
      <c r="CJ2441" s="1"/>
      <c r="CK2441" s="1"/>
      <c r="CL2441" s="1"/>
      <c r="CM2441" s="1"/>
      <c r="CN2441" s="1"/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/>
      <c r="CZ2441" s="1"/>
      <c r="DA2441" s="1"/>
      <c r="DB2441" s="1"/>
      <c r="DC2441" s="1"/>
    </row>
    <row r="2442" spans="1:107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/>
      <c r="CC2442" s="1"/>
      <c r="CD2442" s="1"/>
      <c r="CE2442" s="1"/>
      <c r="CF2442" s="1"/>
      <c r="CG2442" s="1"/>
      <c r="CH2442" s="1"/>
      <c r="CI2442" s="1"/>
      <c r="CJ2442" s="1"/>
      <c r="CK2442" s="1"/>
      <c r="CL2442" s="1"/>
      <c r="CM2442" s="1"/>
      <c r="CN2442" s="1"/>
      <c r="CO2442" s="1"/>
      <c r="CP2442" s="1"/>
      <c r="CQ2442" s="1"/>
      <c r="CR2442" s="1"/>
      <c r="CS2442" s="1"/>
      <c r="CT2442" s="1"/>
      <c r="CU2442" s="1"/>
      <c r="CV2442" s="1"/>
      <c r="CW2442" s="1"/>
      <c r="CX2442" s="1"/>
      <c r="CY2442" s="1"/>
      <c r="CZ2442" s="1"/>
      <c r="DA2442" s="1"/>
      <c r="DB2442" s="1"/>
      <c r="DC2442" s="1"/>
    </row>
    <row r="2443" spans="1:107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/>
      <c r="CD2443" s="1"/>
      <c r="CE2443" s="1"/>
      <c r="CF2443" s="1"/>
      <c r="CG2443" s="1"/>
      <c r="CH2443" s="1"/>
      <c r="CI2443" s="1"/>
      <c r="CJ2443" s="1"/>
      <c r="CK2443" s="1"/>
      <c r="CL2443" s="1"/>
      <c r="CM2443" s="1"/>
      <c r="CN2443" s="1"/>
      <c r="CO2443" s="1"/>
      <c r="CP2443" s="1"/>
      <c r="CQ2443" s="1"/>
      <c r="CR2443" s="1"/>
      <c r="CS2443" s="1"/>
      <c r="CT2443" s="1"/>
      <c r="CU2443" s="1"/>
      <c r="CV2443" s="1"/>
      <c r="CW2443" s="1"/>
      <c r="CX2443" s="1"/>
      <c r="CY2443" s="1"/>
      <c r="CZ2443" s="1"/>
      <c r="DA2443" s="1"/>
      <c r="DB2443" s="1"/>
      <c r="DC2443" s="1"/>
    </row>
  </sheetData>
  <mergeCells count="12">
    <mergeCell ref="A1:N1"/>
    <mergeCell ref="A2:N2"/>
    <mergeCell ref="A3:N3"/>
    <mergeCell ref="A4:N4"/>
    <mergeCell ref="A96:M96"/>
    <mergeCell ref="A97:M97"/>
    <mergeCell ref="A98:M98"/>
    <mergeCell ref="A50:M50"/>
    <mergeCell ref="A51:M51"/>
    <mergeCell ref="A52:M52"/>
    <mergeCell ref="A53:M53"/>
    <mergeCell ref="A95:M95"/>
  </mergeCells>
  <pageMargins left="0.57999999999999996" right="0.5" top="0.37" bottom="0.33" header="0.3" footer="0.3"/>
  <pageSetup scale="78" orientation="landscape" r:id="rId1"/>
  <rowBreaks count="2" manualBreakCount="2">
    <brk id="48" max="16383" man="1"/>
    <brk id="93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6D72-9AEE-CE4B-89DD-FE59D6745FC4}">
  <dimension ref="A1:E5"/>
  <sheetViews>
    <sheetView tabSelected="1" zoomScale="220" zoomScaleNormal="220" workbookViewId="0">
      <selection activeCell="B15" sqref="B15"/>
    </sheetView>
  </sheetViews>
  <sheetFormatPr baseColWidth="10" defaultRowHeight="15" x14ac:dyDescent="0.2"/>
  <cols>
    <col min="1" max="3" width="15" customWidth="1"/>
    <col min="4" max="4" width="16.33203125" bestFit="1" customWidth="1"/>
    <col min="5" max="5" width="15" customWidth="1"/>
  </cols>
  <sheetData>
    <row r="1" spans="1:5" s="49" customFormat="1" x14ac:dyDescent="0.2">
      <c r="A1" s="59" t="s">
        <v>109</v>
      </c>
      <c r="B1" s="59"/>
      <c r="C1" s="59"/>
      <c r="D1" s="59"/>
      <c r="E1" s="59"/>
    </row>
    <row r="2" spans="1:5" s="52" customFormat="1" x14ac:dyDescent="0.2">
      <c r="A2" s="51" t="s">
        <v>103</v>
      </c>
      <c r="B2" s="51" t="s">
        <v>43</v>
      </c>
      <c r="C2" s="51" t="s">
        <v>104</v>
      </c>
      <c r="D2" s="51" t="s">
        <v>105</v>
      </c>
      <c r="E2" s="51" t="s">
        <v>12</v>
      </c>
    </row>
    <row r="3" spans="1:5" s="49" customFormat="1" x14ac:dyDescent="0.2">
      <c r="A3" s="49" t="s">
        <v>106</v>
      </c>
      <c r="B3" s="50">
        <v>0.3</v>
      </c>
      <c r="C3" s="50">
        <v>0.5917</v>
      </c>
      <c r="D3" s="50">
        <v>0.1021</v>
      </c>
      <c r="E3" s="50">
        <v>0.4</v>
      </c>
    </row>
    <row r="4" spans="1:5" s="52" customFormat="1" x14ac:dyDescent="0.2">
      <c r="A4" s="52" t="s">
        <v>107</v>
      </c>
      <c r="B4" s="53">
        <v>0.32500000000000001</v>
      </c>
      <c r="C4" s="53">
        <v>0.60750000000000004</v>
      </c>
      <c r="D4" s="53">
        <v>9.7500000000000003E-2</v>
      </c>
      <c r="E4" s="53">
        <v>0.39750000000000002</v>
      </c>
    </row>
    <row r="5" spans="1:5" s="49" customFormat="1" x14ac:dyDescent="0.2">
      <c r="A5" s="49" t="s">
        <v>108</v>
      </c>
      <c r="B5" s="50">
        <v>0.27</v>
      </c>
      <c r="C5" s="50">
        <v>0.56999999999999995</v>
      </c>
      <c r="D5" s="50">
        <v>0.11</v>
      </c>
      <c r="E5" s="50">
        <v>0.40250000000000002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C30D-1F6B-634A-8BE0-AE54AA81D66D}">
  <dimension ref="A1:G25"/>
  <sheetViews>
    <sheetView workbookViewId="0">
      <selection activeCell="F19" sqref="F19"/>
    </sheetView>
  </sheetViews>
  <sheetFormatPr baseColWidth="10" defaultRowHeight="15" x14ac:dyDescent="0.2"/>
  <cols>
    <col min="1" max="1" width="20.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 t="s">
        <v>89</v>
      </c>
    </row>
    <row r="2" spans="1:7" x14ac:dyDescent="0.2">
      <c r="A2" t="s">
        <v>90</v>
      </c>
      <c r="B2">
        <v>475034.3</v>
      </c>
      <c r="C2">
        <v>867569.5</v>
      </c>
      <c r="D2">
        <v>1108669.8999999999</v>
      </c>
      <c r="E2">
        <v>1280449.6000000001</v>
      </c>
      <c r="F2">
        <v>1823327.2</v>
      </c>
      <c r="G2">
        <v>2490320.5</v>
      </c>
    </row>
    <row r="3" spans="1:7" x14ac:dyDescent="0.2">
      <c r="A3" t="s">
        <v>91</v>
      </c>
      <c r="C3">
        <f>C2-B2</f>
        <v>392535.2</v>
      </c>
      <c r="D3">
        <f t="shared" ref="D3:G3" si="0">D2-C2</f>
        <v>241100.39999999991</v>
      </c>
      <c r="E3">
        <f t="shared" si="0"/>
        <v>171779.70000000019</v>
      </c>
      <c r="F3">
        <f t="shared" si="0"/>
        <v>542877.59999999986</v>
      </c>
      <c r="G3">
        <f t="shared" si="0"/>
        <v>666993.30000000005</v>
      </c>
    </row>
    <row r="5" spans="1:7" x14ac:dyDescent="0.2">
      <c r="A5" t="s">
        <v>92</v>
      </c>
      <c r="B5">
        <v>1339255</v>
      </c>
      <c r="C5">
        <v>1587420</v>
      </c>
      <c r="D5">
        <v>2263891.2999999998</v>
      </c>
      <c r="E5">
        <v>2161735.7999999998</v>
      </c>
      <c r="F5">
        <v>2894308</v>
      </c>
      <c r="G5">
        <v>3775464.6</v>
      </c>
    </row>
    <row r="6" spans="1:7" x14ac:dyDescent="0.2">
      <c r="A6" t="s">
        <v>93</v>
      </c>
      <c r="B6" s="36">
        <f>B2/B5</f>
        <v>0.3547004117961105</v>
      </c>
      <c r="C6" s="36">
        <f t="shared" ref="C6:G6" si="1">C2/C5</f>
        <v>0.54652801401015483</v>
      </c>
      <c r="D6" s="36">
        <f t="shared" si="1"/>
        <v>0.48971869806646634</v>
      </c>
      <c r="E6" s="36">
        <f t="shared" si="1"/>
        <v>0.59232474199668628</v>
      </c>
      <c r="F6" s="36">
        <f t="shared" si="1"/>
        <v>0.62996999628235828</v>
      </c>
      <c r="G6" s="36">
        <f t="shared" si="1"/>
        <v>0.65960637003456468</v>
      </c>
    </row>
    <row r="11" spans="1:7" x14ac:dyDescent="0.2">
      <c r="A11" t="s">
        <v>94</v>
      </c>
      <c r="B11">
        <v>37083640</v>
      </c>
    </row>
    <row r="12" spans="1:7" x14ac:dyDescent="0.2">
      <c r="A12" t="s">
        <v>95</v>
      </c>
      <c r="B12">
        <v>2318519</v>
      </c>
    </row>
    <row r="14" spans="1:7" x14ac:dyDescent="0.2">
      <c r="A14" t="s">
        <v>96</v>
      </c>
      <c r="B14">
        <f>B12/B11</f>
        <v>6.2521343643719973E-2</v>
      </c>
    </row>
    <row r="19" spans="1:6" x14ac:dyDescent="0.2">
      <c r="A19" t="s">
        <v>99</v>
      </c>
      <c r="B19">
        <v>8.18</v>
      </c>
      <c r="C19">
        <v>7.86</v>
      </c>
      <c r="D19">
        <v>7.21</v>
      </c>
      <c r="E19">
        <v>8.44</v>
      </c>
      <c r="F19">
        <v>7.05</v>
      </c>
    </row>
    <row r="23" spans="1:6" x14ac:dyDescent="0.2">
      <c r="A23" t="s">
        <v>98</v>
      </c>
      <c r="B23">
        <v>25.17</v>
      </c>
      <c r="C23">
        <v>18.53</v>
      </c>
      <c r="D23">
        <v>42.61</v>
      </c>
      <c r="E23">
        <v>-4.51</v>
      </c>
      <c r="F23">
        <v>33.89</v>
      </c>
    </row>
    <row r="25" spans="1:6" x14ac:dyDescent="0.2">
      <c r="A25" t="s">
        <v>100</v>
      </c>
      <c r="B25">
        <v>46.9</v>
      </c>
      <c r="C25">
        <v>48.37</v>
      </c>
      <c r="D25">
        <v>40.44</v>
      </c>
      <c r="E25">
        <v>45.64</v>
      </c>
      <c r="F25">
        <v>43.88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81bc5b-f67a-486f-9089-d5de9a01d01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77A6D35106D44AB98F176B8951452" ma:contentTypeVersion="6" ma:contentTypeDescription="Create a new document." ma:contentTypeScope="" ma:versionID="1aa1baf4e5bbd94cc1941707dce568fd">
  <xsd:schema xmlns:xsd="http://www.w3.org/2001/XMLSchema" xmlns:xs="http://www.w3.org/2001/XMLSchema" xmlns:p="http://schemas.microsoft.com/office/2006/metadata/properties" xmlns:ns3="be81bc5b-f67a-486f-9089-d5de9a01d01f" targetNamespace="http://schemas.microsoft.com/office/2006/metadata/properties" ma:root="true" ma:fieldsID="5c16504c5175c129ee9b66249064bb3d" ns3:_="">
    <xsd:import namespace="be81bc5b-f67a-486f-9089-d5de9a01d0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1bc5b-f67a-486f-9089-d5de9a01d0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F8D0FF-3393-40ED-AEB7-53F798225BD0}">
  <ds:schemaRefs>
    <ds:schemaRef ds:uri="http://schemas.microsoft.com/office/2006/metadata/properties"/>
    <ds:schemaRef ds:uri="http://schemas.microsoft.com/office/infopath/2007/PartnerControls"/>
    <ds:schemaRef ds:uri="be81bc5b-f67a-486f-9089-d5de9a01d01f"/>
  </ds:schemaRefs>
</ds:datastoreItem>
</file>

<file path=customXml/itemProps2.xml><?xml version="1.0" encoding="utf-8"?>
<ds:datastoreItem xmlns:ds="http://schemas.openxmlformats.org/officeDocument/2006/customXml" ds:itemID="{67DE8C79-B1E8-409B-AF16-896EA155F7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7306CD-CDC1-4355-A199-F4BF0E528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81bc5b-f67a-486f-9089-d5de9a01d0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</vt:lpstr>
      <vt:lpstr>DCF</vt:lpstr>
      <vt:lpstr>Sheet1</vt:lpstr>
      <vt:lpstr>working_capital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A. Vitek</dc:creator>
  <cp:keywords/>
  <dc:description/>
  <cp:lastModifiedBy>Chang, Chia-Ning</cp:lastModifiedBy>
  <cp:revision/>
  <dcterms:created xsi:type="dcterms:W3CDTF">2013-08-15T15:13:53Z</dcterms:created>
  <dcterms:modified xsi:type="dcterms:W3CDTF">2025-11-18T22:57:32Z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0x010100DC777A6D35106D44AB98F176B8951452</vt:lpwstr>
  </property>
</Properties>
</file>