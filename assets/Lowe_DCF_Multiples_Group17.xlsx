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illinoisedu-my.sharepoint.com/personal/smantri3_illinois_edu/Documents/"/>
    </mc:Choice>
  </mc:AlternateContent>
  <xr:revisionPtr revIDLastSave="0" documentId="8_{800E25AB-4926-427F-BECD-AB3AFD09CEC8}" xr6:coauthVersionLast="47" xr6:coauthVersionMax="47" xr10:uidLastSave="{00000000-0000-0000-0000-000000000000}"/>
  <bookViews>
    <workbookView xWindow="-108" yWindow="-108" windowWidth="23256" windowHeight="12456" firstSheet="1" xr2:uid="{00000000-000D-0000-FFFF-FFFF00000000}"/>
  </bookViews>
  <sheets>
    <sheet name="Assumption" sheetId="3" r:id="rId1"/>
    <sheet name="DCF" sheetId="1" r:id="rId2"/>
    <sheet name="Multiples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0" i="1" l="1"/>
  <c r="F100" i="1"/>
  <c r="G100" i="1"/>
  <c r="H100" i="1"/>
  <c r="I100" i="1"/>
  <c r="J100" i="1"/>
  <c r="K100" i="1"/>
  <c r="L100" i="1"/>
  <c r="M100" i="1"/>
  <c r="D100" i="1"/>
  <c r="G4" i="4"/>
  <c r="C4" i="4"/>
  <c r="C2" i="4"/>
  <c r="G2" i="4" s="1"/>
  <c r="C112" i="1"/>
  <c r="B112" i="1"/>
  <c r="C28" i="1"/>
  <c r="B28" i="1"/>
  <c r="B63" i="1"/>
  <c r="E8" i="3"/>
  <c r="E56" i="1" s="1"/>
  <c r="F8" i="3"/>
  <c r="F56" i="1" s="1"/>
  <c r="G8" i="3"/>
  <c r="G56" i="1" s="1"/>
  <c r="H8" i="3"/>
  <c r="H56" i="1" s="1"/>
  <c r="I8" i="3"/>
  <c r="I56" i="1" s="1"/>
  <c r="J8" i="3"/>
  <c r="J56" i="1" s="1"/>
  <c r="D8" i="3"/>
  <c r="D56" i="1" s="1"/>
  <c r="D8" i="1" s="1"/>
  <c r="C12" i="4" s="1"/>
  <c r="K8" i="3"/>
  <c r="K56" i="1" s="1"/>
  <c r="L8" i="3"/>
  <c r="L56" i="1" s="1"/>
  <c r="M8" i="3"/>
  <c r="M56" i="1" s="1"/>
  <c r="C63" i="1"/>
  <c r="C62" i="1"/>
  <c r="B62" i="1"/>
  <c r="C78" i="1"/>
  <c r="B78" i="1"/>
  <c r="E13" i="3" a="1"/>
  <c r="E13" i="3" s="1"/>
  <c r="E57" i="1" s="1"/>
  <c r="F13" i="3" a="1"/>
  <c r="F13" i="3" s="1"/>
  <c r="F57" i="1" s="1"/>
  <c r="G13" i="3" a="1"/>
  <c r="G13" i="3" s="1"/>
  <c r="G57" i="1" s="1"/>
  <c r="H13" i="3" a="1"/>
  <c r="H13" i="3" s="1"/>
  <c r="H57" i="1" s="1"/>
  <c r="I13" i="3" a="1"/>
  <c r="I13" i="3" s="1"/>
  <c r="I57" i="1" s="1"/>
  <c r="J13" i="3" a="1"/>
  <c r="J13" i="3" s="1"/>
  <c r="J57" i="1" s="1"/>
  <c r="K13" i="3" a="1"/>
  <c r="K13" i="3" s="1"/>
  <c r="K57" i="1" s="1"/>
  <c r="L13" i="3" a="1"/>
  <c r="L13" i="3" s="1"/>
  <c r="L57" i="1" s="1"/>
  <c r="M13" i="3" a="1"/>
  <c r="M13" i="3" s="1"/>
  <c r="M57" i="1" s="1"/>
  <c r="D13" i="3" a="1"/>
  <c r="D13" i="3" s="1"/>
  <c r="D57" i="1" s="1"/>
  <c r="B86" i="1"/>
  <c r="B90" i="1" s="1"/>
  <c r="B54" i="1"/>
  <c r="B6" i="1"/>
  <c r="B98" i="1"/>
  <c r="E69" i="1"/>
  <c r="F30" i="3" a="1"/>
  <c r="F30" i="3" s="1"/>
  <c r="F69" i="1" s="1"/>
  <c r="G30" i="3" a="1"/>
  <c r="G30" i="3" s="1"/>
  <c r="G69" i="1" s="1"/>
  <c r="H30" i="3" a="1"/>
  <c r="H30" i="3" s="1"/>
  <c r="H69" i="1" s="1"/>
  <c r="I30" i="3" a="1"/>
  <c r="I30" i="3" s="1"/>
  <c r="I69" i="1" s="1"/>
  <c r="J30" i="3" a="1"/>
  <c r="J30" i="3" s="1"/>
  <c r="J69" i="1" s="1"/>
  <c r="K30" i="3" a="1"/>
  <c r="K30" i="3" s="1"/>
  <c r="K69" i="1" s="1"/>
  <c r="L30" i="3" a="1"/>
  <c r="L30" i="3" s="1"/>
  <c r="L69" i="1" s="1"/>
  <c r="M30" i="3" a="1"/>
  <c r="M30" i="3" s="1"/>
  <c r="M69" i="1" s="1"/>
  <c r="D30" i="3" a="1"/>
  <c r="D30" i="3" s="1"/>
  <c r="D69" i="1" s="1"/>
  <c r="M12" i="3" l="1"/>
  <c r="D12" i="3"/>
  <c r="L12" i="3"/>
  <c r="K12" i="3"/>
  <c r="J12" i="3"/>
  <c r="I12" i="3"/>
  <c r="H12" i="3"/>
  <c r="G12" i="3"/>
  <c r="F12" i="3"/>
  <c r="E12" i="3"/>
  <c r="E8" i="1"/>
  <c r="F8" i="1" s="1"/>
  <c r="G8" i="1" s="1"/>
  <c r="H8" i="1" s="1"/>
  <c r="I8" i="1" s="1"/>
  <c r="J8" i="1" s="1"/>
  <c r="K8" i="1" s="1"/>
  <c r="L8" i="1" s="1"/>
  <c r="M8" i="1" s="1"/>
  <c r="E33" i="1"/>
  <c r="D33" i="1"/>
  <c r="E5" i="3"/>
  <c r="F5" i="3" s="1"/>
  <c r="G5" i="3" s="1"/>
  <c r="H5" i="3" s="1"/>
  <c r="I5" i="3" s="1"/>
  <c r="J5" i="3" s="1"/>
  <c r="K5" i="3" s="1"/>
  <c r="L5" i="3" s="1"/>
  <c r="M5" i="3" s="1"/>
  <c r="C56" i="1"/>
  <c r="C57" i="1"/>
  <c r="B57" i="1"/>
  <c r="F91" i="1"/>
  <c r="C54" i="1"/>
  <c r="D54" i="1" s="1"/>
  <c r="E54" i="1" s="1"/>
  <c r="F54" i="1" s="1"/>
  <c r="G54" i="1" s="1"/>
  <c r="H54" i="1" s="1"/>
  <c r="I54" i="1" s="1"/>
  <c r="J54" i="1" s="1"/>
  <c r="K54" i="1" s="1"/>
  <c r="L54" i="1" s="1"/>
  <c r="M54" i="1" s="1"/>
  <c r="C6" i="1"/>
  <c r="D6" i="1" s="1"/>
  <c r="E6" i="1" s="1"/>
  <c r="F6" i="1" s="1"/>
  <c r="G6" i="1" s="1"/>
  <c r="H6" i="1" s="1"/>
  <c r="I6" i="1" s="1"/>
  <c r="J6" i="1" s="1"/>
  <c r="K6" i="1" s="1"/>
  <c r="L6" i="1" s="1"/>
  <c r="M6" i="1" s="1"/>
  <c r="G91" i="1" l="1"/>
  <c r="F33" i="1"/>
  <c r="B21" i="1"/>
  <c r="B11" i="1"/>
  <c r="B59" i="1" s="1"/>
  <c r="H91" i="1" l="1"/>
  <c r="G33" i="1"/>
  <c r="B79" i="1"/>
  <c r="C21" i="1"/>
  <c r="C11" i="1"/>
  <c r="C59" i="1" s="1"/>
  <c r="C98" i="1"/>
  <c r="I91" i="1" l="1"/>
  <c r="H33" i="1"/>
  <c r="C79" i="1"/>
  <c r="C17" i="1"/>
  <c r="B17" i="1"/>
  <c r="B77" i="1"/>
  <c r="D98" i="1"/>
  <c r="J91" i="1" l="1"/>
  <c r="I33" i="1"/>
  <c r="C19" i="1"/>
  <c r="C65" i="1"/>
  <c r="C77" i="1"/>
  <c r="B19" i="1"/>
  <c r="B65" i="1"/>
  <c r="E98" i="1"/>
  <c r="K91" i="1" l="1"/>
  <c r="J33" i="1"/>
  <c r="B67" i="1"/>
  <c r="C67" i="1"/>
  <c r="F98" i="1"/>
  <c r="L91" i="1" l="1"/>
  <c r="K33" i="1"/>
  <c r="C26" i="1"/>
  <c r="C32" i="1" s="1"/>
  <c r="C71" i="1"/>
  <c r="B71" i="1"/>
  <c r="B26" i="1"/>
  <c r="B32" i="1" s="1"/>
  <c r="G98" i="1"/>
  <c r="M91" i="1" l="1"/>
  <c r="L33" i="1"/>
  <c r="B74" i="1"/>
  <c r="C74" i="1"/>
  <c r="H98" i="1"/>
  <c r="N91" i="1" l="1"/>
  <c r="N33" i="1" s="1"/>
  <c r="M33" i="1"/>
  <c r="I98" i="1"/>
  <c r="J98" i="1" l="1"/>
  <c r="K98" i="1" l="1"/>
  <c r="L98" i="1" l="1"/>
  <c r="M98" i="1" l="1"/>
  <c r="E21" i="1" l="1"/>
  <c r="E9" i="1"/>
  <c r="E11" i="1" s="1"/>
  <c r="E59" i="1" s="1"/>
  <c r="F21" i="1" l="1"/>
  <c r="G30" i="1"/>
  <c r="F9" i="1"/>
  <c r="F11" i="1" s="1"/>
  <c r="F59" i="1" s="1"/>
  <c r="F30" i="1"/>
  <c r="G21" i="1" l="1"/>
  <c r="H30" i="1"/>
  <c r="G9" i="1"/>
  <c r="G11" i="1" s="1"/>
  <c r="G59" i="1" s="1"/>
  <c r="H21" i="1" l="1"/>
  <c r="I30" i="1"/>
  <c r="H9" i="1"/>
  <c r="H11" i="1" s="1"/>
  <c r="H59" i="1" s="1"/>
  <c r="I21" i="1" l="1"/>
  <c r="J30" i="1"/>
  <c r="I9" i="1"/>
  <c r="I11" i="1" s="1"/>
  <c r="I59" i="1" s="1"/>
  <c r="J21" i="1" l="1"/>
  <c r="K30" i="1"/>
  <c r="J9" i="1"/>
  <c r="J11" i="1" s="1"/>
  <c r="J59" i="1" s="1"/>
  <c r="K21" i="1" l="1"/>
  <c r="L30" i="1"/>
  <c r="K9" i="1"/>
  <c r="K11" i="1" s="1"/>
  <c r="K59" i="1" s="1"/>
  <c r="M21" i="1" l="1"/>
  <c r="M9" i="1"/>
  <c r="M11" i="1" s="1"/>
  <c r="M59" i="1" s="1"/>
  <c r="L21" i="1"/>
  <c r="M30" i="1"/>
  <c r="L9" i="1"/>
  <c r="L11" i="1" s="1"/>
  <c r="L59" i="1" s="1"/>
  <c r="D21" i="3" a="1"/>
  <c r="D21" i="3" s="1"/>
  <c r="E21" i="3" a="1"/>
  <c r="E21" i="3" s="1"/>
  <c r="F21" i="3" a="1"/>
  <c r="F21" i="3" s="1"/>
  <c r="G21" i="3" a="1"/>
  <c r="G21" i="3" s="1"/>
  <c r="H21" i="3" a="1"/>
  <c r="H21" i="3" s="1"/>
  <c r="I21" i="3" a="1"/>
  <c r="I21" i="3" s="1"/>
  <c r="J21" i="3" a="1"/>
  <c r="J21" i="3" s="1"/>
  <c r="K21" i="3" a="1"/>
  <c r="K21" i="3" s="1"/>
  <c r="L21" i="3" a="1"/>
  <c r="L21" i="3" s="1"/>
  <c r="M21" i="3" a="1"/>
  <c r="M21" i="3" s="1"/>
  <c r="H62" i="1" l="1"/>
  <c r="H14" i="1" s="1"/>
  <c r="G62" i="1"/>
  <c r="G14" i="1" s="1"/>
  <c r="I62" i="1"/>
  <c r="I14" i="1" s="1"/>
  <c r="D62" i="1"/>
  <c r="E62" i="1"/>
  <c r="E14" i="1" s="1"/>
  <c r="J62" i="1"/>
  <c r="J14" i="1" s="1"/>
  <c r="F62" i="1"/>
  <c r="F14" i="1" s="1"/>
  <c r="M62" i="1"/>
  <c r="M14" i="1" s="1"/>
  <c r="L62" i="1"/>
  <c r="L14" i="1" s="1"/>
  <c r="K62" i="1"/>
  <c r="K14" i="1" s="1"/>
  <c r="D26" i="3" a="1"/>
  <c r="D26" i="3" s="1"/>
  <c r="D78" i="1" s="1"/>
  <c r="D18" i="3" l="1"/>
  <c r="E26" i="3" a="1"/>
  <c r="E26" i="3" s="1"/>
  <c r="E78" i="1" l="1"/>
  <c r="E29" i="1" s="1"/>
  <c r="E18" i="3"/>
  <c r="F26" i="3" a="1"/>
  <c r="F26" i="3" s="1"/>
  <c r="F102" i="1" l="1"/>
  <c r="G102" i="1"/>
  <c r="H102" i="1"/>
  <c r="I102" i="1"/>
  <c r="J102" i="1"/>
  <c r="K102" i="1"/>
  <c r="L102" i="1"/>
  <c r="M102" i="1"/>
  <c r="E102" i="1"/>
  <c r="F78" i="1"/>
  <c r="F29" i="1" s="1"/>
  <c r="F18" i="3"/>
  <c r="G26" i="3" a="1"/>
  <c r="G26" i="3" s="1"/>
  <c r="G103" i="1" l="1"/>
  <c r="H103" i="1"/>
  <c r="I103" i="1"/>
  <c r="J103" i="1"/>
  <c r="K103" i="1"/>
  <c r="L103" i="1"/>
  <c r="M103" i="1"/>
  <c r="F103" i="1"/>
  <c r="G78" i="1"/>
  <c r="G29" i="1" s="1"/>
  <c r="G18" i="3"/>
  <c r="H26" i="3" a="1"/>
  <c r="H26" i="3" s="1"/>
  <c r="H104" i="1" l="1"/>
  <c r="I104" i="1"/>
  <c r="J104" i="1"/>
  <c r="K104" i="1"/>
  <c r="L104" i="1"/>
  <c r="M104" i="1"/>
  <c r="G104" i="1"/>
  <c r="H78" i="1"/>
  <c r="H29" i="1" s="1"/>
  <c r="H18" i="3"/>
  <c r="I26" i="3" a="1"/>
  <c r="I26" i="3" s="1"/>
  <c r="I105" i="1" l="1"/>
  <c r="J105" i="1"/>
  <c r="K105" i="1"/>
  <c r="L105" i="1"/>
  <c r="M105" i="1"/>
  <c r="H105" i="1"/>
  <c r="I78" i="1"/>
  <c r="I29" i="1" s="1"/>
  <c r="I18" i="3"/>
  <c r="J26" i="3" a="1"/>
  <c r="J26" i="3" s="1"/>
  <c r="J106" i="1" l="1"/>
  <c r="K106" i="1"/>
  <c r="L106" i="1"/>
  <c r="M106" i="1"/>
  <c r="I106" i="1"/>
  <c r="J78" i="1"/>
  <c r="J29" i="1" s="1"/>
  <c r="J18" i="3"/>
  <c r="K26" i="3" a="1"/>
  <c r="K26" i="3" s="1"/>
  <c r="K107" i="1" l="1"/>
  <c r="L107" i="1"/>
  <c r="M107" i="1"/>
  <c r="J107" i="1"/>
  <c r="K78" i="1"/>
  <c r="K29" i="1" s="1"/>
  <c r="K18" i="3"/>
  <c r="L26" i="3" a="1"/>
  <c r="L26" i="3" s="1"/>
  <c r="L108" i="1" l="1"/>
  <c r="M108" i="1"/>
  <c r="K108" i="1"/>
  <c r="L78" i="1"/>
  <c r="L29" i="1" s="1"/>
  <c r="L18" i="3"/>
  <c r="M26" i="3" a="1"/>
  <c r="M26" i="3" s="1"/>
  <c r="D29" i="1"/>
  <c r="D14" i="1"/>
  <c r="E30" i="1"/>
  <c r="D9" i="1"/>
  <c r="D11" i="1" s="1"/>
  <c r="D59" i="1" s="1"/>
  <c r="D30" i="1"/>
  <c r="D21" i="1"/>
  <c r="E101" i="1" l="1"/>
  <c r="F101" i="1"/>
  <c r="G101" i="1"/>
  <c r="H101" i="1"/>
  <c r="I101" i="1"/>
  <c r="J101" i="1"/>
  <c r="K101" i="1"/>
  <c r="L101" i="1"/>
  <c r="M101" i="1"/>
  <c r="D101" i="1"/>
  <c r="M109" i="1"/>
  <c r="L109" i="1"/>
  <c r="M78" i="1"/>
  <c r="M29" i="1" s="1"/>
  <c r="M110" i="1" s="1"/>
  <c r="M18" i="3"/>
  <c r="H112" i="1"/>
  <c r="I112" i="1"/>
  <c r="J112" i="1"/>
  <c r="K112" i="1"/>
  <c r="E112" i="1"/>
  <c r="F112" i="1"/>
  <c r="D112" i="1"/>
  <c r="G112" i="1"/>
  <c r="L112" i="1" l="1"/>
  <c r="L114" i="1" s="1"/>
  <c r="M112" i="1"/>
  <c r="M114" i="1" s="1"/>
  <c r="D114" i="1"/>
  <c r="D76" i="1"/>
  <c r="E76" i="1" s="1"/>
  <c r="D79" i="1"/>
  <c r="E114" i="1"/>
  <c r="E79" i="1"/>
  <c r="F79" i="1"/>
  <c r="F114" i="1"/>
  <c r="G79" i="1"/>
  <c r="G114" i="1"/>
  <c r="H114" i="1"/>
  <c r="H79" i="1"/>
  <c r="I79" i="1"/>
  <c r="I114" i="1"/>
  <c r="J114" i="1"/>
  <c r="J79" i="1"/>
  <c r="K79" i="1"/>
  <c r="K114" i="1"/>
  <c r="L79" i="1" l="1"/>
  <c r="M79" i="1"/>
  <c r="D15" i="1"/>
  <c r="D28" i="1"/>
  <c r="D77" i="1"/>
  <c r="H28" i="1"/>
  <c r="H15" i="1"/>
  <c r="I28" i="1"/>
  <c r="I15" i="1"/>
  <c r="J28" i="1"/>
  <c r="J15" i="1"/>
  <c r="G28" i="1"/>
  <c r="G15" i="1"/>
  <c r="M28" i="1"/>
  <c r="M15" i="1"/>
  <c r="F28" i="1"/>
  <c r="F15" i="1"/>
  <c r="L28" i="1"/>
  <c r="L15" i="1"/>
  <c r="K28" i="1"/>
  <c r="K15" i="1"/>
  <c r="E28" i="1"/>
  <c r="E15" i="1"/>
  <c r="F76" i="1"/>
  <c r="E77" i="1"/>
  <c r="C8" i="4" l="1"/>
  <c r="C9" i="4" s="1"/>
  <c r="G8" i="4" s="1"/>
  <c r="D63" i="1"/>
  <c r="D17" i="1"/>
  <c r="F17" i="1"/>
  <c r="F63" i="1"/>
  <c r="M17" i="1"/>
  <c r="M63" i="1"/>
  <c r="G17" i="1"/>
  <c r="G63" i="1"/>
  <c r="E17" i="1"/>
  <c r="E63" i="1"/>
  <c r="L17" i="1"/>
  <c r="L63" i="1"/>
  <c r="H17" i="1"/>
  <c r="H63" i="1"/>
  <c r="J17" i="1"/>
  <c r="J63" i="1"/>
  <c r="K17" i="1"/>
  <c r="K63" i="1"/>
  <c r="I17" i="1"/>
  <c r="I63" i="1"/>
  <c r="G76" i="1"/>
  <c r="F77" i="1"/>
  <c r="D19" i="1" l="1"/>
  <c r="D65" i="1"/>
  <c r="E19" i="1"/>
  <c r="E65" i="1"/>
  <c r="H19" i="1"/>
  <c r="H65" i="1"/>
  <c r="M19" i="1"/>
  <c r="M65" i="1"/>
  <c r="I19" i="1"/>
  <c r="I65" i="1"/>
  <c r="G19" i="1"/>
  <c r="G65" i="1"/>
  <c r="K19" i="1"/>
  <c r="K65" i="1"/>
  <c r="L19" i="1"/>
  <c r="L67" i="1" s="1"/>
  <c r="L19" i="3" s="1"/>
  <c r="L65" i="1"/>
  <c r="J19" i="1"/>
  <c r="J65" i="1"/>
  <c r="F19" i="1"/>
  <c r="F65" i="1"/>
  <c r="H76" i="1"/>
  <c r="G77" i="1"/>
  <c r="D67" i="1" l="1"/>
  <c r="D19" i="3" s="1"/>
  <c r="D23" i="1"/>
  <c r="L23" i="1"/>
  <c r="K67" i="1"/>
  <c r="K19" i="3" s="1"/>
  <c r="K23" i="1"/>
  <c r="I67" i="1"/>
  <c r="I19" i="3" s="1"/>
  <c r="I23" i="1"/>
  <c r="H23" i="1"/>
  <c r="H67" i="1"/>
  <c r="H19" i="3" s="1"/>
  <c r="G67" i="1"/>
  <c r="G19" i="3" s="1"/>
  <c r="G23" i="1"/>
  <c r="F67" i="1"/>
  <c r="F19" i="3" s="1"/>
  <c r="F23" i="1"/>
  <c r="M67" i="1"/>
  <c r="M19" i="3" s="1"/>
  <c r="M23" i="1"/>
  <c r="J67" i="1"/>
  <c r="J19" i="3" s="1"/>
  <c r="J23" i="1"/>
  <c r="E67" i="1"/>
  <c r="E19" i="3" s="1"/>
  <c r="E23" i="1"/>
  <c r="I76" i="1"/>
  <c r="H77" i="1"/>
  <c r="D71" i="1" l="1"/>
  <c r="D24" i="1"/>
  <c r="D26" i="1" s="1"/>
  <c r="L71" i="1"/>
  <c r="L24" i="1"/>
  <c r="L26" i="1" s="1"/>
  <c r="F71" i="1"/>
  <c r="F24" i="1"/>
  <c r="F26" i="1" s="1"/>
  <c r="I71" i="1"/>
  <c r="I24" i="1"/>
  <c r="I26" i="1" s="1"/>
  <c r="G71" i="1"/>
  <c r="G24" i="1"/>
  <c r="G26" i="1" s="1"/>
  <c r="J71" i="1"/>
  <c r="J24" i="1"/>
  <c r="J26" i="1" s="1"/>
  <c r="M71" i="1"/>
  <c r="M24" i="1"/>
  <c r="M26" i="1" s="1"/>
  <c r="N32" i="1" s="1"/>
  <c r="H71" i="1"/>
  <c r="H24" i="1"/>
  <c r="H26" i="1" s="1"/>
  <c r="E71" i="1"/>
  <c r="E24" i="1"/>
  <c r="E26" i="1" s="1"/>
  <c r="K71" i="1"/>
  <c r="K24" i="1"/>
  <c r="K26" i="1" s="1"/>
  <c r="J76" i="1"/>
  <c r="I77" i="1"/>
  <c r="C11" i="4" l="1"/>
  <c r="G7" i="4" s="1"/>
  <c r="G10" i="4" s="1"/>
  <c r="D74" i="1"/>
  <c r="D32" i="1"/>
  <c r="D35" i="1" s="1"/>
  <c r="L74" i="1"/>
  <c r="L32" i="1"/>
  <c r="L35" i="1" s="1"/>
  <c r="K74" i="1"/>
  <c r="K32" i="1"/>
  <c r="K35" i="1" s="1"/>
  <c r="I74" i="1"/>
  <c r="I32" i="1"/>
  <c r="I35" i="1" s="1"/>
  <c r="H74" i="1"/>
  <c r="H32" i="1"/>
  <c r="H35" i="1" s="1"/>
  <c r="G32" i="1"/>
  <c r="G35" i="1" s="1"/>
  <c r="G74" i="1"/>
  <c r="M74" i="1"/>
  <c r="M32" i="1"/>
  <c r="M35" i="1" s="1"/>
  <c r="N35" i="1"/>
  <c r="J74" i="1"/>
  <c r="J32" i="1"/>
  <c r="J35" i="1" s="1"/>
  <c r="E74" i="1"/>
  <c r="E32" i="1"/>
  <c r="E35" i="1" s="1"/>
  <c r="F32" i="1"/>
  <c r="F35" i="1" s="1"/>
  <c r="F74" i="1"/>
  <c r="K76" i="1"/>
  <c r="J77" i="1"/>
  <c r="D37" i="1" l="1"/>
  <c r="D41" i="1" s="1"/>
  <c r="D44" i="1" s="1"/>
  <c r="L76" i="1"/>
  <c r="K77" i="1"/>
  <c r="M76" i="1" l="1"/>
  <c r="M77" i="1" s="1"/>
  <c r="L7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<sst xmlns="http://schemas.openxmlformats.org/spreadsheetml/2006/main" count="343" uniqueCount="100">
  <si>
    <t>Option Selection</t>
  </si>
  <si>
    <t>Operating Scenario</t>
  </si>
  <si>
    <t>Projected</t>
  </si>
  <si>
    <t xml:space="preserve">Name </t>
  </si>
  <si>
    <t>Email</t>
  </si>
  <si>
    <t xml:space="preserve">Sharang Mantri </t>
  </si>
  <si>
    <t xml:space="preserve">smantri3@illinois.edu </t>
  </si>
  <si>
    <t>Total Revenue Growth</t>
  </si>
  <si>
    <t xml:space="preserve">   Base</t>
  </si>
  <si>
    <t xml:space="preserve">Mike Feistel </t>
  </si>
  <si>
    <t xml:space="preserve">feistel2@illinois.edu </t>
  </si>
  <si>
    <t xml:space="preserve">   Bull</t>
  </si>
  <si>
    <t xml:space="preserve">Shreya Ahuja </t>
  </si>
  <si>
    <t xml:space="preserve">shreyaa8@illinois.edu </t>
  </si>
  <si>
    <t>Gross Margin</t>
  </si>
  <si>
    <t>COGS</t>
  </si>
  <si>
    <t xml:space="preserve">Priyanka Chandramohan </t>
  </si>
  <si>
    <t xml:space="preserve">pc45@illinois.edu </t>
  </si>
  <si>
    <t>Operating Expense</t>
  </si>
  <si>
    <t>Operating Income</t>
  </si>
  <si>
    <t>SG&amp;A</t>
  </si>
  <si>
    <t>Capex</t>
  </si>
  <si>
    <t>Other Income</t>
  </si>
  <si>
    <t>Lowe's Inc.</t>
  </si>
  <si>
    <t>Discounted Cash Flow Analysis</t>
  </si>
  <si>
    <t>For the Years Ended January 31, 2025</t>
  </si>
  <si>
    <t>Millions of Dollars</t>
  </si>
  <si>
    <t>Terminal</t>
  </si>
  <si>
    <t>Value</t>
  </si>
  <si>
    <t>--------------</t>
  </si>
  <si>
    <t>Revenue</t>
  </si>
  <si>
    <t>Cost of Goods Sold</t>
  </si>
  <si>
    <t>Operating Expenses:</t>
  </si>
  <si>
    <t>Depriciation &amp; Amortization</t>
  </si>
  <si>
    <t>Total Operating Expenses</t>
  </si>
  <si>
    <t>Other Income/(Expense)</t>
  </si>
  <si>
    <t>Pretax Income</t>
  </si>
  <si>
    <t>Income Taxes</t>
  </si>
  <si>
    <t>Net Income</t>
  </si>
  <si>
    <t>+  Depreciation &amp; Amortization</t>
  </si>
  <si>
    <t>-   Capital Expenditures</t>
  </si>
  <si>
    <t>-   Working Capital Additions</t>
  </si>
  <si>
    <t>Free Cash Flow</t>
  </si>
  <si>
    <t>Present Value Factor</t>
  </si>
  <si>
    <t>PV Free Cash Flow</t>
  </si>
  <si>
    <t>Value of Firm</t>
  </si>
  <si>
    <t>Less:  Debt Outstanding</t>
  </si>
  <si>
    <t>Plus:  Cash</t>
  </si>
  <si>
    <t>Equity Value</t>
  </si>
  <si>
    <t>Shares Outstanding</t>
  </si>
  <si>
    <t>Value Per Share</t>
  </si>
  <si>
    <t>========</t>
  </si>
  <si>
    <t>Share Price (2/12/25)</t>
  </si>
  <si>
    <t>For the Years Ended January, 31 2025</t>
  </si>
  <si>
    <t>Assumptions</t>
  </si>
  <si>
    <t>Revenue Growth</t>
  </si>
  <si>
    <t>Income Tax Rate</t>
  </si>
  <si>
    <t>Net PP&amp;E</t>
  </si>
  <si>
    <t>Revenue/Net PP&amp;E</t>
  </si>
  <si>
    <t>Capital Expenditure % of Rev</t>
  </si>
  <si>
    <t>Depreciation/Revenue</t>
  </si>
  <si>
    <t>Working Capital/Revenue</t>
  </si>
  <si>
    <t>Discount Rate:</t>
  </si>
  <si>
    <t>Risk-Free Rate</t>
  </si>
  <si>
    <t>Risk Premium</t>
  </si>
  <si>
    <t>Beta</t>
  </si>
  <si>
    <t>K(e)</t>
  </si>
  <si>
    <t>K(d)</t>
  </si>
  <si>
    <t>Tax Rate</t>
  </si>
  <si>
    <t>Debt/Capital</t>
  </si>
  <si>
    <t>WACC</t>
  </si>
  <si>
    <t>Lowe's Inc</t>
  </si>
  <si>
    <t>Depreciation Schedule</t>
  </si>
  <si>
    <t>2024 Net PP&amp;E</t>
  </si>
  <si>
    <t>2025 Capital Expenditures</t>
  </si>
  <si>
    <t>2026 Capital Expenditures</t>
  </si>
  <si>
    <t>2027 Capital Expenditures</t>
  </si>
  <si>
    <t>2028 Capital Expenditures</t>
  </si>
  <si>
    <t>2029 Capital Expenditures</t>
  </si>
  <si>
    <t>2030 Capital Expenditures</t>
  </si>
  <si>
    <t>2031 Capital Expenditures</t>
  </si>
  <si>
    <t>2032 Capital Expenditures</t>
  </si>
  <si>
    <t>2033 Capital Expenditures</t>
  </si>
  <si>
    <t>2034 Capital Expenditures</t>
  </si>
  <si>
    <t>Total Depreciation Schedule</t>
  </si>
  <si>
    <t>Total Depreciation &amp; Amortization</t>
  </si>
  <si>
    <t>=========</t>
  </si>
  <si>
    <t>EV</t>
  </si>
  <si>
    <t>EV/EBITDA</t>
  </si>
  <si>
    <t>EBITDA</t>
  </si>
  <si>
    <t>Price</t>
  </si>
  <si>
    <t>P/E</t>
  </si>
  <si>
    <t>EPS</t>
  </si>
  <si>
    <t>IC 24</t>
  </si>
  <si>
    <t>Profit Margin</t>
  </si>
  <si>
    <t>IC 25 Estimated</t>
  </si>
  <si>
    <t>Turnover</t>
  </si>
  <si>
    <t>Avg IC</t>
  </si>
  <si>
    <t>ROIC Est FY25</t>
  </si>
  <si>
    <t>NI to all Stakeholders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</si>
</sst>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  <numFmt numFmtId="165" formatCode="0.0%"/>
    <numFmt numFmtId="166" formatCode="0.0000"/>
    <numFmt numFmtId="167" formatCode="0.000%"/>
    <numFmt numFmtId="168" formatCode="_(* #,##0.000_);_(* \(#,##0.000\);_(* &quot;-&quot;??_);_(@_)"/>
    <numFmt numFmtId="169" formatCode="_(* #,##0.0_);_(* \(#,##0.0\);_(* &quot;-&quot;?_);_(@_)"/>
    <numFmt numFmtId="170" formatCode="_(&quot;$&quot;* #,##0.00000_);_(&quot;$&quot;* \(#,##0.00000\);_(&quot;$&quot;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quotePrefix="1" applyFont="1"/>
    <xf numFmtId="0" fontId="2" fillId="0" borderId="0" xfId="0" quotePrefix="1" applyFont="1" applyAlignment="1">
      <alignment horizontal="right"/>
    </xf>
    <xf numFmtId="43" fontId="2" fillId="0" borderId="0" xfId="1" applyFont="1"/>
    <xf numFmtId="164" fontId="2" fillId="0" borderId="0" xfId="1" applyNumberFormat="1" applyFont="1"/>
    <xf numFmtId="165" fontId="2" fillId="0" borderId="0" xfId="3" applyNumberFormat="1" applyFont="1"/>
    <xf numFmtId="164" fontId="2" fillId="0" borderId="0" xfId="1" quotePrefix="1" applyNumberFormat="1" applyFont="1" applyAlignment="1">
      <alignment horizontal="right"/>
    </xf>
    <xf numFmtId="166" fontId="2" fillId="0" borderId="0" xfId="0" applyNumberFormat="1" applyFont="1"/>
    <xf numFmtId="44" fontId="2" fillId="0" borderId="0" xfId="2" applyFont="1"/>
    <xf numFmtId="0" fontId="0" fillId="2" borderId="0" xfId="0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 applyAlignment="1">
      <alignment wrapText="1"/>
    </xf>
    <xf numFmtId="10" fontId="2" fillId="0" borderId="0" xfId="3" applyNumberFormat="1" applyFont="1"/>
    <xf numFmtId="10" fontId="2" fillId="0" borderId="0" xfId="0" quotePrefix="1" applyNumberFormat="1" applyFont="1" applyAlignment="1">
      <alignment horizontal="right"/>
    </xf>
    <xf numFmtId="10" fontId="0" fillId="2" borderId="0" xfId="3" applyNumberFormat="1" applyFont="1" applyFill="1"/>
    <xf numFmtId="10" fontId="0" fillId="2" borderId="0" xfId="0" applyNumberFormat="1" applyFill="1"/>
    <xf numFmtId="0" fontId="2" fillId="0" borderId="0" xfId="3" applyNumberFormat="1" applyFont="1"/>
    <xf numFmtId="10" fontId="2" fillId="0" borderId="0" xfId="0" applyNumberFormat="1" applyFont="1"/>
    <xf numFmtId="9" fontId="2" fillId="0" borderId="0" xfId="1" applyNumberFormat="1" applyFont="1"/>
    <xf numFmtId="10" fontId="2" fillId="2" borderId="0" xfId="3" applyNumberFormat="1" applyFont="1" applyFill="1"/>
    <xf numFmtId="165" fontId="2" fillId="0" borderId="0" xfId="0" applyNumberFormat="1" applyFont="1"/>
    <xf numFmtId="10" fontId="4" fillId="2" borderId="0" xfId="3" applyNumberFormat="1" applyFont="1" applyFill="1"/>
    <xf numFmtId="164" fontId="2" fillId="0" borderId="0" xfId="0" applyNumberFormat="1" applyFont="1"/>
    <xf numFmtId="167" fontId="2" fillId="0" borderId="0" xfId="0" applyNumberFormat="1" applyFont="1"/>
    <xf numFmtId="9" fontId="2" fillId="0" borderId="0" xfId="0" applyNumberFormat="1" applyFont="1"/>
    <xf numFmtId="2" fontId="2" fillId="0" borderId="0" xfId="1" applyNumberFormat="1" applyFont="1"/>
    <xf numFmtId="10" fontId="7" fillId="2" borderId="0" xfId="3" applyNumberFormat="1" applyFont="1" applyFill="1"/>
    <xf numFmtId="10" fontId="7" fillId="2" borderId="0" xfId="0" applyNumberFormat="1" applyFont="1" applyFill="1"/>
    <xf numFmtId="10" fontId="2" fillId="2" borderId="0" xfId="0" applyNumberFormat="1" applyFont="1" applyFill="1"/>
    <xf numFmtId="0" fontId="2" fillId="2" borderId="0" xfId="0" applyFont="1" applyFill="1"/>
    <xf numFmtId="4" fontId="2" fillId="0" borderId="0" xfId="0" applyNumberFormat="1" applyFont="1"/>
    <xf numFmtId="168" fontId="2" fillId="0" borderId="0" xfId="1" applyNumberFormat="1" applyFont="1"/>
    <xf numFmtId="10" fontId="2" fillId="0" borderId="0" xfId="1" applyNumberFormat="1" applyFont="1"/>
    <xf numFmtId="169" fontId="0" fillId="0" borderId="0" xfId="0" applyNumberFormat="1"/>
    <xf numFmtId="44" fontId="0" fillId="0" borderId="0" xfId="0" applyNumberFormat="1"/>
    <xf numFmtId="170" fontId="0" fillId="0" borderId="0" xfId="0" applyNumberFormat="1"/>
    <xf numFmtId="10" fontId="0" fillId="0" borderId="0" xfId="0" applyNumberFormat="1"/>
    <xf numFmtId="167" fontId="0" fillId="0" borderId="0" xfId="0" applyNumberFormat="1"/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S33"/>
  <sheetViews>
    <sheetView tabSelected="1" zoomScale="85" workbookViewId="0">
      <selection activeCell="R5" sqref="R5:S13"/>
    </sheetView>
  </sheetViews>
  <sheetFormatPr defaultColWidth="8.85546875" defaultRowHeight="14.45"/>
  <cols>
    <col min="1" max="1" width="28.85546875" style="11" customWidth="1"/>
    <col min="2" max="17" width="8.85546875" style="11"/>
    <col min="18" max="18" width="15.5703125" style="11" customWidth="1"/>
    <col min="19" max="19" width="17.42578125" style="11" customWidth="1"/>
    <col min="20" max="16384" width="8.85546875" style="11"/>
  </cols>
  <sheetData>
    <row r="2" spans="1:19">
      <c r="A2" s="41" t="s">
        <v>0</v>
      </c>
      <c r="B2" s="41"/>
      <c r="C2" s="41"/>
      <c r="D2" s="41"/>
    </row>
    <row r="3" spans="1:19">
      <c r="A3" s="41" t="s">
        <v>1</v>
      </c>
      <c r="B3" s="41"/>
      <c r="C3" s="42">
        <v>1</v>
      </c>
      <c r="D3" s="42"/>
    </row>
    <row r="4" spans="1:19">
      <c r="D4" s="41" t="s">
        <v>2</v>
      </c>
      <c r="E4" s="41"/>
      <c r="F4" s="41"/>
      <c r="G4" s="41"/>
      <c r="H4" s="41"/>
      <c r="I4" s="41"/>
      <c r="J4" s="41"/>
      <c r="K4" s="41"/>
      <c r="L4" s="41"/>
      <c r="M4" s="41"/>
    </row>
    <row r="5" spans="1:19" ht="15">
      <c r="D5" s="12">
        <v>2025</v>
      </c>
      <c r="E5" s="12">
        <f>D5+1</f>
        <v>2026</v>
      </c>
      <c r="F5" s="12">
        <f t="shared" ref="F5:M5" si="0">E5+1</f>
        <v>2027</v>
      </c>
      <c r="G5" s="12">
        <f t="shared" si="0"/>
        <v>2028</v>
      </c>
      <c r="H5" s="12">
        <f t="shared" si="0"/>
        <v>2029</v>
      </c>
      <c r="I5" s="12">
        <f t="shared" si="0"/>
        <v>2030</v>
      </c>
      <c r="J5" s="12">
        <f t="shared" si="0"/>
        <v>2031</v>
      </c>
      <c r="K5" s="12">
        <f t="shared" si="0"/>
        <v>2032</v>
      </c>
      <c r="L5" s="12">
        <f t="shared" si="0"/>
        <v>2033</v>
      </c>
      <c r="M5" s="12">
        <f t="shared" si="0"/>
        <v>2034</v>
      </c>
      <c r="R5" t="s">
        <v>3</v>
      </c>
      <c r="S5" t="s">
        <v>4</v>
      </c>
    </row>
    <row r="6" spans="1:19" ht="15">
      <c r="R6"/>
      <c r="S6"/>
    </row>
    <row r="7" spans="1:19" ht="15">
      <c r="R7" t="s">
        <v>5</v>
      </c>
      <c r="S7" t="s">
        <v>6</v>
      </c>
    </row>
    <row r="8" spans="1:19" ht="18.75">
      <c r="A8" s="14" t="s">
        <v>7</v>
      </c>
      <c r="D8" s="24">
        <f>CHOOSE($C$3,D9,D10,#REF!)</f>
        <v>0.01</v>
      </c>
      <c r="E8" s="24">
        <f>CHOOSE($C$3,E9,E10,#REF!)</f>
        <v>0.03</v>
      </c>
      <c r="F8" s="24">
        <f>CHOOSE($C$3,F9,F10,#REF!)</f>
        <v>0.03</v>
      </c>
      <c r="G8" s="24">
        <f>CHOOSE($C$3,G9,G10,#REF!)</f>
        <v>0.03</v>
      </c>
      <c r="H8" s="24">
        <f>CHOOSE($C$3,H9,H10,#REF!)</f>
        <v>0.03</v>
      </c>
      <c r="I8" s="24">
        <f>CHOOSE($C$3,I9,I10,#REF!)</f>
        <v>0.03</v>
      </c>
      <c r="J8" s="24">
        <f>CHOOSE($C$3,J9,J10,#REF!)</f>
        <v>0.03</v>
      </c>
      <c r="K8" s="24">
        <f>CHOOSE($C$3,K9,K10,#REF!)</f>
        <v>0.03</v>
      </c>
      <c r="L8" s="24">
        <f>CHOOSE($C$3,L9,L10,#REF!)</f>
        <v>0.03</v>
      </c>
      <c r="M8" s="24">
        <f>CHOOSE($C$3,M9,M10,#REF!)</f>
        <v>0.03</v>
      </c>
      <c r="R8"/>
      <c r="S8"/>
    </row>
    <row r="9" spans="1:19" ht="15">
      <c r="A9" s="11" t="s">
        <v>8</v>
      </c>
      <c r="D9" s="17">
        <v>0.01</v>
      </c>
      <c r="E9" s="17">
        <v>0.03</v>
      </c>
      <c r="F9" s="17">
        <v>0.03</v>
      </c>
      <c r="G9" s="17">
        <v>0.03</v>
      </c>
      <c r="H9" s="17">
        <v>0.03</v>
      </c>
      <c r="I9" s="17">
        <v>0.03</v>
      </c>
      <c r="J9" s="17">
        <v>0.03</v>
      </c>
      <c r="K9" s="17">
        <v>0.03</v>
      </c>
      <c r="L9" s="17">
        <v>0.03</v>
      </c>
      <c r="M9" s="17">
        <v>0.03</v>
      </c>
      <c r="R9" t="s">
        <v>9</v>
      </c>
      <c r="S9" t="s">
        <v>10</v>
      </c>
    </row>
    <row r="10" spans="1:19" ht="15">
      <c r="A10" s="11" t="s">
        <v>11</v>
      </c>
      <c r="D10" s="17">
        <v>0.04</v>
      </c>
      <c r="E10" s="17">
        <v>0.05</v>
      </c>
      <c r="F10" s="17">
        <v>0.05</v>
      </c>
      <c r="G10" s="17">
        <v>0.05</v>
      </c>
      <c r="H10" s="17">
        <v>3.5000000000000003E-2</v>
      </c>
      <c r="I10" s="17">
        <v>0.03</v>
      </c>
      <c r="J10" s="17">
        <v>0.03</v>
      </c>
      <c r="K10" s="17">
        <v>0.03</v>
      </c>
      <c r="L10" s="17">
        <v>0.03</v>
      </c>
      <c r="M10" s="17">
        <v>0.03</v>
      </c>
      <c r="R10"/>
      <c r="S10"/>
    </row>
    <row r="11" spans="1:19" ht="15">
      <c r="A11" s="12"/>
      <c r="D11" s="18"/>
      <c r="R11" t="s">
        <v>12</v>
      </c>
      <c r="S11" t="s">
        <v>13</v>
      </c>
    </row>
    <row r="12" spans="1:19" ht="15">
      <c r="A12" s="12" t="s">
        <v>14</v>
      </c>
      <c r="D12" s="29">
        <f>1-D13</f>
        <v>0.33599999999999997</v>
      </c>
      <c r="E12" s="29">
        <f t="shared" ref="E12:M12" si="1">1-E13</f>
        <v>0.33599999999999997</v>
      </c>
      <c r="F12" s="29">
        <f t="shared" si="1"/>
        <v>0.33599999999999997</v>
      </c>
      <c r="G12" s="29">
        <f t="shared" si="1"/>
        <v>0.33599999999999997</v>
      </c>
      <c r="H12" s="29">
        <f t="shared" si="1"/>
        <v>0.33599999999999997</v>
      </c>
      <c r="I12" s="29">
        <f t="shared" si="1"/>
        <v>0.33599999999999997</v>
      </c>
      <c r="J12" s="29">
        <f t="shared" si="1"/>
        <v>0.33599999999999997</v>
      </c>
      <c r="K12" s="29">
        <f t="shared" si="1"/>
        <v>0.33599999999999997</v>
      </c>
      <c r="L12" s="29">
        <f t="shared" si="1"/>
        <v>0.33599999999999997</v>
      </c>
      <c r="M12" s="29">
        <f t="shared" si="1"/>
        <v>0.33599999999999997</v>
      </c>
      <c r="R12"/>
      <c r="S12"/>
    </row>
    <row r="13" spans="1:19" ht="15">
      <c r="A13" s="12" t="s">
        <v>15</v>
      </c>
      <c r="D13" s="30" cm="1">
        <f t="array" ref="D13">INDEX(D14:D15,$C$3)</f>
        <v>0.66400000000000003</v>
      </c>
      <c r="E13" s="30" cm="1">
        <f t="array" ref="E13">INDEX(E14:E15,$C$3)</f>
        <v>0.66400000000000003</v>
      </c>
      <c r="F13" s="30" cm="1">
        <f t="array" ref="F13">INDEX(F14:F15,$C$3)</f>
        <v>0.66400000000000003</v>
      </c>
      <c r="G13" s="30" cm="1">
        <f t="array" ref="G13">INDEX(G14:G15,$C$3)</f>
        <v>0.66400000000000003</v>
      </c>
      <c r="H13" s="30" cm="1">
        <f t="array" ref="H13">INDEX(H14:H15,$C$3)</f>
        <v>0.66400000000000003</v>
      </c>
      <c r="I13" s="30" cm="1">
        <f t="array" ref="I13">INDEX(I14:I15,$C$3)</f>
        <v>0.66400000000000003</v>
      </c>
      <c r="J13" s="30" cm="1">
        <f t="array" ref="J13">INDEX(J14:J15,$C$3)</f>
        <v>0.66400000000000003</v>
      </c>
      <c r="K13" s="30" cm="1">
        <f t="array" ref="K13">INDEX(K14:K15,$C$3)</f>
        <v>0.66400000000000003</v>
      </c>
      <c r="L13" s="30" cm="1">
        <f t="array" ref="L13">INDEX(L14:L15,$C$3)</f>
        <v>0.66400000000000003</v>
      </c>
      <c r="M13" s="30" cm="1">
        <f t="array" ref="M13">INDEX(M14:M15,$C$3)</f>
        <v>0.66400000000000003</v>
      </c>
      <c r="R13" t="s">
        <v>16</v>
      </c>
      <c r="S13" t="s">
        <v>17</v>
      </c>
    </row>
    <row r="14" spans="1:19">
      <c r="A14" s="11" t="s">
        <v>8</v>
      </c>
      <c r="D14" s="22">
        <v>0.66400000000000003</v>
      </c>
      <c r="E14" s="22">
        <v>0.66400000000000003</v>
      </c>
      <c r="F14" s="22">
        <v>0.66400000000000003</v>
      </c>
      <c r="G14" s="22">
        <v>0.66400000000000003</v>
      </c>
      <c r="H14" s="22">
        <v>0.66400000000000003</v>
      </c>
      <c r="I14" s="22">
        <v>0.66400000000000003</v>
      </c>
      <c r="J14" s="22">
        <v>0.66400000000000003</v>
      </c>
      <c r="K14" s="22">
        <v>0.66400000000000003</v>
      </c>
      <c r="L14" s="22">
        <v>0.66400000000000003</v>
      </c>
      <c r="M14" s="22">
        <v>0.66400000000000003</v>
      </c>
    </row>
    <row r="15" spans="1:19">
      <c r="A15" s="11" t="s">
        <v>11</v>
      </c>
      <c r="D15" s="22">
        <v>0.66400000000000003</v>
      </c>
      <c r="E15" s="22">
        <v>0.66400000000000003</v>
      </c>
      <c r="F15" s="22">
        <v>0.66400000000000003</v>
      </c>
      <c r="G15" s="22">
        <v>0.66400000000000003</v>
      </c>
      <c r="H15" s="22">
        <v>0.66400000000000003</v>
      </c>
      <c r="I15" s="22">
        <v>0.66400000000000003</v>
      </c>
      <c r="J15" s="22">
        <v>0.66400000000000003</v>
      </c>
      <c r="K15" s="22">
        <v>0.66400000000000003</v>
      </c>
      <c r="L15" s="22">
        <v>0.66400000000000003</v>
      </c>
      <c r="M15" s="22">
        <v>0.66400000000000003</v>
      </c>
    </row>
    <row r="16" spans="1:19">
      <c r="A16" s="12"/>
      <c r="D16" s="31"/>
      <c r="E16" s="32"/>
      <c r="F16" s="32"/>
      <c r="G16" s="32"/>
      <c r="H16" s="32"/>
      <c r="I16" s="32"/>
      <c r="J16" s="32"/>
      <c r="K16" s="32"/>
      <c r="L16" s="32"/>
      <c r="M16" s="32"/>
    </row>
    <row r="17" spans="1:14">
      <c r="A17" s="12"/>
      <c r="D17" s="31"/>
      <c r="E17" s="32"/>
      <c r="F17" s="32"/>
      <c r="G17" s="32"/>
      <c r="H17" s="32"/>
      <c r="I17" s="32"/>
      <c r="J17" s="32"/>
      <c r="K17" s="32"/>
      <c r="L17" s="32"/>
      <c r="M17" s="32"/>
    </row>
    <row r="18" spans="1:14">
      <c r="A18" s="12" t="s">
        <v>18</v>
      </c>
      <c r="D18" s="31">
        <f>Assumption!D21+Assumption!D26</f>
        <v>0.2205</v>
      </c>
      <c r="E18" s="31">
        <f>Assumption!E21+Assumption!E26</f>
        <v>0.21299999999999999</v>
      </c>
      <c r="F18" s="31">
        <f>Assumption!F21+Assumption!F26</f>
        <v>0.20979999999999999</v>
      </c>
      <c r="G18" s="31">
        <f>Assumption!G21+Assumption!G26</f>
        <v>0.20749999999999999</v>
      </c>
      <c r="H18" s="31">
        <f>Assumption!H21+Assumption!H26</f>
        <v>0.20469999999999999</v>
      </c>
      <c r="I18" s="31">
        <f>Assumption!I21+Assumption!I26</f>
        <v>0.20199999999999999</v>
      </c>
      <c r="J18" s="31">
        <f>Assumption!J21+Assumption!J26</f>
        <v>0.19719999999999999</v>
      </c>
      <c r="K18" s="31">
        <f>Assumption!K21+Assumption!K26</f>
        <v>0.19450000000000001</v>
      </c>
      <c r="L18" s="31">
        <f>Assumption!L21+Assumption!L26</f>
        <v>0.19450000000000001</v>
      </c>
      <c r="M18" s="31">
        <f>Assumption!M21+Assumption!M26</f>
        <v>0.19450000000000001</v>
      </c>
    </row>
    <row r="19" spans="1:14">
      <c r="A19" s="12" t="s">
        <v>19</v>
      </c>
      <c r="D19" s="31">
        <f>DCF!D67</f>
        <v>0.12411072743112714</v>
      </c>
      <c r="E19" s="31">
        <f>DCF!E67</f>
        <v>0.12694921462094252</v>
      </c>
      <c r="F19" s="31">
        <f>DCF!F67</f>
        <v>0.13044972164013049</v>
      </c>
      <c r="G19" s="31">
        <f>DCF!G67</f>
        <v>0.13301417377483857</v>
      </c>
      <c r="H19" s="31">
        <f>DCF!H67</f>
        <v>0.13604441637858142</v>
      </c>
      <c r="I19" s="31">
        <f>DCF!I67</f>
        <v>0.13894221789522024</v>
      </c>
      <c r="J19" s="31">
        <f>DCF!J67</f>
        <v>0.14200927277365655</v>
      </c>
      <c r="K19" s="31">
        <f>DCF!K67</f>
        <v>0.14494429165662384</v>
      </c>
      <c r="L19" s="31">
        <f>DCF!L67</f>
        <v>0.14514891416626322</v>
      </c>
      <c r="M19" s="31">
        <f>DCF!M67</f>
        <v>0.14532471159004468</v>
      </c>
      <c r="N19" s="18"/>
    </row>
    <row r="20" spans="1:14">
      <c r="A20" s="12"/>
      <c r="D20" s="31"/>
      <c r="E20" s="32"/>
      <c r="F20" s="32"/>
      <c r="G20" s="32"/>
      <c r="H20" s="32"/>
      <c r="I20" s="32"/>
      <c r="J20" s="32"/>
      <c r="K20" s="32"/>
      <c r="L20" s="32"/>
      <c r="M20" s="32"/>
    </row>
    <row r="21" spans="1:14">
      <c r="A21" s="12" t="s">
        <v>20</v>
      </c>
      <c r="D21" s="30" cm="1">
        <f t="array" ref="D21">INDEX(D22:D23,$C$3)</f>
        <v>0.1905</v>
      </c>
      <c r="E21" s="30" cm="1">
        <f t="array" ref="E21">INDEX(E22:E23,$C$3)</f>
        <v>0.188</v>
      </c>
      <c r="F21" s="30" cm="1">
        <f t="array" ref="F21">INDEX(F22:F23,$C$3)</f>
        <v>0.18479999999999999</v>
      </c>
      <c r="G21" s="30" cm="1">
        <f t="array" ref="G21">INDEX(G22:G23,$C$3)</f>
        <v>0.1825</v>
      </c>
      <c r="H21" s="30" cm="1">
        <f t="array" ref="H21">INDEX(H22:H23,$C$3)</f>
        <v>0.1797</v>
      </c>
      <c r="I21" s="30" cm="1">
        <f t="array" ref="I21">INDEX(I22:I23,$C$3)</f>
        <v>0.17699999999999999</v>
      </c>
      <c r="J21" s="30" cm="1">
        <f t="array" ref="J21">INDEX(J22:J23,$C$3)</f>
        <v>0.17419999999999999</v>
      </c>
      <c r="K21" s="30" cm="1">
        <f t="array" ref="K21">INDEX(K22:K23,$C$3)</f>
        <v>0.17150000000000001</v>
      </c>
      <c r="L21" s="30" cm="1">
        <f t="array" ref="L21">INDEX(L22:L23,$C$3)</f>
        <v>0.17150000000000001</v>
      </c>
      <c r="M21" s="30" cm="1">
        <f t="array" ref="M21">INDEX(M22:M23,$C$3)</f>
        <v>0.17150000000000001</v>
      </c>
    </row>
    <row r="22" spans="1:14">
      <c r="A22" s="11" t="s">
        <v>8</v>
      </c>
      <c r="D22" s="22">
        <v>0.1905</v>
      </c>
      <c r="E22" s="22">
        <v>0.188</v>
      </c>
      <c r="F22" s="22">
        <v>0.18479999999999999</v>
      </c>
      <c r="G22" s="22">
        <v>0.1825</v>
      </c>
      <c r="H22" s="22">
        <v>0.1797</v>
      </c>
      <c r="I22" s="22">
        <v>0.17699999999999999</v>
      </c>
      <c r="J22" s="22">
        <v>0.17419999999999999</v>
      </c>
      <c r="K22" s="22">
        <v>0.17150000000000001</v>
      </c>
      <c r="L22" s="22">
        <v>0.17150000000000001</v>
      </c>
      <c r="M22" s="22">
        <v>0.17150000000000001</v>
      </c>
    </row>
    <row r="23" spans="1:14">
      <c r="A23" s="11" t="s">
        <v>11</v>
      </c>
      <c r="D23" s="31">
        <v>0.18820000000000001</v>
      </c>
      <c r="E23" s="22">
        <v>0.184</v>
      </c>
      <c r="F23" s="22">
        <v>0.17949999999999999</v>
      </c>
      <c r="G23" s="22">
        <v>0.17519999999999999</v>
      </c>
      <c r="H23" s="22">
        <v>0.17050000000000001</v>
      </c>
      <c r="I23" s="22">
        <v>0.16569999999999999</v>
      </c>
      <c r="J23" s="22">
        <v>0.1628</v>
      </c>
      <c r="K23" s="22">
        <v>0.1628</v>
      </c>
      <c r="L23" s="22">
        <v>0.1628</v>
      </c>
      <c r="M23" s="22">
        <v>0.1628</v>
      </c>
    </row>
    <row r="24" spans="1:14">
      <c r="A24" s="12"/>
      <c r="D24" s="31"/>
      <c r="E24" s="32"/>
      <c r="F24" s="32"/>
      <c r="G24" s="32"/>
      <c r="H24" s="32"/>
      <c r="I24" s="32"/>
      <c r="J24" s="32"/>
      <c r="K24" s="32"/>
      <c r="L24" s="32"/>
      <c r="M24" s="32"/>
    </row>
    <row r="25" spans="1:14">
      <c r="D25" s="31"/>
      <c r="E25" s="32"/>
      <c r="F25" s="32"/>
      <c r="G25" s="32"/>
      <c r="H25" s="32"/>
      <c r="I25" s="32"/>
      <c r="J25" s="32"/>
      <c r="K25" s="32"/>
      <c r="L25" s="32"/>
      <c r="M25" s="32"/>
    </row>
    <row r="26" spans="1:14">
      <c r="A26" s="13" t="s">
        <v>21</v>
      </c>
      <c r="D26" s="29" cm="1">
        <f t="array" ref="D26">INDEX(D27:D28,$C$3)</f>
        <v>0.03</v>
      </c>
      <c r="E26" s="29" cm="1">
        <f t="array" ref="E26">INDEX(E27:E28,$C$3)</f>
        <v>2.5000000000000001E-2</v>
      </c>
      <c r="F26" s="29" cm="1">
        <f t="array" ref="F26">INDEX(F27:F28,$C$3)</f>
        <v>2.5000000000000001E-2</v>
      </c>
      <c r="G26" s="29" cm="1">
        <f t="array" ref="G26">INDEX(G27:G28,$C$3)</f>
        <v>2.5000000000000001E-2</v>
      </c>
      <c r="H26" s="29" cm="1">
        <f t="array" ref="H26">INDEX(H27:H28,$C$3)</f>
        <v>2.5000000000000001E-2</v>
      </c>
      <c r="I26" s="29" cm="1">
        <f t="array" ref="I26">INDEX(I27:I28,$C$3)</f>
        <v>2.5000000000000001E-2</v>
      </c>
      <c r="J26" s="29" cm="1">
        <f t="array" ref="J26">INDEX(J27:J28,$C$3)</f>
        <v>2.3E-2</v>
      </c>
      <c r="K26" s="29" cm="1">
        <f t="array" ref="K26">INDEX(K27:K28,$C$3)</f>
        <v>2.3E-2</v>
      </c>
      <c r="L26" s="29" cm="1">
        <f t="array" ref="L26">INDEX(L27:L28,$C$3)</f>
        <v>2.3E-2</v>
      </c>
      <c r="M26" s="29" cm="1">
        <f t="array" ref="M26">INDEX(M27:M28,$C$3)</f>
        <v>2.3E-2</v>
      </c>
    </row>
    <row r="27" spans="1:14">
      <c r="A27" s="11" t="s">
        <v>8</v>
      </c>
      <c r="D27" s="22">
        <v>0.03</v>
      </c>
      <c r="E27" s="22">
        <v>2.5000000000000001E-2</v>
      </c>
      <c r="F27" s="22">
        <v>2.5000000000000001E-2</v>
      </c>
      <c r="G27" s="22">
        <v>2.5000000000000001E-2</v>
      </c>
      <c r="H27" s="22">
        <v>2.5000000000000001E-2</v>
      </c>
      <c r="I27" s="22">
        <v>2.5000000000000001E-2</v>
      </c>
      <c r="J27" s="22">
        <v>2.3E-2</v>
      </c>
      <c r="K27" s="22">
        <v>2.3E-2</v>
      </c>
      <c r="L27" s="22">
        <v>2.3E-2</v>
      </c>
      <c r="M27" s="22">
        <v>2.3E-2</v>
      </c>
    </row>
    <row r="28" spans="1:14">
      <c r="A28" s="11" t="s">
        <v>11</v>
      </c>
      <c r="D28" s="22">
        <v>2.9000000000000001E-2</v>
      </c>
      <c r="E28" s="22">
        <v>2.4E-2</v>
      </c>
      <c r="F28" s="22">
        <v>2.4E-2</v>
      </c>
      <c r="G28" s="22">
        <v>2.4E-2</v>
      </c>
      <c r="H28" s="22">
        <v>2.3E-2</v>
      </c>
      <c r="I28" s="22">
        <v>2.3E-2</v>
      </c>
      <c r="J28" s="22">
        <v>2.1999999999999999E-2</v>
      </c>
      <c r="K28" s="22">
        <v>2.1999999999999999E-2</v>
      </c>
      <c r="L28" s="22">
        <v>2.1999999999999999E-2</v>
      </c>
      <c r="M28" s="22">
        <v>2.1999999999999999E-2</v>
      </c>
    </row>
    <row r="29" spans="1:14">
      <c r="D29" s="31"/>
      <c r="E29" s="32"/>
      <c r="F29" s="32"/>
      <c r="G29" s="32"/>
      <c r="H29" s="32"/>
      <c r="I29" s="32"/>
      <c r="J29" s="32"/>
      <c r="K29" s="32"/>
      <c r="L29" s="32"/>
      <c r="M29" s="32"/>
    </row>
    <row r="30" spans="1:14">
      <c r="A30" s="13" t="s">
        <v>22</v>
      </c>
      <c r="D30" s="22" cm="1">
        <f t="array" ref="D30">INDEX(D31:D32,$C$3)</f>
        <v>0</v>
      </c>
      <c r="E30" s="22">
        <v>0</v>
      </c>
      <c r="F30" s="22" cm="1">
        <f t="array" ref="F30">INDEX(F31:F32,$C$3)</f>
        <v>0</v>
      </c>
      <c r="G30" s="22" cm="1">
        <f t="array" ref="G30">INDEX(G31:G32,$C$3)</f>
        <v>0</v>
      </c>
      <c r="H30" s="22" cm="1">
        <f t="array" ref="H30">INDEX(H31:H32,$C$3)</f>
        <v>0</v>
      </c>
      <c r="I30" s="22" cm="1">
        <f t="array" ref="I30">INDEX(I31:I32,$C$3)</f>
        <v>0</v>
      </c>
      <c r="J30" s="22" cm="1">
        <f t="array" ref="J30">INDEX(J31:J32,$C$3)</f>
        <v>0</v>
      </c>
      <c r="K30" s="22" cm="1">
        <f t="array" ref="K30">INDEX(K31:K32,$C$3)</f>
        <v>0</v>
      </c>
      <c r="L30" s="22" cm="1">
        <f t="array" ref="L30">INDEX(L31:L32,$C$3)</f>
        <v>0</v>
      </c>
      <c r="M30" s="22" cm="1">
        <f t="array" ref="M30">INDEX(M31:M32,$C$3)</f>
        <v>0</v>
      </c>
    </row>
    <row r="31" spans="1:14">
      <c r="A31" s="11" t="s">
        <v>8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</row>
    <row r="32" spans="1:14">
      <c r="A32" s="11" t="s">
        <v>11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</row>
    <row r="33" ht="15"/>
  </sheetData>
  <mergeCells count="4">
    <mergeCell ref="A3:B3"/>
    <mergeCell ref="A2:D2"/>
    <mergeCell ref="C3:D3"/>
    <mergeCell ref="D4:M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2441"/>
  <sheetViews>
    <sheetView showGridLines="0" topLeftCell="A3" zoomScale="90" workbookViewId="0">
      <selection activeCell="F41" sqref="F41"/>
    </sheetView>
  </sheetViews>
  <sheetFormatPr defaultRowHeight="14.45"/>
  <cols>
    <col min="1" max="1" width="34.28515625" customWidth="1"/>
    <col min="2" max="2" width="12.7109375" customWidth="1"/>
    <col min="3" max="101" width="10.7109375" customWidth="1"/>
  </cols>
  <sheetData>
    <row r="1" spans="1:107" ht="15.6">
      <c r="A1" s="43" t="s">
        <v>23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</row>
    <row r="2" spans="1:107">
      <c r="A2" s="44" t="s">
        <v>24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</row>
    <row r="3" spans="1:107">
      <c r="A3" s="44" t="s">
        <v>25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</row>
    <row r="4" spans="1:107">
      <c r="A4" s="44" t="s">
        <v>26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</row>
    <row r="5" spans="1:107">
      <c r="A5" s="1"/>
      <c r="B5" s="1"/>
      <c r="N5" s="2" t="s">
        <v>27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</row>
    <row r="6" spans="1:107">
      <c r="A6" s="1"/>
      <c r="B6" s="1">
        <f>2023</f>
        <v>2023</v>
      </c>
      <c r="C6" s="1">
        <f t="shared" ref="C6:M6" si="0">+B6+1</f>
        <v>2024</v>
      </c>
      <c r="D6" s="1">
        <f t="shared" si="0"/>
        <v>2025</v>
      </c>
      <c r="E6" s="1">
        <f t="shared" si="0"/>
        <v>2026</v>
      </c>
      <c r="F6" s="1">
        <f t="shared" si="0"/>
        <v>2027</v>
      </c>
      <c r="G6" s="1">
        <f t="shared" si="0"/>
        <v>2028</v>
      </c>
      <c r="H6" s="1">
        <f t="shared" si="0"/>
        <v>2029</v>
      </c>
      <c r="I6" s="1">
        <f t="shared" si="0"/>
        <v>2030</v>
      </c>
      <c r="J6" s="1">
        <f t="shared" si="0"/>
        <v>2031</v>
      </c>
      <c r="K6" s="1">
        <f t="shared" si="0"/>
        <v>2032</v>
      </c>
      <c r="L6" s="1">
        <f t="shared" si="0"/>
        <v>2033</v>
      </c>
      <c r="M6" s="1">
        <f t="shared" si="0"/>
        <v>2034</v>
      </c>
      <c r="N6" s="2" t="s">
        <v>28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</row>
    <row r="7" spans="1:107">
      <c r="A7" s="1"/>
      <c r="B7" s="4" t="s">
        <v>29</v>
      </c>
      <c r="C7" s="4" t="s">
        <v>29</v>
      </c>
      <c r="D7" s="4" t="s">
        <v>29</v>
      </c>
      <c r="E7" s="4" t="s">
        <v>29</v>
      </c>
      <c r="F7" s="4" t="s">
        <v>29</v>
      </c>
      <c r="G7" s="4" t="s">
        <v>29</v>
      </c>
      <c r="H7" s="4" t="s">
        <v>29</v>
      </c>
      <c r="I7" s="4" t="s">
        <v>29</v>
      </c>
      <c r="J7" s="4" t="s">
        <v>29</v>
      </c>
      <c r="K7" s="4" t="s">
        <v>29</v>
      </c>
      <c r="L7" s="4" t="s">
        <v>29</v>
      </c>
      <c r="M7" s="4" t="s">
        <v>29</v>
      </c>
      <c r="N7" s="4" t="s">
        <v>29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</row>
    <row r="8" spans="1:107">
      <c r="A8" s="1" t="s">
        <v>30</v>
      </c>
      <c r="B8" s="6">
        <v>86377</v>
      </c>
      <c r="C8" s="6">
        <v>83674</v>
      </c>
      <c r="D8" s="28">
        <f t="shared" ref="D8:M8" si="1">C8*(1+D56)</f>
        <v>84510.74</v>
      </c>
      <c r="E8" s="28">
        <f t="shared" si="1"/>
        <v>87046.062200000015</v>
      </c>
      <c r="F8" s="28">
        <f t="shared" si="1"/>
        <v>89657.444066000011</v>
      </c>
      <c r="G8" s="28">
        <f t="shared" si="1"/>
        <v>92347.167387980007</v>
      </c>
      <c r="H8" s="28">
        <f t="shared" si="1"/>
        <v>95117.582409619412</v>
      </c>
      <c r="I8" s="28">
        <f t="shared" si="1"/>
        <v>97971.109881907993</v>
      </c>
      <c r="J8" s="28">
        <f t="shared" si="1"/>
        <v>100910.24317836523</v>
      </c>
      <c r="K8" s="28">
        <f t="shared" si="1"/>
        <v>103937.55047371618</v>
      </c>
      <c r="L8" s="28">
        <f t="shared" si="1"/>
        <v>107055.67698792767</v>
      </c>
      <c r="M8" s="28">
        <f t="shared" si="1"/>
        <v>110267.3472975655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</row>
    <row r="9" spans="1:107">
      <c r="A9" s="1" t="s">
        <v>31</v>
      </c>
      <c r="B9" s="6">
        <v>57327</v>
      </c>
      <c r="C9" s="6">
        <v>55554</v>
      </c>
      <c r="D9" s="6">
        <f t="shared" ref="D9:M9" si="2">D8*D57</f>
        <v>56115.131360000007</v>
      </c>
      <c r="E9" s="6">
        <f t="shared" si="2"/>
        <v>57798.585300800012</v>
      </c>
      <c r="F9" s="6">
        <f t="shared" si="2"/>
        <v>59532.542859824011</v>
      </c>
      <c r="G9" s="6">
        <f t="shared" si="2"/>
        <v>61318.519145618731</v>
      </c>
      <c r="H9" s="6">
        <f t="shared" si="2"/>
        <v>63158.074719987293</v>
      </c>
      <c r="I9" s="6">
        <f t="shared" si="2"/>
        <v>65052.816961586912</v>
      </c>
      <c r="J9" s="6">
        <f t="shared" si="2"/>
        <v>67004.401470434517</v>
      </c>
      <c r="K9" s="6">
        <f t="shared" si="2"/>
        <v>69014.533514547555</v>
      </c>
      <c r="L9" s="6">
        <f t="shared" si="2"/>
        <v>71084.969519983977</v>
      </c>
      <c r="M9" s="6">
        <f t="shared" si="2"/>
        <v>73217.518605583493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</row>
    <row r="10" spans="1:107">
      <c r="A10" s="1"/>
      <c r="B10" s="4" t="s">
        <v>29</v>
      </c>
      <c r="C10" s="4" t="s">
        <v>29</v>
      </c>
      <c r="D10" s="4" t="s">
        <v>29</v>
      </c>
      <c r="E10" s="4" t="s">
        <v>29</v>
      </c>
      <c r="F10" s="4" t="s">
        <v>29</v>
      </c>
      <c r="G10" s="4" t="s">
        <v>29</v>
      </c>
      <c r="H10" s="4" t="s">
        <v>29</v>
      </c>
      <c r="I10" s="4" t="s">
        <v>29</v>
      </c>
      <c r="J10" s="4" t="s">
        <v>29</v>
      </c>
      <c r="K10" s="4" t="s">
        <v>29</v>
      </c>
      <c r="L10" s="4" t="s">
        <v>29</v>
      </c>
      <c r="M10" s="4" t="s">
        <v>29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</row>
    <row r="11" spans="1:107">
      <c r="A11" s="1" t="s">
        <v>14</v>
      </c>
      <c r="B11" s="6">
        <f>+B8-B9</f>
        <v>29050</v>
      </c>
      <c r="C11" s="6">
        <f>+C8-C9</f>
        <v>28120</v>
      </c>
      <c r="D11" s="6">
        <f t="shared" ref="D11:M11" si="3">D8-D9</f>
        <v>28395.608639999999</v>
      </c>
      <c r="E11" s="6">
        <f t="shared" si="3"/>
        <v>29247.476899200003</v>
      </c>
      <c r="F11" s="6">
        <f t="shared" si="3"/>
        <v>30124.901206176</v>
      </c>
      <c r="G11" s="6">
        <f t="shared" si="3"/>
        <v>31028.648242361276</v>
      </c>
      <c r="H11" s="6">
        <f t="shared" si="3"/>
        <v>31959.507689632119</v>
      </c>
      <c r="I11" s="6">
        <f t="shared" si="3"/>
        <v>32918.292920321081</v>
      </c>
      <c r="J11" s="6">
        <f t="shared" si="3"/>
        <v>33905.841707930711</v>
      </c>
      <c r="K11" s="6">
        <f t="shared" si="3"/>
        <v>34923.016959168628</v>
      </c>
      <c r="L11" s="6">
        <f t="shared" si="3"/>
        <v>35970.707467943692</v>
      </c>
      <c r="M11" s="6">
        <f t="shared" si="3"/>
        <v>37049.828691982009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</row>
    <row r="12" spans="1:107">
      <c r="A12" s="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</row>
    <row r="13" spans="1:107">
      <c r="A13" s="1" t="s">
        <v>32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</row>
    <row r="14" spans="1:107">
      <c r="A14" s="1" t="s">
        <v>20</v>
      </c>
      <c r="B14" s="1">
        <v>15633</v>
      </c>
      <c r="C14" s="6">
        <v>15922</v>
      </c>
      <c r="D14" s="6">
        <f t="shared" ref="D14:M14" si="4">D8*D62</f>
        <v>16099.295970000001</v>
      </c>
      <c r="E14" s="6">
        <f t="shared" si="4"/>
        <v>16364.659693600002</v>
      </c>
      <c r="F14" s="6">
        <f t="shared" si="4"/>
        <v>16568.6956633968</v>
      </c>
      <c r="G14" s="6">
        <f t="shared" si="4"/>
        <v>16853.358048306352</v>
      </c>
      <c r="H14" s="6">
        <f t="shared" si="4"/>
        <v>17092.629559008608</v>
      </c>
      <c r="I14" s="6">
        <f t="shared" si="4"/>
        <v>17340.886449097714</v>
      </c>
      <c r="J14" s="6">
        <f t="shared" si="4"/>
        <v>17578.564361671222</v>
      </c>
      <c r="K14" s="6">
        <f t="shared" si="4"/>
        <v>17825.289906242328</v>
      </c>
      <c r="L14" s="6">
        <f t="shared" si="4"/>
        <v>18360.048603429597</v>
      </c>
      <c r="M14" s="6">
        <f t="shared" si="4"/>
        <v>18910.850061532485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</row>
    <row r="15" spans="1:107">
      <c r="A15" s="1" t="s">
        <v>33</v>
      </c>
      <c r="B15" s="25">
        <v>1923</v>
      </c>
      <c r="C15" s="25">
        <v>1972</v>
      </c>
      <c r="D15" s="25">
        <f t="shared" ref="D15:M15" si="5">D114</f>
        <v>1807.6232528571429</v>
      </c>
      <c r="E15" s="25">
        <f t="shared" si="5"/>
        <v>1832.3879734642858</v>
      </c>
      <c r="F15" s="25">
        <f t="shared" si="5"/>
        <v>1860.4169214039287</v>
      </c>
      <c r="G15" s="25">
        <f t="shared" si="5"/>
        <v>1891.8080234960466</v>
      </c>
      <c r="H15" s="25">
        <f t="shared" si="5"/>
        <v>1926.6621443652136</v>
      </c>
      <c r="I15" s="25">
        <f t="shared" si="5"/>
        <v>1965.0831745747414</v>
      </c>
      <c r="J15" s="25">
        <f t="shared" si="5"/>
        <v>1997.0870970870042</v>
      </c>
      <c r="K15" s="25">
        <f t="shared" si="5"/>
        <v>2032.5724229889208</v>
      </c>
      <c r="L15" s="25">
        <f t="shared" si="5"/>
        <v>2071.6435943821803</v>
      </c>
      <c r="M15" s="25">
        <f t="shared" si="5"/>
        <v>2114.4081866315237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</row>
    <row r="16" spans="1:107">
      <c r="A16" s="1"/>
      <c r="B16" s="4" t="s">
        <v>29</v>
      </c>
      <c r="C16" s="4" t="s">
        <v>29</v>
      </c>
      <c r="D16" s="4" t="s">
        <v>29</v>
      </c>
      <c r="E16" s="4" t="s">
        <v>29</v>
      </c>
      <c r="F16" s="4" t="s">
        <v>29</v>
      </c>
      <c r="G16" s="4" t="s">
        <v>29</v>
      </c>
      <c r="H16" s="4" t="s">
        <v>29</v>
      </c>
      <c r="I16" s="4" t="s">
        <v>29</v>
      </c>
      <c r="J16" s="4" t="s">
        <v>29</v>
      </c>
      <c r="K16" s="4" t="s">
        <v>29</v>
      </c>
      <c r="L16" s="4" t="s">
        <v>29</v>
      </c>
      <c r="M16" s="4" t="s">
        <v>29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</row>
    <row r="17" spans="1:107">
      <c r="A17" s="1" t="s">
        <v>34</v>
      </c>
      <c r="B17" s="6">
        <f>SUM(B14:B16)</f>
        <v>17556</v>
      </c>
      <c r="C17" s="6">
        <f>SUM(C14:C16)</f>
        <v>17894</v>
      </c>
      <c r="D17" s="6">
        <f t="shared" ref="D17:M17" si="6">SUM(D14:D15)</f>
        <v>17906.919222857145</v>
      </c>
      <c r="E17" s="6">
        <f t="shared" si="6"/>
        <v>18197.047667064289</v>
      </c>
      <c r="F17" s="6">
        <f t="shared" si="6"/>
        <v>18429.112584800729</v>
      </c>
      <c r="G17" s="6">
        <f t="shared" si="6"/>
        <v>18745.1660718024</v>
      </c>
      <c r="H17" s="6">
        <f t="shared" si="6"/>
        <v>19019.291703373823</v>
      </c>
      <c r="I17" s="6">
        <f t="shared" si="6"/>
        <v>19305.969623672456</v>
      </c>
      <c r="J17" s="6">
        <f t="shared" si="6"/>
        <v>19575.651458758228</v>
      </c>
      <c r="K17" s="6">
        <f t="shared" si="6"/>
        <v>19857.862329231248</v>
      </c>
      <c r="L17" s="6">
        <f t="shared" si="6"/>
        <v>20431.692197811779</v>
      </c>
      <c r="M17" s="6">
        <f t="shared" si="6"/>
        <v>21025.258248164009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</row>
    <row r="18" spans="1:107">
      <c r="A18" s="1"/>
      <c r="B18" s="4" t="s">
        <v>29</v>
      </c>
      <c r="C18" s="4" t="s">
        <v>29</v>
      </c>
      <c r="D18" s="4" t="s">
        <v>29</v>
      </c>
      <c r="E18" s="4" t="s">
        <v>29</v>
      </c>
      <c r="F18" s="4" t="s">
        <v>29</v>
      </c>
      <c r="G18" s="4" t="s">
        <v>29</v>
      </c>
      <c r="H18" s="4" t="s">
        <v>29</v>
      </c>
      <c r="I18" s="4" t="s">
        <v>29</v>
      </c>
      <c r="J18" s="4" t="s">
        <v>29</v>
      </c>
      <c r="K18" s="4" t="s">
        <v>29</v>
      </c>
      <c r="L18" s="4" t="s">
        <v>29</v>
      </c>
      <c r="M18" s="4" t="s">
        <v>29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</row>
    <row r="19" spans="1:107">
      <c r="A19" s="1" t="s">
        <v>19</v>
      </c>
      <c r="B19" s="6">
        <f>+B11-B17</f>
        <v>11494</v>
      </c>
      <c r="C19" s="6">
        <f>+C11-C17</f>
        <v>10226</v>
      </c>
      <c r="D19" s="6">
        <f t="shared" ref="D19:M19" si="7">D11-D17</f>
        <v>10488.689417142854</v>
      </c>
      <c r="E19" s="6">
        <f t="shared" si="7"/>
        <v>11050.429232135713</v>
      </c>
      <c r="F19" s="6">
        <f t="shared" si="7"/>
        <v>11695.788621375272</v>
      </c>
      <c r="G19" s="6">
        <f t="shared" si="7"/>
        <v>12283.482170558877</v>
      </c>
      <c r="H19" s="6">
        <f t="shared" si="7"/>
        <v>12940.215986258296</v>
      </c>
      <c r="I19" s="6">
        <f t="shared" si="7"/>
        <v>13612.323296648625</v>
      </c>
      <c r="J19" s="6">
        <f t="shared" si="7"/>
        <v>14330.190249172483</v>
      </c>
      <c r="K19" s="6">
        <f t="shared" si="7"/>
        <v>15065.15462993738</v>
      </c>
      <c r="L19" s="6">
        <f t="shared" si="7"/>
        <v>15539.015270131913</v>
      </c>
      <c r="M19" s="6">
        <f t="shared" si="7"/>
        <v>16024.570443818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</row>
    <row r="20" spans="1:107">
      <c r="A20" s="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</row>
    <row r="21" spans="1:107">
      <c r="A21" s="1" t="s">
        <v>35</v>
      </c>
      <c r="B21" s="6">
        <f>+B8*B69</f>
        <v>0</v>
      </c>
      <c r="C21" s="6">
        <f>+C8*C69</f>
        <v>0</v>
      </c>
      <c r="D21" s="6">
        <f t="shared" ref="D21:M21" si="8">D69*D8</f>
        <v>0</v>
      </c>
      <c r="E21" s="6">
        <f t="shared" si="8"/>
        <v>0</v>
      </c>
      <c r="F21" s="6">
        <f t="shared" si="8"/>
        <v>0</v>
      </c>
      <c r="G21" s="6">
        <f t="shared" si="8"/>
        <v>0</v>
      </c>
      <c r="H21" s="6">
        <f t="shared" si="8"/>
        <v>0</v>
      </c>
      <c r="I21" s="6">
        <f t="shared" si="8"/>
        <v>0</v>
      </c>
      <c r="J21" s="6">
        <f t="shared" si="8"/>
        <v>0</v>
      </c>
      <c r="K21" s="6">
        <f t="shared" si="8"/>
        <v>0</v>
      </c>
      <c r="L21" s="6">
        <f t="shared" si="8"/>
        <v>0</v>
      </c>
      <c r="M21" s="6">
        <f t="shared" si="8"/>
        <v>0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</row>
    <row r="22" spans="1:107">
      <c r="A22" s="1"/>
      <c r="B22" s="4" t="s">
        <v>29</v>
      </c>
      <c r="C22" s="4" t="s">
        <v>29</v>
      </c>
      <c r="D22" s="4" t="s">
        <v>29</v>
      </c>
      <c r="E22" s="4" t="s">
        <v>29</v>
      </c>
      <c r="F22" s="4" t="s">
        <v>29</v>
      </c>
      <c r="G22" s="4" t="s">
        <v>29</v>
      </c>
      <c r="H22" s="4" t="s">
        <v>29</v>
      </c>
      <c r="I22" s="4" t="s">
        <v>29</v>
      </c>
      <c r="J22" s="4" t="s">
        <v>29</v>
      </c>
      <c r="K22" s="4" t="s">
        <v>29</v>
      </c>
      <c r="L22" s="4" t="s">
        <v>29</v>
      </c>
      <c r="M22" s="4" t="s">
        <v>29</v>
      </c>
      <c r="N22" s="6"/>
      <c r="O22" s="6"/>
      <c r="P22" s="5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</row>
    <row r="23" spans="1:107">
      <c r="A23" s="1" t="s">
        <v>36</v>
      </c>
      <c r="B23" s="6">
        <v>10112</v>
      </c>
      <c r="C23" s="6">
        <v>8913</v>
      </c>
      <c r="D23" s="6">
        <f>SUM(D19:D21)</f>
        <v>10488.689417142854</v>
      </c>
      <c r="E23" s="6">
        <f t="shared" ref="E23:M23" si="9">SUM(E19:E21)</f>
        <v>11050.429232135713</v>
      </c>
      <c r="F23" s="6">
        <f t="shared" si="9"/>
        <v>11695.788621375272</v>
      </c>
      <c r="G23" s="6">
        <f t="shared" si="9"/>
        <v>12283.482170558877</v>
      </c>
      <c r="H23" s="6">
        <f t="shared" si="9"/>
        <v>12940.215986258296</v>
      </c>
      <c r="I23" s="6">
        <f t="shared" si="9"/>
        <v>13612.323296648625</v>
      </c>
      <c r="J23" s="6">
        <f t="shared" si="9"/>
        <v>14330.190249172483</v>
      </c>
      <c r="K23" s="6">
        <f t="shared" si="9"/>
        <v>15065.15462993738</v>
      </c>
      <c r="L23" s="6">
        <f t="shared" si="9"/>
        <v>15539.015270131913</v>
      </c>
      <c r="M23" s="6">
        <f t="shared" si="9"/>
        <v>16024.570443818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</row>
    <row r="24" spans="1:107">
      <c r="A24" s="1" t="s">
        <v>37</v>
      </c>
      <c r="B24" s="6">
        <v>2450</v>
      </c>
      <c r="C24" s="6">
        <v>2154</v>
      </c>
      <c r="D24" s="6">
        <f t="shared" ref="D24:M24" si="10">D23*D72</f>
        <v>2622.1723542857135</v>
      </c>
      <c r="E24" s="6">
        <f t="shared" si="10"/>
        <v>2762.6073080339283</v>
      </c>
      <c r="F24" s="6">
        <f t="shared" si="10"/>
        <v>2923.9471553438179</v>
      </c>
      <c r="G24" s="6">
        <f t="shared" si="10"/>
        <v>3070.8705426397191</v>
      </c>
      <c r="H24" s="6">
        <f t="shared" si="10"/>
        <v>3235.0539965645739</v>
      </c>
      <c r="I24" s="6">
        <f t="shared" si="10"/>
        <v>3403.0808241621562</v>
      </c>
      <c r="J24" s="6">
        <f t="shared" si="10"/>
        <v>3582.5475622931208</v>
      </c>
      <c r="K24" s="6">
        <f t="shared" si="10"/>
        <v>3766.2886574843451</v>
      </c>
      <c r="L24" s="6">
        <f t="shared" si="10"/>
        <v>3884.7538175329782</v>
      </c>
      <c r="M24" s="6">
        <f t="shared" si="10"/>
        <v>4006.1426109545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</row>
    <row r="25" spans="1:107">
      <c r="A25" s="1"/>
      <c r="B25" s="4" t="s">
        <v>29</v>
      </c>
      <c r="C25" s="4" t="s">
        <v>29</v>
      </c>
      <c r="D25" s="4" t="s">
        <v>29</v>
      </c>
      <c r="E25" s="4" t="s">
        <v>29</v>
      </c>
      <c r="F25" s="4" t="s">
        <v>29</v>
      </c>
      <c r="G25" s="4" t="s">
        <v>29</v>
      </c>
      <c r="H25" s="4" t="s">
        <v>29</v>
      </c>
      <c r="I25" s="4" t="s">
        <v>29</v>
      </c>
      <c r="J25" s="4" t="s">
        <v>29</v>
      </c>
      <c r="K25" s="4" t="s">
        <v>29</v>
      </c>
      <c r="L25" s="4" t="s">
        <v>29</v>
      </c>
      <c r="M25" s="4" t="s">
        <v>29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</row>
    <row r="26" spans="1:107">
      <c r="A26" s="1" t="s">
        <v>38</v>
      </c>
      <c r="B26" s="6">
        <f t="shared" ref="B26:C26" si="11">+B23-B24</f>
        <v>7662</v>
      </c>
      <c r="C26" s="6">
        <f t="shared" si="11"/>
        <v>6759</v>
      </c>
      <c r="D26" s="6">
        <f>D23-D24</f>
        <v>7866.5170628571404</v>
      </c>
      <c r="E26" s="6">
        <f t="shared" ref="E26:M26" si="12">E23-E24</f>
        <v>8287.821924101785</v>
      </c>
      <c r="F26" s="6">
        <f t="shared" si="12"/>
        <v>8771.8414660314538</v>
      </c>
      <c r="G26" s="6">
        <f t="shared" si="12"/>
        <v>9212.6116279191574</v>
      </c>
      <c r="H26" s="6">
        <f t="shared" si="12"/>
        <v>9705.1619896937227</v>
      </c>
      <c r="I26" s="6">
        <f t="shared" si="12"/>
        <v>10209.242472486469</v>
      </c>
      <c r="J26" s="6">
        <f t="shared" si="12"/>
        <v>10747.642686879362</v>
      </c>
      <c r="K26" s="6">
        <f t="shared" si="12"/>
        <v>11298.865972453035</v>
      </c>
      <c r="L26" s="6">
        <f t="shared" si="12"/>
        <v>11654.261452598934</v>
      </c>
      <c r="M26" s="6">
        <f t="shared" si="12"/>
        <v>12018.427832863501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</row>
    <row r="27" spans="1:107">
      <c r="A27" s="1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</row>
    <row r="28" spans="1:107">
      <c r="A28" s="3" t="s">
        <v>39</v>
      </c>
      <c r="B28" s="6">
        <f>B114</f>
        <v>1923</v>
      </c>
      <c r="C28" s="6">
        <f>C114</f>
        <v>1972</v>
      </c>
      <c r="D28" s="6">
        <f t="shared" ref="D28:M28" si="13">D114</f>
        <v>1807.6232528571429</v>
      </c>
      <c r="E28" s="6">
        <f t="shared" si="13"/>
        <v>1832.3879734642858</v>
      </c>
      <c r="F28" s="6">
        <f t="shared" si="13"/>
        <v>1860.4169214039287</v>
      </c>
      <c r="G28" s="6">
        <f t="shared" si="13"/>
        <v>1891.8080234960466</v>
      </c>
      <c r="H28" s="6">
        <f t="shared" si="13"/>
        <v>1926.6621443652136</v>
      </c>
      <c r="I28" s="6">
        <f t="shared" si="13"/>
        <v>1965.0831745747414</v>
      </c>
      <c r="J28" s="6">
        <f t="shared" si="13"/>
        <v>1997.0870970870042</v>
      </c>
      <c r="K28" s="6">
        <f t="shared" si="13"/>
        <v>2032.5724229889208</v>
      </c>
      <c r="L28" s="6">
        <f t="shared" si="13"/>
        <v>2071.6435943821803</v>
      </c>
      <c r="M28" s="6">
        <f t="shared" si="13"/>
        <v>2114.4081866315237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</row>
    <row r="29" spans="1:107">
      <c r="A29" s="3" t="s">
        <v>40</v>
      </c>
      <c r="B29" s="6">
        <v>-1927</v>
      </c>
      <c r="C29" s="6">
        <v>-1964</v>
      </c>
      <c r="D29" s="6">
        <f t="shared" ref="D29:M29" si="14">-D8*D78</f>
        <v>-2535.3222000000001</v>
      </c>
      <c r="E29" s="6">
        <f t="shared" si="14"/>
        <v>-2176.1515550000004</v>
      </c>
      <c r="F29" s="6">
        <f t="shared" si="14"/>
        <v>-2241.4361016500002</v>
      </c>
      <c r="G29" s="6">
        <f t="shared" si="14"/>
        <v>-2308.6791846995002</v>
      </c>
      <c r="H29" s="6">
        <f t="shared" si="14"/>
        <v>-2377.9395602404852</v>
      </c>
      <c r="I29" s="6">
        <f t="shared" si="14"/>
        <v>-2449.2777470476999</v>
      </c>
      <c r="J29" s="6">
        <f t="shared" si="14"/>
        <v>-2320.9355931024002</v>
      </c>
      <c r="K29" s="6">
        <f t="shared" si="14"/>
        <v>-2390.5636608954724</v>
      </c>
      <c r="L29" s="6">
        <f t="shared" si="14"/>
        <v>-2462.2805707223365</v>
      </c>
      <c r="M29" s="6">
        <f t="shared" si="14"/>
        <v>-2536.1489878440066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</row>
    <row r="30" spans="1:107">
      <c r="A30" s="3" t="s">
        <v>41</v>
      </c>
      <c r="B30" s="6">
        <v>-1524</v>
      </c>
      <c r="C30" s="6">
        <v>-147</v>
      </c>
      <c r="D30" s="6">
        <f t="shared" ref="D30:M30" si="15">(C8-D8)*$B$80</f>
        <v>-30.959380000000191</v>
      </c>
      <c r="E30" s="6">
        <f t="shared" si="15"/>
        <v>-93.806921400000348</v>
      </c>
      <c r="F30" s="6">
        <f t="shared" si="15"/>
        <v>-96.621129041999851</v>
      </c>
      <c r="G30" s="6">
        <f t="shared" si="15"/>
        <v>-99.519762913259868</v>
      </c>
      <c r="H30" s="6">
        <f t="shared" si="15"/>
        <v>-102.50535580065797</v>
      </c>
      <c r="I30" s="6">
        <f t="shared" si="15"/>
        <v>-105.58051647467748</v>
      </c>
      <c r="J30" s="6">
        <f t="shared" si="15"/>
        <v>-108.74793196891771</v>
      </c>
      <c r="K30" s="6">
        <f t="shared" si="15"/>
        <v>-112.01036992798531</v>
      </c>
      <c r="L30" s="6">
        <f t="shared" si="15"/>
        <v>-115.37068102582498</v>
      </c>
      <c r="M30" s="6">
        <f t="shared" si="15"/>
        <v>-118.83180145659982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</row>
    <row r="31" spans="1:107">
      <c r="A31" s="1"/>
      <c r="B31" s="4" t="s">
        <v>29</v>
      </c>
      <c r="C31" s="4" t="s">
        <v>29</v>
      </c>
      <c r="D31" s="4" t="s">
        <v>29</v>
      </c>
      <c r="E31" s="4" t="s">
        <v>29</v>
      </c>
      <c r="F31" s="4" t="s">
        <v>29</v>
      </c>
      <c r="G31" s="4" t="s">
        <v>29</v>
      </c>
      <c r="H31" s="4" t="s">
        <v>29</v>
      </c>
      <c r="I31" s="4" t="s">
        <v>29</v>
      </c>
      <c r="J31" s="4" t="s">
        <v>29</v>
      </c>
      <c r="K31" s="4" t="s">
        <v>29</v>
      </c>
      <c r="L31" s="4" t="s">
        <v>29</v>
      </c>
      <c r="M31" s="4" t="s">
        <v>29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</row>
    <row r="32" spans="1:107">
      <c r="A32" s="1" t="s">
        <v>42</v>
      </c>
      <c r="B32" s="6">
        <f>+B26+SUM(B28:B31)</f>
        <v>6134</v>
      </c>
      <c r="C32" s="6">
        <f>+C26+SUM(C28:C31)</f>
        <v>6620</v>
      </c>
      <c r="D32" s="6">
        <f>(D26+SUM(D28:D30))*0.75</f>
        <v>5330.8940517857127</v>
      </c>
      <c r="E32" s="6">
        <f t="shared" ref="E32:M32" si="16">E26+SUM(E28:E30)</f>
        <v>7850.25142116607</v>
      </c>
      <c r="F32" s="6">
        <f t="shared" si="16"/>
        <v>8294.2011567433819</v>
      </c>
      <c r="G32" s="6">
        <f t="shared" si="16"/>
        <v>8696.2207038024444</v>
      </c>
      <c r="H32" s="6">
        <f t="shared" si="16"/>
        <v>9151.3792180177934</v>
      </c>
      <c r="I32" s="6">
        <f t="shared" si="16"/>
        <v>9619.467383538833</v>
      </c>
      <c r="J32" s="6">
        <f t="shared" si="16"/>
        <v>10315.046258895049</v>
      </c>
      <c r="K32" s="6">
        <f t="shared" si="16"/>
        <v>10828.864364618499</v>
      </c>
      <c r="L32" s="6">
        <f t="shared" si="16"/>
        <v>11148.253795232953</v>
      </c>
      <c r="M32" s="6">
        <f t="shared" si="16"/>
        <v>11477.855230194418</v>
      </c>
      <c r="N32" s="6">
        <f>M26*(1-0.0075/0.2888)/(B90-0.0075)</f>
        <v>185423.03626117288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</row>
    <row r="33" spans="1:107">
      <c r="A33" s="1" t="s">
        <v>43</v>
      </c>
      <c r="B33" s="9"/>
      <c r="C33" s="9"/>
      <c r="D33" s="9">
        <f>1/(1+$B$90)^(D91/12)</f>
        <v>0.99150502863844403</v>
      </c>
      <c r="E33" s="9">
        <f t="shared" ref="E33:N33" si="17">1/(1+$B$90)^(E91/12)</f>
        <v>0.95010045704417123</v>
      </c>
      <c r="F33" s="9">
        <f t="shared" si="17"/>
        <v>0.88741935442416153</v>
      </c>
      <c r="G33" s="9">
        <f t="shared" si="17"/>
        <v>0.82887352044498952</v>
      </c>
      <c r="H33" s="9">
        <f t="shared" si="17"/>
        <v>0.77419013848382745</v>
      </c>
      <c r="I33" s="9">
        <f t="shared" si="17"/>
        <v>0.72311439048484705</v>
      </c>
      <c r="J33" s="9">
        <f t="shared" si="17"/>
        <v>0.67540826953738675</v>
      </c>
      <c r="K33" s="9">
        <f t="shared" si="17"/>
        <v>0.63084947079205811</v>
      </c>
      <c r="L33" s="9">
        <f t="shared" si="17"/>
        <v>0.58923035554658731</v>
      </c>
      <c r="M33" s="9">
        <f t="shared" si="17"/>
        <v>0.55035698367416086</v>
      </c>
      <c r="N33" s="9">
        <f t="shared" si="17"/>
        <v>0.5318928672728056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</row>
    <row r="34" spans="1:107">
      <c r="A34" s="1"/>
      <c r="B34" s="4"/>
      <c r="C34" s="4"/>
      <c r="D34" s="4" t="s">
        <v>29</v>
      </c>
      <c r="E34" s="4" t="s">
        <v>29</v>
      </c>
      <c r="F34" s="4" t="s">
        <v>29</v>
      </c>
      <c r="G34" s="4" t="s">
        <v>29</v>
      </c>
      <c r="H34" s="4" t="s">
        <v>29</v>
      </c>
      <c r="I34" s="4" t="s">
        <v>29</v>
      </c>
      <c r="J34" s="4" t="s">
        <v>29</v>
      </c>
      <c r="K34" s="4" t="s">
        <v>29</v>
      </c>
      <c r="L34" s="4" t="s">
        <v>29</v>
      </c>
      <c r="M34" s="4" t="s">
        <v>29</v>
      </c>
      <c r="N34" s="4" t="s">
        <v>29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</row>
    <row r="35" spans="1:107">
      <c r="A35" s="1" t="s">
        <v>44</v>
      </c>
      <c r="B35" s="6"/>
      <c r="C35" s="6"/>
      <c r="D35" s="6">
        <f>D32*D33</f>
        <v>5285.6082594843037</v>
      </c>
      <c r="E35" s="6">
        <f>E32*E33</f>
        <v>7458.5274631615375</v>
      </c>
      <c r="F35" s="6">
        <f t="shared" ref="F35:J35" si="18">+F32*F33</f>
        <v>7360.4346359813462</v>
      </c>
      <c r="G35" s="6">
        <f t="shared" si="18"/>
        <v>7208.0670693273369</v>
      </c>
      <c r="H35" s="6">
        <f t="shared" si="18"/>
        <v>7084.9075441152163</v>
      </c>
      <c r="I35" s="6">
        <f t="shared" si="18"/>
        <v>6955.97529383655</v>
      </c>
      <c r="J35" s="6">
        <f t="shared" si="18"/>
        <v>6966.8675439183999</v>
      </c>
      <c r="K35" s="6">
        <f t="shared" ref="K35:L35" si="19">+K32*K33</f>
        <v>6831.3833536985567</v>
      </c>
      <c r="L35" s="6">
        <f t="shared" si="19"/>
        <v>6568.889547488704</v>
      </c>
      <c r="M35" s="6">
        <f t="shared" ref="M35" si="20">+M32*M33</f>
        <v>6316.9177835384917</v>
      </c>
      <c r="N35" s="6">
        <f>+N32*N33</f>
        <v>98625.190415384641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</row>
    <row r="36" spans="1:107">
      <c r="A36" s="1"/>
      <c r="D36" s="4" t="s">
        <v>29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</row>
    <row r="37" spans="1:107">
      <c r="A37" s="1" t="s">
        <v>45</v>
      </c>
      <c r="D37" s="6">
        <f>SUM(D35:N35)</f>
        <v>166662.76890993508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</row>
    <row r="38" spans="1:107" ht="15">
      <c r="A38" s="1" t="s">
        <v>46</v>
      </c>
      <c r="D38" s="6">
        <v>-35487</v>
      </c>
      <c r="E38" s="6"/>
      <c r="F38" s="36"/>
      <c r="G38" s="6"/>
      <c r="H38" s="21"/>
      <c r="I38" s="6"/>
      <c r="J38" s="5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</row>
    <row r="39" spans="1:107">
      <c r="A39" s="1" t="s">
        <v>47</v>
      </c>
      <c r="D39" s="6">
        <v>1761</v>
      </c>
      <c r="E39" s="6"/>
      <c r="F39" s="35"/>
      <c r="G39" s="6"/>
      <c r="H39" s="19"/>
      <c r="I39" s="35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</row>
    <row r="40" spans="1:107" ht="15">
      <c r="A40" s="1"/>
      <c r="D40" s="4" t="s">
        <v>29</v>
      </c>
      <c r="E40" s="6"/>
      <c r="F40" s="39"/>
      <c r="G40" s="15"/>
      <c r="H40" s="6"/>
      <c r="I40" s="34"/>
      <c r="J40" s="6"/>
      <c r="K40" s="5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</row>
    <row r="41" spans="1:107" ht="15">
      <c r="A41" s="1" t="s">
        <v>48</v>
      </c>
      <c r="D41" s="6">
        <f>SUM(D37:D39)</f>
        <v>132936.76890993508</v>
      </c>
      <c r="E41" s="6"/>
      <c r="F41" s="35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</row>
    <row r="42" spans="1:107" ht="15">
      <c r="A42" s="1" t="s">
        <v>49</v>
      </c>
      <c r="D42" s="6">
        <v>568</v>
      </c>
      <c r="E42" s="6"/>
      <c r="F42" s="6"/>
      <c r="G42" s="6"/>
      <c r="H42" s="6"/>
      <c r="I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</row>
    <row r="43" spans="1:107">
      <c r="A43" s="1"/>
      <c r="D43" s="4" t="s">
        <v>29</v>
      </c>
      <c r="E43" s="6"/>
      <c r="F43" s="35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</row>
    <row r="44" spans="1:107">
      <c r="A44" s="1" t="s">
        <v>50</v>
      </c>
      <c r="D44" s="10">
        <f>D41/D42</f>
        <v>234.0436072358012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</row>
    <row r="45" spans="1:107">
      <c r="A45" s="1"/>
      <c r="D45" s="8" t="s">
        <v>51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</row>
    <row r="46" spans="1:107">
      <c r="A46" s="1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</row>
    <row r="47" spans="1:107">
      <c r="A47" s="1" t="s">
        <v>52</v>
      </c>
      <c r="D47" s="10">
        <v>220.91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</row>
    <row r="48" spans="1:107">
      <c r="A48" s="1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</row>
    <row r="49" spans="1:107" ht="15.6">
      <c r="A49" s="43" t="s">
        <v>23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</row>
    <row r="50" spans="1:107">
      <c r="A50" s="44" t="s">
        <v>24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</row>
    <row r="51" spans="1:107">
      <c r="A51" s="44" t="s">
        <v>53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</row>
    <row r="52" spans="1:107">
      <c r="A52" s="44" t="s">
        <v>54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</row>
    <row r="53" spans="1:10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</row>
    <row r="54" spans="1:107">
      <c r="A54" s="1"/>
      <c r="B54" s="1">
        <f>2023</f>
        <v>2023</v>
      </c>
      <c r="C54" s="1">
        <f t="shared" ref="C54:M54" si="21">+B54+1</f>
        <v>2024</v>
      </c>
      <c r="D54" s="1">
        <f t="shared" si="21"/>
        <v>2025</v>
      </c>
      <c r="E54" s="1">
        <f t="shared" si="21"/>
        <v>2026</v>
      </c>
      <c r="F54" s="1">
        <f t="shared" si="21"/>
        <v>2027</v>
      </c>
      <c r="G54" s="1">
        <f t="shared" si="21"/>
        <v>2028</v>
      </c>
      <c r="H54" s="1">
        <f t="shared" si="21"/>
        <v>2029</v>
      </c>
      <c r="I54" s="1">
        <f t="shared" si="21"/>
        <v>2030</v>
      </c>
      <c r="J54" s="1">
        <f t="shared" si="21"/>
        <v>2031</v>
      </c>
      <c r="K54" s="1">
        <f t="shared" si="21"/>
        <v>2032</v>
      </c>
      <c r="L54" s="1">
        <f t="shared" si="21"/>
        <v>2033</v>
      </c>
      <c r="M54" s="1">
        <f t="shared" si="21"/>
        <v>2034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</row>
    <row r="55" spans="1:107">
      <c r="A55" s="1"/>
      <c r="B55" s="4" t="s">
        <v>29</v>
      </c>
      <c r="C55" s="4" t="s">
        <v>29</v>
      </c>
      <c r="D55" s="4" t="s">
        <v>29</v>
      </c>
      <c r="E55" s="4" t="s">
        <v>29</v>
      </c>
      <c r="F55" s="4" t="s">
        <v>29</v>
      </c>
      <c r="G55" s="4" t="s">
        <v>29</v>
      </c>
      <c r="H55" s="4" t="s">
        <v>29</v>
      </c>
      <c r="I55" s="4" t="s">
        <v>29</v>
      </c>
      <c r="J55" s="4" t="s">
        <v>29</v>
      </c>
      <c r="K55" s="4" t="s">
        <v>29</v>
      </c>
      <c r="L55" s="4" t="s">
        <v>29</v>
      </c>
      <c r="M55" s="4" t="s">
        <v>29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</row>
    <row r="56" spans="1:107">
      <c r="A56" s="1" t="s">
        <v>55</v>
      </c>
      <c r="B56" s="15">
        <v>-0.11</v>
      </c>
      <c r="C56" s="15">
        <f>+C8/B8-1</f>
        <v>-3.1293052548710842E-2</v>
      </c>
      <c r="D56" s="15">
        <f>Assumption!D8</f>
        <v>0.01</v>
      </c>
      <c r="E56" s="15">
        <f>Assumption!E8</f>
        <v>0.03</v>
      </c>
      <c r="F56" s="15">
        <f>Assumption!F8</f>
        <v>0.03</v>
      </c>
      <c r="G56" s="15">
        <f>Assumption!G8</f>
        <v>0.03</v>
      </c>
      <c r="H56" s="15">
        <f>Assumption!H8</f>
        <v>0.03</v>
      </c>
      <c r="I56" s="15">
        <f>Assumption!I8</f>
        <v>0.03</v>
      </c>
      <c r="J56" s="15">
        <f>Assumption!J8</f>
        <v>0.03</v>
      </c>
      <c r="K56" s="15">
        <f>Assumption!K8</f>
        <v>0.03</v>
      </c>
      <c r="L56" s="15">
        <f>Assumption!L8</f>
        <v>0.03</v>
      </c>
      <c r="M56" s="15">
        <f>Assumption!M8</f>
        <v>0.03</v>
      </c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</row>
    <row r="57" spans="1:107">
      <c r="A57" s="1" t="s">
        <v>31</v>
      </c>
      <c r="B57" s="15">
        <f>+B9/B8</f>
        <v>0.66368361948203802</v>
      </c>
      <c r="C57" s="15">
        <f>+C9/C8</f>
        <v>0.66393383846834142</v>
      </c>
      <c r="D57" s="15">
        <f>Assumption!D13</f>
        <v>0.66400000000000003</v>
      </c>
      <c r="E57" s="15">
        <f>Assumption!E13</f>
        <v>0.66400000000000003</v>
      </c>
      <c r="F57" s="15">
        <f>Assumption!F13</f>
        <v>0.66400000000000003</v>
      </c>
      <c r="G57" s="15">
        <f>Assumption!G13</f>
        <v>0.66400000000000003</v>
      </c>
      <c r="H57" s="15">
        <f>Assumption!H13</f>
        <v>0.66400000000000003</v>
      </c>
      <c r="I57" s="15">
        <f>Assumption!I13</f>
        <v>0.66400000000000003</v>
      </c>
      <c r="J57" s="15">
        <f>Assumption!J13</f>
        <v>0.66400000000000003</v>
      </c>
      <c r="K57" s="15">
        <f>Assumption!K13</f>
        <v>0.66400000000000003</v>
      </c>
      <c r="L57" s="15">
        <f>Assumption!L13</f>
        <v>0.66400000000000003</v>
      </c>
      <c r="M57" s="15">
        <f>Assumption!M13</f>
        <v>0.66400000000000003</v>
      </c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</row>
    <row r="58" spans="1:107">
      <c r="A58" s="1"/>
      <c r="B58" s="16" t="s">
        <v>29</v>
      </c>
      <c r="C58" s="16" t="s">
        <v>29</v>
      </c>
      <c r="D58" s="16" t="s">
        <v>29</v>
      </c>
      <c r="E58" s="16" t="s">
        <v>29</v>
      </c>
      <c r="F58" s="16" t="s">
        <v>29</v>
      </c>
      <c r="G58" s="16" t="s">
        <v>29</v>
      </c>
      <c r="H58" s="16" t="s">
        <v>29</v>
      </c>
      <c r="I58" s="16" t="s">
        <v>29</v>
      </c>
      <c r="J58" s="16" t="s">
        <v>29</v>
      </c>
      <c r="K58" s="16" t="s">
        <v>29</v>
      </c>
      <c r="L58" s="16" t="s">
        <v>29</v>
      </c>
      <c r="M58" s="16" t="s">
        <v>29</v>
      </c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</row>
    <row r="59" spans="1:107">
      <c r="A59" s="1" t="s">
        <v>14</v>
      </c>
      <c r="B59" s="15">
        <f>+B11/B8</f>
        <v>0.33631638051796198</v>
      </c>
      <c r="C59" s="15">
        <f>+C11/C8</f>
        <v>0.33606616153165858</v>
      </c>
      <c r="D59" s="15">
        <f t="shared" ref="D59:M59" si="22">+D11/D8</f>
        <v>0.33599999999999997</v>
      </c>
      <c r="E59" s="15">
        <f t="shared" si="22"/>
        <v>0.33599999999999997</v>
      </c>
      <c r="F59" s="15">
        <f t="shared" si="22"/>
        <v>0.33599999999999997</v>
      </c>
      <c r="G59" s="15">
        <f t="shared" si="22"/>
        <v>0.33599999999999991</v>
      </c>
      <c r="H59" s="15">
        <f t="shared" si="22"/>
        <v>0.33599999999999997</v>
      </c>
      <c r="I59" s="15">
        <f t="shared" si="22"/>
        <v>0.33599999999999997</v>
      </c>
      <c r="J59" s="15">
        <f t="shared" si="22"/>
        <v>0.33599999999999997</v>
      </c>
      <c r="K59" s="15">
        <f t="shared" si="22"/>
        <v>0.33599999999999991</v>
      </c>
      <c r="L59" s="15">
        <f t="shared" si="22"/>
        <v>0.33599999999999997</v>
      </c>
      <c r="M59" s="15">
        <f t="shared" si="22"/>
        <v>0.33600000000000002</v>
      </c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</row>
    <row r="60" spans="1:107">
      <c r="A60" s="1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</row>
    <row r="61" spans="1:107">
      <c r="A61" s="1" t="s">
        <v>32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</row>
    <row r="62" spans="1:107">
      <c r="A62" s="1" t="s">
        <v>20</v>
      </c>
      <c r="B62" s="15">
        <f>B14/B8</f>
        <v>0.1809856790580826</v>
      </c>
      <c r="C62" s="15">
        <f>C14/C8</f>
        <v>0.19028611038076343</v>
      </c>
      <c r="D62" s="15">
        <f>Assumption!D21</f>
        <v>0.1905</v>
      </c>
      <c r="E62" s="15">
        <f>Assumption!E21</f>
        <v>0.188</v>
      </c>
      <c r="F62" s="15">
        <f>Assumption!F21</f>
        <v>0.18479999999999999</v>
      </c>
      <c r="G62" s="15">
        <f>Assumption!G21</f>
        <v>0.1825</v>
      </c>
      <c r="H62" s="15">
        <f>Assumption!H21</f>
        <v>0.1797</v>
      </c>
      <c r="I62" s="15">
        <f>Assumption!I21</f>
        <v>0.17699999999999999</v>
      </c>
      <c r="J62" s="15">
        <f>Assumption!J21</f>
        <v>0.17419999999999999</v>
      </c>
      <c r="K62" s="15">
        <f>Assumption!K21</f>
        <v>0.17150000000000001</v>
      </c>
      <c r="L62" s="15">
        <f>Assumption!L21</f>
        <v>0.17150000000000001</v>
      </c>
      <c r="M62" s="15">
        <f>Assumption!M21</f>
        <v>0.17150000000000001</v>
      </c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</row>
    <row r="63" spans="1:107">
      <c r="A63" s="1" t="s">
        <v>33</v>
      </c>
      <c r="B63" s="15">
        <f>B15/B8</f>
        <v>2.2262870903133936E-2</v>
      </c>
      <c r="C63" s="15">
        <f>C15/C8</f>
        <v>2.3567655424624138E-2</v>
      </c>
      <c r="D63" s="15">
        <f t="shared" ref="D63:M63" si="23">D15/D8</f>
        <v>2.1389272568872818E-2</v>
      </c>
      <c r="E63" s="15">
        <f t="shared" si="23"/>
        <v>2.1050785379057451E-2</v>
      </c>
      <c r="F63" s="15">
        <f t="shared" si="23"/>
        <v>2.0750278359869482E-2</v>
      </c>
      <c r="G63" s="15">
        <f t="shared" si="23"/>
        <v>2.048582622516136E-2</v>
      </c>
      <c r="H63" s="15">
        <f t="shared" si="23"/>
        <v>2.0255583621418525E-2</v>
      </c>
      <c r="I63" s="15">
        <f t="shared" si="23"/>
        <v>2.0057782104779716E-2</v>
      </c>
      <c r="J63" s="15">
        <f t="shared" si="23"/>
        <v>1.9790727226343383E-2</v>
      </c>
      <c r="K63" s="15">
        <f t="shared" si="23"/>
        <v>1.9555708343376051E-2</v>
      </c>
      <c r="L63" s="15">
        <f t="shared" si="23"/>
        <v>1.9351085833736709E-2</v>
      </c>
      <c r="M63" s="15">
        <f t="shared" si="23"/>
        <v>1.9175288409955301E-2</v>
      </c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</row>
    <row r="64" spans="1:107">
      <c r="A64" s="1"/>
      <c r="B64" s="16" t="s">
        <v>29</v>
      </c>
      <c r="C64" s="16" t="s">
        <v>29</v>
      </c>
      <c r="D64" s="16" t="s">
        <v>29</v>
      </c>
      <c r="E64" s="16" t="s">
        <v>29</v>
      </c>
      <c r="F64" s="16" t="s">
        <v>29</v>
      </c>
      <c r="G64" s="16" t="s">
        <v>29</v>
      </c>
      <c r="H64" s="16" t="s">
        <v>29</v>
      </c>
      <c r="I64" s="16" t="s">
        <v>29</v>
      </c>
      <c r="J64" s="16" t="s">
        <v>29</v>
      </c>
      <c r="K64" s="16" t="s">
        <v>29</v>
      </c>
      <c r="L64" s="16" t="s">
        <v>29</v>
      </c>
      <c r="M64" s="16" t="s">
        <v>29</v>
      </c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</row>
    <row r="65" spans="1:107">
      <c r="A65" s="1" t="s">
        <v>34</v>
      </c>
      <c r="B65" s="15">
        <f>+B17/B8</f>
        <v>0.20324854996121652</v>
      </c>
      <c r="C65" s="15">
        <f>+C17/C8</f>
        <v>0.21385376580538756</v>
      </c>
      <c r="D65" s="15">
        <f t="shared" ref="D65:M65" si="24">+D17/D8</f>
        <v>0.21188927256887283</v>
      </c>
      <c r="E65" s="15">
        <f t="shared" si="24"/>
        <v>0.20905078537905747</v>
      </c>
      <c r="F65" s="15">
        <f t="shared" si="24"/>
        <v>0.20555027835986947</v>
      </c>
      <c r="G65" s="15">
        <f t="shared" si="24"/>
        <v>0.20298582622516137</v>
      </c>
      <c r="H65" s="15">
        <f t="shared" si="24"/>
        <v>0.19995558362141855</v>
      </c>
      <c r="I65" s="15">
        <f t="shared" si="24"/>
        <v>0.19705778210477973</v>
      </c>
      <c r="J65" s="15">
        <f t="shared" si="24"/>
        <v>0.19399072722634339</v>
      </c>
      <c r="K65" s="15">
        <f t="shared" si="24"/>
        <v>0.19105570834337607</v>
      </c>
      <c r="L65" s="15">
        <f t="shared" si="24"/>
        <v>0.19085108583373675</v>
      </c>
      <c r="M65" s="15">
        <f t="shared" si="24"/>
        <v>0.19067528840995532</v>
      </c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</row>
    <row r="66" spans="1:107">
      <c r="A66" s="1"/>
      <c r="B66" s="16" t="s">
        <v>29</v>
      </c>
      <c r="C66" s="16" t="s">
        <v>29</v>
      </c>
      <c r="D66" s="16" t="s">
        <v>29</v>
      </c>
      <c r="E66" s="16" t="s">
        <v>29</v>
      </c>
      <c r="F66" s="16" t="s">
        <v>29</v>
      </c>
      <c r="G66" s="16" t="s">
        <v>29</v>
      </c>
      <c r="H66" s="16" t="s">
        <v>29</v>
      </c>
      <c r="I66" s="16" t="s">
        <v>29</v>
      </c>
      <c r="J66" s="16" t="s">
        <v>29</v>
      </c>
      <c r="K66" s="16" t="s">
        <v>29</v>
      </c>
      <c r="L66" s="16" t="s">
        <v>29</v>
      </c>
      <c r="M66" s="16" t="s">
        <v>29</v>
      </c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</row>
    <row r="67" spans="1:107">
      <c r="A67" s="1" t="s">
        <v>19</v>
      </c>
      <c r="B67" s="15">
        <f>+B19/B8</f>
        <v>0.13306783055674543</v>
      </c>
      <c r="C67" s="15">
        <f>+C19/C8</f>
        <v>0.122212395726271</v>
      </c>
      <c r="D67" s="15">
        <f t="shared" ref="D67:M67" si="25">+D19/D8</f>
        <v>0.12411072743112714</v>
      </c>
      <c r="E67" s="15">
        <f t="shared" si="25"/>
        <v>0.12694921462094252</v>
      </c>
      <c r="F67" s="15">
        <f t="shared" si="25"/>
        <v>0.13044972164013049</v>
      </c>
      <c r="G67" s="15">
        <f t="shared" si="25"/>
        <v>0.13301417377483857</v>
      </c>
      <c r="H67" s="15">
        <f t="shared" si="25"/>
        <v>0.13604441637858142</v>
      </c>
      <c r="I67" s="15">
        <f t="shared" si="25"/>
        <v>0.13894221789522024</v>
      </c>
      <c r="J67" s="15">
        <f t="shared" si="25"/>
        <v>0.14200927277365655</v>
      </c>
      <c r="K67" s="15">
        <f t="shared" si="25"/>
        <v>0.14494429165662384</v>
      </c>
      <c r="L67" s="15">
        <f t="shared" si="25"/>
        <v>0.14514891416626322</v>
      </c>
      <c r="M67" s="15">
        <f t="shared" si="25"/>
        <v>0.14532471159004468</v>
      </c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</row>
    <row r="68" spans="1:107">
      <c r="A68" s="1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</row>
    <row r="69" spans="1:107">
      <c r="A69" s="1" t="s">
        <v>35</v>
      </c>
      <c r="B69" s="15">
        <v>0</v>
      </c>
      <c r="C69" s="15">
        <v>0</v>
      </c>
      <c r="D69" s="15">
        <f>Assumption!D30</f>
        <v>0</v>
      </c>
      <c r="E69" s="15">
        <f>Assumption!E30</f>
        <v>0</v>
      </c>
      <c r="F69" s="15">
        <f>Assumption!F30</f>
        <v>0</v>
      </c>
      <c r="G69" s="15">
        <f>Assumption!G30</f>
        <v>0</v>
      </c>
      <c r="H69" s="15">
        <f>Assumption!H30</f>
        <v>0</v>
      </c>
      <c r="I69" s="15">
        <f>Assumption!I30</f>
        <v>0</v>
      </c>
      <c r="J69" s="15">
        <f>Assumption!J30</f>
        <v>0</v>
      </c>
      <c r="K69" s="15">
        <f>Assumption!K30</f>
        <v>0</v>
      </c>
      <c r="L69" s="15">
        <f>Assumption!L30</f>
        <v>0</v>
      </c>
      <c r="M69" s="15">
        <f>Assumption!M30</f>
        <v>0</v>
      </c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</row>
    <row r="70" spans="1:107">
      <c r="A70" s="1"/>
      <c r="B70" s="16" t="s">
        <v>29</v>
      </c>
      <c r="C70" s="16" t="s">
        <v>29</v>
      </c>
      <c r="D70" s="16" t="s">
        <v>29</v>
      </c>
      <c r="E70" s="16" t="s">
        <v>29</v>
      </c>
      <c r="F70" s="16" t="s">
        <v>29</v>
      </c>
      <c r="G70" s="16" t="s">
        <v>29</v>
      </c>
      <c r="H70" s="16" t="s">
        <v>29</v>
      </c>
      <c r="I70" s="16" t="s">
        <v>29</v>
      </c>
      <c r="J70" s="16" t="s">
        <v>29</v>
      </c>
      <c r="K70" s="16" t="s">
        <v>29</v>
      </c>
      <c r="L70" s="16" t="s">
        <v>29</v>
      </c>
      <c r="M70" s="16" t="s">
        <v>29</v>
      </c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</row>
    <row r="71" spans="1:107">
      <c r="A71" s="1" t="s">
        <v>36</v>
      </c>
      <c r="B71" s="15">
        <f>+B23/B8</f>
        <v>0.11706820102573602</v>
      </c>
      <c r="C71" s="15">
        <f>+C23/C8</f>
        <v>0.10652054401606234</v>
      </c>
      <c r="D71" s="15">
        <f t="shared" ref="D71:M71" si="26">+D23/D8</f>
        <v>0.12411072743112714</v>
      </c>
      <c r="E71" s="15">
        <f t="shared" si="26"/>
        <v>0.12694921462094252</v>
      </c>
      <c r="F71" s="15">
        <f t="shared" si="26"/>
        <v>0.13044972164013049</v>
      </c>
      <c r="G71" s="15">
        <f t="shared" si="26"/>
        <v>0.13301417377483857</v>
      </c>
      <c r="H71" s="15">
        <f t="shared" si="26"/>
        <v>0.13604441637858142</v>
      </c>
      <c r="I71" s="15">
        <f t="shared" si="26"/>
        <v>0.13894221789522024</v>
      </c>
      <c r="J71" s="15">
        <f t="shared" si="26"/>
        <v>0.14200927277365655</v>
      </c>
      <c r="K71" s="15">
        <f t="shared" si="26"/>
        <v>0.14494429165662384</v>
      </c>
      <c r="L71" s="15">
        <f t="shared" si="26"/>
        <v>0.14514891416626322</v>
      </c>
      <c r="M71" s="15">
        <f t="shared" si="26"/>
        <v>0.14532471159004468</v>
      </c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</row>
    <row r="72" spans="1:107">
      <c r="A72" s="1" t="s">
        <v>56</v>
      </c>
      <c r="B72" s="15">
        <v>0.24229999999999999</v>
      </c>
      <c r="C72" s="15">
        <v>0.2417</v>
      </c>
      <c r="D72" s="15">
        <v>0.25</v>
      </c>
      <c r="E72" s="15">
        <v>0.25</v>
      </c>
      <c r="F72" s="15">
        <v>0.25</v>
      </c>
      <c r="G72" s="15">
        <v>0.25</v>
      </c>
      <c r="H72" s="15">
        <v>0.25</v>
      </c>
      <c r="I72" s="15">
        <v>0.25</v>
      </c>
      <c r="J72" s="15">
        <v>0.25</v>
      </c>
      <c r="K72" s="15">
        <v>0.25</v>
      </c>
      <c r="L72" s="15">
        <v>0.25</v>
      </c>
      <c r="M72" s="15">
        <v>0.25</v>
      </c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</row>
    <row r="73" spans="1:107">
      <c r="A73" s="1"/>
      <c r="B73" s="16" t="s">
        <v>29</v>
      </c>
      <c r="C73" s="16" t="s">
        <v>29</v>
      </c>
      <c r="D73" s="16" t="s">
        <v>29</v>
      </c>
      <c r="E73" s="16" t="s">
        <v>29</v>
      </c>
      <c r="F73" s="16" t="s">
        <v>29</v>
      </c>
      <c r="G73" s="16" t="s">
        <v>29</v>
      </c>
      <c r="H73" s="16" t="s">
        <v>29</v>
      </c>
      <c r="I73" s="16" t="s">
        <v>29</v>
      </c>
      <c r="J73" s="16" t="s">
        <v>29</v>
      </c>
      <c r="K73" s="16" t="s">
        <v>29</v>
      </c>
      <c r="L73" s="16" t="s">
        <v>29</v>
      </c>
      <c r="M73" s="16" t="s">
        <v>29</v>
      </c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</row>
    <row r="74" spans="1:107">
      <c r="A74" s="1" t="s">
        <v>38</v>
      </c>
      <c r="B74" s="15">
        <f>+B26/B8</f>
        <v>8.8704168933859712E-2</v>
      </c>
      <c r="C74" s="15">
        <f>+C26/C8</f>
        <v>8.0777780433587493E-2</v>
      </c>
      <c r="D74" s="15">
        <f t="shared" ref="D74:M74" si="27">D26/D8</f>
        <v>9.3083045573345347E-2</v>
      </c>
      <c r="E74" s="15">
        <f t="shared" si="27"/>
        <v>9.5211910965706886E-2</v>
      </c>
      <c r="F74" s="15">
        <f t="shared" si="27"/>
        <v>9.7837291230097878E-2</v>
      </c>
      <c r="G74" s="15">
        <f t="shared" si="27"/>
        <v>9.9760630331128919E-2</v>
      </c>
      <c r="H74" s="15">
        <f t="shared" si="27"/>
        <v>0.10203331228393608</v>
      </c>
      <c r="I74" s="15">
        <f t="shared" si="27"/>
        <v>0.10420666342141517</v>
      </c>
      <c r="J74" s="15">
        <f t="shared" si="27"/>
        <v>0.10650695458024241</v>
      </c>
      <c r="K74" s="15">
        <f t="shared" si="27"/>
        <v>0.10870821874246789</v>
      </c>
      <c r="L74" s="15">
        <f t="shared" si="27"/>
        <v>0.1088616856246974</v>
      </c>
      <c r="M74" s="15">
        <f t="shared" si="27"/>
        <v>0.10899353369253352</v>
      </c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</row>
    <row r="75" spans="1:10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</row>
    <row r="76" spans="1:107">
      <c r="A76" s="1" t="s">
        <v>57</v>
      </c>
      <c r="B76" s="6">
        <v>17653</v>
      </c>
      <c r="C76" s="6">
        <v>17649</v>
      </c>
      <c r="D76" s="6">
        <f t="shared" ref="D76:M76" si="28">C76-D112-D29</f>
        <v>18376.698947142857</v>
      </c>
      <c r="E76" s="6">
        <f t="shared" si="28"/>
        <v>18720.46252867857</v>
      </c>
      <c r="F76" s="6">
        <f t="shared" si="28"/>
        <v>19101.481708924643</v>
      </c>
      <c r="G76" s="6">
        <f t="shared" si="28"/>
        <v>19518.352870128096</v>
      </c>
      <c r="H76" s="6">
        <f t="shared" si="28"/>
        <v>19969.630286003365</v>
      </c>
      <c r="I76" s="6">
        <f t="shared" si="28"/>
        <v>20453.824858476324</v>
      </c>
      <c r="J76" s="6">
        <f t="shared" si="28"/>
        <v>20777.673354491719</v>
      </c>
      <c r="K76" s="6">
        <f t="shared" si="28"/>
        <v>21135.664592398272</v>
      </c>
      <c r="L76" s="6">
        <f t="shared" si="28"/>
        <v>21526.301568738429</v>
      </c>
      <c r="M76" s="6">
        <f t="shared" si="28"/>
        <v>21948.042369950912</v>
      </c>
      <c r="N76" s="6"/>
      <c r="O76" s="6"/>
      <c r="P76" s="6"/>
      <c r="Q76" s="6"/>
      <c r="R76" s="6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</row>
    <row r="77" spans="1:107">
      <c r="A77" s="1" t="s">
        <v>58</v>
      </c>
      <c r="B77" s="5">
        <f>+B8/B76</f>
        <v>4.8930493400555148</v>
      </c>
      <c r="C77" s="5">
        <f>+C8/C76</f>
        <v>4.7410051560994955</v>
      </c>
      <c r="D77" s="5">
        <f t="shared" ref="D77:M77" si="29">D8/D76</f>
        <v>4.5987987419873049</v>
      </c>
      <c r="E77" s="5">
        <f t="shared" si="29"/>
        <v>4.6497815995011305</v>
      </c>
      <c r="F77" s="5">
        <f t="shared" si="29"/>
        <v>4.6937428955634388</v>
      </c>
      <c r="G77" s="5">
        <f t="shared" si="29"/>
        <v>4.7312992034954409</v>
      </c>
      <c r="H77" s="5">
        <f t="shared" si="29"/>
        <v>4.7631118376932076</v>
      </c>
      <c r="I77" s="5">
        <f t="shared" si="29"/>
        <v>4.7898674482541841</v>
      </c>
      <c r="J77" s="5">
        <f t="shared" si="29"/>
        <v>4.8566671280617877</v>
      </c>
      <c r="K77" s="5">
        <f t="shared" si="29"/>
        <v>4.91763814756498</v>
      </c>
      <c r="L77" s="5">
        <f t="shared" si="29"/>
        <v>4.9732498936742235</v>
      </c>
      <c r="M77" s="5">
        <f t="shared" si="29"/>
        <v>5.0240174243755176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</row>
    <row r="78" spans="1:107">
      <c r="A78" s="1" t="s">
        <v>59</v>
      </c>
      <c r="B78" s="15">
        <f>-B29/B8</f>
        <v>2.2309179526957407E-2</v>
      </c>
      <c r="C78" s="15">
        <f>-C29/C8</f>
        <v>2.34720462748285E-2</v>
      </c>
      <c r="D78" s="15">
        <f>Assumption!D26</f>
        <v>0.03</v>
      </c>
      <c r="E78" s="15">
        <f>Assumption!E26</f>
        <v>2.5000000000000001E-2</v>
      </c>
      <c r="F78" s="15">
        <f>Assumption!F26</f>
        <v>2.5000000000000001E-2</v>
      </c>
      <c r="G78" s="15">
        <f>Assumption!G26</f>
        <v>2.5000000000000001E-2</v>
      </c>
      <c r="H78" s="15">
        <f>Assumption!H26</f>
        <v>2.5000000000000001E-2</v>
      </c>
      <c r="I78" s="15">
        <f>Assumption!I26</f>
        <v>2.5000000000000001E-2</v>
      </c>
      <c r="J78" s="15">
        <f>Assumption!J26</f>
        <v>2.3E-2</v>
      </c>
      <c r="K78" s="15">
        <f>Assumption!K26</f>
        <v>2.3E-2</v>
      </c>
      <c r="L78" s="15">
        <f>Assumption!L26</f>
        <v>2.3E-2</v>
      </c>
      <c r="M78" s="15">
        <f>Assumption!M26</f>
        <v>2.3E-2</v>
      </c>
      <c r="N78" s="7"/>
      <c r="O78" s="7"/>
      <c r="P78" s="19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</row>
    <row r="79" spans="1:107">
      <c r="A79" s="1" t="s">
        <v>60</v>
      </c>
      <c r="B79" s="7">
        <f>+B112/B8</f>
        <v>2.2262870903133936E-2</v>
      </c>
      <c r="C79" s="7">
        <f>+C112/C8</f>
        <v>2.3567655424624138E-2</v>
      </c>
      <c r="D79" s="7">
        <f t="shared" ref="D79:M79" si="30">D112/D8</f>
        <v>2.1389272568872818E-2</v>
      </c>
      <c r="E79" s="7">
        <f t="shared" si="30"/>
        <v>2.1050785379057451E-2</v>
      </c>
      <c r="F79" s="7">
        <f t="shared" si="30"/>
        <v>2.0750278359869482E-2</v>
      </c>
      <c r="G79" s="7">
        <f t="shared" si="30"/>
        <v>2.048582622516136E-2</v>
      </c>
      <c r="H79" s="7">
        <f t="shared" si="30"/>
        <v>2.0255583621418525E-2</v>
      </c>
      <c r="I79" s="7">
        <f t="shared" si="30"/>
        <v>2.0057782104779716E-2</v>
      </c>
      <c r="J79" s="7">
        <f t="shared" si="30"/>
        <v>1.9790727226343383E-2</v>
      </c>
      <c r="K79" s="7">
        <f t="shared" si="30"/>
        <v>1.9555708343376051E-2</v>
      </c>
      <c r="L79" s="7">
        <f t="shared" si="30"/>
        <v>1.9351085833736709E-2</v>
      </c>
      <c r="M79" s="7">
        <f t="shared" si="30"/>
        <v>1.9175288409955301E-2</v>
      </c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</row>
    <row r="80" spans="1:107">
      <c r="A80" s="1" t="s">
        <v>61</v>
      </c>
      <c r="B80" s="20">
        <v>3.6999999999999998E-2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</row>
    <row r="81" spans="1:107">
      <c r="A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</row>
    <row r="82" spans="1:107">
      <c r="A82" s="1" t="s">
        <v>62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</row>
    <row r="83" spans="1:107">
      <c r="A83" s="1" t="s">
        <v>63</v>
      </c>
      <c r="B83" s="20">
        <v>4.2299999999999997E-2</v>
      </c>
      <c r="C83" s="7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</row>
    <row r="84" spans="1:107">
      <c r="A84" s="1" t="s">
        <v>64</v>
      </c>
      <c r="B84" s="20">
        <v>4.4699999999999997E-2</v>
      </c>
      <c r="C84" s="7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</row>
    <row r="85" spans="1:107">
      <c r="A85" s="1" t="s">
        <v>65</v>
      </c>
      <c r="B85" s="1">
        <v>0.872</v>
      </c>
      <c r="C85" s="5"/>
      <c r="D85" s="1"/>
      <c r="E85" s="1"/>
      <c r="F85" s="33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</row>
    <row r="86" spans="1:107">
      <c r="A86" s="1" t="s">
        <v>66</v>
      </c>
      <c r="B86" s="26">
        <f>B83+B85*B84</f>
        <v>8.1278400000000001E-2</v>
      </c>
      <c r="C86" s="7"/>
      <c r="D86" s="2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</row>
    <row r="87" spans="1:107">
      <c r="A87" s="1" t="s">
        <v>67</v>
      </c>
      <c r="B87" s="20">
        <v>4.3999999999999997E-2</v>
      </c>
      <c r="C87" s="7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</row>
    <row r="88" spans="1:107">
      <c r="A88" s="1" t="s">
        <v>68</v>
      </c>
      <c r="B88" s="20">
        <v>0.25</v>
      </c>
      <c r="C88" s="7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</row>
    <row r="89" spans="1:107">
      <c r="A89" s="1" t="s">
        <v>69</v>
      </c>
      <c r="B89" s="27">
        <v>0.2205</v>
      </c>
      <c r="C89" s="7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</row>
    <row r="90" spans="1:107">
      <c r="A90" s="1" t="s">
        <v>70</v>
      </c>
      <c r="B90" s="20">
        <f>(B87*(1-B88)*B89+B86*(1-B89))</f>
        <v>7.0633012800000006E-2</v>
      </c>
      <c r="C90" s="7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</row>
    <row r="91" spans="1:107">
      <c r="A91" s="1"/>
      <c r="B91" s="1">
        <v>0</v>
      </c>
      <c r="C91" s="1">
        <v>0</v>
      </c>
      <c r="D91" s="1">
        <v>1.5</v>
      </c>
      <c r="E91" s="1">
        <v>9</v>
      </c>
      <c r="F91" s="1">
        <f t="shared" ref="F91:M91" si="31">+E91+12</f>
        <v>21</v>
      </c>
      <c r="G91" s="1">
        <f t="shared" si="31"/>
        <v>33</v>
      </c>
      <c r="H91" s="1">
        <f t="shared" si="31"/>
        <v>45</v>
      </c>
      <c r="I91" s="1">
        <f t="shared" si="31"/>
        <v>57</v>
      </c>
      <c r="J91" s="1">
        <f t="shared" si="31"/>
        <v>69</v>
      </c>
      <c r="K91" s="1">
        <f t="shared" si="31"/>
        <v>81</v>
      </c>
      <c r="L91" s="1">
        <f t="shared" si="31"/>
        <v>93</v>
      </c>
      <c r="M91" s="1">
        <f t="shared" si="31"/>
        <v>105</v>
      </c>
      <c r="N91" s="1">
        <f>+M91+6</f>
        <v>111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</row>
    <row r="92" spans="1:10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</row>
    <row r="93" spans="1:107" ht="15.6">
      <c r="A93" s="43" t="s">
        <v>71</v>
      </c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</row>
    <row r="94" spans="1:107">
      <c r="A94" s="44" t="s">
        <v>24</v>
      </c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</row>
    <row r="95" spans="1:107">
      <c r="A95" s="44" t="s">
        <v>25</v>
      </c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</row>
    <row r="96" spans="1:107">
      <c r="A96" s="44" t="s">
        <v>72</v>
      </c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</row>
    <row r="97" spans="1:10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</row>
    <row r="98" spans="1:107">
      <c r="A98" s="1"/>
      <c r="B98" s="1">
        <f>2023</f>
        <v>2023</v>
      </c>
      <c r="C98" s="1">
        <f t="shared" ref="C98:M98" si="32">+B98+1</f>
        <v>2024</v>
      </c>
      <c r="D98" s="1">
        <f t="shared" si="32"/>
        <v>2025</v>
      </c>
      <c r="E98" s="1">
        <f t="shared" si="32"/>
        <v>2026</v>
      </c>
      <c r="F98" s="1">
        <f t="shared" si="32"/>
        <v>2027</v>
      </c>
      <c r="G98" s="1">
        <f t="shared" si="32"/>
        <v>2028</v>
      </c>
      <c r="H98" s="1">
        <f t="shared" si="32"/>
        <v>2029</v>
      </c>
      <c r="I98" s="1">
        <f t="shared" si="32"/>
        <v>2030</v>
      </c>
      <c r="J98" s="1">
        <f t="shared" si="32"/>
        <v>2031</v>
      </c>
      <c r="K98" s="1">
        <f t="shared" si="32"/>
        <v>2032</v>
      </c>
      <c r="L98" s="1">
        <f t="shared" si="32"/>
        <v>2033</v>
      </c>
      <c r="M98" s="1">
        <f t="shared" si="32"/>
        <v>2034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</row>
    <row r="99" spans="1:107">
      <c r="A99" s="1"/>
      <c r="B99" s="4" t="s">
        <v>29</v>
      </c>
      <c r="C99" s="4" t="s">
        <v>29</v>
      </c>
      <c r="D99" s="4" t="s">
        <v>29</v>
      </c>
      <c r="E99" s="4" t="s">
        <v>29</v>
      </c>
      <c r="F99" s="4" t="s">
        <v>29</v>
      </c>
      <c r="G99" s="4" t="s">
        <v>29</v>
      </c>
      <c r="H99" s="4" t="s">
        <v>29</v>
      </c>
      <c r="I99" s="4" t="s">
        <v>29</v>
      </c>
      <c r="J99" s="4" t="s">
        <v>29</v>
      </c>
      <c r="K99" s="4" t="s">
        <v>29</v>
      </c>
      <c r="L99" s="4" t="s">
        <v>29</v>
      </c>
      <c r="M99" s="4" t="s">
        <v>29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</row>
    <row r="100" spans="1:107">
      <c r="A100" s="3" t="s">
        <v>73</v>
      </c>
      <c r="B100" s="6"/>
      <c r="C100" s="6"/>
      <c r="D100" s="6">
        <f>$C$76*(2045-D98)/210</f>
        <v>1680.8571428571429</v>
      </c>
      <c r="E100" s="6">
        <f t="shared" ref="E100:M100" si="33">$C$76*(2045-E98)/210</f>
        <v>1596.8142857142857</v>
      </c>
      <c r="F100" s="6">
        <f t="shared" si="33"/>
        <v>1512.7714285714285</v>
      </c>
      <c r="G100" s="6">
        <f t="shared" si="33"/>
        <v>1428.7285714285715</v>
      </c>
      <c r="H100" s="6">
        <f t="shared" si="33"/>
        <v>1344.6857142857143</v>
      </c>
      <c r="I100" s="6">
        <f t="shared" si="33"/>
        <v>1260.6428571428571</v>
      </c>
      <c r="J100" s="6">
        <f t="shared" si="33"/>
        <v>1176.5999999999999</v>
      </c>
      <c r="K100" s="6">
        <f t="shared" si="33"/>
        <v>1092.5571428571429</v>
      </c>
      <c r="L100" s="6">
        <f t="shared" si="33"/>
        <v>1008.5142857142857</v>
      </c>
      <c r="M100" s="6">
        <f t="shared" si="33"/>
        <v>924.47142857142853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</row>
    <row r="101" spans="1:107">
      <c r="A101" s="3" t="s">
        <v>74</v>
      </c>
      <c r="B101" s="6"/>
      <c r="C101" s="6"/>
      <c r="D101" s="6">
        <f>-$D$29/20</f>
        <v>126.76611</v>
      </c>
      <c r="E101" s="6">
        <f t="shared" ref="E101:M101" si="34">-$D$29/20</f>
        <v>126.76611</v>
      </c>
      <c r="F101" s="6">
        <f t="shared" si="34"/>
        <v>126.76611</v>
      </c>
      <c r="G101" s="6">
        <f t="shared" si="34"/>
        <v>126.76611</v>
      </c>
      <c r="H101" s="6">
        <f t="shared" si="34"/>
        <v>126.76611</v>
      </c>
      <c r="I101" s="6">
        <f t="shared" si="34"/>
        <v>126.76611</v>
      </c>
      <c r="J101" s="6">
        <f t="shared" si="34"/>
        <v>126.76611</v>
      </c>
      <c r="K101" s="6">
        <f t="shared" si="34"/>
        <v>126.76611</v>
      </c>
      <c r="L101" s="6">
        <f t="shared" si="34"/>
        <v>126.76611</v>
      </c>
      <c r="M101" s="6">
        <f t="shared" si="34"/>
        <v>126.76611</v>
      </c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</row>
    <row r="102" spans="1:107">
      <c r="A102" s="3" t="s">
        <v>75</v>
      </c>
      <c r="B102" s="6"/>
      <c r="C102" s="6"/>
      <c r="D102" s="6"/>
      <c r="E102" s="6">
        <f>-$E$29/20</f>
        <v>108.80757775000002</v>
      </c>
      <c r="F102" s="6">
        <f t="shared" ref="F102:M102" si="35">-$E$29/20</f>
        <v>108.80757775000002</v>
      </c>
      <c r="G102" s="6">
        <f t="shared" si="35"/>
        <v>108.80757775000002</v>
      </c>
      <c r="H102" s="6">
        <f t="shared" si="35"/>
        <v>108.80757775000002</v>
      </c>
      <c r="I102" s="6">
        <f t="shared" si="35"/>
        <v>108.80757775000002</v>
      </c>
      <c r="J102" s="6">
        <f t="shared" si="35"/>
        <v>108.80757775000002</v>
      </c>
      <c r="K102" s="6">
        <f t="shared" si="35"/>
        <v>108.80757775000002</v>
      </c>
      <c r="L102" s="6">
        <f t="shared" si="35"/>
        <v>108.80757775000002</v>
      </c>
      <c r="M102" s="6">
        <f t="shared" si="35"/>
        <v>108.80757775000002</v>
      </c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</row>
    <row r="103" spans="1:107">
      <c r="A103" s="3" t="s">
        <v>76</v>
      </c>
      <c r="B103" s="6"/>
      <c r="C103" s="6"/>
      <c r="D103" s="6"/>
      <c r="E103" s="6"/>
      <c r="F103" s="6">
        <f>-$F$29/20</f>
        <v>112.07180508250001</v>
      </c>
      <c r="G103" s="6">
        <f t="shared" ref="G103:M103" si="36">-$F$29/20</f>
        <v>112.07180508250001</v>
      </c>
      <c r="H103" s="6">
        <f t="shared" si="36"/>
        <v>112.07180508250001</v>
      </c>
      <c r="I103" s="6">
        <f t="shared" si="36"/>
        <v>112.07180508250001</v>
      </c>
      <c r="J103" s="6">
        <f t="shared" si="36"/>
        <v>112.07180508250001</v>
      </c>
      <c r="K103" s="6">
        <f t="shared" si="36"/>
        <v>112.07180508250001</v>
      </c>
      <c r="L103" s="6">
        <f t="shared" si="36"/>
        <v>112.07180508250001</v>
      </c>
      <c r="M103" s="6">
        <f t="shared" si="36"/>
        <v>112.07180508250001</v>
      </c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</row>
    <row r="104" spans="1:107">
      <c r="A104" s="3" t="s">
        <v>77</v>
      </c>
      <c r="B104" s="6"/>
      <c r="C104" s="6"/>
      <c r="D104" s="6"/>
      <c r="E104" s="6"/>
      <c r="F104" s="6"/>
      <c r="G104" s="6">
        <f>-$G$29/20</f>
        <v>115.43395923497501</v>
      </c>
      <c r="H104" s="6">
        <f t="shared" ref="H104:M104" si="37">-$G$29/20</f>
        <v>115.43395923497501</v>
      </c>
      <c r="I104" s="6">
        <f t="shared" si="37"/>
        <v>115.43395923497501</v>
      </c>
      <c r="J104" s="6">
        <f t="shared" si="37"/>
        <v>115.43395923497501</v>
      </c>
      <c r="K104" s="6">
        <f t="shared" si="37"/>
        <v>115.43395923497501</v>
      </c>
      <c r="L104" s="6">
        <f t="shared" si="37"/>
        <v>115.43395923497501</v>
      </c>
      <c r="M104" s="6">
        <f t="shared" si="37"/>
        <v>115.43395923497501</v>
      </c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</row>
    <row r="105" spans="1:107">
      <c r="A105" s="3" t="s">
        <v>78</v>
      </c>
      <c r="B105" s="6"/>
      <c r="C105" s="6"/>
      <c r="D105" s="6"/>
      <c r="E105" s="6"/>
      <c r="F105" s="6"/>
      <c r="G105" s="6"/>
      <c r="H105" s="6">
        <f>-$H$29/20</f>
        <v>118.89697801202426</v>
      </c>
      <c r="I105" s="6">
        <f t="shared" ref="I105:M105" si="38">-$H$29/20</f>
        <v>118.89697801202426</v>
      </c>
      <c r="J105" s="6">
        <f t="shared" si="38"/>
        <v>118.89697801202426</v>
      </c>
      <c r="K105" s="6">
        <f t="shared" si="38"/>
        <v>118.89697801202426</v>
      </c>
      <c r="L105" s="6">
        <f t="shared" si="38"/>
        <v>118.89697801202426</v>
      </c>
      <c r="M105" s="6">
        <f t="shared" si="38"/>
        <v>118.89697801202426</v>
      </c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</row>
    <row r="106" spans="1:107">
      <c r="A106" s="3" t="s">
        <v>79</v>
      </c>
      <c r="B106" s="6"/>
      <c r="C106" s="6"/>
      <c r="D106" s="6"/>
      <c r="E106" s="6"/>
      <c r="F106" s="6"/>
      <c r="G106" s="6"/>
      <c r="H106" s="6"/>
      <c r="I106" s="6">
        <f>-$I$29/20</f>
        <v>122.463887352385</v>
      </c>
      <c r="J106" s="6">
        <f t="shared" ref="J106:M106" si="39">-$I$29/20</f>
        <v>122.463887352385</v>
      </c>
      <c r="K106" s="6">
        <f t="shared" si="39"/>
        <v>122.463887352385</v>
      </c>
      <c r="L106" s="6">
        <f t="shared" si="39"/>
        <v>122.463887352385</v>
      </c>
      <c r="M106" s="6">
        <f t="shared" si="39"/>
        <v>122.463887352385</v>
      </c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</row>
    <row r="107" spans="1:107">
      <c r="A107" s="3" t="s">
        <v>80</v>
      </c>
      <c r="B107" s="6"/>
      <c r="C107" s="6"/>
      <c r="D107" s="6"/>
      <c r="E107" s="6"/>
      <c r="F107" s="6"/>
      <c r="G107" s="6"/>
      <c r="H107" s="6"/>
      <c r="I107" s="6"/>
      <c r="J107" s="6">
        <f>-$J$29/20</f>
        <v>116.04677965512001</v>
      </c>
      <c r="K107" s="6">
        <f t="shared" ref="K107:M107" si="40">-$J$29/20</f>
        <v>116.04677965512001</v>
      </c>
      <c r="L107" s="6">
        <f t="shared" si="40"/>
        <v>116.04677965512001</v>
      </c>
      <c r="M107" s="6">
        <f t="shared" si="40"/>
        <v>116.04677965512001</v>
      </c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</row>
    <row r="108" spans="1:107">
      <c r="A108" s="3" t="s">
        <v>81</v>
      </c>
      <c r="B108" s="6"/>
      <c r="C108" s="6"/>
      <c r="D108" s="6"/>
      <c r="E108" s="6"/>
      <c r="F108" s="6"/>
      <c r="G108" s="6"/>
      <c r="H108" s="6"/>
      <c r="I108" s="6"/>
      <c r="J108" s="6"/>
      <c r="K108" s="6">
        <f>-$K$29/20</f>
        <v>119.52818304477361</v>
      </c>
      <c r="L108" s="6">
        <f t="shared" ref="L108:M108" si="41">-$K$29/20</f>
        <v>119.52818304477361</v>
      </c>
      <c r="M108" s="6">
        <f t="shared" si="41"/>
        <v>119.52818304477361</v>
      </c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</row>
    <row r="109" spans="1:107">
      <c r="A109" s="3" t="s">
        <v>82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>
        <f>-$L$29/20</f>
        <v>123.11402853611682</v>
      </c>
      <c r="M109" s="6">
        <f>-$L$29/20</f>
        <v>123.11402853611682</v>
      </c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</row>
    <row r="110" spans="1:107">
      <c r="A110" s="3" t="s">
        <v>83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>
        <f>-$M$29/20</f>
        <v>126.80744939220033</v>
      </c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</row>
    <row r="111" spans="1:107">
      <c r="A111" s="1"/>
      <c r="B111" s="4" t="s">
        <v>29</v>
      </c>
      <c r="C111" s="4" t="s">
        <v>29</v>
      </c>
      <c r="D111" s="4" t="s">
        <v>29</v>
      </c>
      <c r="E111" s="4" t="s">
        <v>29</v>
      </c>
      <c r="F111" s="4" t="s">
        <v>29</v>
      </c>
      <c r="G111" s="4" t="s">
        <v>29</v>
      </c>
      <c r="H111" s="4" t="s">
        <v>29</v>
      </c>
      <c r="I111" s="4" t="s">
        <v>29</v>
      </c>
      <c r="J111" s="4" t="s">
        <v>29</v>
      </c>
      <c r="K111" s="4" t="s">
        <v>29</v>
      </c>
      <c r="L111" s="4" t="s">
        <v>29</v>
      </c>
      <c r="M111" s="4" t="s">
        <v>29</v>
      </c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</row>
    <row r="112" spans="1:107">
      <c r="A112" s="1" t="s">
        <v>84</v>
      </c>
      <c r="B112" s="6">
        <f>+B114</f>
        <v>1923</v>
      </c>
      <c r="C112" s="6">
        <f>+C114</f>
        <v>1972</v>
      </c>
      <c r="D112" s="6">
        <f>SUM(D100:D110)</f>
        <v>1807.6232528571429</v>
      </c>
      <c r="E112" s="6">
        <f t="shared" ref="E112:M112" si="42">SUM(E100:E110)</f>
        <v>1832.3879734642858</v>
      </c>
      <c r="F112" s="6">
        <f t="shared" si="42"/>
        <v>1860.4169214039287</v>
      </c>
      <c r="G112" s="6">
        <f t="shared" si="42"/>
        <v>1891.8080234960466</v>
      </c>
      <c r="H112" s="6">
        <f t="shared" si="42"/>
        <v>1926.6621443652136</v>
      </c>
      <c r="I112" s="6">
        <f t="shared" si="42"/>
        <v>1965.0831745747414</v>
      </c>
      <c r="J112" s="6">
        <f t="shared" si="42"/>
        <v>1997.0870970870042</v>
      </c>
      <c r="K112" s="6">
        <f t="shared" si="42"/>
        <v>2032.5724229889208</v>
      </c>
      <c r="L112" s="6">
        <f t="shared" si="42"/>
        <v>2071.6435943821803</v>
      </c>
      <c r="M112" s="6">
        <f t="shared" si="42"/>
        <v>2114.4081866315237</v>
      </c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</row>
    <row r="113" spans="1:107">
      <c r="A113" s="1"/>
      <c r="B113" s="4" t="s">
        <v>29</v>
      </c>
      <c r="C113" s="4" t="s">
        <v>29</v>
      </c>
      <c r="D113" s="4" t="s">
        <v>29</v>
      </c>
      <c r="E113" s="4" t="s">
        <v>29</v>
      </c>
      <c r="F113" s="4" t="s">
        <v>29</v>
      </c>
      <c r="G113" s="4" t="s">
        <v>29</v>
      </c>
      <c r="H113" s="4" t="s">
        <v>29</v>
      </c>
      <c r="I113" s="4" t="s">
        <v>29</v>
      </c>
      <c r="J113" s="4" t="s">
        <v>29</v>
      </c>
      <c r="K113" s="4" t="s">
        <v>29</v>
      </c>
      <c r="L113" s="4" t="s">
        <v>29</v>
      </c>
      <c r="M113" s="4" t="s">
        <v>29</v>
      </c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</row>
    <row r="114" spans="1:107">
      <c r="A114" s="1" t="s">
        <v>85</v>
      </c>
      <c r="B114" s="6">
        <v>1923</v>
      </c>
      <c r="C114" s="6">
        <v>1972</v>
      </c>
      <c r="D114" s="6">
        <f>SUM(D112:D112)</f>
        <v>1807.6232528571429</v>
      </c>
      <c r="E114" s="6">
        <f>SUM(E112:E112)</f>
        <v>1832.3879734642858</v>
      </c>
      <c r="F114" s="6">
        <f>SUM(F112:F112)</f>
        <v>1860.4169214039287</v>
      </c>
      <c r="G114" s="6">
        <f>SUM(G112:G112)</f>
        <v>1891.8080234960466</v>
      </c>
      <c r="H114" s="6">
        <f>SUM(H112:H112)</f>
        <v>1926.6621443652136</v>
      </c>
      <c r="I114" s="6">
        <f>SUM(I112:I112)</f>
        <v>1965.0831745747414</v>
      </c>
      <c r="J114" s="6">
        <f>SUM(J112:J112)</f>
        <v>1997.0870970870042</v>
      </c>
      <c r="K114" s="6">
        <f>SUM(K112:K112)</f>
        <v>2032.5724229889208</v>
      </c>
      <c r="L114" s="6">
        <f>SUM(L112:L112)</f>
        <v>2071.6435943821803</v>
      </c>
      <c r="M114" s="6">
        <f>SUM(M112:M112)</f>
        <v>2114.4081866315237</v>
      </c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</row>
    <row r="115" spans="1:107">
      <c r="A115" s="1"/>
      <c r="B115" s="8" t="s">
        <v>86</v>
      </c>
      <c r="C115" s="8" t="s">
        <v>86</v>
      </c>
      <c r="D115" s="8" t="s">
        <v>86</v>
      </c>
      <c r="E115" s="8" t="s">
        <v>86</v>
      </c>
      <c r="F115" s="8" t="s">
        <v>86</v>
      </c>
      <c r="G115" s="8" t="s">
        <v>86</v>
      </c>
      <c r="H115" s="8" t="s">
        <v>86</v>
      </c>
      <c r="I115" s="8" t="s">
        <v>86</v>
      </c>
      <c r="J115" s="8" t="s">
        <v>86</v>
      </c>
      <c r="K115" s="8" t="s">
        <v>86</v>
      </c>
      <c r="L115" s="8" t="s">
        <v>86</v>
      </c>
      <c r="M115" s="8" t="s">
        <v>86</v>
      </c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</row>
    <row r="116" spans="1:10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</row>
    <row r="117" spans="1:10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</row>
    <row r="118" spans="1:10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</row>
    <row r="119" spans="1:10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</row>
    <row r="120" spans="1:10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</row>
    <row r="121" spans="1:10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</row>
    <row r="122" spans="1:10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</row>
    <row r="123" spans="1:10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</row>
    <row r="124" spans="1:10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</row>
    <row r="125" spans="1:10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</row>
    <row r="126" spans="1:10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</row>
    <row r="127" spans="1:10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</row>
    <row r="128" spans="1:10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</row>
    <row r="129" spans="1:10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</row>
    <row r="130" spans="1:10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</row>
    <row r="131" spans="1:10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</row>
    <row r="132" spans="1:10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</row>
    <row r="133" spans="1:10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</row>
    <row r="134" spans="1:10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</row>
    <row r="135" spans="1:10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</row>
    <row r="136" spans="1:10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</row>
    <row r="137" spans="1:10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</row>
    <row r="138" spans="1:10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</row>
    <row r="139" spans="1:10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</row>
    <row r="140" spans="1:10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</row>
    <row r="141" spans="1:10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</row>
    <row r="142" spans="1:10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</row>
    <row r="143" spans="1:10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</row>
    <row r="144" spans="1:10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</row>
    <row r="145" spans="1:10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</row>
    <row r="146" spans="1:10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</row>
    <row r="147" spans="1:10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</row>
    <row r="148" spans="1:10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</row>
    <row r="149" spans="1:10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</row>
    <row r="150" spans="1:10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</row>
    <row r="151" spans="1:10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</row>
    <row r="152" spans="1:10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</row>
    <row r="153" spans="1:10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</row>
    <row r="154" spans="1:10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</row>
    <row r="155" spans="1:10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</row>
    <row r="156" spans="1:10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</row>
    <row r="157" spans="1:10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</row>
    <row r="158" spans="1:10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</row>
    <row r="159" spans="1:10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</row>
    <row r="160" spans="1:10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</row>
    <row r="161" spans="1:10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</row>
    <row r="162" spans="1:10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</row>
    <row r="163" spans="1:10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</row>
    <row r="164" spans="1:10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</row>
    <row r="165" spans="1:10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</row>
    <row r="166" spans="1:10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</row>
    <row r="167" spans="1:10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</row>
    <row r="168" spans="1:10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</row>
    <row r="169" spans="1:10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</row>
    <row r="170" spans="1:10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</row>
    <row r="171" spans="1:10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</row>
    <row r="172" spans="1:10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</row>
    <row r="173" spans="1:10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</row>
    <row r="174" spans="1:10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</row>
    <row r="175" spans="1:10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</row>
    <row r="176" spans="1:10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</row>
    <row r="177" spans="1:10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</row>
    <row r="178" spans="1:10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</row>
    <row r="179" spans="1:10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</row>
    <row r="180" spans="1:10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</row>
    <row r="181" spans="1:10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</row>
    <row r="182" spans="1:10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</row>
    <row r="183" spans="1:10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</row>
    <row r="184" spans="1:10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</row>
    <row r="185" spans="1:10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</row>
    <row r="186" spans="1:10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</row>
    <row r="187" spans="1:10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</row>
    <row r="188" spans="1:10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</row>
    <row r="189" spans="1:10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</row>
    <row r="190" spans="1:10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</row>
    <row r="191" spans="1:10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</row>
    <row r="192" spans="1:10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</row>
    <row r="193" spans="1:107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</row>
    <row r="194" spans="1:107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</row>
    <row r="195" spans="1:107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</row>
    <row r="196" spans="1:107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</row>
    <row r="197" spans="1:10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</row>
    <row r="198" spans="1:107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</row>
    <row r="199" spans="1:107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</row>
    <row r="200" spans="1:107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</row>
    <row r="201" spans="1:107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</row>
    <row r="202" spans="1:107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</row>
    <row r="203" spans="1:107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</row>
    <row r="204" spans="1:107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</row>
    <row r="205" spans="1:107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</row>
    <row r="206" spans="1:107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</row>
    <row r="207" spans="1:1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</row>
    <row r="208" spans="1:107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</row>
    <row r="209" spans="1:107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</row>
    <row r="210" spans="1:107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</row>
    <row r="211" spans="1:107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</row>
    <row r="212" spans="1:107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</row>
    <row r="213" spans="1:107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</row>
    <row r="214" spans="1:107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</row>
    <row r="215" spans="1:107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</row>
    <row r="216" spans="1:107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</row>
    <row r="217" spans="1:10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</row>
    <row r="218" spans="1:107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</row>
    <row r="219" spans="1:107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</row>
    <row r="220" spans="1:107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</row>
    <row r="221" spans="1:107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</row>
    <row r="222" spans="1:107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</row>
    <row r="223" spans="1:107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</row>
    <row r="224" spans="1:107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</row>
    <row r="225" spans="1:107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</row>
    <row r="226" spans="1:107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</row>
    <row r="227" spans="1:10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</row>
    <row r="228" spans="1:107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</row>
    <row r="229" spans="1:107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</row>
    <row r="230" spans="1:107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</row>
    <row r="231" spans="1:107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</row>
    <row r="232" spans="1:107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</row>
    <row r="233" spans="1:107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</row>
    <row r="234" spans="1:107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</row>
    <row r="235" spans="1:107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</row>
    <row r="236" spans="1:107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</row>
    <row r="237" spans="1:10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</row>
    <row r="238" spans="1:107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</row>
    <row r="239" spans="1:107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</row>
    <row r="240" spans="1:107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</row>
    <row r="241" spans="1:107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</row>
    <row r="242" spans="1:107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</row>
    <row r="243" spans="1:107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</row>
    <row r="244" spans="1:107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</row>
    <row r="245" spans="1:107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</row>
    <row r="246" spans="1:107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</row>
    <row r="247" spans="1:10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</row>
    <row r="248" spans="1:107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</row>
    <row r="249" spans="1:107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</row>
    <row r="250" spans="1:107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</row>
    <row r="251" spans="1:107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</row>
    <row r="252" spans="1:107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</row>
    <row r="253" spans="1:107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</row>
    <row r="254" spans="1:107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</row>
    <row r="255" spans="1:107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</row>
    <row r="256" spans="1:107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</row>
    <row r="257" spans="1:10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</row>
    <row r="258" spans="1:107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</row>
    <row r="259" spans="1:107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</row>
    <row r="260" spans="1:107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</row>
    <row r="261" spans="1:107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</row>
    <row r="262" spans="1:107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</row>
    <row r="263" spans="1:107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</row>
    <row r="264" spans="1:107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</row>
    <row r="265" spans="1:107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</row>
    <row r="266" spans="1:107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</row>
    <row r="267" spans="1:10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</row>
    <row r="268" spans="1:107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</row>
    <row r="269" spans="1:107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</row>
    <row r="270" spans="1:107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</row>
    <row r="271" spans="1:107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</row>
    <row r="272" spans="1:107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</row>
    <row r="273" spans="1:107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</row>
    <row r="274" spans="1:107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</row>
    <row r="275" spans="1:107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</row>
    <row r="276" spans="1:107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</row>
    <row r="277" spans="1:10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</row>
    <row r="278" spans="1:107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</row>
    <row r="279" spans="1:107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</row>
    <row r="280" spans="1:107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</row>
    <row r="281" spans="1:107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</row>
    <row r="282" spans="1:107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</row>
    <row r="283" spans="1:107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</row>
    <row r="284" spans="1:107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</row>
    <row r="285" spans="1:107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</row>
    <row r="286" spans="1:107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</row>
    <row r="287" spans="1:10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</row>
    <row r="288" spans="1:107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</row>
    <row r="289" spans="1:107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</row>
    <row r="290" spans="1:107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</row>
    <row r="291" spans="1:107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</row>
    <row r="292" spans="1:107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</row>
    <row r="293" spans="1:107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</row>
    <row r="294" spans="1:107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</row>
    <row r="295" spans="1:107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</row>
    <row r="296" spans="1:107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</row>
    <row r="297" spans="1:10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</row>
    <row r="298" spans="1:107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</row>
    <row r="299" spans="1:107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</row>
    <row r="300" spans="1:107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</row>
    <row r="301" spans="1:107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</row>
    <row r="302" spans="1:107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</row>
    <row r="303" spans="1:107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</row>
    <row r="304" spans="1:107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</row>
    <row r="305" spans="1:107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</row>
    <row r="306" spans="1:107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</row>
    <row r="307" spans="1:1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</row>
    <row r="308" spans="1:107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</row>
    <row r="309" spans="1:107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</row>
    <row r="310" spans="1:107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</row>
    <row r="311" spans="1:107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</row>
    <row r="312" spans="1:107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</row>
    <row r="313" spans="1:107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</row>
    <row r="314" spans="1:107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</row>
    <row r="315" spans="1:107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</row>
    <row r="316" spans="1:107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</row>
    <row r="317" spans="1:10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</row>
    <row r="318" spans="1:107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</row>
    <row r="319" spans="1:107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</row>
    <row r="320" spans="1:107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</row>
    <row r="321" spans="1:107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</row>
    <row r="322" spans="1:107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</row>
    <row r="323" spans="1:107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</row>
    <row r="324" spans="1:107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</row>
    <row r="325" spans="1:107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</row>
    <row r="326" spans="1:107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</row>
    <row r="327" spans="1:10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</row>
    <row r="328" spans="1:107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</row>
    <row r="329" spans="1:107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</row>
    <row r="330" spans="1:107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</row>
    <row r="331" spans="1:107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</row>
    <row r="332" spans="1:107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</row>
    <row r="333" spans="1:107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</row>
    <row r="334" spans="1:107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</row>
    <row r="335" spans="1:107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</row>
    <row r="336" spans="1:107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</row>
    <row r="337" spans="1:10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</row>
    <row r="338" spans="1:107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</row>
    <row r="339" spans="1:107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</row>
    <row r="340" spans="1:107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</row>
    <row r="341" spans="1:107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</row>
    <row r="342" spans="1:107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</row>
    <row r="343" spans="1:107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</row>
    <row r="344" spans="1:107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</row>
    <row r="345" spans="1:107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</row>
    <row r="346" spans="1:107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</row>
    <row r="347" spans="1:10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</row>
    <row r="348" spans="1:107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</row>
    <row r="349" spans="1:107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</row>
    <row r="350" spans="1:107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</row>
    <row r="351" spans="1:107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</row>
    <row r="352" spans="1:107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</row>
    <row r="353" spans="1:107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</row>
    <row r="354" spans="1:107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</row>
    <row r="355" spans="1:107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</row>
    <row r="356" spans="1:107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</row>
    <row r="357" spans="1:10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</row>
    <row r="358" spans="1:107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</row>
    <row r="359" spans="1:107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</row>
    <row r="360" spans="1:107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</row>
    <row r="361" spans="1:107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</row>
    <row r="362" spans="1:107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</row>
    <row r="363" spans="1:107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</row>
    <row r="364" spans="1:107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</row>
    <row r="365" spans="1:107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</row>
    <row r="366" spans="1:107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</row>
    <row r="367" spans="1:10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</row>
    <row r="368" spans="1:107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</row>
    <row r="369" spans="1:107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</row>
    <row r="370" spans="1:107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</row>
    <row r="371" spans="1:107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</row>
    <row r="372" spans="1:107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</row>
    <row r="373" spans="1:107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</row>
    <row r="374" spans="1:107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</row>
    <row r="375" spans="1:107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</row>
    <row r="376" spans="1:107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</row>
    <row r="377" spans="1:10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</row>
    <row r="378" spans="1:107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</row>
    <row r="379" spans="1:107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</row>
    <row r="380" spans="1:107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</row>
    <row r="381" spans="1:107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</row>
    <row r="382" spans="1:107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</row>
    <row r="383" spans="1:107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</row>
    <row r="384" spans="1:107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</row>
    <row r="385" spans="1:107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</row>
    <row r="386" spans="1:107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</row>
    <row r="387" spans="1:10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</row>
    <row r="388" spans="1:107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</row>
    <row r="389" spans="1:107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</row>
    <row r="390" spans="1:107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</row>
    <row r="391" spans="1:107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</row>
    <row r="392" spans="1:107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</row>
    <row r="393" spans="1:107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</row>
    <row r="394" spans="1:107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</row>
    <row r="395" spans="1:107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</row>
    <row r="396" spans="1:107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</row>
    <row r="397" spans="1:10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</row>
    <row r="398" spans="1:107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</row>
    <row r="399" spans="1:107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</row>
    <row r="400" spans="1:107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</row>
    <row r="401" spans="1:107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</row>
    <row r="402" spans="1:107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</row>
    <row r="403" spans="1:107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</row>
    <row r="404" spans="1:107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</row>
    <row r="405" spans="1:107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</row>
    <row r="406" spans="1:107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</row>
    <row r="407" spans="1:1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</row>
    <row r="408" spans="1:107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</row>
    <row r="409" spans="1:107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</row>
    <row r="410" spans="1:107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</row>
    <row r="411" spans="1:107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</row>
    <row r="412" spans="1:107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</row>
    <row r="413" spans="1:107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</row>
    <row r="414" spans="1:107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</row>
    <row r="415" spans="1:107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</row>
    <row r="416" spans="1:107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</row>
    <row r="417" spans="1:10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</row>
    <row r="418" spans="1:107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</row>
    <row r="419" spans="1:107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</row>
    <row r="420" spans="1:107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</row>
    <row r="421" spans="1:107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</row>
    <row r="422" spans="1:107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</row>
    <row r="423" spans="1:107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</row>
    <row r="424" spans="1:107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</row>
    <row r="425" spans="1:107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</row>
    <row r="426" spans="1:107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</row>
    <row r="427" spans="1:10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</row>
    <row r="428" spans="1:107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</row>
    <row r="429" spans="1:107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</row>
    <row r="430" spans="1:107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</row>
    <row r="431" spans="1:107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</row>
    <row r="432" spans="1:107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</row>
    <row r="433" spans="1:107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</row>
    <row r="434" spans="1:107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</row>
    <row r="435" spans="1:107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</row>
    <row r="436" spans="1:107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</row>
    <row r="437" spans="1:10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</row>
    <row r="438" spans="1:107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</row>
    <row r="439" spans="1:107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</row>
    <row r="440" spans="1:107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</row>
    <row r="441" spans="1:107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</row>
    <row r="442" spans="1:107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</row>
    <row r="443" spans="1:107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</row>
    <row r="444" spans="1:107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</row>
    <row r="445" spans="1:107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</row>
    <row r="446" spans="1:107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</row>
    <row r="447" spans="1:10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</row>
    <row r="448" spans="1:107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</row>
    <row r="449" spans="1:107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</row>
    <row r="450" spans="1:107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</row>
    <row r="451" spans="1:107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</row>
    <row r="452" spans="1:107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</row>
    <row r="453" spans="1:107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</row>
    <row r="454" spans="1:107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</row>
    <row r="455" spans="1:107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</row>
    <row r="456" spans="1:107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</row>
    <row r="457" spans="1:10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</row>
    <row r="458" spans="1:107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</row>
    <row r="459" spans="1:107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</row>
    <row r="460" spans="1:107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</row>
    <row r="461" spans="1:107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</row>
    <row r="462" spans="1:107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</row>
    <row r="463" spans="1:107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</row>
    <row r="464" spans="1:107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</row>
    <row r="465" spans="1:107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</row>
    <row r="466" spans="1:107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</row>
    <row r="467" spans="1:10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</row>
    <row r="468" spans="1:107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</row>
    <row r="469" spans="1:107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</row>
    <row r="470" spans="1:107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</row>
    <row r="471" spans="1:107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</row>
    <row r="472" spans="1:107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</row>
    <row r="473" spans="1:107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</row>
    <row r="474" spans="1:107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</row>
    <row r="475" spans="1:107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</row>
    <row r="476" spans="1:107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</row>
    <row r="477" spans="1:10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</row>
    <row r="478" spans="1:107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</row>
    <row r="479" spans="1:107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</row>
    <row r="480" spans="1:107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</row>
    <row r="481" spans="1:107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</row>
    <row r="482" spans="1:107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</row>
    <row r="483" spans="1:107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</row>
    <row r="484" spans="1:107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</row>
    <row r="485" spans="1:107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</row>
    <row r="486" spans="1:107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</row>
    <row r="487" spans="1:10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</row>
    <row r="488" spans="1:107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</row>
    <row r="489" spans="1:107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</row>
    <row r="490" spans="1:107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</row>
    <row r="491" spans="1:107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</row>
    <row r="492" spans="1:107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</row>
    <row r="493" spans="1:107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</row>
    <row r="494" spans="1:107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</row>
    <row r="495" spans="1:107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</row>
    <row r="496" spans="1:107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</row>
    <row r="497" spans="1:10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</row>
    <row r="498" spans="1:107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</row>
    <row r="499" spans="1:107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</row>
    <row r="500" spans="1:107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</row>
    <row r="501" spans="1:107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</row>
    <row r="502" spans="1:107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</row>
    <row r="503" spans="1:107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</row>
    <row r="504" spans="1:107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</row>
    <row r="505" spans="1:107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</row>
    <row r="506" spans="1:107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</row>
    <row r="507" spans="1:1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</row>
    <row r="508" spans="1:107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</row>
    <row r="509" spans="1:107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</row>
    <row r="510" spans="1:107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</row>
    <row r="511" spans="1:107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</row>
    <row r="512" spans="1:107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</row>
    <row r="513" spans="1:107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</row>
    <row r="514" spans="1:107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</row>
    <row r="515" spans="1:107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</row>
    <row r="516" spans="1:107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</row>
    <row r="517" spans="1:10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</row>
    <row r="518" spans="1:107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</row>
    <row r="519" spans="1:107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</row>
    <row r="520" spans="1:107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</row>
    <row r="521" spans="1:107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</row>
    <row r="522" spans="1:107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</row>
    <row r="523" spans="1:107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</row>
    <row r="524" spans="1:107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</row>
    <row r="525" spans="1:107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</row>
    <row r="526" spans="1:107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</row>
    <row r="527" spans="1:10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</row>
    <row r="528" spans="1:107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</row>
    <row r="529" spans="1:107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</row>
    <row r="530" spans="1:107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</row>
    <row r="531" spans="1:107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</row>
    <row r="532" spans="1:107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</row>
    <row r="533" spans="1:107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</row>
    <row r="534" spans="1:107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</row>
    <row r="535" spans="1:107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</row>
    <row r="536" spans="1:107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</row>
    <row r="537" spans="1:10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</row>
    <row r="538" spans="1:107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</row>
    <row r="539" spans="1:107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</row>
    <row r="540" spans="1:107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</row>
    <row r="541" spans="1:107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</row>
    <row r="542" spans="1:107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</row>
    <row r="543" spans="1:107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</row>
    <row r="544" spans="1:107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</row>
    <row r="545" spans="1:107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</row>
    <row r="546" spans="1:107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</row>
    <row r="547" spans="1:10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</row>
    <row r="548" spans="1:107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</row>
    <row r="549" spans="1:107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</row>
    <row r="550" spans="1:107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</row>
    <row r="551" spans="1:107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</row>
    <row r="552" spans="1:107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</row>
    <row r="553" spans="1:107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</row>
    <row r="554" spans="1:107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</row>
    <row r="555" spans="1:107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</row>
    <row r="556" spans="1:107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</row>
    <row r="557" spans="1:10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</row>
    <row r="558" spans="1:107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</row>
    <row r="559" spans="1:107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</row>
    <row r="560" spans="1:107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</row>
    <row r="561" spans="1:107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</row>
    <row r="562" spans="1:107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</row>
    <row r="563" spans="1:107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</row>
    <row r="564" spans="1:107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</row>
    <row r="565" spans="1:107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</row>
    <row r="566" spans="1:107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</row>
    <row r="567" spans="1:10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</row>
    <row r="568" spans="1:107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</row>
    <row r="569" spans="1:107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</row>
    <row r="570" spans="1:107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</row>
    <row r="571" spans="1:107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</row>
    <row r="572" spans="1:107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</row>
    <row r="573" spans="1:107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</row>
    <row r="574" spans="1:107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</row>
    <row r="575" spans="1:107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</row>
    <row r="576" spans="1:107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</row>
    <row r="577" spans="1:10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</row>
    <row r="578" spans="1:107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</row>
    <row r="579" spans="1:107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</row>
    <row r="580" spans="1:107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</row>
    <row r="581" spans="1:107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</row>
    <row r="582" spans="1:107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</row>
    <row r="583" spans="1:107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</row>
    <row r="584" spans="1:107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</row>
    <row r="585" spans="1:107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</row>
    <row r="586" spans="1:107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</row>
    <row r="587" spans="1:10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</row>
    <row r="588" spans="1:107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</row>
    <row r="589" spans="1:107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</row>
    <row r="590" spans="1:107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</row>
    <row r="591" spans="1:107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</row>
    <row r="592" spans="1:107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</row>
    <row r="593" spans="1:107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</row>
    <row r="594" spans="1:107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</row>
    <row r="595" spans="1:107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</row>
    <row r="596" spans="1:107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</row>
    <row r="597" spans="1:10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</row>
    <row r="598" spans="1:107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</row>
    <row r="599" spans="1:107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</row>
    <row r="600" spans="1:107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</row>
    <row r="601" spans="1:107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</row>
    <row r="602" spans="1:107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</row>
    <row r="603" spans="1:107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</row>
    <row r="604" spans="1:107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</row>
    <row r="605" spans="1:107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</row>
    <row r="606" spans="1:107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</row>
    <row r="607" spans="1:1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</row>
    <row r="608" spans="1:107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</row>
    <row r="609" spans="1:107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</row>
    <row r="610" spans="1:107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</row>
    <row r="611" spans="1:107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</row>
    <row r="612" spans="1:107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</row>
    <row r="613" spans="1:107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</row>
    <row r="614" spans="1:107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</row>
    <row r="615" spans="1:107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</row>
    <row r="616" spans="1:107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</row>
    <row r="617" spans="1:10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</row>
    <row r="618" spans="1:107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</row>
    <row r="619" spans="1:107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</row>
    <row r="620" spans="1:107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</row>
    <row r="621" spans="1:107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</row>
    <row r="622" spans="1:107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</row>
    <row r="623" spans="1:107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</row>
    <row r="624" spans="1:107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</row>
    <row r="625" spans="1:107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</row>
    <row r="626" spans="1:107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</row>
    <row r="627" spans="1:10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</row>
    <row r="628" spans="1:107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</row>
    <row r="629" spans="1:107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</row>
    <row r="630" spans="1:107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</row>
    <row r="631" spans="1:107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</row>
    <row r="632" spans="1:107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</row>
    <row r="633" spans="1:107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</row>
    <row r="634" spans="1:107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</row>
    <row r="635" spans="1:107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</row>
    <row r="636" spans="1:107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</row>
    <row r="637" spans="1:10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</row>
    <row r="638" spans="1:107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</row>
    <row r="639" spans="1:107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</row>
    <row r="640" spans="1:107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</row>
    <row r="641" spans="1:107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</row>
    <row r="642" spans="1:107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</row>
    <row r="643" spans="1:107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</row>
    <row r="644" spans="1:107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</row>
    <row r="645" spans="1:107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</row>
    <row r="646" spans="1:107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</row>
    <row r="647" spans="1:10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</row>
    <row r="648" spans="1:107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</row>
    <row r="649" spans="1:107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</row>
    <row r="650" spans="1:107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</row>
    <row r="651" spans="1:107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</row>
    <row r="652" spans="1:107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</row>
    <row r="653" spans="1:107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</row>
    <row r="654" spans="1:107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</row>
    <row r="655" spans="1:107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</row>
    <row r="656" spans="1:107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</row>
    <row r="657" spans="1:10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</row>
    <row r="658" spans="1:107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</row>
    <row r="659" spans="1:107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</row>
    <row r="660" spans="1:107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</row>
    <row r="661" spans="1:107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</row>
    <row r="662" spans="1:107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</row>
    <row r="663" spans="1:107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</row>
    <row r="664" spans="1:107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</row>
    <row r="665" spans="1:107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</row>
    <row r="666" spans="1:107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</row>
    <row r="667" spans="1:10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</row>
    <row r="668" spans="1:107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</row>
    <row r="669" spans="1:107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</row>
    <row r="670" spans="1:107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</row>
    <row r="671" spans="1:107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</row>
    <row r="672" spans="1:107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</row>
    <row r="673" spans="1:107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</row>
    <row r="674" spans="1:107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</row>
    <row r="675" spans="1:107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</row>
    <row r="676" spans="1:107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</row>
    <row r="677" spans="1:10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</row>
    <row r="678" spans="1:107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</row>
    <row r="679" spans="1:107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</row>
    <row r="680" spans="1:107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</row>
    <row r="681" spans="1:107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</row>
    <row r="682" spans="1:107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</row>
    <row r="683" spans="1:107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</row>
    <row r="684" spans="1:107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</row>
    <row r="685" spans="1:107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</row>
    <row r="686" spans="1:107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</row>
    <row r="687" spans="1:10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</row>
    <row r="688" spans="1:107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</row>
    <row r="689" spans="1:107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</row>
    <row r="690" spans="1:107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</row>
    <row r="691" spans="1:107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</row>
    <row r="692" spans="1:107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</row>
    <row r="693" spans="1:107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</row>
    <row r="694" spans="1:107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</row>
    <row r="695" spans="1:107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</row>
    <row r="696" spans="1:107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</row>
    <row r="697" spans="1:10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</row>
    <row r="698" spans="1:107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</row>
    <row r="699" spans="1:107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</row>
    <row r="700" spans="1:107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</row>
    <row r="701" spans="1:107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</row>
    <row r="702" spans="1:107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</row>
    <row r="703" spans="1:107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</row>
    <row r="704" spans="1:107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</row>
    <row r="705" spans="1:107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</row>
    <row r="706" spans="1:107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</row>
    <row r="707" spans="1:1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</row>
    <row r="708" spans="1:107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</row>
    <row r="709" spans="1:107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</row>
    <row r="710" spans="1:107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</row>
    <row r="711" spans="1:107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</row>
    <row r="712" spans="1:107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</row>
    <row r="713" spans="1:107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</row>
    <row r="714" spans="1:107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</row>
    <row r="715" spans="1:107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</row>
    <row r="716" spans="1:107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</row>
    <row r="717" spans="1:10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</row>
    <row r="718" spans="1:107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</row>
    <row r="719" spans="1:107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</row>
    <row r="720" spans="1:107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</row>
    <row r="721" spans="1:107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</row>
    <row r="722" spans="1:107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</row>
    <row r="723" spans="1:107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</row>
    <row r="724" spans="1:107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</row>
    <row r="725" spans="1:107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</row>
    <row r="726" spans="1:107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</row>
    <row r="727" spans="1:10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</row>
    <row r="728" spans="1:107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</row>
    <row r="729" spans="1:107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</row>
    <row r="730" spans="1:107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</row>
    <row r="731" spans="1:107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</row>
    <row r="732" spans="1:107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</row>
    <row r="733" spans="1:107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</row>
    <row r="734" spans="1:107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</row>
    <row r="735" spans="1:107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</row>
    <row r="736" spans="1:107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</row>
    <row r="737" spans="1:10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</row>
    <row r="738" spans="1:107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</row>
    <row r="739" spans="1:107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</row>
    <row r="740" spans="1:107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</row>
    <row r="741" spans="1:107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</row>
    <row r="742" spans="1:107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</row>
    <row r="743" spans="1:107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</row>
    <row r="744" spans="1:107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</row>
    <row r="745" spans="1:107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</row>
    <row r="746" spans="1:107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</row>
    <row r="747" spans="1:10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</row>
    <row r="748" spans="1:107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</row>
    <row r="749" spans="1:107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</row>
    <row r="750" spans="1:107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</row>
    <row r="751" spans="1:107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</row>
    <row r="752" spans="1:107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</row>
    <row r="753" spans="1:107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</row>
    <row r="754" spans="1:107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</row>
    <row r="755" spans="1:107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</row>
    <row r="756" spans="1:107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</row>
    <row r="757" spans="1:10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</row>
    <row r="758" spans="1:107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</row>
    <row r="759" spans="1:107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</row>
    <row r="760" spans="1:107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</row>
    <row r="761" spans="1:107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</row>
    <row r="762" spans="1:107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</row>
    <row r="763" spans="1:107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</row>
    <row r="764" spans="1:107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</row>
    <row r="765" spans="1:107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</row>
    <row r="766" spans="1:107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</row>
    <row r="767" spans="1:10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</row>
    <row r="768" spans="1:107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</row>
    <row r="769" spans="1:107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</row>
    <row r="770" spans="1:107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</row>
    <row r="771" spans="1:107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</row>
    <row r="772" spans="1:107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</row>
    <row r="773" spans="1:107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</row>
    <row r="774" spans="1:107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</row>
    <row r="775" spans="1:107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</row>
    <row r="776" spans="1:107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</row>
    <row r="777" spans="1:10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</row>
    <row r="778" spans="1:107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</row>
    <row r="779" spans="1:107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</row>
    <row r="780" spans="1:107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</row>
    <row r="781" spans="1:107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</row>
    <row r="782" spans="1:107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</row>
    <row r="783" spans="1:107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</row>
    <row r="784" spans="1:107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</row>
    <row r="785" spans="1:107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</row>
    <row r="786" spans="1:107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</row>
    <row r="787" spans="1:10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</row>
    <row r="788" spans="1:107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</row>
    <row r="789" spans="1:107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</row>
    <row r="790" spans="1:107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</row>
    <row r="791" spans="1:107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</row>
    <row r="792" spans="1:107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</row>
    <row r="793" spans="1:107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</row>
    <row r="794" spans="1:107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</row>
    <row r="795" spans="1:107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</row>
    <row r="796" spans="1:107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</row>
    <row r="797" spans="1:10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</row>
    <row r="798" spans="1:107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</row>
    <row r="799" spans="1:107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</row>
    <row r="800" spans="1:107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</row>
    <row r="801" spans="1:107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</row>
    <row r="802" spans="1:107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</row>
    <row r="803" spans="1:107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</row>
    <row r="804" spans="1:107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</row>
    <row r="805" spans="1:107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</row>
    <row r="806" spans="1:107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</row>
    <row r="807" spans="1:1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</row>
    <row r="808" spans="1:107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</row>
    <row r="809" spans="1:107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</row>
    <row r="810" spans="1:107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</row>
    <row r="811" spans="1:107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</row>
    <row r="812" spans="1:107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</row>
    <row r="813" spans="1:107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</row>
    <row r="814" spans="1:107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</row>
    <row r="815" spans="1:107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</row>
    <row r="816" spans="1:107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</row>
    <row r="817" spans="1:10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</row>
    <row r="818" spans="1:107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</row>
    <row r="819" spans="1:107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</row>
    <row r="820" spans="1:107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</row>
    <row r="821" spans="1:107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</row>
    <row r="822" spans="1:107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</row>
    <row r="823" spans="1:107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</row>
    <row r="824" spans="1:107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</row>
    <row r="825" spans="1:107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</row>
    <row r="826" spans="1:107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</row>
    <row r="827" spans="1:10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</row>
    <row r="828" spans="1:107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</row>
    <row r="829" spans="1:107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</row>
    <row r="830" spans="1:107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</row>
    <row r="831" spans="1:107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</row>
    <row r="832" spans="1:107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</row>
    <row r="833" spans="1:107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</row>
    <row r="834" spans="1:107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</row>
    <row r="835" spans="1:107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</row>
    <row r="836" spans="1:107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</row>
    <row r="837" spans="1:10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</row>
    <row r="838" spans="1:107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</row>
    <row r="839" spans="1:107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</row>
    <row r="840" spans="1:107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</row>
    <row r="841" spans="1:107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</row>
    <row r="842" spans="1:107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</row>
    <row r="843" spans="1:107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</row>
    <row r="844" spans="1:107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</row>
    <row r="845" spans="1:107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</row>
    <row r="846" spans="1:107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</row>
    <row r="847" spans="1:10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</row>
    <row r="848" spans="1:107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</row>
    <row r="849" spans="1:107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</row>
    <row r="850" spans="1:107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</row>
    <row r="851" spans="1:107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</row>
    <row r="852" spans="1:107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</row>
    <row r="853" spans="1:107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</row>
    <row r="854" spans="1:107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</row>
    <row r="855" spans="1:107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</row>
    <row r="856" spans="1:107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</row>
    <row r="857" spans="1:10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</row>
    <row r="858" spans="1:107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</row>
    <row r="859" spans="1:107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</row>
    <row r="860" spans="1:107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</row>
    <row r="861" spans="1:107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</row>
    <row r="862" spans="1:107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</row>
    <row r="863" spans="1:107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</row>
    <row r="864" spans="1:107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</row>
    <row r="865" spans="1:107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</row>
    <row r="866" spans="1:107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</row>
    <row r="867" spans="1:10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</row>
    <row r="868" spans="1:107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</row>
    <row r="869" spans="1:107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</row>
    <row r="870" spans="1:107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</row>
    <row r="871" spans="1:107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</row>
    <row r="872" spans="1:107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</row>
    <row r="873" spans="1:107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</row>
    <row r="874" spans="1:107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</row>
    <row r="875" spans="1:107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</row>
    <row r="876" spans="1:107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</row>
    <row r="877" spans="1:10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</row>
    <row r="878" spans="1:107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</row>
    <row r="879" spans="1:107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</row>
    <row r="880" spans="1:107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</row>
    <row r="881" spans="1:107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</row>
    <row r="882" spans="1:107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</row>
    <row r="883" spans="1:107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</row>
    <row r="884" spans="1:107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</row>
    <row r="885" spans="1:107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</row>
    <row r="886" spans="1:107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</row>
    <row r="887" spans="1:10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</row>
    <row r="888" spans="1:107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</row>
    <row r="889" spans="1:107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</row>
    <row r="890" spans="1:107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</row>
    <row r="891" spans="1:107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</row>
    <row r="892" spans="1:107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</row>
    <row r="893" spans="1:107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</row>
    <row r="894" spans="1:107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</row>
    <row r="895" spans="1:107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</row>
    <row r="896" spans="1:107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</row>
    <row r="897" spans="1:10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</row>
    <row r="898" spans="1:107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</row>
    <row r="899" spans="1:107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</row>
    <row r="900" spans="1:107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</row>
    <row r="901" spans="1:107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</row>
    <row r="902" spans="1:107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</row>
    <row r="903" spans="1:107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</row>
    <row r="904" spans="1:107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</row>
    <row r="905" spans="1:107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</row>
    <row r="906" spans="1:107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</row>
    <row r="907" spans="1:1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</row>
    <row r="908" spans="1:107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</row>
    <row r="909" spans="1:107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</row>
    <row r="910" spans="1:107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</row>
    <row r="911" spans="1:107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</row>
    <row r="912" spans="1:107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</row>
    <row r="913" spans="1:107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</row>
    <row r="914" spans="1:107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</row>
    <row r="915" spans="1:107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</row>
    <row r="916" spans="1:107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</row>
    <row r="917" spans="1:10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</row>
    <row r="918" spans="1:107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</row>
    <row r="919" spans="1:107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</row>
    <row r="920" spans="1:107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</row>
    <row r="921" spans="1:107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</row>
    <row r="922" spans="1:107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</row>
    <row r="923" spans="1:107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</row>
    <row r="924" spans="1:107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</row>
    <row r="925" spans="1:107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</row>
    <row r="926" spans="1:107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</row>
    <row r="927" spans="1:10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</row>
    <row r="928" spans="1:107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</row>
    <row r="929" spans="1:107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</row>
    <row r="930" spans="1:107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</row>
    <row r="931" spans="1:107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</row>
    <row r="932" spans="1:107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</row>
    <row r="933" spans="1:107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</row>
    <row r="934" spans="1:107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</row>
    <row r="935" spans="1:107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</row>
    <row r="936" spans="1:107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</row>
    <row r="937" spans="1:10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</row>
    <row r="938" spans="1:107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</row>
    <row r="939" spans="1:107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</row>
    <row r="940" spans="1:107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</row>
    <row r="941" spans="1:107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</row>
    <row r="942" spans="1:107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</row>
    <row r="943" spans="1:107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</row>
    <row r="944" spans="1:107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</row>
    <row r="945" spans="1:107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</row>
    <row r="946" spans="1:107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</row>
    <row r="947" spans="1:10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</row>
    <row r="948" spans="1:107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</row>
    <row r="949" spans="1:107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</row>
    <row r="950" spans="1:107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</row>
    <row r="951" spans="1:107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</row>
    <row r="952" spans="1:107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</row>
    <row r="953" spans="1:107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</row>
    <row r="954" spans="1:107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</row>
    <row r="955" spans="1:107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</row>
    <row r="956" spans="1:107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</row>
    <row r="957" spans="1:10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</row>
    <row r="958" spans="1:107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</row>
    <row r="959" spans="1:107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</row>
    <row r="960" spans="1:107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</row>
    <row r="961" spans="1:107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</row>
    <row r="962" spans="1:107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</row>
    <row r="963" spans="1:107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</row>
    <row r="964" spans="1:107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</row>
    <row r="965" spans="1:107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</row>
    <row r="966" spans="1:107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</row>
    <row r="967" spans="1:10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</row>
    <row r="968" spans="1:107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</row>
    <row r="969" spans="1:107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</row>
    <row r="970" spans="1:107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</row>
    <row r="971" spans="1:107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</row>
    <row r="972" spans="1:107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</row>
    <row r="973" spans="1:107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</row>
    <row r="974" spans="1:107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</row>
    <row r="975" spans="1:107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</row>
    <row r="976" spans="1:107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</row>
    <row r="977" spans="1:10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</row>
    <row r="978" spans="1:107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</row>
    <row r="979" spans="1:107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</row>
    <row r="980" spans="1:107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</row>
    <row r="981" spans="1:107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</row>
    <row r="982" spans="1:107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</row>
    <row r="983" spans="1:107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</row>
    <row r="984" spans="1:107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</row>
    <row r="985" spans="1:107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</row>
    <row r="986" spans="1:107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</row>
    <row r="987" spans="1:10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</row>
    <row r="988" spans="1:107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</row>
    <row r="989" spans="1:107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</row>
    <row r="990" spans="1:107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</row>
    <row r="991" spans="1:107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</row>
    <row r="992" spans="1:107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</row>
    <row r="993" spans="1:107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</row>
    <row r="994" spans="1:107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</row>
    <row r="995" spans="1:107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</row>
    <row r="996" spans="1:107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</row>
    <row r="997" spans="1:10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</row>
    <row r="998" spans="1:107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</row>
    <row r="999" spans="1:107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</row>
    <row r="1000" spans="1:107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</row>
    <row r="1001" spans="1:107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</row>
    <row r="1002" spans="1:107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</row>
    <row r="1003" spans="1:107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</row>
    <row r="1004" spans="1:107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</row>
    <row r="1005" spans="1:107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</row>
    <row r="1006" spans="1:107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</row>
    <row r="1007" spans="1:1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</row>
    <row r="1008" spans="1:107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</row>
    <row r="1009" spans="1:107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</row>
    <row r="1010" spans="1:107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</row>
    <row r="1011" spans="1:107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</row>
    <row r="1012" spans="1:107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</row>
    <row r="1013" spans="1:107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</row>
    <row r="1014" spans="1:107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</row>
    <row r="1015" spans="1:107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</row>
    <row r="1016" spans="1:107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</row>
    <row r="1017" spans="1:10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</row>
    <row r="1018" spans="1:107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</row>
    <row r="1019" spans="1:107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</row>
    <row r="1020" spans="1:107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</row>
    <row r="1021" spans="1:107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</row>
    <row r="1022" spans="1:107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</row>
    <row r="1023" spans="1:107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</row>
    <row r="1024" spans="1:107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</row>
    <row r="1025" spans="1:107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</row>
    <row r="1026" spans="1:107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</row>
    <row r="1027" spans="1:10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</row>
    <row r="1028" spans="1:107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</row>
    <row r="1029" spans="1:107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</row>
    <row r="1030" spans="1:107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</row>
    <row r="1031" spans="1:107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</row>
    <row r="1032" spans="1:107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</row>
    <row r="1033" spans="1:107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</row>
    <row r="1034" spans="1:107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</row>
    <row r="1035" spans="1:107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</row>
    <row r="1036" spans="1:107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</row>
    <row r="1037" spans="1:10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</row>
    <row r="1038" spans="1:107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</row>
    <row r="1039" spans="1:107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</row>
    <row r="1040" spans="1:107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</row>
    <row r="1041" spans="1:107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</row>
    <row r="1042" spans="1:107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</row>
    <row r="1043" spans="1:107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</row>
    <row r="1044" spans="1:107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</row>
    <row r="1045" spans="1:107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</row>
    <row r="1046" spans="1:107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</row>
    <row r="1047" spans="1:107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</row>
    <row r="1048" spans="1:107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</row>
    <row r="1049" spans="1:107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</row>
    <row r="1050" spans="1:107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</row>
    <row r="1051" spans="1:107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</row>
    <row r="1052" spans="1:107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</row>
    <row r="1053" spans="1:107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</row>
    <row r="1054" spans="1:107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</row>
    <row r="1055" spans="1:107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</row>
    <row r="1056" spans="1:107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</row>
    <row r="1057" spans="1:107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</row>
    <row r="1058" spans="1:107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</row>
    <row r="1059" spans="1:107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</row>
    <row r="1060" spans="1:107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</row>
    <row r="1061" spans="1:107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</row>
    <row r="1062" spans="1:107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</row>
    <row r="1063" spans="1:107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</row>
    <row r="1064" spans="1:107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</row>
    <row r="1065" spans="1:107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</row>
    <row r="1066" spans="1:107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</row>
    <row r="1067" spans="1:107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</row>
    <row r="1068" spans="1:107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</row>
    <row r="1069" spans="1:107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</row>
    <row r="1070" spans="1:107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</row>
    <row r="1071" spans="1:107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</row>
    <row r="1072" spans="1:107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</row>
    <row r="1073" spans="1:107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</row>
    <row r="1074" spans="1:107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</row>
    <row r="1075" spans="1:107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</row>
    <row r="1076" spans="1:107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</row>
    <row r="1077" spans="1:107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  <c r="DB1077" s="1"/>
      <c r="DC1077" s="1"/>
    </row>
    <row r="1078" spans="1:107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</row>
    <row r="1079" spans="1:107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  <c r="CW1079" s="1"/>
      <c r="CX1079" s="1"/>
      <c r="CY1079" s="1"/>
      <c r="CZ1079" s="1"/>
      <c r="DA1079" s="1"/>
      <c r="DB1079" s="1"/>
      <c r="DC1079" s="1"/>
    </row>
    <row r="1080" spans="1:107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  <c r="CW1080" s="1"/>
      <c r="CX1080" s="1"/>
      <c r="CY1080" s="1"/>
      <c r="CZ1080" s="1"/>
      <c r="DA1080" s="1"/>
      <c r="DB1080" s="1"/>
      <c r="DC1080" s="1"/>
    </row>
    <row r="1081" spans="1:107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  <c r="CW1081" s="1"/>
      <c r="CX1081" s="1"/>
      <c r="CY1081" s="1"/>
      <c r="CZ1081" s="1"/>
      <c r="DA1081" s="1"/>
      <c r="DB1081" s="1"/>
      <c r="DC1081" s="1"/>
    </row>
    <row r="1082" spans="1:107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  <c r="CW1082" s="1"/>
      <c r="CX1082" s="1"/>
      <c r="CY1082" s="1"/>
      <c r="CZ1082" s="1"/>
      <c r="DA1082" s="1"/>
      <c r="DB1082" s="1"/>
      <c r="DC1082" s="1"/>
    </row>
    <row r="1083" spans="1:107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  <c r="CW1083" s="1"/>
      <c r="CX1083" s="1"/>
      <c r="CY1083" s="1"/>
      <c r="CZ1083" s="1"/>
      <c r="DA1083" s="1"/>
      <c r="DB1083" s="1"/>
      <c r="DC1083" s="1"/>
    </row>
    <row r="1084" spans="1:107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  <c r="CW1084" s="1"/>
      <c r="CX1084" s="1"/>
      <c r="CY1084" s="1"/>
      <c r="CZ1084" s="1"/>
      <c r="DA1084" s="1"/>
      <c r="DB1084" s="1"/>
      <c r="DC1084" s="1"/>
    </row>
    <row r="1085" spans="1:107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  <c r="CW1085" s="1"/>
      <c r="CX1085" s="1"/>
      <c r="CY1085" s="1"/>
      <c r="CZ1085" s="1"/>
      <c r="DA1085" s="1"/>
      <c r="DB1085" s="1"/>
      <c r="DC1085" s="1"/>
    </row>
    <row r="1086" spans="1:107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  <c r="CW1086" s="1"/>
      <c r="CX1086" s="1"/>
      <c r="CY1086" s="1"/>
      <c r="CZ1086" s="1"/>
      <c r="DA1086" s="1"/>
      <c r="DB1086" s="1"/>
      <c r="DC1086" s="1"/>
    </row>
    <row r="1087" spans="1:107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  <c r="CW1087" s="1"/>
      <c r="CX1087" s="1"/>
      <c r="CY1087" s="1"/>
      <c r="CZ1087" s="1"/>
      <c r="DA1087" s="1"/>
      <c r="DB1087" s="1"/>
      <c r="DC1087" s="1"/>
    </row>
    <row r="1088" spans="1:107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  <c r="CW1088" s="1"/>
      <c r="CX1088" s="1"/>
      <c r="CY1088" s="1"/>
      <c r="CZ1088" s="1"/>
      <c r="DA1088" s="1"/>
      <c r="DB1088" s="1"/>
      <c r="DC1088" s="1"/>
    </row>
    <row r="1089" spans="1:107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  <c r="CW1089" s="1"/>
      <c r="CX1089" s="1"/>
      <c r="CY1089" s="1"/>
      <c r="CZ1089" s="1"/>
      <c r="DA1089" s="1"/>
      <c r="DB1089" s="1"/>
      <c r="DC1089" s="1"/>
    </row>
    <row r="1090" spans="1:107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  <c r="CV1090" s="1"/>
      <c r="CW1090" s="1"/>
      <c r="CX1090" s="1"/>
      <c r="CY1090" s="1"/>
      <c r="CZ1090" s="1"/>
      <c r="DA1090" s="1"/>
      <c r="DB1090" s="1"/>
      <c r="DC1090" s="1"/>
    </row>
    <row r="1091" spans="1:107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/>
      <c r="CT1091" s="1"/>
      <c r="CU1091" s="1"/>
      <c r="CV1091" s="1"/>
      <c r="CW1091" s="1"/>
      <c r="CX1091" s="1"/>
      <c r="CY1091" s="1"/>
      <c r="CZ1091" s="1"/>
      <c r="DA1091" s="1"/>
      <c r="DB1091" s="1"/>
      <c r="DC1091" s="1"/>
    </row>
    <row r="1092" spans="1:107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/>
      <c r="CT1092" s="1"/>
      <c r="CU1092" s="1"/>
      <c r="CV1092" s="1"/>
      <c r="CW1092" s="1"/>
      <c r="CX1092" s="1"/>
      <c r="CY1092" s="1"/>
      <c r="CZ1092" s="1"/>
      <c r="DA1092" s="1"/>
      <c r="DB1092" s="1"/>
      <c r="DC1092" s="1"/>
    </row>
    <row r="1093" spans="1:107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/>
      <c r="CT1093" s="1"/>
      <c r="CU1093" s="1"/>
      <c r="CV1093" s="1"/>
      <c r="CW1093" s="1"/>
      <c r="CX1093" s="1"/>
      <c r="CY1093" s="1"/>
      <c r="CZ1093" s="1"/>
      <c r="DA1093" s="1"/>
      <c r="DB1093" s="1"/>
      <c r="DC1093" s="1"/>
    </row>
    <row r="1094" spans="1:107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  <c r="CO1094" s="1"/>
      <c r="CP1094" s="1"/>
      <c r="CQ1094" s="1"/>
      <c r="CR1094" s="1"/>
      <c r="CS1094" s="1"/>
      <c r="CT1094" s="1"/>
      <c r="CU1094" s="1"/>
      <c r="CV1094" s="1"/>
      <c r="CW1094" s="1"/>
      <c r="CX1094" s="1"/>
      <c r="CY1094" s="1"/>
      <c r="CZ1094" s="1"/>
      <c r="DA1094" s="1"/>
      <c r="DB1094" s="1"/>
      <c r="DC1094" s="1"/>
    </row>
    <row r="1095" spans="1:107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  <c r="CP1095" s="1"/>
      <c r="CQ1095" s="1"/>
      <c r="CR1095" s="1"/>
      <c r="CS1095" s="1"/>
      <c r="CT1095" s="1"/>
      <c r="CU1095" s="1"/>
      <c r="CV1095" s="1"/>
      <c r="CW1095" s="1"/>
      <c r="CX1095" s="1"/>
      <c r="CY1095" s="1"/>
      <c r="CZ1095" s="1"/>
      <c r="DA1095" s="1"/>
      <c r="DB1095" s="1"/>
      <c r="DC1095" s="1"/>
    </row>
    <row r="1096" spans="1:107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/>
      <c r="CP1096" s="1"/>
      <c r="CQ1096" s="1"/>
      <c r="CR1096" s="1"/>
      <c r="CS1096" s="1"/>
      <c r="CT1096" s="1"/>
      <c r="CU1096" s="1"/>
      <c r="CV1096" s="1"/>
      <c r="CW1096" s="1"/>
      <c r="CX1096" s="1"/>
      <c r="CY1096" s="1"/>
      <c r="CZ1096" s="1"/>
      <c r="DA1096" s="1"/>
      <c r="DB1096" s="1"/>
      <c r="DC1096" s="1"/>
    </row>
    <row r="1097" spans="1:107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/>
      <c r="CM1097" s="1"/>
      <c r="CN1097" s="1"/>
      <c r="CO1097" s="1"/>
      <c r="CP1097" s="1"/>
      <c r="CQ1097" s="1"/>
      <c r="CR1097" s="1"/>
      <c r="CS1097" s="1"/>
      <c r="CT1097" s="1"/>
      <c r="CU1097" s="1"/>
      <c r="CV1097" s="1"/>
      <c r="CW1097" s="1"/>
      <c r="CX1097" s="1"/>
      <c r="CY1097" s="1"/>
      <c r="CZ1097" s="1"/>
      <c r="DA1097" s="1"/>
      <c r="DB1097" s="1"/>
      <c r="DC1097" s="1"/>
    </row>
    <row r="1098" spans="1:107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L1098" s="1"/>
      <c r="CM1098" s="1"/>
      <c r="CN1098" s="1"/>
      <c r="CO1098" s="1"/>
      <c r="CP1098" s="1"/>
      <c r="CQ1098" s="1"/>
      <c r="CR1098" s="1"/>
      <c r="CS1098" s="1"/>
      <c r="CT1098" s="1"/>
      <c r="CU1098" s="1"/>
      <c r="CV1098" s="1"/>
      <c r="CW1098" s="1"/>
      <c r="CX1098" s="1"/>
      <c r="CY1098" s="1"/>
      <c r="CZ1098" s="1"/>
      <c r="DA1098" s="1"/>
      <c r="DB1098" s="1"/>
      <c r="DC1098" s="1"/>
    </row>
    <row r="1099" spans="1:107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"/>
      <c r="CG1099" s="1"/>
      <c r="CH1099" s="1"/>
      <c r="CI1099" s="1"/>
      <c r="CJ1099" s="1"/>
      <c r="CK1099" s="1"/>
      <c r="CL1099" s="1"/>
      <c r="CM1099" s="1"/>
      <c r="CN1099" s="1"/>
      <c r="CO1099" s="1"/>
      <c r="CP1099" s="1"/>
      <c r="CQ1099" s="1"/>
      <c r="CR1099" s="1"/>
      <c r="CS1099" s="1"/>
      <c r="CT1099" s="1"/>
      <c r="CU1099" s="1"/>
      <c r="CV1099" s="1"/>
      <c r="CW1099" s="1"/>
      <c r="CX1099" s="1"/>
      <c r="CY1099" s="1"/>
      <c r="CZ1099" s="1"/>
      <c r="DA1099" s="1"/>
      <c r="DB1099" s="1"/>
      <c r="DC1099" s="1"/>
    </row>
    <row r="1100" spans="1:107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L1100" s="1"/>
      <c r="CM1100" s="1"/>
      <c r="CN1100" s="1"/>
      <c r="CO1100" s="1"/>
      <c r="CP1100" s="1"/>
      <c r="CQ1100" s="1"/>
      <c r="CR1100" s="1"/>
      <c r="CS1100" s="1"/>
      <c r="CT1100" s="1"/>
      <c r="CU1100" s="1"/>
      <c r="CV1100" s="1"/>
      <c r="CW1100" s="1"/>
      <c r="CX1100" s="1"/>
      <c r="CY1100" s="1"/>
      <c r="CZ1100" s="1"/>
      <c r="DA1100" s="1"/>
      <c r="DB1100" s="1"/>
      <c r="DC1100" s="1"/>
    </row>
    <row r="1101" spans="1:107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  <c r="CA1101" s="1"/>
      <c r="CB1101" s="1"/>
      <c r="CC1101" s="1"/>
      <c r="CD1101" s="1"/>
      <c r="CE1101" s="1"/>
      <c r="CF1101" s="1"/>
      <c r="CG1101" s="1"/>
      <c r="CH1101" s="1"/>
      <c r="CI1101" s="1"/>
      <c r="CJ1101" s="1"/>
      <c r="CK1101" s="1"/>
      <c r="CL1101" s="1"/>
      <c r="CM1101" s="1"/>
      <c r="CN1101" s="1"/>
      <c r="CO1101" s="1"/>
      <c r="CP1101" s="1"/>
      <c r="CQ1101" s="1"/>
      <c r="CR1101" s="1"/>
      <c r="CS1101" s="1"/>
      <c r="CT1101" s="1"/>
      <c r="CU1101" s="1"/>
      <c r="CV1101" s="1"/>
      <c r="CW1101" s="1"/>
      <c r="CX1101" s="1"/>
      <c r="CY1101" s="1"/>
      <c r="CZ1101" s="1"/>
      <c r="DA1101" s="1"/>
      <c r="DB1101" s="1"/>
      <c r="DC1101" s="1"/>
    </row>
    <row r="1102" spans="1:107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BZ1102" s="1"/>
      <c r="CA1102" s="1"/>
      <c r="CB1102" s="1"/>
      <c r="CC1102" s="1"/>
      <c r="CD1102" s="1"/>
      <c r="CE1102" s="1"/>
      <c r="CF1102" s="1"/>
      <c r="CG1102" s="1"/>
      <c r="CH1102" s="1"/>
      <c r="CI1102" s="1"/>
      <c r="CJ1102" s="1"/>
      <c r="CK1102" s="1"/>
      <c r="CL1102" s="1"/>
      <c r="CM1102" s="1"/>
      <c r="CN1102" s="1"/>
      <c r="CO1102" s="1"/>
      <c r="CP1102" s="1"/>
      <c r="CQ1102" s="1"/>
      <c r="CR1102" s="1"/>
      <c r="CS1102" s="1"/>
      <c r="CT1102" s="1"/>
      <c r="CU1102" s="1"/>
      <c r="CV1102" s="1"/>
      <c r="CW1102" s="1"/>
      <c r="CX1102" s="1"/>
      <c r="CY1102" s="1"/>
      <c r="CZ1102" s="1"/>
      <c r="DA1102" s="1"/>
      <c r="DB1102" s="1"/>
      <c r="DC1102" s="1"/>
    </row>
    <row r="1103" spans="1:107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1"/>
      <c r="CA1103" s="1"/>
      <c r="CB1103" s="1"/>
      <c r="CC1103" s="1"/>
      <c r="CD1103" s="1"/>
      <c r="CE1103" s="1"/>
      <c r="CF1103" s="1"/>
      <c r="CG1103" s="1"/>
      <c r="CH1103" s="1"/>
      <c r="CI1103" s="1"/>
      <c r="CJ1103" s="1"/>
      <c r="CK1103" s="1"/>
      <c r="CL1103" s="1"/>
      <c r="CM1103" s="1"/>
      <c r="CN1103" s="1"/>
      <c r="CO1103" s="1"/>
      <c r="CP1103" s="1"/>
      <c r="CQ1103" s="1"/>
      <c r="CR1103" s="1"/>
      <c r="CS1103" s="1"/>
      <c r="CT1103" s="1"/>
      <c r="CU1103" s="1"/>
      <c r="CV1103" s="1"/>
      <c r="CW1103" s="1"/>
      <c r="CX1103" s="1"/>
      <c r="CY1103" s="1"/>
      <c r="CZ1103" s="1"/>
      <c r="DA1103" s="1"/>
      <c r="DB1103" s="1"/>
      <c r="DC1103" s="1"/>
    </row>
    <row r="1104" spans="1:107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  <c r="BZ1104" s="1"/>
      <c r="CA1104" s="1"/>
      <c r="CB1104" s="1"/>
      <c r="CC1104" s="1"/>
      <c r="CD1104" s="1"/>
      <c r="CE1104" s="1"/>
      <c r="CF1104" s="1"/>
      <c r="CG1104" s="1"/>
      <c r="CH1104" s="1"/>
      <c r="CI1104" s="1"/>
      <c r="CJ1104" s="1"/>
      <c r="CK1104" s="1"/>
      <c r="CL1104" s="1"/>
      <c r="CM1104" s="1"/>
      <c r="CN1104" s="1"/>
      <c r="CO1104" s="1"/>
      <c r="CP1104" s="1"/>
      <c r="CQ1104" s="1"/>
      <c r="CR1104" s="1"/>
      <c r="CS1104" s="1"/>
      <c r="CT1104" s="1"/>
      <c r="CU1104" s="1"/>
      <c r="CV1104" s="1"/>
      <c r="CW1104" s="1"/>
      <c r="CX1104" s="1"/>
      <c r="CY1104" s="1"/>
      <c r="CZ1104" s="1"/>
      <c r="DA1104" s="1"/>
      <c r="DB1104" s="1"/>
      <c r="DC1104" s="1"/>
    </row>
    <row r="1105" spans="1:107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1"/>
      <c r="CA1105" s="1"/>
      <c r="CB1105" s="1"/>
      <c r="CC1105" s="1"/>
      <c r="CD1105" s="1"/>
      <c r="CE1105" s="1"/>
      <c r="CF1105" s="1"/>
      <c r="CG1105" s="1"/>
      <c r="CH1105" s="1"/>
      <c r="CI1105" s="1"/>
      <c r="CJ1105" s="1"/>
      <c r="CK1105" s="1"/>
      <c r="CL1105" s="1"/>
      <c r="CM1105" s="1"/>
      <c r="CN1105" s="1"/>
      <c r="CO1105" s="1"/>
      <c r="CP1105" s="1"/>
      <c r="CQ1105" s="1"/>
      <c r="CR1105" s="1"/>
      <c r="CS1105" s="1"/>
      <c r="CT1105" s="1"/>
      <c r="CU1105" s="1"/>
      <c r="CV1105" s="1"/>
      <c r="CW1105" s="1"/>
      <c r="CX1105" s="1"/>
      <c r="CY1105" s="1"/>
      <c r="CZ1105" s="1"/>
      <c r="DA1105" s="1"/>
      <c r="DB1105" s="1"/>
      <c r="DC1105" s="1"/>
    </row>
    <row r="1106" spans="1:107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  <c r="BX1106" s="1"/>
      <c r="BY1106" s="1"/>
      <c r="BZ1106" s="1"/>
      <c r="CA1106" s="1"/>
      <c r="CB1106" s="1"/>
      <c r="CC1106" s="1"/>
      <c r="CD1106" s="1"/>
      <c r="CE1106" s="1"/>
      <c r="CF1106" s="1"/>
      <c r="CG1106" s="1"/>
      <c r="CH1106" s="1"/>
      <c r="CI1106" s="1"/>
      <c r="CJ1106" s="1"/>
      <c r="CK1106" s="1"/>
      <c r="CL1106" s="1"/>
      <c r="CM1106" s="1"/>
      <c r="CN1106" s="1"/>
      <c r="CO1106" s="1"/>
      <c r="CP1106" s="1"/>
      <c r="CQ1106" s="1"/>
      <c r="CR1106" s="1"/>
      <c r="CS1106" s="1"/>
      <c r="CT1106" s="1"/>
      <c r="CU1106" s="1"/>
      <c r="CV1106" s="1"/>
      <c r="CW1106" s="1"/>
      <c r="CX1106" s="1"/>
      <c r="CY1106" s="1"/>
      <c r="CZ1106" s="1"/>
      <c r="DA1106" s="1"/>
      <c r="DB1106" s="1"/>
      <c r="DC1106" s="1"/>
    </row>
    <row r="1107" spans="1:107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  <c r="BX1107" s="1"/>
      <c r="BY1107" s="1"/>
      <c r="BZ1107" s="1"/>
      <c r="CA1107" s="1"/>
      <c r="CB1107" s="1"/>
      <c r="CC1107" s="1"/>
      <c r="CD1107" s="1"/>
      <c r="CE1107" s="1"/>
      <c r="CF1107" s="1"/>
      <c r="CG1107" s="1"/>
      <c r="CH1107" s="1"/>
      <c r="CI1107" s="1"/>
      <c r="CJ1107" s="1"/>
      <c r="CK1107" s="1"/>
      <c r="CL1107" s="1"/>
      <c r="CM1107" s="1"/>
      <c r="CN1107" s="1"/>
      <c r="CO1107" s="1"/>
      <c r="CP1107" s="1"/>
      <c r="CQ1107" s="1"/>
      <c r="CR1107" s="1"/>
      <c r="CS1107" s="1"/>
      <c r="CT1107" s="1"/>
      <c r="CU1107" s="1"/>
      <c r="CV1107" s="1"/>
      <c r="CW1107" s="1"/>
      <c r="CX1107" s="1"/>
      <c r="CY1107" s="1"/>
      <c r="CZ1107" s="1"/>
      <c r="DA1107" s="1"/>
      <c r="DB1107" s="1"/>
      <c r="DC1107" s="1"/>
    </row>
    <row r="1108" spans="1:107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  <c r="BX1108" s="1"/>
      <c r="BY1108" s="1"/>
      <c r="BZ1108" s="1"/>
      <c r="CA1108" s="1"/>
      <c r="CB1108" s="1"/>
      <c r="CC1108" s="1"/>
      <c r="CD1108" s="1"/>
      <c r="CE1108" s="1"/>
      <c r="CF1108" s="1"/>
      <c r="CG1108" s="1"/>
      <c r="CH1108" s="1"/>
      <c r="CI1108" s="1"/>
      <c r="CJ1108" s="1"/>
      <c r="CK1108" s="1"/>
      <c r="CL1108" s="1"/>
      <c r="CM1108" s="1"/>
      <c r="CN1108" s="1"/>
      <c r="CO1108" s="1"/>
      <c r="CP1108" s="1"/>
      <c r="CQ1108" s="1"/>
      <c r="CR1108" s="1"/>
      <c r="CS1108" s="1"/>
      <c r="CT1108" s="1"/>
      <c r="CU1108" s="1"/>
      <c r="CV1108" s="1"/>
      <c r="CW1108" s="1"/>
      <c r="CX1108" s="1"/>
      <c r="CY1108" s="1"/>
      <c r="CZ1108" s="1"/>
      <c r="DA1108" s="1"/>
      <c r="DB1108" s="1"/>
      <c r="DC1108" s="1"/>
    </row>
    <row r="1109" spans="1:107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/>
      <c r="BX1109" s="1"/>
      <c r="BY1109" s="1"/>
      <c r="BZ1109" s="1"/>
      <c r="CA1109" s="1"/>
      <c r="CB1109" s="1"/>
      <c r="CC1109" s="1"/>
      <c r="CD1109" s="1"/>
      <c r="CE1109" s="1"/>
      <c r="CF1109" s="1"/>
      <c r="CG1109" s="1"/>
      <c r="CH1109" s="1"/>
      <c r="CI1109" s="1"/>
      <c r="CJ1109" s="1"/>
      <c r="CK1109" s="1"/>
      <c r="CL1109" s="1"/>
      <c r="CM1109" s="1"/>
      <c r="CN1109" s="1"/>
      <c r="CO1109" s="1"/>
      <c r="CP1109" s="1"/>
      <c r="CQ1109" s="1"/>
      <c r="CR1109" s="1"/>
      <c r="CS1109" s="1"/>
      <c r="CT1109" s="1"/>
      <c r="CU1109" s="1"/>
      <c r="CV1109" s="1"/>
      <c r="CW1109" s="1"/>
      <c r="CX1109" s="1"/>
      <c r="CY1109" s="1"/>
      <c r="CZ1109" s="1"/>
      <c r="DA1109" s="1"/>
      <c r="DB1109" s="1"/>
      <c r="DC1109" s="1"/>
    </row>
    <row r="1110" spans="1:107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  <c r="BX1110" s="1"/>
      <c r="BY1110" s="1"/>
      <c r="BZ1110" s="1"/>
      <c r="CA1110" s="1"/>
      <c r="CB1110" s="1"/>
      <c r="CC1110" s="1"/>
      <c r="CD1110" s="1"/>
      <c r="CE1110" s="1"/>
      <c r="CF1110" s="1"/>
      <c r="CG1110" s="1"/>
      <c r="CH1110" s="1"/>
      <c r="CI1110" s="1"/>
      <c r="CJ1110" s="1"/>
      <c r="CK1110" s="1"/>
      <c r="CL1110" s="1"/>
      <c r="CM1110" s="1"/>
      <c r="CN1110" s="1"/>
      <c r="CO1110" s="1"/>
      <c r="CP1110" s="1"/>
      <c r="CQ1110" s="1"/>
      <c r="CR1110" s="1"/>
      <c r="CS1110" s="1"/>
      <c r="CT1110" s="1"/>
      <c r="CU1110" s="1"/>
      <c r="CV1110" s="1"/>
      <c r="CW1110" s="1"/>
      <c r="CX1110" s="1"/>
      <c r="CY1110" s="1"/>
      <c r="CZ1110" s="1"/>
      <c r="DA1110" s="1"/>
      <c r="DB1110" s="1"/>
      <c r="DC1110" s="1"/>
    </row>
    <row r="1111" spans="1:107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  <c r="BX1111" s="1"/>
      <c r="BY1111" s="1"/>
      <c r="BZ1111" s="1"/>
      <c r="CA1111" s="1"/>
      <c r="CB1111" s="1"/>
      <c r="CC1111" s="1"/>
      <c r="CD1111" s="1"/>
      <c r="CE1111" s="1"/>
      <c r="CF1111" s="1"/>
      <c r="CG1111" s="1"/>
      <c r="CH1111" s="1"/>
      <c r="CI1111" s="1"/>
      <c r="CJ1111" s="1"/>
      <c r="CK1111" s="1"/>
      <c r="CL1111" s="1"/>
      <c r="CM1111" s="1"/>
      <c r="CN1111" s="1"/>
      <c r="CO1111" s="1"/>
      <c r="CP1111" s="1"/>
      <c r="CQ1111" s="1"/>
      <c r="CR1111" s="1"/>
      <c r="CS1111" s="1"/>
      <c r="CT1111" s="1"/>
      <c r="CU1111" s="1"/>
      <c r="CV1111" s="1"/>
      <c r="CW1111" s="1"/>
      <c r="CX1111" s="1"/>
      <c r="CY1111" s="1"/>
      <c r="CZ1111" s="1"/>
      <c r="DA1111" s="1"/>
      <c r="DB1111" s="1"/>
      <c r="DC1111" s="1"/>
    </row>
    <row r="1112" spans="1:107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  <c r="BX1112" s="1"/>
      <c r="BY1112" s="1"/>
      <c r="BZ1112" s="1"/>
      <c r="CA1112" s="1"/>
      <c r="CB1112" s="1"/>
      <c r="CC1112" s="1"/>
      <c r="CD1112" s="1"/>
      <c r="CE1112" s="1"/>
      <c r="CF1112" s="1"/>
      <c r="CG1112" s="1"/>
      <c r="CH1112" s="1"/>
      <c r="CI1112" s="1"/>
      <c r="CJ1112" s="1"/>
      <c r="CK1112" s="1"/>
      <c r="CL1112" s="1"/>
      <c r="CM1112" s="1"/>
      <c r="CN1112" s="1"/>
      <c r="CO1112" s="1"/>
      <c r="CP1112" s="1"/>
      <c r="CQ1112" s="1"/>
      <c r="CR1112" s="1"/>
      <c r="CS1112" s="1"/>
      <c r="CT1112" s="1"/>
      <c r="CU1112" s="1"/>
      <c r="CV1112" s="1"/>
      <c r="CW1112" s="1"/>
      <c r="CX1112" s="1"/>
      <c r="CY1112" s="1"/>
      <c r="CZ1112" s="1"/>
      <c r="DA1112" s="1"/>
      <c r="DB1112" s="1"/>
      <c r="DC1112" s="1"/>
    </row>
    <row r="1113" spans="1:107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  <c r="BX1113" s="1"/>
      <c r="BY1113" s="1"/>
      <c r="BZ1113" s="1"/>
      <c r="CA1113" s="1"/>
      <c r="CB1113" s="1"/>
      <c r="CC1113" s="1"/>
      <c r="CD1113" s="1"/>
      <c r="CE1113" s="1"/>
      <c r="CF1113" s="1"/>
      <c r="CG1113" s="1"/>
      <c r="CH1113" s="1"/>
      <c r="CI1113" s="1"/>
      <c r="CJ1113" s="1"/>
      <c r="CK1113" s="1"/>
      <c r="CL1113" s="1"/>
      <c r="CM1113" s="1"/>
      <c r="CN1113" s="1"/>
      <c r="CO1113" s="1"/>
      <c r="CP1113" s="1"/>
      <c r="CQ1113" s="1"/>
      <c r="CR1113" s="1"/>
      <c r="CS1113" s="1"/>
      <c r="CT1113" s="1"/>
      <c r="CU1113" s="1"/>
      <c r="CV1113" s="1"/>
      <c r="CW1113" s="1"/>
      <c r="CX1113" s="1"/>
      <c r="CY1113" s="1"/>
      <c r="CZ1113" s="1"/>
      <c r="DA1113" s="1"/>
      <c r="DB1113" s="1"/>
      <c r="DC1113" s="1"/>
    </row>
    <row r="1114" spans="1:107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  <c r="BX1114" s="1"/>
      <c r="BY1114" s="1"/>
      <c r="BZ1114" s="1"/>
      <c r="CA1114" s="1"/>
      <c r="CB1114" s="1"/>
      <c r="CC1114" s="1"/>
      <c r="CD1114" s="1"/>
      <c r="CE1114" s="1"/>
      <c r="CF1114" s="1"/>
      <c r="CG1114" s="1"/>
      <c r="CH1114" s="1"/>
      <c r="CI1114" s="1"/>
      <c r="CJ1114" s="1"/>
      <c r="CK1114" s="1"/>
      <c r="CL1114" s="1"/>
      <c r="CM1114" s="1"/>
      <c r="CN1114" s="1"/>
      <c r="CO1114" s="1"/>
      <c r="CP1114" s="1"/>
      <c r="CQ1114" s="1"/>
      <c r="CR1114" s="1"/>
      <c r="CS1114" s="1"/>
      <c r="CT1114" s="1"/>
      <c r="CU1114" s="1"/>
      <c r="CV1114" s="1"/>
      <c r="CW1114" s="1"/>
      <c r="CX1114" s="1"/>
      <c r="CY1114" s="1"/>
      <c r="CZ1114" s="1"/>
      <c r="DA1114" s="1"/>
      <c r="DB1114" s="1"/>
      <c r="DC1114" s="1"/>
    </row>
    <row r="1115" spans="1:107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  <c r="BX1115" s="1"/>
      <c r="BY1115" s="1"/>
      <c r="BZ1115" s="1"/>
      <c r="CA1115" s="1"/>
      <c r="CB1115" s="1"/>
      <c r="CC1115" s="1"/>
      <c r="CD1115" s="1"/>
      <c r="CE1115" s="1"/>
      <c r="CF1115" s="1"/>
      <c r="CG1115" s="1"/>
      <c r="CH1115" s="1"/>
      <c r="CI1115" s="1"/>
      <c r="CJ1115" s="1"/>
      <c r="CK1115" s="1"/>
      <c r="CL1115" s="1"/>
      <c r="CM1115" s="1"/>
      <c r="CN1115" s="1"/>
      <c r="CO1115" s="1"/>
      <c r="CP1115" s="1"/>
      <c r="CQ1115" s="1"/>
      <c r="CR1115" s="1"/>
      <c r="CS1115" s="1"/>
      <c r="CT1115" s="1"/>
      <c r="CU1115" s="1"/>
      <c r="CV1115" s="1"/>
      <c r="CW1115" s="1"/>
      <c r="CX1115" s="1"/>
      <c r="CY1115" s="1"/>
      <c r="CZ1115" s="1"/>
      <c r="DA1115" s="1"/>
      <c r="DB1115" s="1"/>
      <c r="DC1115" s="1"/>
    </row>
    <row r="1116" spans="1:107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  <c r="BX1116" s="1"/>
      <c r="BY1116" s="1"/>
      <c r="BZ1116" s="1"/>
      <c r="CA1116" s="1"/>
      <c r="CB1116" s="1"/>
      <c r="CC1116" s="1"/>
      <c r="CD1116" s="1"/>
      <c r="CE1116" s="1"/>
      <c r="CF1116" s="1"/>
      <c r="CG1116" s="1"/>
      <c r="CH1116" s="1"/>
      <c r="CI1116" s="1"/>
      <c r="CJ1116" s="1"/>
      <c r="CK1116" s="1"/>
      <c r="CL1116" s="1"/>
      <c r="CM1116" s="1"/>
      <c r="CN1116" s="1"/>
      <c r="CO1116" s="1"/>
      <c r="CP1116" s="1"/>
      <c r="CQ1116" s="1"/>
      <c r="CR1116" s="1"/>
      <c r="CS1116" s="1"/>
      <c r="CT1116" s="1"/>
      <c r="CU1116" s="1"/>
      <c r="CV1116" s="1"/>
      <c r="CW1116" s="1"/>
      <c r="CX1116" s="1"/>
      <c r="CY1116" s="1"/>
      <c r="CZ1116" s="1"/>
      <c r="DA1116" s="1"/>
      <c r="DB1116" s="1"/>
      <c r="DC1116" s="1"/>
    </row>
    <row r="1117" spans="1:107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  <c r="BX1117" s="1"/>
      <c r="BY1117" s="1"/>
      <c r="BZ1117" s="1"/>
      <c r="CA1117" s="1"/>
      <c r="CB1117" s="1"/>
      <c r="CC1117" s="1"/>
      <c r="CD1117" s="1"/>
      <c r="CE1117" s="1"/>
      <c r="CF1117" s="1"/>
      <c r="CG1117" s="1"/>
      <c r="CH1117" s="1"/>
      <c r="CI1117" s="1"/>
      <c r="CJ1117" s="1"/>
      <c r="CK1117" s="1"/>
      <c r="CL1117" s="1"/>
      <c r="CM1117" s="1"/>
      <c r="CN1117" s="1"/>
      <c r="CO1117" s="1"/>
      <c r="CP1117" s="1"/>
      <c r="CQ1117" s="1"/>
      <c r="CR1117" s="1"/>
      <c r="CS1117" s="1"/>
      <c r="CT1117" s="1"/>
      <c r="CU1117" s="1"/>
      <c r="CV1117" s="1"/>
      <c r="CW1117" s="1"/>
      <c r="CX1117" s="1"/>
      <c r="CY1117" s="1"/>
      <c r="CZ1117" s="1"/>
      <c r="DA1117" s="1"/>
      <c r="DB1117" s="1"/>
      <c r="DC1117" s="1"/>
    </row>
    <row r="1118" spans="1:107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  <c r="BX1118" s="1"/>
      <c r="BY1118" s="1"/>
      <c r="BZ1118" s="1"/>
      <c r="CA1118" s="1"/>
      <c r="CB1118" s="1"/>
      <c r="CC1118" s="1"/>
      <c r="CD1118" s="1"/>
      <c r="CE1118" s="1"/>
      <c r="CF1118" s="1"/>
      <c r="CG1118" s="1"/>
      <c r="CH1118" s="1"/>
      <c r="CI1118" s="1"/>
      <c r="CJ1118" s="1"/>
      <c r="CK1118" s="1"/>
      <c r="CL1118" s="1"/>
      <c r="CM1118" s="1"/>
      <c r="CN1118" s="1"/>
      <c r="CO1118" s="1"/>
      <c r="CP1118" s="1"/>
      <c r="CQ1118" s="1"/>
      <c r="CR1118" s="1"/>
      <c r="CS1118" s="1"/>
      <c r="CT1118" s="1"/>
      <c r="CU1118" s="1"/>
      <c r="CV1118" s="1"/>
      <c r="CW1118" s="1"/>
      <c r="CX1118" s="1"/>
      <c r="CY1118" s="1"/>
      <c r="CZ1118" s="1"/>
      <c r="DA1118" s="1"/>
      <c r="DB1118" s="1"/>
      <c r="DC1118" s="1"/>
    </row>
    <row r="1119" spans="1:107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  <c r="BX1119" s="1"/>
      <c r="BY1119" s="1"/>
      <c r="BZ1119" s="1"/>
      <c r="CA1119" s="1"/>
      <c r="CB1119" s="1"/>
      <c r="CC1119" s="1"/>
      <c r="CD1119" s="1"/>
      <c r="CE1119" s="1"/>
      <c r="CF1119" s="1"/>
      <c r="CG1119" s="1"/>
      <c r="CH1119" s="1"/>
      <c r="CI1119" s="1"/>
      <c r="CJ1119" s="1"/>
      <c r="CK1119" s="1"/>
      <c r="CL1119" s="1"/>
      <c r="CM1119" s="1"/>
      <c r="CN1119" s="1"/>
      <c r="CO1119" s="1"/>
      <c r="CP1119" s="1"/>
      <c r="CQ1119" s="1"/>
      <c r="CR1119" s="1"/>
      <c r="CS1119" s="1"/>
      <c r="CT1119" s="1"/>
      <c r="CU1119" s="1"/>
      <c r="CV1119" s="1"/>
      <c r="CW1119" s="1"/>
      <c r="CX1119" s="1"/>
      <c r="CY1119" s="1"/>
      <c r="CZ1119" s="1"/>
      <c r="DA1119" s="1"/>
      <c r="DB1119" s="1"/>
      <c r="DC1119" s="1"/>
    </row>
    <row r="1120" spans="1:107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  <c r="BX1120" s="1"/>
      <c r="BY1120" s="1"/>
      <c r="BZ1120" s="1"/>
      <c r="CA1120" s="1"/>
      <c r="CB1120" s="1"/>
      <c r="CC1120" s="1"/>
      <c r="CD1120" s="1"/>
      <c r="CE1120" s="1"/>
      <c r="CF1120" s="1"/>
      <c r="CG1120" s="1"/>
      <c r="CH1120" s="1"/>
      <c r="CI1120" s="1"/>
      <c r="CJ1120" s="1"/>
      <c r="CK1120" s="1"/>
      <c r="CL1120" s="1"/>
      <c r="CM1120" s="1"/>
      <c r="CN1120" s="1"/>
      <c r="CO1120" s="1"/>
      <c r="CP1120" s="1"/>
      <c r="CQ1120" s="1"/>
      <c r="CR1120" s="1"/>
      <c r="CS1120" s="1"/>
      <c r="CT1120" s="1"/>
      <c r="CU1120" s="1"/>
      <c r="CV1120" s="1"/>
      <c r="CW1120" s="1"/>
      <c r="CX1120" s="1"/>
      <c r="CY1120" s="1"/>
      <c r="CZ1120" s="1"/>
      <c r="DA1120" s="1"/>
      <c r="DB1120" s="1"/>
      <c r="DC1120" s="1"/>
    </row>
    <row r="1121" spans="1:107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  <c r="BS1121" s="1"/>
      <c r="BT1121" s="1"/>
      <c r="BU1121" s="1"/>
      <c r="BV1121" s="1"/>
      <c r="BW1121" s="1"/>
      <c r="BX1121" s="1"/>
      <c r="BY1121" s="1"/>
      <c r="BZ1121" s="1"/>
      <c r="CA1121" s="1"/>
      <c r="CB1121" s="1"/>
      <c r="CC1121" s="1"/>
      <c r="CD1121" s="1"/>
      <c r="CE1121" s="1"/>
      <c r="CF1121" s="1"/>
      <c r="CG1121" s="1"/>
      <c r="CH1121" s="1"/>
      <c r="CI1121" s="1"/>
      <c r="CJ1121" s="1"/>
      <c r="CK1121" s="1"/>
      <c r="CL1121" s="1"/>
      <c r="CM1121" s="1"/>
      <c r="CN1121" s="1"/>
      <c r="CO1121" s="1"/>
      <c r="CP1121" s="1"/>
      <c r="CQ1121" s="1"/>
      <c r="CR1121" s="1"/>
      <c r="CS1121" s="1"/>
      <c r="CT1121" s="1"/>
      <c r="CU1121" s="1"/>
      <c r="CV1121" s="1"/>
      <c r="CW1121" s="1"/>
      <c r="CX1121" s="1"/>
      <c r="CY1121" s="1"/>
      <c r="CZ1121" s="1"/>
      <c r="DA1121" s="1"/>
      <c r="DB1121" s="1"/>
      <c r="DC1121" s="1"/>
    </row>
    <row r="1122" spans="1:107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  <c r="BX1122" s="1"/>
      <c r="BY1122" s="1"/>
      <c r="BZ1122" s="1"/>
      <c r="CA1122" s="1"/>
      <c r="CB1122" s="1"/>
      <c r="CC1122" s="1"/>
      <c r="CD1122" s="1"/>
      <c r="CE1122" s="1"/>
      <c r="CF1122" s="1"/>
      <c r="CG1122" s="1"/>
      <c r="CH1122" s="1"/>
      <c r="CI1122" s="1"/>
      <c r="CJ1122" s="1"/>
      <c r="CK1122" s="1"/>
      <c r="CL1122" s="1"/>
      <c r="CM1122" s="1"/>
      <c r="CN1122" s="1"/>
      <c r="CO1122" s="1"/>
      <c r="CP1122" s="1"/>
      <c r="CQ1122" s="1"/>
      <c r="CR1122" s="1"/>
      <c r="CS1122" s="1"/>
      <c r="CT1122" s="1"/>
      <c r="CU1122" s="1"/>
      <c r="CV1122" s="1"/>
      <c r="CW1122" s="1"/>
      <c r="CX1122" s="1"/>
      <c r="CY1122" s="1"/>
      <c r="CZ1122" s="1"/>
      <c r="DA1122" s="1"/>
      <c r="DB1122" s="1"/>
      <c r="DC1122" s="1"/>
    </row>
    <row r="1123" spans="1:107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  <c r="BX1123" s="1"/>
      <c r="BY1123" s="1"/>
      <c r="BZ1123" s="1"/>
      <c r="CA1123" s="1"/>
      <c r="CB1123" s="1"/>
      <c r="CC1123" s="1"/>
      <c r="CD1123" s="1"/>
      <c r="CE1123" s="1"/>
      <c r="CF1123" s="1"/>
      <c r="CG1123" s="1"/>
      <c r="CH1123" s="1"/>
      <c r="CI1123" s="1"/>
      <c r="CJ1123" s="1"/>
      <c r="CK1123" s="1"/>
      <c r="CL1123" s="1"/>
      <c r="CM1123" s="1"/>
      <c r="CN1123" s="1"/>
      <c r="CO1123" s="1"/>
      <c r="CP1123" s="1"/>
      <c r="CQ1123" s="1"/>
      <c r="CR1123" s="1"/>
      <c r="CS1123" s="1"/>
      <c r="CT1123" s="1"/>
      <c r="CU1123" s="1"/>
      <c r="CV1123" s="1"/>
      <c r="CW1123" s="1"/>
      <c r="CX1123" s="1"/>
      <c r="CY1123" s="1"/>
      <c r="CZ1123" s="1"/>
      <c r="DA1123" s="1"/>
      <c r="DB1123" s="1"/>
      <c r="DC1123" s="1"/>
    </row>
    <row r="1124" spans="1:107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  <c r="BX1124" s="1"/>
      <c r="BY1124" s="1"/>
      <c r="BZ1124" s="1"/>
      <c r="CA1124" s="1"/>
      <c r="CB1124" s="1"/>
      <c r="CC1124" s="1"/>
      <c r="CD1124" s="1"/>
      <c r="CE1124" s="1"/>
      <c r="CF1124" s="1"/>
      <c r="CG1124" s="1"/>
      <c r="CH1124" s="1"/>
      <c r="CI1124" s="1"/>
      <c r="CJ1124" s="1"/>
      <c r="CK1124" s="1"/>
      <c r="CL1124" s="1"/>
      <c r="CM1124" s="1"/>
      <c r="CN1124" s="1"/>
      <c r="CO1124" s="1"/>
      <c r="CP1124" s="1"/>
      <c r="CQ1124" s="1"/>
      <c r="CR1124" s="1"/>
      <c r="CS1124" s="1"/>
      <c r="CT1124" s="1"/>
      <c r="CU1124" s="1"/>
      <c r="CV1124" s="1"/>
      <c r="CW1124" s="1"/>
      <c r="CX1124" s="1"/>
      <c r="CY1124" s="1"/>
      <c r="CZ1124" s="1"/>
      <c r="DA1124" s="1"/>
      <c r="DB1124" s="1"/>
      <c r="DC1124" s="1"/>
    </row>
    <row r="1125" spans="1:107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  <c r="BX1125" s="1"/>
      <c r="BY1125" s="1"/>
      <c r="BZ1125" s="1"/>
      <c r="CA1125" s="1"/>
      <c r="CB1125" s="1"/>
      <c r="CC1125" s="1"/>
      <c r="CD1125" s="1"/>
      <c r="CE1125" s="1"/>
      <c r="CF1125" s="1"/>
      <c r="CG1125" s="1"/>
      <c r="CH1125" s="1"/>
      <c r="CI1125" s="1"/>
      <c r="CJ1125" s="1"/>
      <c r="CK1125" s="1"/>
      <c r="CL1125" s="1"/>
      <c r="CM1125" s="1"/>
      <c r="CN1125" s="1"/>
      <c r="CO1125" s="1"/>
      <c r="CP1125" s="1"/>
      <c r="CQ1125" s="1"/>
      <c r="CR1125" s="1"/>
      <c r="CS1125" s="1"/>
      <c r="CT1125" s="1"/>
      <c r="CU1125" s="1"/>
      <c r="CV1125" s="1"/>
      <c r="CW1125" s="1"/>
      <c r="CX1125" s="1"/>
      <c r="CY1125" s="1"/>
      <c r="CZ1125" s="1"/>
      <c r="DA1125" s="1"/>
      <c r="DB1125" s="1"/>
      <c r="DC1125" s="1"/>
    </row>
    <row r="1126" spans="1:107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/>
      <c r="BX1126" s="1"/>
      <c r="BY1126" s="1"/>
      <c r="BZ1126" s="1"/>
      <c r="CA1126" s="1"/>
      <c r="CB1126" s="1"/>
      <c r="CC1126" s="1"/>
      <c r="CD1126" s="1"/>
      <c r="CE1126" s="1"/>
      <c r="CF1126" s="1"/>
      <c r="CG1126" s="1"/>
      <c r="CH1126" s="1"/>
      <c r="CI1126" s="1"/>
      <c r="CJ1126" s="1"/>
      <c r="CK1126" s="1"/>
      <c r="CL1126" s="1"/>
      <c r="CM1126" s="1"/>
      <c r="CN1126" s="1"/>
      <c r="CO1126" s="1"/>
      <c r="CP1126" s="1"/>
      <c r="CQ1126" s="1"/>
      <c r="CR1126" s="1"/>
      <c r="CS1126" s="1"/>
      <c r="CT1126" s="1"/>
      <c r="CU1126" s="1"/>
      <c r="CV1126" s="1"/>
      <c r="CW1126" s="1"/>
      <c r="CX1126" s="1"/>
      <c r="CY1126" s="1"/>
      <c r="CZ1126" s="1"/>
      <c r="DA1126" s="1"/>
      <c r="DB1126" s="1"/>
      <c r="DC1126" s="1"/>
    </row>
    <row r="1127" spans="1:107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  <c r="BS1127" s="1"/>
      <c r="BT1127" s="1"/>
      <c r="BU1127" s="1"/>
      <c r="BV1127" s="1"/>
      <c r="BW1127" s="1"/>
      <c r="BX1127" s="1"/>
      <c r="BY1127" s="1"/>
      <c r="BZ1127" s="1"/>
      <c r="CA1127" s="1"/>
      <c r="CB1127" s="1"/>
      <c r="CC1127" s="1"/>
      <c r="CD1127" s="1"/>
      <c r="CE1127" s="1"/>
      <c r="CF1127" s="1"/>
      <c r="CG1127" s="1"/>
      <c r="CH1127" s="1"/>
      <c r="CI1127" s="1"/>
      <c r="CJ1127" s="1"/>
      <c r="CK1127" s="1"/>
      <c r="CL1127" s="1"/>
      <c r="CM1127" s="1"/>
      <c r="CN1127" s="1"/>
      <c r="CO1127" s="1"/>
      <c r="CP1127" s="1"/>
      <c r="CQ1127" s="1"/>
      <c r="CR1127" s="1"/>
      <c r="CS1127" s="1"/>
      <c r="CT1127" s="1"/>
      <c r="CU1127" s="1"/>
      <c r="CV1127" s="1"/>
      <c r="CW1127" s="1"/>
      <c r="CX1127" s="1"/>
      <c r="CY1127" s="1"/>
      <c r="CZ1127" s="1"/>
      <c r="DA1127" s="1"/>
      <c r="DB1127" s="1"/>
      <c r="DC1127" s="1"/>
    </row>
    <row r="1128" spans="1:107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/>
      <c r="BX1128" s="1"/>
      <c r="BY1128" s="1"/>
      <c r="BZ1128" s="1"/>
      <c r="CA1128" s="1"/>
      <c r="CB1128" s="1"/>
      <c r="CC1128" s="1"/>
      <c r="CD1128" s="1"/>
      <c r="CE1128" s="1"/>
      <c r="CF1128" s="1"/>
      <c r="CG1128" s="1"/>
      <c r="CH1128" s="1"/>
      <c r="CI1128" s="1"/>
      <c r="CJ1128" s="1"/>
      <c r="CK1128" s="1"/>
      <c r="CL1128" s="1"/>
      <c r="CM1128" s="1"/>
      <c r="CN1128" s="1"/>
      <c r="CO1128" s="1"/>
      <c r="CP1128" s="1"/>
      <c r="CQ1128" s="1"/>
      <c r="CR1128" s="1"/>
      <c r="CS1128" s="1"/>
      <c r="CT1128" s="1"/>
      <c r="CU1128" s="1"/>
      <c r="CV1128" s="1"/>
      <c r="CW1128" s="1"/>
      <c r="CX1128" s="1"/>
      <c r="CY1128" s="1"/>
      <c r="CZ1128" s="1"/>
      <c r="DA1128" s="1"/>
      <c r="DB1128" s="1"/>
      <c r="DC1128" s="1"/>
    </row>
    <row r="1129" spans="1:107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  <c r="BR1129" s="1"/>
      <c r="BS1129" s="1"/>
      <c r="BT1129" s="1"/>
      <c r="BU1129" s="1"/>
      <c r="BV1129" s="1"/>
      <c r="BW1129" s="1"/>
      <c r="BX1129" s="1"/>
      <c r="BY1129" s="1"/>
      <c r="BZ1129" s="1"/>
      <c r="CA1129" s="1"/>
      <c r="CB1129" s="1"/>
      <c r="CC1129" s="1"/>
      <c r="CD1129" s="1"/>
      <c r="CE1129" s="1"/>
      <c r="CF1129" s="1"/>
      <c r="CG1129" s="1"/>
      <c r="CH1129" s="1"/>
      <c r="CI1129" s="1"/>
      <c r="CJ1129" s="1"/>
      <c r="CK1129" s="1"/>
      <c r="CL1129" s="1"/>
      <c r="CM1129" s="1"/>
      <c r="CN1129" s="1"/>
      <c r="CO1129" s="1"/>
      <c r="CP1129" s="1"/>
      <c r="CQ1129" s="1"/>
      <c r="CR1129" s="1"/>
      <c r="CS1129" s="1"/>
      <c r="CT1129" s="1"/>
      <c r="CU1129" s="1"/>
      <c r="CV1129" s="1"/>
      <c r="CW1129" s="1"/>
      <c r="CX1129" s="1"/>
      <c r="CY1129" s="1"/>
      <c r="CZ1129" s="1"/>
      <c r="DA1129" s="1"/>
      <c r="DB1129" s="1"/>
      <c r="DC1129" s="1"/>
    </row>
    <row r="1130" spans="1:107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/>
      <c r="BS1130" s="1"/>
      <c r="BT1130" s="1"/>
      <c r="BU1130" s="1"/>
      <c r="BV1130" s="1"/>
      <c r="BW1130" s="1"/>
      <c r="BX1130" s="1"/>
      <c r="BY1130" s="1"/>
      <c r="BZ1130" s="1"/>
      <c r="CA1130" s="1"/>
      <c r="CB1130" s="1"/>
      <c r="CC1130" s="1"/>
      <c r="CD1130" s="1"/>
      <c r="CE1130" s="1"/>
      <c r="CF1130" s="1"/>
      <c r="CG1130" s="1"/>
      <c r="CH1130" s="1"/>
      <c r="CI1130" s="1"/>
      <c r="CJ1130" s="1"/>
      <c r="CK1130" s="1"/>
      <c r="CL1130" s="1"/>
      <c r="CM1130" s="1"/>
      <c r="CN1130" s="1"/>
      <c r="CO1130" s="1"/>
      <c r="CP1130" s="1"/>
      <c r="CQ1130" s="1"/>
      <c r="CR1130" s="1"/>
      <c r="CS1130" s="1"/>
      <c r="CT1130" s="1"/>
      <c r="CU1130" s="1"/>
      <c r="CV1130" s="1"/>
      <c r="CW1130" s="1"/>
      <c r="CX1130" s="1"/>
      <c r="CY1130" s="1"/>
      <c r="CZ1130" s="1"/>
      <c r="DA1130" s="1"/>
      <c r="DB1130" s="1"/>
      <c r="DC1130" s="1"/>
    </row>
    <row r="1131" spans="1:107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/>
      <c r="BX1131" s="1"/>
      <c r="BY1131" s="1"/>
      <c r="BZ1131" s="1"/>
      <c r="CA1131" s="1"/>
      <c r="CB1131" s="1"/>
      <c r="CC1131" s="1"/>
      <c r="CD1131" s="1"/>
      <c r="CE1131" s="1"/>
      <c r="CF1131" s="1"/>
      <c r="CG1131" s="1"/>
      <c r="CH1131" s="1"/>
      <c r="CI1131" s="1"/>
      <c r="CJ1131" s="1"/>
      <c r="CK1131" s="1"/>
      <c r="CL1131" s="1"/>
      <c r="CM1131" s="1"/>
      <c r="CN1131" s="1"/>
      <c r="CO1131" s="1"/>
      <c r="CP1131" s="1"/>
      <c r="CQ1131" s="1"/>
      <c r="CR1131" s="1"/>
      <c r="CS1131" s="1"/>
      <c r="CT1131" s="1"/>
      <c r="CU1131" s="1"/>
      <c r="CV1131" s="1"/>
      <c r="CW1131" s="1"/>
      <c r="CX1131" s="1"/>
      <c r="CY1131" s="1"/>
      <c r="CZ1131" s="1"/>
      <c r="DA1131" s="1"/>
      <c r="DB1131" s="1"/>
      <c r="DC1131" s="1"/>
    </row>
    <row r="1132" spans="1:107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  <c r="BR1132" s="1"/>
      <c r="BS1132" s="1"/>
      <c r="BT1132" s="1"/>
      <c r="BU1132" s="1"/>
      <c r="BV1132" s="1"/>
      <c r="BW1132" s="1"/>
      <c r="BX1132" s="1"/>
      <c r="BY1132" s="1"/>
      <c r="BZ1132" s="1"/>
      <c r="CA1132" s="1"/>
      <c r="CB1132" s="1"/>
      <c r="CC1132" s="1"/>
      <c r="CD1132" s="1"/>
      <c r="CE1132" s="1"/>
      <c r="CF1132" s="1"/>
      <c r="CG1132" s="1"/>
      <c r="CH1132" s="1"/>
      <c r="CI1132" s="1"/>
      <c r="CJ1132" s="1"/>
      <c r="CK1132" s="1"/>
      <c r="CL1132" s="1"/>
      <c r="CM1132" s="1"/>
      <c r="CN1132" s="1"/>
      <c r="CO1132" s="1"/>
      <c r="CP1132" s="1"/>
      <c r="CQ1132" s="1"/>
      <c r="CR1132" s="1"/>
      <c r="CS1132" s="1"/>
      <c r="CT1132" s="1"/>
      <c r="CU1132" s="1"/>
      <c r="CV1132" s="1"/>
      <c r="CW1132" s="1"/>
      <c r="CX1132" s="1"/>
      <c r="CY1132" s="1"/>
      <c r="CZ1132" s="1"/>
      <c r="DA1132" s="1"/>
      <c r="DB1132" s="1"/>
      <c r="DC1132" s="1"/>
    </row>
    <row r="1133" spans="1:107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  <c r="BX1133" s="1"/>
      <c r="BY1133" s="1"/>
      <c r="BZ1133" s="1"/>
      <c r="CA1133" s="1"/>
      <c r="CB1133" s="1"/>
      <c r="CC1133" s="1"/>
      <c r="CD1133" s="1"/>
      <c r="CE1133" s="1"/>
      <c r="CF1133" s="1"/>
      <c r="CG1133" s="1"/>
      <c r="CH1133" s="1"/>
      <c r="CI1133" s="1"/>
      <c r="CJ1133" s="1"/>
      <c r="CK1133" s="1"/>
      <c r="CL1133" s="1"/>
      <c r="CM1133" s="1"/>
      <c r="CN1133" s="1"/>
      <c r="CO1133" s="1"/>
      <c r="CP1133" s="1"/>
      <c r="CQ1133" s="1"/>
      <c r="CR1133" s="1"/>
      <c r="CS1133" s="1"/>
      <c r="CT1133" s="1"/>
      <c r="CU1133" s="1"/>
      <c r="CV1133" s="1"/>
      <c r="CW1133" s="1"/>
      <c r="CX1133" s="1"/>
      <c r="CY1133" s="1"/>
      <c r="CZ1133" s="1"/>
      <c r="DA1133" s="1"/>
      <c r="DB1133" s="1"/>
      <c r="DC1133" s="1"/>
    </row>
    <row r="1134" spans="1:107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/>
      <c r="BX1134" s="1"/>
      <c r="BY1134" s="1"/>
      <c r="BZ1134" s="1"/>
      <c r="CA1134" s="1"/>
      <c r="CB1134" s="1"/>
      <c r="CC1134" s="1"/>
      <c r="CD1134" s="1"/>
      <c r="CE1134" s="1"/>
      <c r="CF1134" s="1"/>
      <c r="CG1134" s="1"/>
      <c r="CH1134" s="1"/>
      <c r="CI1134" s="1"/>
      <c r="CJ1134" s="1"/>
      <c r="CK1134" s="1"/>
      <c r="CL1134" s="1"/>
      <c r="CM1134" s="1"/>
      <c r="CN1134" s="1"/>
      <c r="CO1134" s="1"/>
      <c r="CP1134" s="1"/>
      <c r="CQ1134" s="1"/>
      <c r="CR1134" s="1"/>
      <c r="CS1134" s="1"/>
      <c r="CT1134" s="1"/>
      <c r="CU1134" s="1"/>
      <c r="CV1134" s="1"/>
      <c r="CW1134" s="1"/>
      <c r="CX1134" s="1"/>
      <c r="CY1134" s="1"/>
      <c r="CZ1134" s="1"/>
      <c r="DA1134" s="1"/>
      <c r="DB1134" s="1"/>
      <c r="DC1134" s="1"/>
    </row>
    <row r="1135" spans="1:107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  <c r="BR1135" s="1"/>
      <c r="BS1135" s="1"/>
      <c r="BT1135" s="1"/>
      <c r="BU1135" s="1"/>
      <c r="BV1135" s="1"/>
      <c r="BW1135" s="1"/>
      <c r="BX1135" s="1"/>
      <c r="BY1135" s="1"/>
      <c r="BZ1135" s="1"/>
      <c r="CA1135" s="1"/>
      <c r="CB1135" s="1"/>
      <c r="CC1135" s="1"/>
      <c r="CD1135" s="1"/>
      <c r="CE1135" s="1"/>
      <c r="CF1135" s="1"/>
      <c r="CG1135" s="1"/>
      <c r="CH1135" s="1"/>
      <c r="CI1135" s="1"/>
      <c r="CJ1135" s="1"/>
      <c r="CK1135" s="1"/>
      <c r="CL1135" s="1"/>
      <c r="CM1135" s="1"/>
      <c r="CN1135" s="1"/>
      <c r="CO1135" s="1"/>
      <c r="CP1135" s="1"/>
      <c r="CQ1135" s="1"/>
      <c r="CR1135" s="1"/>
      <c r="CS1135" s="1"/>
      <c r="CT1135" s="1"/>
      <c r="CU1135" s="1"/>
      <c r="CV1135" s="1"/>
      <c r="CW1135" s="1"/>
      <c r="CX1135" s="1"/>
      <c r="CY1135" s="1"/>
      <c r="CZ1135" s="1"/>
      <c r="DA1135" s="1"/>
      <c r="DB1135" s="1"/>
      <c r="DC1135" s="1"/>
    </row>
    <row r="1136" spans="1:107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  <c r="BR1136" s="1"/>
      <c r="BS1136" s="1"/>
      <c r="BT1136" s="1"/>
      <c r="BU1136" s="1"/>
      <c r="BV1136" s="1"/>
      <c r="BW1136" s="1"/>
      <c r="BX1136" s="1"/>
      <c r="BY1136" s="1"/>
      <c r="BZ1136" s="1"/>
      <c r="CA1136" s="1"/>
      <c r="CB1136" s="1"/>
      <c r="CC1136" s="1"/>
      <c r="CD1136" s="1"/>
      <c r="CE1136" s="1"/>
      <c r="CF1136" s="1"/>
      <c r="CG1136" s="1"/>
      <c r="CH1136" s="1"/>
      <c r="CI1136" s="1"/>
      <c r="CJ1136" s="1"/>
      <c r="CK1136" s="1"/>
      <c r="CL1136" s="1"/>
      <c r="CM1136" s="1"/>
      <c r="CN1136" s="1"/>
      <c r="CO1136" s="1"/>
      <c r="CP1136" s="1"/>
      <c r="CQ1136" s="1"/>
      <c r="CR1136" s="1"/>
      <c r="CS1136" s="1"/>
      <c r="CT1136" s="1"/>
      <c r="CU1136" s="1"/>
      <c r="CV1136" s="1"/>
      <c r="CW1136" s="1"/>
      <c r="CX1136" s="1"/>
      <c r="CY1136" s="1"/>
      <c r="CZ1136" s="1"/>
      <c r="DA1136" s="1"/>
      <c r="DB1136" s="1"/>
      <c r="DC1136" s="1"/>
    </row>
    <row r="1137" spans="1:107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  <c r="BR1137" s="1"/>
      <c r="BS1137" s="1"/>
      <c r="BT1137" s="1"/>
      <c r="BU1137" s="1"/>
      <c r="BV1137" s="1"/>
      <c r="BW1137" s="1"/>
      <c r="BX1137" s="1"/>
      <c r="BY1137" s="1"/>
      <c r="BZ1137" s="1"/>
      <c r="CA1137" s="1"/>
      <c r="CB1137" s="1"/>
      <c r="CC1137" s="1"/>
      <c r="CD1137" s="1"/>
      <c r="CE1137" s="1"/>
      <c r="CF1137" s="1"/>
      <c r="CG1137" s="1"/>
      <c r="CH1137" s="1"/>
      <c r="CI1137" s="1"/>
      <c r="CJ1137" s="1"/>
      <c r="CK1137" s="1"/>
      <c r="CL1137" s="1"/>
      <c r="CM1137" s="1"/>
      <c r="CN1137" s="1"/>
      <c r="CO1137" s="1"/>
      <c r="CP1137" s="1"/>
      <c r="CQ1137" s="1"/>
      <c r="CR1137" s="1"/>
      <c r="CS1137" s="1"/>
      <c r="CT1137" s="1"/>
      <c r="CU1137" s="1"/>
      <c r="CV1137" s="1"/>
      <c r="CW1137" s="1"/>
      <c r="CX1137" s="1"/>
      <c r="CY1137" s="1"/>
      <c r="CZ1137" s="1"/>
      <c r="DA1137" s="1"/>
      <c r="DB1137" s="1"/>
      <c r="DC1137" s="1"/>
    </row>
    <row r="1138" spans="1:107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  <c r="BR1138" s="1"/>
      <c r="BS1138" s="1"/>
      <c r="BT1138" s="1"/>
      <c r="BU1138" s="1"/>
      <c r="BV1138" s="1"/>
      <c r="BW1138" s="1"/>
      <c r="BX1138" s="1"/>
      <c r="BY1138" s="1"/>
      <c r="BZ1138" s="1"/>
      <c r="CA1138" s="1"/>
      <c r="CB1138" s="1"/>
      <c r="CC1138" s="1"/>
      <c r="CD1138" s="1"/>
      <c r="CE1138" s="1"/>
      <c r="CF1138" s="1"/>
      <c r="CG1138" s="1"/>
      <c r="CH1138" s="1"/>
      <c r="CI1138" s="1"/>
      <c r="CJ1138" s="1"/>
      <c r="CK1138" s="1"/>
      <c r="CL1138" s="1"/>
      <c r="CM1138" s="1"/>
      <c r="CN1138" s="1"/>
      <c r="CO1138" s="1"/>
      <c r="CP1138" s="1"/>
      <c r="CQ1138" s="1"/>
      <c r="CR1138" s="1"/>
      <c r="CS1138" s="1"/>
      <c r="CT1138" s="1"/>
      <c r="CU1138" s="1"/>
      <c r="CV1138" s="1"/>
      <c r="CW1138" s="1"/>
      <c r="CX1138" s="1"/>
      <c r="CY1138" s="1"/>
      <c r="CZ1138" s="1"/>
      <c r="DA1138" s="1"/>
      <c r="DB1138" s="1"/>
      <c r="DC1138" s="1"/>
    </row>
    <row r="1139" spans="1:107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  <c r="BS1139" s="1"/>
      <c r="BT1139" s="1"/>
      <c r="BU1139" s="1"/>
      <c r="BV1139" s="1"/>
      <c r="BW1139" s="1"/>
      <c r="BX1139" s="1"/>
      <c r="BY1139" s="1"/>
      <c r="BZ1139" s="1"/>
      <c r="CA1139" s="1"/>
      <c r="CB1139" s="1"/>
      <c r="CC1139" s="1"/>
      <c r="CD1139" s="1"/>
      <c r="CE1139" s="1"/>
      <c r="CF1139" s="1"/>
      <c r="CG1139" s="1"/>
      <c r="CH1139" s="1"/>
      <c r="CI1139" s="1"/>
      <c r="CJ1139" s="1"/>
      <c r="CK1139" s="1"/>
      <c r="CL1139" s="1"/>
      <c r="CM1139" s="1"/>
      <c r="CN1139" s="1"/>
      <c r="CO1139" s="1"/>
      <c r="CP1139" s="1"/>
      <c r="CQ1139" s="1"/>
      <c r="CR1139" s="1"/>
      <c r="CS1139" s="1"/>
      <c r="CT1139" s="1"/>
      <c r="CU1139" s="1"/>
      <c r="CV1139" s="1"/>
      <c r="CW1139" s="1"/>
      <c r="CX1139" s="1"/>
      <c r="CY1139" s="1"/>
      <c r="CZ1139" s="1"/>
      <c r="DA1139" s="1"/>
      <c r="DB1139" s="1"/>
      <c r="DC1139" s="1"/>
    </row>
    <row r="1140" spans="1:107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  <c r="BR1140" s="1"/>
      <c r="BS1140" s="1"/>
      <c r="BT1140" s="1"/>
      <c r="BU1140" s="1"/>
      <c r="BV1140" s="1"/>
      <c r="BW1140" s="1"/>
      <c r="BX1140" s="1"/>
      <c r="BY1140" s="1"/>
      <c r="BZ1140" s="1"/>
      <c r="CA1140" s="1"/>
      <c r="CB1140" s="1"/>
      <c r="CC1140" s="1"/>
      <c r="CD1140" s="1"/>
      <c r="CE1140" s="1"/>
      <c r="CF1140" s="1"/>
      <c r="CG1140" s="1"/>
      <c r="CH1140" s="1"/>
      <c r="CI1140" s="1"/>
      <c r="CJ1140" s="1"/>
      <c r="CK1140" s="1"/>
      <c r="CL1140" s="1"/>
      <c r="CM1140" s="1"/>
      <c r="CN1140" s="1"/>
      <c r="CO1140" s="1"/>
      <c r="CP1140" s="1"/>
      <c r="CQ1140" s="1"/>
      <c r="CR1140" s="1"/>
      <c r="CS1140" s="1"/>
      <c r="CT1140" s="1"/>
      <c r="CU1140" s="1"/>
      <c r="CV1140" s="1"/>
      <c r="CW1140" s="1"/>
      <c r="CX1140" s="1"/>
      <c r="CY1140" s="1"/>
      <c r="CZ1140" s="1"/>
      <c r="DA1140" s="1"/>
      <c r="DB1140" s="1"/>
      <c r="DC1140" s="1"/>
    </row>
    <row r="1141" spans="1:107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1"/>
      <c r="BR1141" s="1"/>
      <c r="BS1141" s="1"/>
      <c r="BT1141" s="1"/>
      <c r="BU1141" s="1"/>
      <c r="BV1141" s="1"/>
      <c r="BW1141" s="1"/>
      <c r="BX1141" s="1"/>
      <c r="BY1141" s="1"/>
      <c r="BZ1141" s="1"/>
      <c r="CA1141" s="1"/>
      <c r="CB1141" s="1"/>
      <c r="CC1141" s="1"/>
      <c r="CD1141" s="1"/>
      <c r="CE1141" s="1"/>
      <c r="CF1141" s="1"/>
      <c r="CG1141" s="1"/>
      <c r="CH1141" s="1"/>
      <c r="CI1141" s="1"/>
      <c r="CJ1141" s="1"/>
      <c r="CK1141" s="1"/>
      <c r="CL1141" s="1"/>
      <c r="CM1141" s="1"/>
      <c r="CN1141" s="1"/>
      <c r="CO1141" s="1"/>
      <c r="CP1141" s="1"/>
      <c r="CQ1141" s="1"/>
      <c r="CR1141" s="1"/>
      <c r="CS1141" s="1"/>
      <c r="CT1141" s="1"/>
      <c r="CU1141" s="1"/>
      <c r="CV1141" s="1"/>
      <c r="CW1141" s="1"/>
      <c r="CX1141" s="1"/>
      <c r="CY1141" s="1"/>
      <c r="CZ1141" s="1"/>
      <c r="DA1141" s="1"/>
      <c r="DB1141" s="1"/>
      <c r="DC1141" s="1"/>
    </row>
    <row r="1142" spans="1:107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  <c r="BT1142" s="1"/>
      <c r="BU1142" s="1"/>
      <c r="BV1142" s="1"/>
      <c r="BW1142" s="1"/>
      <c r="BX1142" s="1"/>
      <c r="BY1142" s="1"/>
      <c r="BZ1142" s="1"/>
      <c r="CA1142" s="1"/>
      <c r="CB1142" s="1"/>
      <c r="CC1142" s="1"/>
      <c r="CD1142" s="1"/>
      <c r="CE1142" s="1"/>
      <c r="CF1142" s="1"/>
      <c r="CG1142" s="1"/>
      <c r="CH1142" s="1"/>
      <c r="CI1142" s="1"/>
      <c r="CJ1142" s="1"/>
      <c r="CK1142" s="1"/>
      <c r="CL1142" s="1"/>
      <c r="CM1142" s="1"/>
      <c r="CN1142" s="1"/>
      <c r="CO1142" s="1"/>
      <c r="CP1142" s="1"/>
      <c r="CQ1142" s="1"/>
      <c r="CR1142" s="1"/>
      <c r="CS1142" s="1"/>
      <c r="CT1142" s="1"/>
      <c r="CU1142" s="1"/>
      <c r="CV1142" s="1"/>
      <c r="CW1142" s="1"/>
      <c r="CX1142" s="1"/>
      <c r="CY1142" s="1"/>
      <c r="CZ1142" s="1"/>
      <c r="DA1142" s="1"/>
      <c r="DB1142" s="1"/>
      <c r="DC1142" s="1"/>
    </row>
    <row r="1143" spans="1:107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  <c r="BX1143" s="1"/>
      <c r="BY1143" s="1"/>
      <c r="BZ1143" s="1"/>
      <c r="CA1143" s="1"/>
      <c r="CB1143" s="1"/>
      <c r="CC1143" s="1"/>
      <c r="CD1143" s="1"/>
      <c r="CE1143" s="1"/>
      <c r="CF1143" s="1"/>
      <c r="CG1143" s="1"/>
      <c r="CH1143" s="1"/>
      <c r="CI1143" s="1"/>
      <c r="CJ1143" s="1"/>
      <c r="CK1143" s="1"/>
      <c r="CL1143" s="1"/>
      <c r="CM1143" s="1"/>
      <c r="CN1143" s="1"/>
      <c r="CO1143" s="1"/>
      <c r="CP1143" s="1"/>
      <c r="CQ1143" s="1"/>
      <c r="CR1143" s="1"/>
      <c r="CS1143" s="1"/>
      <c r="CT1143" s="1"/>
      <c r="CU1143" s="1"/>
      <c r="CV1143" s="1"/>
      <c r="CW1143" s="1"/>
      <c r="CX1143" s="1"/>
      <c r="CY1143" s="1"/>
      <c r="CZ1143" s="1"/>
      <c r="DA1143" s="1"/>
      <c r="DB1143" s="1"/>
      <c r="DC1143" s="1"/>
    </row>
    <row r="1144" spans="1:107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/>
      <c r="BX1144" s="1"/>
      <c r="BY1144" s="1"/>
      <c r="BZ1144" s="1"/>
      <c r="CA1144" s="1"/>
      <c r="CB1144" s="1"/>
      <c r="CC1144" s="1"/>
      <c r="CD1144" s="1"/>
      <c r="CE1144" s="1"/>
      <c r="CF1144" s="1"/>
      <c r="CG1144" s="1"/>
      <c r="CH1144" s="1"/>
      <c r="CI1144" s="1"/>
      <c r="CJ1144" s="1"/>
      <c r="CK1144" s="1"/>
      <c r="CL1144" s="1"/>
      <c r="CM1144" s="1"/>
      <c r="CN1144" s="1"/>
      <c r="CO1144" s="1"/>
      <c r="CP1144" s="1"/>
      <c r="CQ1144" s="1"/>
      <c r="CR1144" s="1"/>
      <c r="CS1144" s="1"/>
      <c r="CT1144" s="1"/>
      <c r="CU1144" s="1"/>
      <c r="CV1144" s="1"/>
      <c r="CW1144" s="1"/>
      <c r="CX1144" s="1"/>
      <c r="CY1144" s="1"/>
      <c r="CZ1144" s="1"/>
      <c r="DA1144" s="1"/>
      <c r="DB1144" s="1"/>
      <c r="DC1144" s="1"/>
    </row>
    <row r="1145" spans="1:107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  <c r="BT1145" s="1"/>
      <c r="BU1145" s="1"/>
      <c r="BV1145" s="1"/>
      <c r="BW1145" s="1"/>
      <c r="BX1145" s="1"/>
      <c r="BY1145" s="1"/>
      <c r="BZ1145" s="1"/>
      <c r="CA1145" s="1"/>
      <c r="CB1145" s="1"/>
      <c r="CC1145" s="1"/>
      <c r="CD1145" s="1"/>
      <c r="CE1145" s="1"/>
      <c r="CF1145" s="1"/>
      <c r="CG1145" s="1"/>
      <c r="CH1145" s="1"/>
      <c r="CI1145" s="1"/>
      <c r="CJ1145" s="1"/>
      <c r="CK1145" s="1"/>
      <c r="CL1145" s="1"/>
      <c r="CM1145" s="1"/>
      <c r="CN1145" s="1"/>
      <c r="CO1145" s="1"/>
      <c r="CP1145" s="1"/>
      <c r="CQ1145" s="1"/>
      <c r="CR1145" s="1"/>
      <c r="CS1145" s="1"/>
      <c r="CT1145" s="1"/>
      <c r="CU1145" s="1"/>
      <c r="CV1145" s="1"/>
      <c r="CW1145" s="1"/>
      <c r="CX1145" s="1"/>
      <c r="CY1145" s="1"/>
      <c r="CZ1145" s="1"/>
      <c r="DA1145" s="1"/>
      <c r="DB1145" s="1"/>
      <c r="DC1145" s="1"/>
    </row>
    <row r="1146" spans="1:107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  <c r="BS1146" s="1"/>
      <c r="BT1146" s="1"/>
      <c r="BU1146" s="1"/>
      <c r="BV1146" s="1"/>
      <c r="BW1146" s="1"/>
      <c r="BX1146" s="1"/>
      <c r="BY1146" s="1"/>
      <c r="BZ1146" s="1"/>
      <c r="CA1146" s="1"/>
      <c r="CB1146" s="1"/>
      <c r="CC1146" s="1"/>
      <c r="CD1146" s="1"/>
      <c r="CE1146" s="1"/>
      <c r="CF1146" s="1"/>
      <c r="CG1146" s="1"/>
      <c r="CH1146" s="1"/>
      <c r="CI1146" s="1"/>
      <c r="CJ1146" s="1"/>
      <c r="CK1146" s="1"/>
      <c r="CL1146" s="1"/>
      <c r="CM1146" s="1"/>
      <c r="CN1146" s="1"/>
      <c r="CO1146" s="1"/>
      <c r="CP1146" s="1"/>
      <c r="CQ1146" s="1"/>
      <c r="CR1146" s="1"/>
      <c r="CS1146" s="1"/>
      <c r="CT1146" s="1"/>
      <c r="CU1146" s="1"/>
      <c r="CV1146" s="1"/>
      <c r="CW1146" s="1"/>
      <c r="CX1146" s="1"/>
      <c r="CY1146" s="1"/>
      <c r="CZ1146" s="1"/>
      <c r="DA1146" s="1"/>
      <c r="DB1146" s="1"/>
      <c r="DC1146" s="1"/>
    </row>
    <row r="1147" spans="1:107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  <c r="BR1147" s="1"/>
      <c r="BS1147" s="1"/>
      <c r="BT1147" s="1"/>
      <c r="BU1147" s="1"/>
      <c r="BV1147" s="1"/>
      <c r="BW1147" s="1"/>
      <c r="BX1147" s="1"/>
      <c r="BY1147" s="1"/>
      <c r="BZ1147" s="1"/>
      <c r="CA1147" s="1"/>
      <c r="CB1147" s="1"/>
      <c r="CC1147" s="1"/>
      <c r="CD1147" s="1"/>
      <c r="CE1147" s="1"/>
      <c r="CF1147" s="1"/>
      <c r="CG1147" s="1"/>
      <c r="CH1147" s="1"/>
      <c r="CI1147" s="1"/>
      <c r="CJ1147" s="1"/>
      <c r="CK1147" s="1"/>
      <c r="CL1147" s="1"/>
      <c r="CM1147" s="1"/>
      <c r="CN1147" s="1"/>
      <c r="CO1147" s="1"/>
      <c r="CP1147" s="1"/>
      <c r="CQ1147" s="1"/>
      <c r="CR1147" s="1"/>
      <c r="CS1147" s="1"/>
      <c r="CT1147" s="1"/>
      <c r="CU1147" s="1"/>
      <c r="CV1147" s="1"/>
      <c r="CW1147" s="1"/>
      <c r="CX1147" s="1"/>
      <c r="CY1147" s="1"/>
      <c r="CZ1147" s="1"/>
      <c r="DA1147" s="1"/>
      <c r="DB1147" s="1"/>
      <c r="DC1147" s="1"/>
    </row>
    <row r="1148" spans="1:107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  <c r="BR1148" s="1"/>
      <c r="BS1148" s="1"/>
      <c r="BT1148" s="1"/>
      <c r="BU1148" s="1"/>
      <c r="BV1148" s="1"/>
      <c r="BW1148" s="1"/>
      <c r="BX1148" s="1"/>
      <c r="BY1148" s="1"/>
      <c r="BZ1148" s="1"/>
      <c r="CA1148" s="1"/>
      <c r="CB1148" s="1"/>
      <c r="CC1148" s="1"/>
      <c r="CD1148" s="1"/>
      <c r="CE1148" s="1"/>
      <c r="CF1148" s="1"/>
      <c r="CG1148" s="1"/>
      <c r="CH1148" s="1"/>
      <c r="CI1148" s="1"/>
      <c r="CJ1148" s="1"/>
      <c r="CK1148" s="1"/>
      <c r="CL1148" s="1"/>
      <c r="CM1148" s="1"/>
      <c r="CN1148" s="1"/>
      <c r="CO1148" s="1"/>
      <c r="CP1148" s="1"/>
      <c r="CQ1148" s="1"/>
      <c r="CR1148" s="1"/>
      <c r="CS1148" s="1"/>
      <c r="CT1148" s="1"/>
      <c r="CU1148" s="1"/>
      <c r="CV1148" s="1"/>
      <c r="CW1148" s="1"/>
      <c r="CX1148" s="1"/>
      <c r="CY1148" s="1"/>
      <c r="CZ1148" s="1"/>
      <c r="DA1148" s="1"/>
      <c r="DB1148" s="1"/>
      <c r="DC1148" s="1"/>
    </row>
    <row r="1149" spans="1:107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  <c r="BR1149" s="1"/>
      <c r="BS1149" s="1"/>
      <c r="BT1149" s="1"/>
      <c r="BU1149" s="1"/>
      <c r="BV1149" s="1"/>
      <c r="BW1149" s="1"/>
      <c r="BX1149" s="1"/>
      <c r="BY1149" s="1"/>
      <c r="BZ1149" s="1"/>
      <c r="CA1149" s="1"/>
      <c r="CB1149" s="1"/>
      <c r="CC1149" s="1"/>
      <c r="CD1149" s="1"/>
      <c r="CE1149" s="1"/>
      <c r="CF1149" s="1"/>
      <c r="CG1149" s="1"/>
      <c r="CH1149" s="1"/>
      <c r="CI1149" s="1"/>
      <c r="CJ1149" s="1"/>
      <c r="CK1149" s="1"/>
      <c r="CL1149" s="1"/>
      <c r="CM1149" s="1"/>
      <c r="CN1149" s="1"/>
      <c r="CO1149" s="1"/>
      <c r="CP1149" s="1"/>
      <c r="CQ1149" s="1"/>
      <c r="CR1149" s="1"/>
      <c r="CS1149" s="1"/>
      <c r="CT1149" s="1"/>
      <c r="CU1149" s="1"/>
      <c r="CV1149" s="1"/>
      <c r="CW1149" s="1"/>
      <c r="CX1149" s="1"/>
      <c r="CY1149" s="1"/>
      <c r="CZ1149" s="1"/>
      <c r="DA1149" s="1"/>
      <c r="DB1149" s="1"/>
      <c r="DC1149" s="1"/>
    </row>
    <row r="1150" spans="1:107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  <c r="BR1150" s="1"/>
      <c r="BS1150" s="1"/>
      <c r="BT1150" s="1"/>
      <c r="BU1150" s="1"/>
      <c r="BV1150" s="1"/>
      <c r="BW1150" s="1"/>
      <c r="BX1150" s="1"/>
      <c r="BY1150" s="1"/>
      <c r="BZ1150" s="1"/>
      <c r="CA1150" s="1"/>
      <c r="CB1150" s="1"/>
      <c r="CC1150" s="1"/>
      <c r="CD1150" s="1"/>
      <c r="CE1150" s="1"/>
      <c r="CF1150" s="1"/>
      <c r="CG1150" s="1"/>
      <c r="CH1150" s="1"/>
      <c r="CI1150" s="1"/>
      <c r="CJ1150" s="1"/>
      <c r="CK1150" s="1"/>
      <c r="CL1150" s="1"/>
      <c r="CM1150" s="1"/>
      <c r="CN1150" s="1"/>
      <c r="CO1150" s="1"/>
      <c r="CP1150" s="1"/>
      <c r="CQ1150" s="1"/>
      <c r="CR1150" s="1"/>
      <c r="CS1150" s="1"/>
      <c r="CT1150" s="1"/>
      <c r="CU1150" s="1"/>
      <c r="CV1150" s="1"/>
      <c r="CW1150" s="1"/>
      <c r="CX1150" s="1"/>
      <c r="CY1150" s="1"/>
      <c r="CZ1150" s="1"/>
      <c r="DA1150" s="1"/>
      <c r="DB1150" s="1"/>
      <c r="DC1150" s="1"/>
    </row>
    <row r="1151" spans="1:107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1"/>
      <c r="BR1151" s="1"/>
      <c r="BS1151" s="1"/>
      <c r="BT1151" s="1"/>
      <c r="BU1151" s="1"/>
      <c r="BV1151" s="1"/>
      <c r="BW1151" s="1"/>
      <c r="BX1151" s="1"/>
      <c r="BY1151" s="1"/>
      <c r="BZ1151" s="1"/>
      <c r="CA1151" s="1"/>
      <c r="CB1151" s="1"/>
      <c r="CC1151" s="1"/>
      <c r="CD1151" s="1"/>
      <c r="CE1151" s="1"/>
      <c r="CF1151" s="1"/>
      <c r="CG1151" s="1"/>
      <c r="CH1151" s="1"/>
      <c r="CI1151" s="1"/>
      <c r="CJ1151" s="1"/>
      <c r="CK1151" s="1"/>
      <c r="CL1151" s="1"/>
      <c r="CM1151" s="1"/>
      <c r="CN1151" s="1"/>
      <c r="CO1151" s="1"/>
      <c r="CP1151" s="1"/>
      <c r="CQ1151" s="1"/>
      <c r="CR1151" s="1"/>
      <c r="CS1151" s="1"/>
      <c r="CT1151" s="1"/>
      <c r="CU1151" s="1"/>
      <c r="CV1151" s="1"/>
      <c r="CW1151" s="1"/>
      <c r="CX1151" s="1"/>
      <c r="CY1151" s="1"/>
      <c r="CZ1151" s="1"/>
      <c r="DA1151" s="1"/>
      <c r="DB1151" s="1"/>
      <c r="DC1151" s="1"/>
    </row>
    <row r="1152" spans="1:107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  <c r="BR1152" s="1"/>
      <c r="BS1152" s="1"/>
      <c r="BT1152" s="1"/>
      <c r="BU1152" s="1"/>
      <c r="BV1152" s="1"/>
      <c r="BW1152" s="1"/>
      <c r="BX1152" s="1"/>
      <c r="BY1152" s="1"/>
      <c r="BZ1152" s="1"/>
      <c r="CA1152" s="1"/>
      <c r="CB1152" s="1"/>
      <c r="CC1152" s="1"/>
      <c r="CD1152" s="1"/>
      <c r="CE1152" s="1"/>
      <c r="CF1152" s="1"/>
      <c r="CG1152" s="1"/>
      <c r="CH1152" s="1"/>
      <c r="CI1152" s="1"/>
      <c r="CJ1152" s="1"/>
      <c r="CK1152" s="1"/>
      <c r="CL1152" s="1"/>
      <c r="CM1152" s="1"/>
      <c r="CN1152" s="1"/>
      <c r="CO1152" s="1"/>
      <c r="CP1152" s="1"/>
      <c r="CQ1152" s="1"/>
      <c r="CR1152" s="1"/>
      <c r="CS1152" s="1"/>
      <c r="CT1152" s="1"/>
      <c r="CU1152" s="1"/>
      <c r="CV1152" s="1"/>
      <c r="CW1152" s="1"/>
      <c r="CX1152" s="1"/>
      <c r="CY1152" s="1"/>
      <c r="CZ1152" s="1"/>
      <c r="DA1152" s="1"/>
      <c r="DB1152" s="1"/>
      <c r="DC1152" s="1"/>
    </row>
    <row r="1153" spans="1:107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1"/>
      <c r="BR1153" s="1"/>
      <c r="BS1153" s="1"/>
      <c r="BT1153" s="1"/>
      <c r="BU1153" s="1"/>
      <c r="BV1153" s="1"/>
      <c r="BW1153" s="1"/>
      <c r="BX1153" s="1"/>
      <c r="BY1153" s="1"/>
      <c r="BZ1153" s="1"/>
      <c r="CA1153" s="1"/>
      <c r="CB1153" s="1"/>
      <c r="CC1153" s="1"/>
      <c r="CD1153" s="1"/>
      <c r="CE1153" s="1"/>
      <c r="CF1153" s="1"/>
      <c r="CG1153" s="1"/>
      <c r="CH1153" s="1"/>
      <c r="CI1153" s="1"/>
      <c r="CJ1153" s="1"/>
      <c r="CK1153" s="1"/>
      <c r="CL1153" s="1"/>
      <c r="CM1153" s="1"/>
      <c r="CN1153" s="1"/>
      <c r="CO1153" s="1"/>
      <c r="CP1153" s="1"/>
      <c r="CQ1153" s="1"/>
      <c r="CR1153" s="1"/>
      <c r="CS1153" s="1"/>
      <c r="CT1153" s="1"/>
      <c r="CU1153" s="1"/>
      <c r="CV1153" s="1"/>
      <c r="CW1153" s="1"/>
      <c r="CX1153" s="1"/>
      <c r="CY1153" s="1"/>
      <c r="CZ1153" s="1"/>
      <c r="DA1153" s="1"/>
      <c r="DB1153" s="1"/>
      <c r="DC1153" s="1"/>
    </row>
    <row r="1154" spans="1:107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1"/>
      <c r="BM1154" s="1"/>
      <c r="BN1154" s="1"/>
      <c r="BO1154" s="1"/>
      <c r="BP1154" s="1"/>
      <c r="BQ1154" s="1"/>
      <c r="BR1154" s="1"/>
      <c r="BS1154" s="1"/>
      <c r="BT1154" s="1"/>
      <c r="BU1154" s="1"/>
      <c r="BV1154" s="1"/>
      <c r="BW1154" s="1"/>
      <c r="BX1154" s="1"/>
      <c r="BY1154" s="1"/>
      <c r="BZ1154" s="1"/>
      <c r="CA1154" s="1"/>
      <c r="CB1154" s="1"/>
      <c r="CC1154" s="1"/>
      <c r="CD1154" s="1"/>
      <c r="CE1154" s="1"/>
      <c r="CF1154" s="1"/>
      <c r="CG1154" s="1"/>
      <c r="CH1154" s="1"/>
      <c r="CI1154" s="1"/>
      <c r="CJ1154" s="1"/>
      <c r="CK1154" s="1"/>
      <c r="CL1154" s="1"/>
      <c r="CM1154" s="1"/>
      <c r="CN1154" s="1"/>
      <c r="CO1154" s="1"/>
      <c r="CP1154" s="1"/>
      <c r="CQ1154" s="1"/>
      <c r="CR1154" s="1"/>
      <c r="CS1154" s="1"/>
      <c r="CT1154" s="1"/>
      <c r="CU1154" s="1"/>
      <c r="CV1154" s="1"/>
      <c r="CW1154" s="1"/>
      <c r="CX1154" s="1"/>
      <c r="CY1154" s="1"/>
      <c r="CZ1154" s="1"/>
      <c r="DA1154" s="1"/>
      <c r="DB1154" s="1"/>
      <c r="DC1154" s="1"/>
    </row>
    <row r="1155" spans="1:107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1"/>
      <c r="BR1155" s="1"/>
      <c r="BS1155" s="1"/>
      <c r="BT1155" s="1"/>
      <c r="BU1155" s="1"/>
      <c r="BV1155" s="1"/>
      <c r="BW1155" s="1"/>
      <c r="BX1155" s="1"/>
      <c r="BY1155" s="1"/>
      <c r="BZ1155" s="1"/>
      <c r="CA1155" s="1"/>
      <c r="CB1155" s="1"/>
      <c r="CC1155" s="1"/>
      <c r="CD1155" s="1"/>
      <c r="CE1155" s="1"/>
      <c r="CF1155" s="1"/>
      <c r="CG1155" s="1"/>
      <c r="CH1155" s="1"/>
      <c r="CI1155" s="1"/>
      <c r="CJ1155" s="1"/>
      <c r="CK1155" s="1"/>
      <c r="CL1155" s="1"/>
      <c r="CM1155" s="1"/>
      <c r="CN1155" s="1"/>
      <c r="CO1155" s="1"/>
      <c r="CP1155" s="1"/>
      <c r="CQ1155" s="1"/>
      <c r="CR1155" s="1"/>
      <c r="CS1155" s="1"/>
      <c r="CT1155" s="1"/>
      <c r="CU1155" s="1"/>
      <c r="CV1155" s="1"/>
      <c r="CW1155" s="1"/>
      <c r="CX1155" s="1"/>
      <c r="CY1155" s="1"/>
      <c r="CZ1155" s="1"/>
      <c r="DA1155" s="1"/>
      <c r="DB1155" s="1"/>
      <c r="DC1155" s="1"/>
    </row>
    <row r="1156" spans="1:107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1"/>
      <c r="BR1156" s="1"/>
      <c r="BS1156" s="1"/>
      <c r="BT1156" s="1"/>
      <c r="BU1156" s="1"/>
      <c r="BV1156" s="1"/>
      <c r="BW1156" s="1"/>
      <c r="BX1156" s="1"/>
      <c r="BY1156" s="1"/>
      <c r="BZ1156" s="1"/>
      <c r="CA1156" s="1"/>
      <c r="CB1156" s="1"/>
      <c r="CC1156" s="1"/>
      <c r="CD1156" s="1"/>
      <c r="CE1156" s="1"/>
      <c r="CF1156" s="1"/>
      <c r="CG1156" s="1"/>
      <c r="CH1156" s="1"/>
      <c r="CI1156" s="1"/>
      <c r="CJ1156" s="1"/>
      <c r="CK1156" s="1"/>
      <c r="CL1156" s="1"/>
      <c r="CM1156" s="1"/>
      <c r="CN1156" s="1"/>
      <c r="CO1156" s="1"/>
      <c r="CP1156" s="1"/>
      <c r="CQ1156" s="1"/>
      <c r="CR1156" s="1"/>
      <c r="CS1156" s="1"/>
      <c r="CT1156" s="1"/>
      <c r="CU1156" s="1"/>
      <c r="CV1156" s="1"/>
      <c r="CW1156" s="1"/>
      <c r="CX1156" s="1"/>
      <c r="CY1156" s="1"/>
      <c r="CZ1156" s="1"/>
      <c r="DA1156" s="1"/>
      <c r="DB1156" s="1"/>
      <c r="DC1156" s="1"/>
    </row>
    <row r="1157" spans="1:107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1"/>
      <c r="BR1157" s="1"/>
      <c r="BS1157" s="1"/>
      <c r="BT1157" s="1"/>
      <c r="BU1157" s="1"/>
      <c r="BV1157" s="1"/>
      <c r="BW1157" s="1"/>
      <c r="BX1157" s="1"/>
      <c r="BY1157" s="1"/>
      <c r="BZ1157" s="1"/>
      <c r="CA1157" s="1"/>
      <c r="CB1157" s="1"/>
      <c r="CC1157" s="1"/>
      <c r="CD1157" s="1"/>
      <c r="CE1157" s="1"/>
      <c r="CF1157" s="1"/>
      <c r="CG1157" s="1"/>
      <c r="CH1157" s="1"/>
      <c r="CI1157" s="1"/>
      <c r="CJ1157" s="1"/>
      <c r="CK1157" s="1"/>
      <c r="CL1157" s="1"/>
      <c r="CM1157" s="1"/>
      <c r="CN1157" s="1"/>
      <c r="CO1157" s="1"/>
      <c r="CP1157" s="1"/>
      <c r="CQ1157" s="1"/>
      <c r="CR1157" s="1"/>
      <c r="CS1157" s="1"/>
      <c r="CT1157" s="1"/>
      <c r="CU1157" s="1"/>
      <c r="CV1157" s="1"/>
      <c r="CW1157" s="1"/>
      <c r="CX1157" s="1"/>
      <c r="CY1157" s="1"/>
      <c r="CZ1157" s="1"/>
      <c r="DA1157" s="1"/>
      <c r="DB1157" s="1"/>
      <c r="DC1157" s="1"/>
    </row>
    <row r="1158" spans="1:107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  <c r="BO1158" s="1"/>
      <c r="BP1158" s="1"/>
      <c r="BQ1158" s="1"/>
      <c r="BR1158" s="1"/>
      <c r="BS1158" s="1"/>
      <c r="BT1158" s="1"/>
      <c r="BU1158" s="1"/>
      <c r="BV1158" s="1"/>
      <c r="BW1158" s="1"/>
      <c r="BX1158" s="1"/>
      <c r="BY1158" s="1"/>
      <c r="BZ1158" s="1"/>
      <c r="CA1158" s="1"/>
      <c r="CB1158" s="1"/>
      <c r="CC1158" s="1"/>
      <c r="CD1158" s="1"/>
      <c r="CE1158" s="1"/>
      <c r="CF1158" s="1"/>
      <c r="CG1158" s="1"/>
      <c r="CH1158" s="1"/>
      <c r="CI1158" s="1"/>
      <c r="CJ1158" s="1"/>
      <c r="CK1158" s="1"/>
      <c r="CL1158" s="1"/>
      <c r="CM1158" s="1"/>
      <c r="CN1158" s="1"/>
      <c r="CO1158" s="1"/>
      <c r="CP1158" s="1"/>
      <c r="CQ1158" s="1"/>
      <c r="CR1158" s="1"/>
      <c r="CS1158" s="1"/>
      <c r="CT1158" s="1"/>
      <c r="CU1158" s="1"/>
      <c r="CV1158" s="1"/>
      <c r="CW1158" s="1"/>
      <c r="CX1158" s="1"/>
      <c r="CY1158" s="1"/>
      <c r="CZ1158" s="1"/>
      <c r="DA1158" s="1"/>
      <c r="DB1158" s="1"/>
      <c r="DC1158" s="1"/>
    </row>
    <row r="1159" spans="1:107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  <c r="BO1159" s="1"/>
      <c r="BP1159" s="1"/>
      <c r="BQ1159" s="1"/>
      <c r="BR1159" s="1"/>
      <c r="BS1159" s="1"/>
      <c r="BT1159" s="1"/>
      <c r="BU1159" s="1"/>
      <c r="BV1159" s="1"/>
      <c r="BW1159" s="1"/>
      <c r="BX1159" s="1"/>
      <c r="BY1159" s="1"/>
      <c r="BZ1159" s="1"/>
      <c r="CA1159" s="1"/>
      <c r="CB1159" s="1"/>
      <c r="CC1159" s="1"/>
      <c r="CD1159" s="1"/>
      <c r="CE1159" s="1"/>
      <c r="CF1159" s="1"/>
      <c r="CG1159" s="1"/>
      <c r="CH1159" s="1"/>
      <c r="CI1159" s="1"/>
      <c r="CJ1159" s="1"/>
      <c r="CK1159" s="1"/>
      <c r="CL1159" s="1"/>
      <c r="CM1159" s="1"/>
      <c r="CN1159" s="1"/>
      <c r="CO1159" s="1"/>
      <c r="CP1159" s="1"/>
      <c r="CQ1159" s="1"/>
      <c r="CR1159" s="1"/>
      <c r="CS1159" s="1"/>
      <c r="CT1159" s="1"/>
      <c r="CU1159" s="1"/>
      <c r="CV1159" s="1"/>
      <c r="CW1159" s="1"/>
      <c r="CX1159" s="1"/>
      <c r="CY1159" s="1"/>
      <c r="CZ1159" s="1"/>
      <c r="DA1159" s="1"/>
      <c r="DB1159" s="1"/>
      <c r="DC1159" s="1"/>
    </row>
    <row r="1160" spans="1:107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  <c r="BO1160" s="1"/>
      <c r="BP1160" s="1"/>
      <c r="BQ1160" s="1"/>
      <c r="BR1160" s="1"/>
      <c r="BS1160" s="1"/>
      <c r="BT1160" s="1"/>
      <c r="BU1160" s="1"/>
      <c r="BV1160" s="1"/>
      <c r="BW1160" s="1"/>
      <c r="BX1160" s="1"/>
      <c r="BY1160" s="1"/>
      <c r="BZ1160" s="1"/>
      <c r="CA1160" s="1"/>
      <c r="CB1160" s="1"/>
      <c r="CC1160" s="1"/>
      <c r="CD1160" s="1"/>
      <c r="CE1160" s="1"/>
      <c r="CF1160" s="1"/>
      <c r="CG1160" s="1"/>
      <c r="CH1160" s="1"/>
      <c r="CI1160" s="1"/>
      <c r="CJ1160" s="1"/>
      <c r="CK1160" s="1"/>
      <c r="CL1160" s="1"/>
      <c r="CM1160" s="1"/>
      <c r="CN1160" s="1"/>
      <c r="CO1160" s="1"/>
      <c r="CP1160" s="1"/>
      <c r="CQ1160" s="1"/>
      <c r="CR1160" s="1"/>
      <c r="CS1160" s="1"/>
      <c r="CT1160" s="1"/>
      <c r="CU1160" s="1"/>
      <c r="CV1160" s="1"/>
      <c r="CW1160" s="1"/>
      <c r="CX1160" s="1"/>
      <c r="CY1160" s="1"/>
      <c r="CZ1160" s="1"/>
      <c r="DA1160" s="1"/>
      <c r="DB1160" s="1"/>
      <c r="DC1160" s="1"/>
    </row>
    <row r="1161" spans="1:107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1"/>
      <c r="BR1161" s="1"/>
      <c r="BS1161" s="1"/>
      <c r="BT1161" s="1"/>
      <c r="BU1161" s="1"/>
      <c r="BV1161" s="1"/>
      <c r="BW1161" s="1"/>
      <c r="BX1161" s="1"/>
      <c r="BY1161" s="1"/>
      <c r="BZ1161" s="1"/>
      <c r="CA1161" s="1"/>
      <c r="CB1161" s="1"/>
      <c r="CC1161" s="1"/>
      <c r="CD1161" s="1"/>
      <c r="CE1161" s="1"/>
      <c r="CF1161" s="1"/>
      <c r="CG1161" s="1"/>
      <c r="CH1161" s="1"/>
      <c r="CI1161" s="1"/>
      <c r="CJ1161" s="1"/>
      <c r="CK1161" s="1"/>
      <c r="CL1161" s="1"/>
      <c r="CM1161" s="1"/>
      <c r="CN1161" s="1"/>
      <c r="CO1161" s="1"/>
      <c r="CP1161" s="1"/>
      <c r="CQ1161" s="1"/>
      <c r="CR1161" s="1"/>
      <c r="CS1161" s="1"/>
      <c r="CT1161" s="1"/>
      <c r="CU1161" s="1"/>
      <c r="CV1161" s="1"/>
      <c r="CW1161" s="1"/>
      <c r="CX1161" s="1"/>
      <c r="CY1161" s="1"/>
      <c r="CZ1161" s="1"/>
      <c r="DA1161" s="1"/>
      <c r="DB1161" s="1"/>
      <c r="DC1161" s="1"/>
    </row>
    <row r="1162" spans="1:107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/>
      <c r="BM1162" s="1"/>
      <c r="BN1162" s="1"/>
      <c r="BO1162" s="1"/>
      <c r="BP1162" s="1"/>
      <c r="BQ1162" s="1"/>
      <c r="BR1162" s="1"/>
      <c r="BS1162" s="1"/>
      <c r="BT1162" s="1"/>
      <c r="BU1162" s="1"/>
      <c r="BV1162" s="1"/>
      <c r="BW1162" s="1"/>
      <c r="BX1162" s="1"/>
      <c r="BY1162" s="1"/>
      <c r="BZ1162" s="1"/>
      <c r="CA1162" s="1"/>
      <c r="CB1162" s="1"/>
      <c r="CC1162" s="1"/>
      <c r="CD1162" s="1"/>
      <c r="CE1162" s="1"/>
      <c r="CF1162" s="1"/>
      <c r="CG1162" s="1"/>
      <c r="CH1162" s="1"/>
      <c r="CI1162" s="1"/>
      <c r="CJ1162" s="1"/>
      <c r="CK1162" s="1"/>
      <c r="CL1162" s="1"/>
      <c r="CM1162" s="1"/>
      <c r="CN1162" s="1"/>
      <c r="CO1162" s="1"/>
      <c r="CP1162" s="1"/>
      <c r="CQ1162" s="1"/>
      <c r="CR1162" s="1"/>
      <c r="CS1162" s="1"/>
      <c r="CT1162" s="1"/>
      <c r="CU1162" s="1"/>
      <c r="CV1162" s="1"/>
      <c r="CW1162" s="1"/>
      <c r="CX1162" s="1"/>
      <c r="CY1162" s="1"/>
      <c r="CZ1162" s="1"/>
      <c r="DA1162" s="1"/>
      <c r="DB1162" s="1"/>
      <c r="DC1162" s="1"/>
    </row>
    <row r="1163" spans="1:107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1"/>
      <c r="BR1163" s="1"/>
      <c r="BS1163" s="1"/>
      <c r="BT1163" s="1"/>
      <c r="BU1163" s="1"/>
      <c r="BV1163" s="1"/>
      <c r="BW1163" s="1"/>
      <c r="BX1163" s="1"/>
      <c r="BY1163" s="1"/>
      <c r="BZ1163" s="1"/>
      <c r="CA1163" s="1"/>
      <c r="CB1163" s="1"/>
      <c r="CC1163" s="1"/>
      <c r="CD1163" s="1"/>
      <c r="CE1163" s="1"/>
      <c r="CF1163" s="1"/>
      <c r="CG1163" s="1"/>
      <c r="CH1163" s="1"/>
      <c r="CI1163" s="1"/>
      <c r="CJ1163" s="1"/>
      <c r="CK1163" s="1"/>
      <c r="CL1163" s="1"/>
      <c r="CM1163" s="1"/>
      <c r="CN1163" s="1"/>
      <c r="CO1163" s="1"/>
      <c r="CP1163" s="1"/>
      <c r="CQ1163" s="1"/>
      <c r="CR1163" s="1"/>
      <c r="CS1163" s="1"/>
      <c r="CT1163" s="1"/>
      <c r="CU1163" s="1"/>
      <c r="CV1163" s="1"/>
      <c r="CW1163" s="1"/>
      <c r="CX1163" s="1"/>
      <c r="CY1163" s="1"/>
      <c r="CZ1163" s="1"/>
      <c r="DA1163" s="1"/>
      <c r="DB1163" s="1"/>
      <c r="DC1163" s="1"/>
    </row>
    <row r="1164" spans="1:107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1"/>
      <c r="BR1164" s="1"/>
      <c r="BS1164" s="1"/>
      <c r="BT1164" s="1"/>
      <c r="BU1164" s="1"/>
      <c r="BV1164" s="1"/>
      <c r="BW1164" s="1"/>
      <c r="BX1164" s="1"/>
      <c r="BY1164" s="1"/>
      <c r="BZ1164" s="1"/>
      <c r="CA1164" s="1"/>
      <c r="CB1164" s="1"/>
      <c r="CC1164" s="1"/>
      <c r="CD1164" s="1"/>
      <c r="CE1164" s="1"/>
      <c r="CF1164" s="1"/>
      <c r="CG1164" s="1"/>
      <c r="CH1164" s="1"/>
      <c r="CI1164" s="1"/>
      <c r="CJ1164" s="1"/>
      <c r="CK1164" s="1"/>
      <c r="CL1164" s="1"/>
      <c r="CM1164" s="1"/>
      <c r="CN1164" s="1"/>
      <c r="CO1164" s="1"/>
      <c r="CP1164" s="1"/>
      <c r="CQ1164" s="1"/>
      <c r="CR1164" s="1"/>
      <c r="CS1164" s="1"/>
      <c r="CT1164" s="1"/>
      <c r="CU1164" s="1"/>
      <c r="CV1164" s="1"/>
      <c r="CW1164" s="1"/>
      <c r="CX1164" s="1"/>
      <c r="CY1164" s="1"/>
      <c r="CZ1164" s="1"/>
      <c r="DA1164" s="1"/>
      <c r="DB1164" s="1"/>
      <c r="DC1164" s="1"/>
    </row>
    <row r="1165" spans="1:107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1"/>
      <c r="BR1165" s="1"/>
      <c r="BS1165" s="1"/>
      <c r="BT1165" s="1"/>
      <c r="BU1165" s="1"/>
      <c r="BV1165" s="1"/>
      <c r="BW1165" s="1"/>
      <c r="BX1165" s="1"/>
      <c r="BY1165" s="1"/>
      <c r="BZ1165" s="1"/>
      <c r="CA1165" s="1"/>
      <c r="CB1165" s="1"/>
      <c r="CC1165" s="1"/>
      <c r="CD1165" s="1"/>
      <c r="CE1165" s="1"/>
      <c r="CF1165" s="1"/>
      <c r="CG1165" s="1"/>
      <c r="CH1165" s="1"/>
      <c r="CI1165" s="1"/>
      <c r="CJ1165" s="1"/>
      <c r="CK1165" s="1"/>
      <c r="CL1165" s="1"/>
      <c r="CM1165" s="1"/>
      <c r="CN1165" s="1"/>
      <c r="CO1165" s="1"/>
      <c r="CP1165" s="1"/>
      <c r="CQ1165" s="1"/>
      <c r="CR1165" s="1"/>
      <c r="CS1165" s="1"/>
      <c r="CT1165" s="1"/>
      <c r="CU1165" s="1"/>
      <c r="CV1165" s="1"/>
      <c r="CW1165" s="1"/>
      <c r="CX1165" s="1"/>
      <c r="CY1165" s="1"/>
      <c r="CZ1165" s="1"/>
      <c r="DA1165" s="1"/>
      <c r="DB1165" s="1"/>
      <c r="DC1165" s="1"/>
    </row>
    <row r="1166" spans="1:107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  <c r="BO1166" s="1"/>
      <c r="BP1166" s="1"/>
      <c r="BQ1166" s="1"/>
      <c r="BR1166" s="1"/>
      <c r="BS1166" s="1"/>
      <c r="BT1166" s="1"/>
      <c r="BU1166" s="1"/>
      <c r="BV1166" s="1"/>
      <c r="BW1166" s="1"/>
      <c r="BX1166" s="1"/>
      <c r="BY1166" s="1"/>
      <c r="BZ1166" s="1"/>
      <c r="CA1166" s="1"/>
      <c r="CB1166" s="1"/>
      <c r="CC1166" s="1"/>
      <c r="CD1166" s="1"/>
      <c r="CE1166" s="1"/>
      <c r="CF1166" s="1"/>
      <c r="CG1166" s="1"/>
      <c r="CH1166" s="1"/>
      <c r="CI1166" s="1"/>
      <c r="CJ1166" s="1"/>
      <c r="CK1166" s="1"/>
      <c r="CL1166" s="1"/>
      <c r="CM1166" s="1"/>
      <c r="CN1166" s="1"/>
      <c r="CO1166" s="1"/>
      <c r="CP1166" s="1"/>
      <c r="CQ1166" s="1"/>
      <c r="CR1166" s="1"/>
      <c r="CS1166" s="1"/>
      <c r="CT1166" s="1"/>
      <c r="CU1166" s="1"/>
      <c r="CV1166" s="1"/>
      <c r="CW1166" s="1"/>
      <c r="CX1166" s="1"/>
      <c r="CY1166" s="1"/>
      <c r="CZ1166" s="1"/>
      <c r="DA1166" s="1"/>
      <c r="DB1166" s="1"/>
      <c r="DC1166" s="1"/>
    </row>
    <row r="1167" spans="1:107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/>
      <c r="BR1167" s="1"/>
      <c r="BS1167" s="1"/>
      <c r="BT1167" s="1"/>
      <c r="BU1167" s="1"/>
      <c r="BV1167" s="1"/>
      <c r="BW1167" s="1"/>
      <c r="BX1167" s="1"/>
      <c r="BY1167" s="1"/>
      <c r="BZ1167" s="1"/>
      <c r="CA1167" s="1"/>
      <c r="CB1167" s="1"/>
      <c r="CC1167" s="1"/>
      <c r="CD1167" s="1"/>
      <c r="CE1167" s="1"/>
      <c r="CF1167" s="1"/>
      <c r="CG1167" s="1"/>
      <c r="CH1167" s="1"/>
      <c r="CI1167" s="1"/>
      <c r="CJ1167" s="1"/>
      <c r="CK1167" s="1"/>
      <c r="CL1167" s="1"/>
      <c r="CM1167" s="1"/>
      <c r="CN1167" s="1"/>
      <c r="CO1167" s="1"/>
      <c r="CP1167" s="1"/>
      <c r="CQ1167" s="1"/>
      <c r="CR1167" s="1"/>
      <c r="CS1167" s="1"/>
      <c r="CT1167" s="1"/>
      <c r="CU1167" s="1"/>
      <c r="CV1167" s="1"/>
      <c r="CW1167" s="1"/>
      <c r="CX1167" s="1"/>
      <c r="CY1167" s="1"/>
      <c r="CZ1167" s="1"/>
      <c r="DA1167" s="1"/>
      <c r="DB1167" s="1"/>
      <c r="DC1167" s="1"/>
    </row>
    <row r="1168" spans="1:107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1"/>
      <c r="BR1168" s="1"/>
      <c r="BS1168" s="1"/>
      <c r="BT1168" s="1"/>
      <c r="BU1168" s="1"/>
      <c r="BV1168" s="1"/>
      <c r="BW1168" s="1"/>
      <c r="BX1168" s="1"/>
      <c r="BY1168" s="1"/>
      <c r="BZ1168" s="1"/>
      <c r="CA1168" s="1"/>
      <c r="CB1168" s="1"/>
      <c r="CC1168" s="1"/>
      <c r="CD1168" s="1"/>
      <c r="CE1168" s="1"/>
      <c r="CF1168" s="1"/>
      <c r="CG1168" s="1"/>
      <c r="CH1168" s="1"/>
      <c r="CI1168" s="1"/>
      <c r="CJ1168" s="1"/>
      <c r="CK1168" s="1"/>
      <c r="CL1168" s="1"/>
      <c r="CM1168" s="1"/>
      <c r="CN1168" s="1"/>
      <c r="CO1168" s="1"/>
      <c r="CP1168" s="1"/>
      <c r="CQ1168" s="1"/>
      <c r="CR1168" s="1"/>
      <c r="CS1168" s="1"/>
      <c r="CT1168" s="1"/>
      <c r="CU1168" s="1"/>
      <c r="CV1168" s="1"/>
      <c r="CW1168" s="1"/>
      <c r="CX1168" s="1"/>
      <c r="CY1168" s="1"/>
      <c r="CZ1168" s="1"/>
      <c r="DA1168" s="1"/>
      <c r="DB1168" s="1"/>
      <c r="DC1168" s="1"/>
    </row>
    <row r="1169" spans="1:107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  <c r="BO1169" s="1"/>
      <c r="BP1169" s="1"/>
      <c r="BQ1169" s="1"/>
      <c r="BR1169" s="1"/>
      <c r="BS1169" s="1"/>
      <c r="BT1169" s="1"/>
      <c r="BU1169" s="1"/>
      <c r="BV1169" s="1"/>
      <c r="BW1169" s="1"/>
      <c r="BX1169" s="1"/>
      <c r="BY1169" s="1"/>
      <c r="BZ1169" s="1"/>
      <c r="CA1169" s="1"/>
      <c r="CB1169" s="1"/>
      <c r="CC1169" s="1"/>
      <c r="CD1169" s="1"/>
      <c r="CE1169" s="1"/>
      <c r="CF1169" s="1"/>
      <c r="CG1169" s="1"/>
      <c r="CH1169" s="1"/>
      <c r="CI1169" s="1"/>
      <c r="CJ1169" s="1"/>
      <c r="CK1169" s="1"/>
      <c r="CL1169" s="1"/>
      <c r="CM1169" s="1"/>
      <c r="CN1169" s="1"/>
      <c r="CO1169" s="1"/>
      <c r="CP1169" s="1"/>
      <c r="CQ1169" s="1"/>
      <c r="CR1169" s="1"/>
      <c r="CS1169" s="1"/>
      <c r="CT1169" s="1"/>
      <c r="CU1169" s="1"/>
      <c r="CV1169" s="1"/>
      <c r="CW1169" s="1"/>
      <c r="CX1169" s="1"/>
      <c r="CY1169" s="1"/>
      <c r="CZ1169" s="1"/>
      <c r="DA1169" s="1"/>
      <c r="DB1169" s="1"/>
      <c r="DC1169" s="1"/>
    </row>
    <row r="1170" spans="1:107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  <c r="BN1170" s="1"/>
      <c r="BO1170" s="1"/>
      <c r="BP1170" s="1"/>
      <c r="BQ1170" s="1"/>
      <c r="BR1170" s="1"/>
      <c r="BS1170" s="1"/>
      <c r="BT1170" s="1"/>
      <c r="BU1170" s="1"/>
      <c r="BV1170" s="1"/>
      <c r="BW1170" s="1"/>
      <c r="BX1170" s="1"/>
      <c r="BY1170" s="1"/>
      <c r="BZ1170" s="1"/>
      <c r="CA1170" s="1"/>
      <c r="CB1170" s="1"/>
      <c r="CC1170" s="1"/>
      <c r="CD1170" s="1"/>
      <c r="CE1170" s="1"/>
      <c r="CF1170" s="1"/>
      <c r="CG1170" s="1"/>
      <c r="CH1170" s="1"/>
      <c r="CI1170" s="1"/>
      <c r="CJ1170" s="1"/>
      <c r="CK1170" s="1"/>
      <c r="CL1170" s="1"/>
      <c r="CM1170" s="1"/>
      <c r="CN1170" s="1"/>
      <c r="CO1170" s="1"/>
      <c r="CP1170" s="1"/>
      <c r="CQ1170" s="1"/>
      <c r="CR1170" s="1"/>
      <c r="CS1170" s="1"/>
      <c r="CT1170" s="1"/>
      <c r="CU1170" s="1"/>
      <c r="CV1170" s="1"/>
      <c r="CW1170" s="1"/>
      <c r="CX1170" s="1"/>
      <c r="CY1170" s="1"/>
      <c r="CZ1170" s="1"/>
      <c r="DA1170" s="1"/>
      <c r="DB1170" s="1"/>
      <c r="DC1170" s="1"/>
    </row>
    <row r="1171" spans="1:107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/>
      <c r="BS1171" s="1"/>
      <c r="BT1171" s="1"/>
      <c r="BU1171" s="1"/>
      <c r="BV1171" s="1"/>
      <c r="BW1171" s="1"/>
      <c r="BX1171" s="1"/>
      <c r="BY1171" s="1"/>
      <c r="BZ1171" s="1"/>
      <c r="CA1171" s="1"/>
      <c r="CB1171" s="1"/>
      <c r="CC1171" s="1"/>
      <c r="CD1171" s="1"/>
      <c r="CE1171" s="1"/>
      <c r="CF1171" s="1"/>
      <c r="CG1171" s="1"/>
      <c r="CH1171" s="1"/>
      <c r="CI1171" s="1"/>
      <c r="CJ1171" s="1"/>
      <c r="CK1171" s="1"/>
      <c r="CL1171" s="1"/>
      <c r="CM1171" s="1"/>
      <c r="CN1171" s="1"/>
      <c r="CO1171" s="1"/>
      <c r="CP1171" s="1"/>
      <c r="CQ1171" s="1"/>
      <c r="CR1171" s="1"/>
      <c r="CS1171" s="1"/>
      <c r="CT1171" s="1"/>
      <c r="CU1171" s="1"/>
      <c r="CV1171" s="1"/>
      <c r="CW1171" s="1"/>
      <c r="CX1171" s="1"/>
      <c r="CY1171" s="1"/>
      <c r="CZ1171" s="1"/>
      <c r="DA1171" s="1"/>
      <c r="DB1171" s="1"/>
      <c r="DC1171" s="1"/>
    </row>
    <row r="1172" spans="1:107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1"/>
      <c r="BR1172" s="1"/>
      <c r="BS1172" s="1"/>
      <c r="BT1172" s="1"/>
      <c r="BU1172" s="1"/>
      <c r="BV1172" s="1"/>
      <c r="BW1172" s="1"/>
      <c r="BX1172" s="1"/>
      <c r="BY1172" s="1"/>
      <c r="BZ1172" s="1"/>
      <c r="CA1172" s="1"/>
      <c r="CB1172" s="1"/>
      <c r="CC1172" s="1"/>
      <c r="CD1172" s="1"/>
      <c r="CE1172" s="1"/>
      <c r="CF1172" s="1"/>
      <c r="CG1172" s="1"/>
      <c r="CH1172" s="1"/>
      <c r="CI1172" s="1"/>
      <c r="CJ1172" s="1"/>
      <c r="CK1172" s="1"/>
      <c r="CL1172" s="1"/>
      <c r="CM1172" s="1"/>
      <c r="CN1172" s="1"/>
      <c r="CO1172" s="1"/>
      <c r="CP1172" s="1"/>
      <c r="CQ1172" s="1"/>
      <c r="CR1172" s="1"/>
      <c r="CS1172" s="1"/>
      <c r="CT1172" s="1"/>
      <c r="CU1172" s="1"/>
      <c r="CV1172" s="1"/>
      <c r="CW1172" s="1"/>
      <c r="CX1172" s="1"/>
      <c r="CY1172" s="1"/>
      <c r="CZ1172" s="1"/>
      <c r="DA1172" s="1"/>
      <c r="DB1172" s="1"/>
      <c r="DC1172" s="1"/>
    </row>
    <row r="1173" spans="1:107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  <c r="BO1173" s="1"/>
      <c r="BP1173" s="1"/>
      <c r="BQ1173" s="1"/>
      <c r="BR1173" s="1"/>
      <c r="BS1173" s="1"/>
      <c r="BT1173" s="1"/>
      <c r="BU1173" s="1"/>
      <c r="BV1173" s="1"/>
      <c r="BW1173" s="1"/>
      <c r="BX1173" s="1"/>
      <c r="BY1173" s="1"/>
      <c r="BZ1173" s="1"/>
      <c r="CA1173" s="1"/>
      <c r="CB1173" s="1"/>
      <c r="CC1173" s="1"/>
      <c r="CD1173" s="1"/>
      <c r="CE1173" s="1"/>
      <c r="CF1173" s="1"/>
      <c r="CG1173" s="1"/>
      <c r="CH1173" s="1"/>
      <c r="CI1173" s="1"/>
      <c r="CJ1173" s="1"/>
      <c r="CK1173" s="1"/>
      <c r="CL1173" s="1"/>
      <c r="CM1173" s="1"/>
      <c r="CN1173" s="1"/>
      <c r="CO1173" s="1"/>
      <c r="CP1173" s="1"/>
      <c r="CQ1173" s="1"/>
      <c r="CR1173" s="1"/>
      <c r="CS1173" s="1"/>
      <c r="CT1173" s="1"/>
      <c r="CU1173" s="1"/>
      <c r="CV1173" s="1"/>
      <c r="CW1173" s="1"/>
      <c r="CX1173" s="1"/>
      <c r="CY1173" s="1"/>
      <c r="CZ1173" s="1"/>
      <c r="DA1173" s="1"/>
      <c r="DB1173" s="1"/>
      <c r="DC1173" s="1"/>
    </row>
    <row r="1174" spans="1:107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/>
      <c r="BO1174" s="1"/>
      <c r="BP1174" s="1"/>
      <c r="BQ1174" s="1"/>
      <c r="BR1174" s="1"/>
      <c r="BS1174" s="1"/>
      <c r="BT1174" s="1"/>
      <c r="BU1174" s="1"/>
      <c r="BV1174" s="1"/>
      <c r="BW1174" s="1"/>
      <c r="BX1174" s="1"/>
      <c r="BY1174" s="1"/>
      <c r="BZ1174" s="1"/>
      <c r="CA1174" s="1"/>
      <c r="CB1174" s="1"/>
      <c r="CC1174" s="1"/>
      <c r="CD1174" s="1"/>
      <c r="CE1174" s="1"/>
      <c r="CF1174" s="1"/>
      <c r="CG1174" s="1"/>
      <c r="CH1174" s="1"/>
      <c r="CI1174" s="1"/>
      <c r="CJ1174" s="1"/>
      <c r="CK1174" s="1"/>
      <c r="CL1174" s="1"/>
      <c r="CM1174" s="1"/>
      <c r="CN1174" s="1"/>
      <c r="CO1174" s="1"/>
      <c r="CP1174" s="1"/>
      <c r="CQ1174" s="1"/>
      <c r="CR1174" s="1"/>
      <c r="CS1174" s="1"/>
      <c r="CT1174" s="1"/>
      <c r="CU1174" s="1"/>
      <c r="CV1174" s="1"/>
      <c r="CW1174" s="1"/>
      <c r="CX1174" s="1"/>
      <c r="CY1174" s="1"/>
      <c r="CZ1174" s="1"/>
      <c r="DA1174" s="1"/>
      <c r="DB1174" s="1"/>
      <c r="DC1174" s="1"/>
    </row>
    <row r="1175" spans="1:107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1"/>
      <c r="BR1175" s="1"/>
      <c r="BS1175" s="1"/>
      <c r="BT1175" s="1"/>
      <c r="BU1175" s="1"/>
      <c r="BV1175" s="1"/>
      <c r="BW1175" s="1"/>
      <c r="BX1175" s="1"/>
      <c r="BY1175" s="1"/>
      <c r="BZ1175" s="1"/>
      <c r="CA1175" s="1"/>
      <c r="CB1175" s="1"/>
      <c r="CC1175" s="1"/>
      <c r="CD1175" s="1"/>
      <c r="CE1175" s="1"/>
      <c r="CF1175" s="1"/>
      <c r="CG1175" s="1"/>
      <c r="CH1175" s="1"/>
      <c r="CI1175" s="1"/>
      <c r="CJ1175" s="1"/>
      <c r="CK1175" s="1"/>
      <c r="CL1175" s="1"/>
      <c r="CM1175" s="1"/>
      <c r="CN1175" s="1"/>
      <c r="CO1175" s="1"/>
      <c r="CP1175" s="1"/>
      <c r="CQ1175" s="1"/>
      <c r="CR1175" s="1"/>
      <c r="CS1175" s="1"/>
      <c r="CT1175" s="1"/>
      <c r="CU1175" s="1"/>
      <c r="CV1175" s="1"/>
      <c r="CW1175" s="1"/>
      <c r="CX1175" s="1"/>
      <c r="CY1175" s="1"/>
      <c r="CZ1175" s="1"/>
      <c r="DA1175" s="1"/>
      <c r="DB1175" s="1"/>
      <c r="DC1175" s="1"/>
    </row>
    <row r="1176" spans="1:107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  <c r="BN1176" s="1"/>
      <c r="BO1176" s="1"/>
      <c r="BP1176" s="1"/>
      <c r="BQ1176" s="1"/>
      <c r="BR1176" s="1"/>
      <c r="BS1176" s="1"/>
      <c r="BT1176" s="1"/>
      <c r="BU1176" s="1"/>
      <c r="BV1176" s="1"/>
      <c r="BW1176" s="1"/>
      <c r="BX1176" s="1"/>
      <c r="BY1176" s="1"/>
      <c r="BZ1176" s="1"/>
      <c r="CA1176" s="1"/>
      <c r="CB1176" s="1"/>
      <c r="CC1176" s="1"/>
      <c r="CD1176" s="1"/>
      <c r="CE1176" s="1"/>
      <c r="CF1176" s="1"/>
      <c r="CG1176" s="1"/>
      <c r="CH1176" s="1"/>
      <c r="CI1176" s="1"/>
      <c r="CJ1176" s="1"/>
      <c r="CK1176" s="1"/>
      <c r="CL1176" s="1"/>
      <c r="CM1176" s="1"/>
      <c r="CN1176" s="1"/>
      <c r="CO1176" s="1"/>
      <c r="CP1176" s="1"/>
      <c r="CQ1176" s="1"/>
      <c r="CR1176" s="1"/>
      <c r="CS1176" s="1"/>
      <c r="CT1176" s="1"/>
      <c r="CU1176" s="1"/>
      <c r="CV1176" s="1"/>
      <c r="CW1176" s="1"/>
      <c r="CX1176" s="1"/>
      <c r="CY1176" s="1"/>
      <c r="CZ1176" s="1"/>
      <c r="DA1176" s="1"/>
      <c r="DB1176" s="1"/>
      <c r="DC1176" s="1"/>
    </row>
    <row r="1177" spans="1:107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1"/>
      <c r="BO1177" s="1"/>
      <c r="BP1177" s="1"/>
      <c r="BQ1177" s="1"/>
      <c r="BR1177" s="1"/>
      <c r="BS1177" s="1"/>
      <c r="BT1177" s="1"/>
      <c r="BU1177" s="1"/>
      <c r="BV1177" s="1"/>
      <c r="BW1177" s="1"/>
      <c r="BX1177" s="1"/>
      <c r="BY1177" s="1"/>
      <c r="BZ1177" s="1"/>
      <c r="CA1177" s="1"/>
      <c r="CB1177" s="1"/>
      <c r="CC1177" s="1"/>
      <c r="CD1177" s="1"/>
      <c r="CE1177" s="1"/>
      <c r="CF1177" s="1"/>
      <c r="CG1177" s="1"/>
      <c r="CH1177" s="1"/>
      <c r="CI1177" s="1"/>
      <c r="CJ1177" s="1"/>
      <c r="CK1177" s="1"/>
      <c r="CL1177" s="1"/>
      <c r="CM1177" s="1"/>
      <c r="CN1177" s="1"/>
      <c r="CO1177" s="1"/>
      <c r="CP1177" s="1"/>
      <c r="CQ1177" s="1"/>
      <c r="CR1177" s="1"/>
      <c r="CS1177" s="1"/>
      <c r="CT1177" s="1"/>
      <c r="CU1177" s="1"/>
      <c r="CV1177" s="1"/>
      <c r="CW1177" s="1"/>
      <c r="CX1177" s="1"/>
      <c r="CY1177" s="1"/>
      <c r="CZ1177" s="1"/>
      <c r="DA1177" s="1"/>
      <c r="DB1177" s="1"/>
      <c r="DC1177" s="1"/>
    </row>
    <row r="1178" spans="1:107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  <c r="BN1178" s="1"/>
      <c r="BO1178" s="1"/>
      <c r="BP1178" s="1"/>
      <c r="BQ1178" s="1"/>
      <c r="BR1178" s="1"/>
      <c r="BS1178" s="1"/>
      <c r="BT1178" s="1"/>
      <c r="BU1178" s="1"/>
      <c r="BV1178" s="1"/>
      <c r="BW1178" s="1"/>
      <c r="BX1178" s="1"/>
      <c r="BY1178" s="1"/>
      <c r="BZ1178" s="1"/>
      <c r="CA1178" s="1"/>
      <c r="CB1178" s="1"/>
      <c r="CC1178" s="1"/>
      <c r="CD1178" s="1"/>
      <c r="CE1178" s="1"/>
      <c r="CF1178" s="1"/>
      <c r="CG1178" s="1"/>
      <c r="CH1178" s="1"/>
      <c r="CI1178" s="1"/>
      <c r="CJ1178" s="1"/>
      <c r="CK1178" s="1"/>
      <c r="CL1178" s="1"/>
      <c r="CM1178" s="1"/>
      <c r="CN1178" s="1"/>
      <c r="CO1178" s="1"/>
      <c r="CP1178" s="1"/>
      <c r="CQ1178" s="1"/>
      <c r="CR1178" s="1"/>
      <c r="CS1178" s="1"/>
      <c r="CT1178" s="1"/>
      <c r="CU1178" s="1"/>
      <c r="CV1178" s="1"/>
      <c r="CW1178" s="1"/>
      <c r="CX1178" s="1"/>
      <c r="CY1178" s="1"/>
      <c r="CZ1178" s="1"/>
      <c r="DA1178" s="1"/>
      <c r="DB1178" s="1"/>
      <c r="DC1178" s="1"/>
    </row>
    <row r="1179" spans="1:107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  <c r="BR1179" s="1"/>
      <c r="BS1179" s="1"/>
      <c r="BT1179" s="1"/>
      <c r="BU1179" s="1"/>
      <c r="BV1179" s="1"/>
      <c r="BW1179" s="1"/>
      <c r="BX1179" s="1"/>
      <c r="BY1179" s="1"/>
      <c r="BZ1179" s="1"/>
      <c r="CA1179" s="1"/>
      <c r="CB1179" s="1"/>
      <c r="CC1179" s="1"/>
      <c r="CD1179" s="1"/>
      <c r="CE1179" s="1"/>
      <c r="CF1179" s="1"/>
      <c r="CG1179" s="1"/>
      <c r="CH1179" s="1"/>
      <c r="CI1179" s="1"/>
      <c r="CJ1179" s="1"/>
      <c r="CK1179" s="1"/>
      <c r="CL1179" s="1"/>
      <c r="CM1179" s="1"/>
      <c r="CN1179" s="1"/>
      <c r="CO1179" s="1"/>
      <c r="CP1179" s="1"/>
      <c r="CQ1179" s="1"/>
      <c r="CR1179" s="1"/>
      <c r="CS1179" s="1"/>
      <c r="CT1179" s="1"/>
      <c r="CU1179" s="1"/>
      <c r="CV1179" s="1"/>
      <c r="CW1179" s="1"/>
      <c r="CX1179" s="1"/>
      <c r="CY1179" s="1"/>
      <c r="CZ1179" s="1"/>
      <c r="DA1179" s="1"/>
      <c r="DB1179" s="1"/>
      <c r="DC1179" s="1"/>
    </row>
    <row r="1180" spans="1:107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  <c r="BN1180" s="1"/>
      <c r="BO1180" s="1"/>
      <c r="BP1180" s="1"/>
      <c r="BQ1180" s="1"/>
      <c r="BR1180" s="1"/>
      <c r="BS1180" s="1"/>
      <c r="BT1180" s="1"/>
      <c r="BU1180" s="1"/>
      <c r="BV1180" s="1"/>
      <c r="BW1180" s="1"/>
      <c r="BX1180" s="1"/>
      <c r="BY1180" s="1"/>
      <c r="BZ1180" s="1"/>
      <c r="CA1180" s="1"/>
      <c r="CB1180" s="1"/>
      <c r="CC1180" s="1"/>
      <c r="CD1180" s="1"/>
      <c r="CE1180" s="1"/>
      <c r="CF1180" s="1"/>
      <c r="CG1180" s="1"/>
      <c r="CH1180" s="1"/>
      <c r="CI1180" s="1"/>
      <c r="CJ1180" s="1"/>
      <c r="CK1180" s="1"/>
      <c r="CL1180" s="1"/>
      <c r="CM1180" s="1"/>
      <c r="CN1180" s="1"/>
      <c r="CO1180" s="1"/>
      <c r="CP1180" s="1"/>
      <c r="CQ1180" s="1"/>
      <c r="CR1180" s="1"/>
      <c r="CS1180" s="1"/>
      <c r="CT1180" s="1"/>
      <c r="CU1180" s="1"/>
      <c r="CV1180" s="1"/>
      <c r="CW1180" s="1"/>
      <c r="CX1180" s="1"/>
      <c r="CY1180" s="1"/>
      <c r="CZ1180" s="1"/>
      <c r="DA1180" s="1"/>
      <c r="DB1180" s="1"/>
      <c r="DC1180" s="1"/>
    </row>
    <row r="1181" spans="1:107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1"/>
      <c r="BM1181" s="1"/>
      <c r="BN1181" s="1"/>
      <c r="BO1181" s="1"/>
      <c r="BP1181" s="1"/>
      <c r="BQ1181" s="1"/>
      <c r="BR1181" s="1"/>
      <c r="BS1181" s="1"/>
      <c r="BT1181" s="1"/>
      <c r="BU1181" s="1"/>
      <c r="BV1181" s="1"/>
      <c r="BW1181" s="1"/>
      <c r="BX1181" s="1"/>
      <c r="BY1181" s="1"/>
      <c r="BZ1181" s="1"/>
      <c r="CA1181" s="1"/>
      <c r="CB1181" s="1"/>
      <c r="CC1181" s="1"/>
      <c r="CD1181" s="1"/>
      <c r="CE1181" s="1"/>
      <c r="CF1181" s="1"/>
      <c r="CG1181" s="1"/>
      <c r="CH1181" s="1"/>
      <c r="CI1181" s="1"/>
      <c r="CJ1181" s="1"/>
      <c r="CK1181" s="1"/>
      <c r="CL1181" s="1"/>
      <c r="CM1181" s="1"/>
      <c r="CN1181" s="1"/>
      <c r="CO1181" s="1"/>
      <c r="CP1181" s="1"/>
      <c r="CQ1181" s="1"/>
      <c r="CR1181" s="1"/>
      <c r="CS1181" s="1"/>
      <c r="CT1181" s="1"/>
      <c r="CU1181" s="1"/>
      <c r="CV1181" s="1"/>
      <c r="CW1181" s="1"/>
      <c r="CX1181" s="1"/>
      <c r="CY1181" s="1"/>
      <c r="CZ1181" s="1"/>
      <c r="DA1181" s="1"/>
      <c r="DB1181" s="1"/>
      <c r="DC1181" s="1"/>
    </row>
    <row r="1182" spans="1:107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/>
      <c r="BK1182" s="1"/>
      <c r="BL1182" s="1"/>
      <c r="BM1182" s="1"/>
      <c r="BN1182" s="1"/>
      <c r="BO1182" s="1"/>
      <c r="BP1182" s="1"/>
      <c r="BQ1182" s="1"/>
      <c r="BR1182" s="1"/>
      <c r="BS1182" s="1"/>
      <c r="BT1182" s="1"/>
      <c r="BU1182" s="1"/>
      <c r="BV1182" s="1"/>
      <c r="BW1182" s="1"/>
      <c r="BX1182" s="1"/>
      <c r="BY1182" s="1"/>
      <c r="BZ1182" s="1"/>
      <c r="CA1182" s="1"/>
      <c r="CB1182" s="1"/>
      <c r="CC1182" s="1"/>
      <c r="CD1182" s="1"/>
      <c r="CE1182" s="1"/>
      <c r="CF1182" s="1"/>
      <c r="CG1182" s="1"/>
      <c r="CH1182" s="1"/>
      <c r="CI1182" s="1"/>
      <c r="CJ1182" s="1"/>
      <c r="CK1182" s="1"/>
      <c r="CL1182" s="1"/>
      <c r="CM1182" s="1"/>
      <c r="CN1182" s="1"/>
      <c r="CO1182" s="1"/>
      <c r="CP1182" s="1"/>
      <c r="CQ1182" s="1"/>
      <c r="CR1182" s="1"/>
      <c r="CS1182" s="1"/>
      <c r="CT1182" s="1"/>
      <c r="CU1182" s="1"/>
      <c r="CV1182" s="1"/>
      <c r="CW1182" s="1"/>
      <c r="CX1182" s="1"/>
      <c r="CY1182" s="1"/>
      <c r="CZ1182" s="1"/>
      <c r="DA1182" s="1"/>
      <c r="DB1182" s="1"/>
      <c r="DC1182" s="1"/>
    </row>
    <row r="1183" spans="1:107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1"/>
      <c r="BM1183" s="1"/>
      <c r="BN1183" s="1"/>
      <c r="BO1183" s="1"/>
      <c r="BP1183" s="1"/>
      <c r="BQ1183" s="1"/>
      <c r="BR1183" s="1"/>
      <c r="BS1183" s="1"/>
      <c r="BT1183" s="1"/>
      <c r="BU1183" s="1"/>
      <c r="BV1183" s="1"/>
      <c r="BW1183" s="1"/>
      <c r="BX1183" s="1"/>
      <c r="BY1183" s="1"/>
      <c r="BZ1183" s="1"/>
      <c r="CA1183" s="1"/>
      <c r="CB1183" s="1"/>
      <c r="CC1183" s="1"/>
      <c r="CD1183" s="1"/>
      <c r="CE1183" s="1"/>
      <c r="CF1183" s="1"/>
      <c r="CG1183" s="1"/>
      <c r="CH1183" s="1"/>
      <c r="CI1183" s="1"/>
      <c r="CJ1183" s="1"/>
      <c r="CK1183" s="1"/>
      <c r="CL1183" s="1"/>
      <c r="CM1183" s="1"/>
      <c r="CN1183" s="1"/>
      <c r="CO1183" s="1"/>
      <c r="CP1183" s="1"/>
      <c r="CQ1183" s="1"/>
      <c r="CR1183" s="1"/>
      <c r="CS1183" s="1"/>
      <c r="CT1183" s="1"/>
      <c r="CU1183" s="1"/>
      <c r="CV1183" s="1"/>
      <c r="CW1183" s="1"/>
      <c r="CX1183" s="1"/>
      <c r="CY1183" s="1"/>
      <c r="CZ1183" s="1"/>
      <c r="DA1183" s="1"/>
      <c r="DB1183" s="1"/>
      <c r="DC1183" s="1"/>
    </row>
    <row r="1184" spans="1:107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  <c r="BO1184" s="1"/>
      <c r="BP1184" s="1"/>
      <c r="BQ1184" s="1"/>
      <c r="BR1184" s="1"/>
      <c r="BS1184" s="1"/>
      <c r="BT1184" s="1"/>
      <c r="BU1184" s="1"/>
      <c r="BV1184" s="1"/>
      <c r="BW1184" s="1"/>
      <c r="BX1184" s="1"/>
      <c r="BY1184" s="1"/>
      <c r="BZ1184" s="1"/>
      <c r="CA1184" s="1"/>
      <c r="CB1184" s="1"/>
      <c r="CC1184" s="1"/>
      <c r="CD1184" s="1"/>
      <c r="CE1184" s="1"/>
      <c r="CF1184" s="1"/>
      <c r="CG1184" s="1"/>
      <c r="CH1184" s="1"/>
      <c r="CI1184" s="1"/>
      <c r="CJ1184" s="1"/>
      <c r="CK1184" s="1"/>
      <c r="CL1184" s="1"/>
      <c r="CM1184" s="1"/>
      <c r="CN1184" s="1"/>
      <c r="CO1184" s="1"/>
      <c r="CP1184" s="1"/>
      <c r="CQ1184" s="1"/>
      <c r="CR1184" s="1"/>
      <c r="CS1184" s="1"/>
      <c r="CT1184" s="1"/>
      <c r="CU1184" s="1"/>
      <c r="CV1184" s="1"/>
      <c r="CW1184" s="1"/>
      <c r="CX1184" s="1"/>
      <c r="CY1184" s="1"/>
      <c r="CZ1184" s="1"/>
      <c r="DA1184" s="1"/>
      <c r="DB1184" s="1"/>
      <c r="DC1184" s="1"/>
    </row>
    <row r="1185" spans="1:107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  <c r="BN1185" s="1"/>
      <c r="BO1185" s="1"/>
      <c r="BP1185" s="1"/>
      <c r="BQ1185" s="1"/>
      <c r="BR1185" s="1"/>
      <c r="BS1185" s="1"/>
      <c r="BT1185" s="1"/>
      <c r="BU1185" s="1"/>
      <c r="BV1185" s="1"/>
      <c r="BW1185" s="1"/>
      <c r="BX1185" s="1"/>
      <c r="BY1185" s="1"/>
      <c r="BZ1185" s="1"/>
      <c r="CA1185" s="1"/>
      <c r="CB1185" s="1"/>
      <c r="CC1185" s="1"/>
      <c r="CD1185" s="1"/>
      <c r="CE1185" s="1"/>
      <c r="CF1185" s="1"/>
      <c r="CG1185" s="1"/>
      <c r="CH1185" s="1"/>
      <c r="CI1185" s="1"/>
      <c r="CJ1185" s="1"/>
      <c r="CK1185" s="1"/>
      <c r="CL1185" s="1"/>
      <c r="CM1185" s="1"/>
      <c r="CN1185" s="1"/>
      <c r="CO1185" s="1"/>
      <c r="CP1185" s="1"/>
      <c r="CQ1185" s="1"/>
      <c r="CR1185" s="1"/>
      <c r="CS1185" s="1"/>
      <c r="CT1185" s="1"/>
      <c r="CU1185" s="1"/>
      <c r="CV1185" s="1"/>
      <c r="CW1185" s="1"/>
      <c r="CX1185" s="1"/>
      <c r="CY1185" s="1"/>
      <c r="CZ1185" s="1"/>
      <c r="DA1185" s="1"/>
      <c r="DB1185" s="1"/>
      <c r="DC1185" s="1"/>
    </row>
    <row r="1186" spans="1:107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/>
      <c r="BL1186" s="1"/>
      <c r="BM1186" s="1"/>
      <c r="BN1186" s="1"/>
      <c r="BO1186" s="1"/>
      <c r="BP1186" s="1"/>
      <c r="BQ1186" s="1"/>
      <c r="BR1186" s="1"/>
      <c r="BS1186" s="1"/>
      <c r="BT1186" s="1"/>
      <c r="BU1186" s="1"/>
      <c r="BV1186" s="1"/>
      <c r="BW1186" s="1"/>
      <c r="BX1186" s="1"/>
      <c r="BY1186" s="1"/>
      <c r="BZ1186" s="1"/>
      <c r="CA1186" s="1"/>
      <c r="CB1186" s="1"/>
      <c r="CC1186" s="1"/>
      <c r="CD1186" s="1"/>
      <c r="CE1186" s="1"/>
      <c r="CF1186" s="1"/>
      <c r="CG1186" s="1"/>
      <c r="CH1186" s="1"/>
      <c r="CI1186" s="1"/>
      <c r="CJ1186" s="1"/>
      <c r="CK1186" s="1"/>
      <c r="CL1186" s="1"/>
      <c r="CM1186" s="1"/>
      <c r="CN1186" s="1"/>
      <c r="CO1186" s="1"/>
      <c r="CP1186" s="1"/>
      <c r="CQ1186" s="1"/>
      <c r="CR1186" s="1"/>
      <c r="CS1186" s="1"/>
      <c r="CT1186" s="1"/>
      <c r="CU1186" s="1"/>
      <c r="CV1186" s="1"/>
      <c r="CW1186" s="1"/>
      <c r="CX1186" s="1"/>
      <c r="CY1186" s="1"/>
      <c r="CZ1186" s="1"/>
      <c r="DA1186" s="1"/>
      <c r="DB1186" s="1"/>
      <c r="DC1186" s="1"/>
    </row>
    <row r="1187" spans="1:107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1"/>
      <c r="BM1187" s="1"/>
      <c r="BN1187" s="1"/>
      <c r="BO1187" s="1"/>
      <c r="BP1187" s="1"/>
      <c r="BQ1187" s="1"/>
      <c r="BR1187" s="1"/>
      <c r="BS1187" s="1"/>
      <c r="BT1187" s="1"/>
      <c r="BU1187" s="1"/>
      <c r="BV1187" s="1"/>
      <c r="BW1187" s="1"/>
      <c r="BX1187" s="1"/>
      <c r="BY1187" s="1"/>
      <c r="BZ1187" s="1"/>
      <c r="CA1187" s="1"/>
      <c r="CB1187" s="1"/>
      <c r="CC1187" s="1"/>
      <c r="CD1187" s="1"/>
      <c r="CE1187" s="1"/>
      <c r="CF1187" s="1"/>
      <c r="CG1187" s="1"/>
      <c r="CH1187" s="1"/>
      <c r="CI1187" s="1"/>
      <c r="CJ1187" s="1"/>
      <c r="CK1187" s="1"/>
      <c r="CL1187" s="1"/>
      <c r="CM1187" s="1"/>
      <c r="CN1187" s="1"/>
      <c r="CO1187" s="1"/>
      <c r="CP1187" s="1"/>
      <c r="CQ1187" s="1"/>
      <c r="CR1187" s="1"/>
      <c r="CS1187" s="1"/>
      <c r="CT1187" s="1"/>
      <c r="CU1187" s="1"/>
      <c r="CV1187" s="1"/>
      <c r="CW1187" s="1"/>
      <c r="CX1187" s="1"/>
      <c r="CY1187" s="1"/>
      <c r="CZ1187" s="1"/>
      <c r="DA1187" s="1"/>
      <c r="DB1187" s="1"/>
      <c r="DC1187" s="1"/>
    </row>
    <row r="1188" spans="1:107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  <c r="BN1188" s="1"/>
      <c r="BO1188" s="1"/>
      <c r="BP1188" s="1"/>
      <c r="BQ1188" s="1"/>
      <c r="BR1188" s="1"/>
      <c r="BS1188" s="1"/>
      <c r="BT1188" s="1"/>
      <c r="BU1188" s="1"/>
      <c r="BV1188" s="1"/>
      <c r="BW1188" s="1"/>
      <c r="BX1188" s="1"/>
      <c r="BY1188" s="1"/>
      <c r="BZ1188" s="1"/>
      <c r="CA1188" s="1"/>
      <c r="CB1188" s="1"/>
      <c r="CC1188" s="1"/>
      <c r="CD1188" s="1"/>
      <c r="CE1188" s="1"/>
      <c r="CF1188" s="1"/>
      <c r="CG1188" s="1"/>
      <c r="CH1188" s="1"/>
      <c r="CI1188" s="1"/>
      <c r="CJ1188" s="1"/>
      <c r="CK1188" s="1"/>
      <c r="CL1188" s="1"/>
      <c r="CM1188" s="1"/>
      <c r="CN1188" s="1"/>
      <c r="CO1188" s="1"/>
      <c r="CP1188" s="1"/>
      <c r="CQ1188" s="1"/>
      <c r="CR1188" s="1"/>
      <c r="CS1188" s="1"/>
      <c r="CT1188" s="1"/>
      <c r="CU1188" s="1"/>
      <c r="CV1188" s="1"/>
      <c r="CW1188" s="1"/>
      <c r="CX1188" s="1"/>
      <c r="CY1188" s="1"/>
      <c r="CZ1188" s="1"/>
      <c r="DA1188" s="1"/>
      <c r="DB1188" s="1"/>
      <c r="DC1188" s="1"/>
    </row>
    <row r="1189" spans="1:107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/>
      <c r="BQ1189" s="1"/>
      <c r="BR1189" s="1"/>
      <c r="BS1189" s="1"/>
      <c r="BT1189" s="1"/>
      <c r="BU1189" s="1"/>
      <c r="BV1189" s="1"/>
      <c r="BW1189" s="1"/>
      <c r="BX1189" s="1"/>
      <c r="BY1189" s="1"/>
      <c r="BZ1189" s="1"/>
      <c r="CA1189" s="1"/>
      <c r="CB1189" s="1"/>
      <c r="CC1189" s="1"/>
      <c r="CD1189" s="1"/>
      <c r="CE1189" s="1"/>
      <c r="CF1189" s="1"/>
      <c r="CG1189" s="1"/>
      <c r="CH1189" s="1"/>
      <c r="CI1189" s="1"/>
      <c r="CJ1189" s="1"/>
      <c r="CK1189" s="1"/>
      <c r="CL1189" s="1"/>
      <c r="CM1189" s="1"/>
      <c r="CN1189" s="1"/>
      <c r="CO1189" s="1"/>
      <c r="CP1189" s="1"/>
      <c r="CQ1189" s="1"/>
      <c r="CR1189" s="1"/>
      <c r="CS1189" s="1"/>
      <c r="CT1189" s="1"/>
      <c r="CU1189" s="1"/>
      <c r="CV1189" s="1"/>
      <c r="CW1189" s="1"/>
      <c r="CX1189" s="1"/>
      <c r="CY1189" s="1"/>
      <c r="CZ1189" s="1"/>
      <c r="DA1189" s="1"/>
      <c r="DB1189" s="1"/>
      <c r="DC1189" s="1"/>
    </row>
    <row r="1190" spans="1:107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/>
      <c r="BO1190" s="1"/>
      <c r="BP1190" s="1"/>
      <c r="BQ1190" s="1"/>
      <c r="BR1190" s="1"/>
      <c r="BS1190" s="1"/>
      <c r="BT1190" s="1"/>
      <c r="BU1190" s="1"/>
      <c r="BV1190" s="1"/>
      <c r="BW1190" s="1"/>
      <c r="BX1190" s="1"/>
      <c r="BY1190" s="1"/>
      <c r="BZ1190" s="1"/>
      <c r="CA1190" s="1"/>
      <c r="CB1190" s="1"/>
      <c r="CC1190" s="1"/>
      <c r="CD1190" s="1"/>
      <c r="CE1190" s="1"/>
      <c r="CF1190" s="1"/>
      <c r="CG1190" s="1"/>
      <c r="CH1190" s="1"/>
      <c r="CI1190" s="1"/>
      <c r="CJ1190" s="1"/>
      <c r="CK1190" s="1"/>
      <c r="CL1190" s="1"/>
      <c r="CM1190" s="1"/>
      <c r="CN1190" s="1"/>
      <c r="CO1190" s="1"/>
      <c r="CP1190" s="1"/>
      <c r="CQ1190" s="1"/>
      <c r="CR1190" s="1"/>
      <c r="CS1190" s="1"/>
      <c r="CT1190" s="1"/>
      <c r="CU1190" s="1"/>
      <c r="CV1190" s="1"/>
      <c r="CW1190" s="1"/>
      <c r="CX1190" s="1"/>
      <c r="CY1190" s="1"/>
      <c r="CZ1190" s="1"/>
      <c r="DA1190" s="1"/>
      <c r="DB1190" s="1"/>
      <c r="DC1190" s="1"/>
    </row>
    <row r="1191" spans="1:107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/>
      <c r="BQ1191" s="1"/>
      <c r="BR1191" s="1"/>
      <c r="BS1191" s="1"/>
      <c r="BT1191" s="1"/>
      <c r="BU1191" s="1"/>
      <c r="BV1191" s="1"/>
      <c r="BW1191" s="1"/>
      <c r="BX1191" s="1"/>
      <c r="BY1191" s="1"/>
      <c r="BZ1191" s="1"/>
      <c r="CA1191" s="1"/>
      <c r="CB1191" s="1"/>
      <c r="CC1191" s="1"/>
      <c r="CD1191" s="1"/>
      <c r="CE1191" s="1"/>
      <c r="CF1191" s="1"/>
      <c r="CG1191" s="1"/>
      <c r="CH1191" s="1"/>
      <c r="CI1191" s="1"/>
      <c r="CJ1191" s="1"/>
      <c r="CK1191" s="1"/>
      <c r="CL1191" s="1"/>
      <c r="CM1191" s="1"/>
      <c r="CN1191" s="1"/>
      <c r="CO1191" s="1"/>
      <c r="CP1191" s="1"/>
      <c r="CQ1191" s="1"/>
      <c r="CR1191" s="1"/>
      <c r="CS1191" s="1"/>
      <c r="CT1191" s="1"/>
      <c r="CU1191" s="1"/>
      <c r="CV1191" s="1"/>
      <c r="CW1191" s="1"/>
      <c r="CX1191" s="1"/>
      <c r="CY1191" s="1"/>
      <c r="CZ1191" s="1"/>
      <c r="DA1191" s="1"/>
      <c r="DB1191" s="1"/>
      <c r="DC1191" s="1"/>
    </row>
    <row r="1192" spans="1:107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  <c r="BN1192" s="1"/>
      <c r="BO1192" s="1"/>
      <c r="BP1192" s="1"/>
      <c r="BQ1192" s="1"/>
      <c r="BR1192" s="1"/>
      <c r="BS1192" s="1"/>
      <c r="BT1192" s="1"/>
      <c r="BU1192" s="1"/>
      <c r="BV1192" s="1"/>
      <c r="BW1192" s="1"/>
      <c r="BX1192" s="1"/>
      <c r="BY1192" s="1"/>
      <c r="BZ1192" s="1"/>
      <c r="CA1192" s="1"/>
      <c r="CB1192" s="1"/>
      <c r="CC1192" s="1"/>
      <c r="CD1192" s="1"/>
      <c r="CE1192" s="1"/>
      <c r="CF1192" s="1"/>
      <c r="CG1192" s="1"/>
      <c r="CH1192" s="1"/>
      <c r="CI1192" s="1"/>
      <c r="CJ1192" s="1"/>
      <c r="CK1192" s="1"/>
      <c r="CL1192" s="1"/>
      <c r="CM1192" s="1"/>
      <c r="CN1192" s="1"/>
      <c r="CO1192" s="1"/>
      <c r="CP1192" s="1"/>
      <c r="CQ1192" s="1"/>
      <c r="CR1192" s="1"/>
      <c r="CS1192" s="1"/>
      <c r="CT1192" s="1"/>
      <c r="CU1192" s="1"/>
      <c r="CV1192" s="1"/>
      <c r="CW1192" s="1"/>
      <c r="CX1192" s="1"/>
      <c r="CY1192" s="1"/>
      <c r="CZ1192" s="1"/>
      <c r="DA1192" s="1"/>
      <c r="DB1192" s="1"/>
      <c r="DC1192" s="1"/>
    </row>
    <row r="1193" spans="1:107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  <c r="BN1193" s="1"/>
      <c r="BO1193" s="1"/>
      <c r="BP1193" s="1"/>
      <c r="BQ1193" s="1"/>
      <c r="BR1193" s="1"/>
      <c r="BS1193" s="1"/>
      <c r="BT1193" s="1"/>
      <c r="BU1193" s="1"/>
      <c r="BV1193" s="1"/>
      <c r="BW1193" s="1"/>
      <c r="BX1193" s="1"/>
      <c r="BY1193" s="1"/>
      <c r="BZ1193" s="1"/>
      <c r="CA1193" s="1"/>
      <c r="CB1193" s="1"/>
      <c r="CC1193" s="1"/>
      <c r="CD1193" s="1"/>
      <c r="CE1193" s="1"/>
      <c r="CF1193" s="1"/>
      <c r="CG1193" s="1"/>
      <c r="CH1193" s="1"/>
      <c r="CI1193" s="1"/>
      <c r="CJ1193" s="1"/>
      <c r="CK1193" s="1"/>
      <c r="CL1193" s="1"/>
      <c r="CM1193" s="1"/>
      <c r="CN1193" s="1"/>
      <c r="CO1193" s="1"/>
      <c r="CP1193" s="1"/>
      <c r="CQ1193" s="1"/>
      <c r="CR1193" s="1"/>
      <c r="CS1193" s="1"/>
      <c r="CT1193" s="1"/>
      <c r="CU1193" s="1"/>
      <c r="CV1193" s="1"/>
      <c r="CW1193" s="1"/>
      <c r="CX1193" s="1"/>
      <c r="CY1193" s="1"/>
      <c r="CZ1193" s="1"/>
      <c r="DA1193" s="1"/>
      <c r="DB1193" s="1"/>
      <c r="DC1193" s="1"/>
    </row>
    <row r="1194" spans="1:107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/>
      <c r="BK1194" s="1"/>
      <c r="BL1194" s="1"/>
      <c r="BM1194" s="1"/>
      <c r="BN1194" s="1"/>
      <c r="BO1194" s="1"/>
      <c r="BP1194" s="1"/>
      <c r="BQ1194" s="1"/>
      <c r="BR1194" s="1"/>
      <c r="BS1194" s="1"/>
      <c r="BT1194" s="1"/>
      <c r="BU1194" s="1"/>
      <c r="BV1194" s="1"/>
      <c r="BW1194" s="1"/>
      <c r="BX1194" s="1"/>
      <c r="BY1194" s="1"/>
      <c r="BZ1194" s="1"/>
      <c r="CA1194" s="1"/>
      <c r="CB1194" s="1"/>
      <c r="CC1194" s="1"/>
      <c r="CD1194" s="1"/>
      <c r="CE1194" s="1"/>
      <c r="CF1194" s="1"/>
      <c r="CG1194" s="1"/>
      <c r="CH1194" s="1"/>
      <c r="CI1194" s="1"/>
      <c r="CJ1194" s="1"/>
      <c r="CK1194" s="1"/>
      <c r="CL1194" s="1"/>
      <c r="CM1194" s="1"/>
      <c r="CN1194" s="1"/>
      <c r="CO1194" s="1"/>
      <c r="CP1194" s="1"/>
      <c r="CQ1194" s="1"/>
      <c r="CR1194" s="1"/>
      <c r="CS1194" s="1"/>
      <c r="CT1194" s="1"/>
      <c r="CU1194" s="1"/>
      <c r="CV1194" s="1"/>
      <c r="CW1194" s="1"/>
      <c r="CX1194" s="1"/>
      <c r="CY1194" s="1"/>
      <c r="CZ1194" s="1"/>
      <c r="DA1194" s="1"/>
      <c r="DB1194" s="1"/>
      <c r="DC1194" s="1"/>
    </row>
    <row r="1195" spans="1:107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/>
      <c r="BK1195" s="1"/>
      <c r="BL1195" s="1"/>
      <c r="BM1195" s="1"/>
      <c r="BN1195" s="1"/>
      <c r="BO1195" s="1"/>
      <c r="BP1195" s="1"/>
      <c r="BQ1195" s="1"/>
      <c r="BR1195" s="1"/>
      <c r="BS1195" s="1"/>
      <c r="BT1195" s="1"/>
      <c r="BU1195" s="1"/>
      <c r="BV1195" s="1"/>
      <c r="BW1195" s="1"/>
      <c r="BX1195" s="1"/>
      <c r="BY1195" s="1"/>
      <c r="BZ1195" s="1"/>
      <c r="CA1195" s="1"/>
      <c r="CB1195" s="1"/>
      <c r="CC1195" s="1"/>
      <c r="CD1195" s="1"/>
      <c r="CE1195" s="1"/>
      <c r="CF1195" s="1"/>
      <c r="CG1195" s="1"/>
      <c r="CH1195" s="1"/>
      <c r="CI1195" s="1"/>
      <c r="CJ1195" s="1"/>
      <c r="CK1195" s="1"/>
      <c r="CL1195" s="1"/>
      <c r="CM1195" s="1"/>
      <c r="CN1195" s="1"/>
      <c r="CO1195" s="1"/>
      <c r="CP1195" s="1"/>
      <c r="CQ1195" s="1"/>
      <c r="CR1195" s="1"/>
      <c r="CS1195" s="1"/>
      <c r="CT1195" s="1"/>
      <c r="CU1195" s="1"/>
      <c r="CV1195" s="1"/>
      <c r="CW1195" s="1"/>
      <c r="CX1195" s="1"/>
      <c r="CY1195" s="1"/>
      <c r="CZ1195" s="1"/>
      <c r="DA1195" s="1"/>
      <c r="DB1195" s="1"/>
      <c r="DC1195" s="1"/>
    </row>
    <row r="1196" spans="1:107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/>
      <c r="BM1196" s="1"/>
      <c r="BN1196" s="1"/>
      <c r="BO1196" s="1"/>
      <c r="BP1196" s="1"/>
      <c r="BQ1196" s="1"/>
      <c r="BR1196" s="1"/>
      <c r="BS1196" s="1"/>
      <c r="BT1196" s="1"/>
      <c r="BU1196" s="1"/>
      <c r="BV1196" s="1"/>
      <c r="BW1196" s="1"/>
      <c r="BX1196" s="1"/>
      <c r="BY1196" s="1"/>
      <c r="BZ1196" s="1"/>
      <c r="CA1196" s="1"/>
      <c r="CB1196" s="1"/>
      <c r="CC1196" s="1"/>
      <c r="CD1196" s="1"/>
      <c r="CE1196" s="1"/>
      <c r="CF1196" s="1"/>
      <c r="CG1196" s="1"/>
      <c r="CH1196" s="1"/>
      <c r="CI1196" s="1"/>
      <c r="CJ1196" s="1"/>
      <c r="CK1196" s="1"/>
      <c r="CL1196" s="1"/>
      <c r="CM1196" s="1"/>
      <c r="CN1196" s="1"/>
      <c r="CO1196" s="1"/>
      <c r="CP1196" s="1"/>
      <c r="CQ1196" s="1"/>
      <c r="CR1196" s="1"/>
      <c r="CS1196" s="1"/>
      <c r="CT1196" s="1"/>
      <c r="CU1196" s="1"/>
      <c r="CV1196" s="1"/>
      <c r="CW1196" s="1"/>
      <c r="CX1196" s="1"/>
      <c r="CY1196" s="1"/>
      <c r="CZ1196" s="1"/>
      <c r="DA1196" s="1"/>
      <c r="DB1196" s="1"/>
      <c r="DC1196" s="1"/>
    </row>
    <row r="1197" spans="1:107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1"/>
      <c r="BR1197" s="1"/>
      <c r="BS1197" s="1"/>
      <c r="BT1197" s="1"/>
      <c r="BU1197" s="1"/>
      <c r="BV1197" s="1"/>
      <c r="BW1197" s="1"/>
      <c r="BX1197" s="1"/>
      <c r="BY1197" s="1"/>
      <c r="BZ1197" s="1"/>
      <c r="CA1197" s="1"/>
      <c r="CB1197" s="1"/>
      <c r="CC1197" s="1"/>
      <c r="CD1197" s="1"/>
      <c r="CE1197" s="1"/>
      <c r="CF1197" s="1"/>
      <c r="CG1197" s="1"/>
      <c r="CH1197" s="1"/>
      <c r="CI1197" s="1"/>
      <c r="CJ1197" s="1"/>
      <c r="CK1197" s="1"/>
      <c r="CL1197" s="1"/>
      <c r="CM1197" s="1"/>
      <c r="CN1197" s="1"/>
      <c r="CO1197" s="1"/>
      <c r="CP1197" s="1"/>
      <c r="CQ1197" s="1"/>
      <c r="CR1197" s="1"/>
      <c r="CS1197" s="1"/>
      <c r="CT1197" s="1"/>
      <c r="CU1197" s="1"/>
      <c r="CV1197" s="1"/>
      <c r="CW1197" s="1"/>
      <c r="CX1197" s="1"/>
      <c r="CY1197" s="1"/>
      <c r="CZ1197" s="1"/>
      <c r="DA1197" s="1"/>
      <c r="DB1197" s="1"/>
      <c r="DC1197" s="1"/>
    </row>
    <row r="1198" spans="1:107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1"/>
      <c r="BM1198" s="1"/>
      <c r="BN1198" s="1"/>
      <c r="BO1198" s="1"/>
      <c r="BP1198" s="1"/>
      <c r="BQ1198" s="1"/>
      <c r="BR1198" s="1"/>
      <c r="BS1198" s="1"/>
      <c r="BT1198" s="1"/>
      <c r="BU1198" s="1"/>
      <c r="BV1198" s="1"/>
      <c r="BW1198" s="1"/>
      <c r="BX1198" s="1"/>
      <c r="BY1198" s="1"/>
      <c r="BZ1198" s="1"/>
      <c r="CA1198" s="1"/>
      <c r="CB1198" s="1"/>
      <c r="CC1198" s="1"/>
      <c r="CD1198" s="1"/>
      <c r="CE1198" s="1"/>
      <c r="CF1198" s="1"/>
      <c r="CG1198" s="1"/>
      <c r="CH1198" s="1"/>
      <c r="CI1198" s="1"/>
      <c r="CJ1198" s="1"/>
      <c r="CK1198" s="1"/>
      <c r="CL1198" s="1"/>
      <c r="CM1198" s="1"/>
      <c r="CN1198" s="1"/>
      <c r="CO1198" s="1"/>
      <c r="CP1198" s="1"/>
      <c r="CQ1198" s="1"/>
      <c r="CR1198" s="1"/>
      <c r="CS1198" s="1"/>
      <c r="CT1198" s="1"/>
      <c r="CU1198" s="1"/>
      <c r="CV1198" s="1"/>
      <c r="CW1198" s="1"/>
      <c r="CX1198" s="1"/>
      <c r="CY1198" s="1"/>
      <c r="CZ1198" s="1"/>
      <c r="DA1198" s="1"/>
      <c r="DB1198" s="1"/>
      <c r="DC1198" s="1"/>
    </row>
    <row r="1199" spans="1:107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  <c r="BO1199" s="1"/>
      <c r="BP1199" s="1"/>
      <c r="BQ1199" s="1"/>
      <c r="BR1199" s="1"/>
      <c r="BS1199" s="1"/>
      <c r="BT1199" s="1"/>
      <c r="BU1199" s="1"/>
      <c r="BV1199" s="1"/>
      <c r="BW1199" s="1"/>
      <c r="BX1199" s="1"/>
      <c r="BY1199" s="1"/>
      <c r="BZ1199" s="1"/>
      <c r="CA1199" s="1"/>
      <c r="CB1199" s="1"/>
      <c r="CC1199" s="1"/>
      <c r="CD1199" s="1"/>
      <c r="CE1199" s="1"/>
      <c r="CF1199" s="1"/>
      <c r="CG1199" s="1"/>
      <c r="CH1199" s="1"/>
      <c r="CI1199" s="1"/>
      <c r="CJ1199" s="1"/>
      <c r="CK1199" s="1"/>
      <c r="CL1199" s="1"/>
      <c r="CM1199" s="1"/>
      <c r="CN1199" s="1"/>
      <c r="CO1199" s="1"/>
      <c r="CP1199" s="1"/>
      <c r="CQ1199" s="1"/>
      <c r="CR1199" s="1"/>
      <c r="CS1199" s="1"/>
      <c r="CT1199" s="1"/>
      <c r="CU1199" s="1"/>
      <c r="CV1199" s="1"/>
      <c r="CW1199" s="1"/>
      <c r="CX1199" s="1"/>
      <c r="CY1199" s="1"/>
      <c r="CZ1199" s="1"/>
      <c r="DA1199" s="1"/>
      <c r="DB1199" s="1"/>
      <c r="DC1199" s="1"/>
    </row>
    <row r="1200" spans="1:107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  <c r="BN1200" s="1"/>
      <c r="BO1200" s="1"/>
      <c r="BP1200" s="1"/>
      <c r="BQ1200" s="1"/>
      <c r="BR1200" s="1"/>
      <c r="BS1200" s="1"/>
      <c r="BT1200" s="1"/>
      <c r="BU1200" s="1"/>
      <c r="BV1200" s="1"/>
      <c r="BW1200" s="1"/>
      <c r="BX1200" s="1"/>
      <c r="BY1200" s="1"/>
      <c r="BZ1200" s="1"/>
      <c r="CA1200" s="1"/>
      <c r="CB1200" s="1"/>
      <c r="CC1200" s="1"/>
      <c r="CD1200" s="1"/>
      <c r="CE1200" s="1"/>
      <c r="CF1200" s="1"/>
      <c r="CG1200" s="1"/>
      <c r="CH1200" s="1"/>
      <c r="CI1200" s="1"/>
      <c r="CJ1200" s="1"/>
      <c r="CK1200" s="1"/>
      <c r="CL1200" s="1"/>
      <c r="CM1200" s="1"/>
      <c r="CN1200" s="1"/>
      <c r="CO1200" s="1"/>
      <c r="CP1200" s="1"/>
      <c r="CQ1200" s="1"/>
      <c r="CR1200" s="1"/>
      <c r="CS1200" s="1"/>
      <c r="CT1200" s="1"/>
      <c r="CU1200" s="1"/>
      <c r="CV1200" s="1"/>
      <c r="CW1200" s="1"/>
      <c r="CX1200" s="1"/>
      <c r="CY1200" s="1"/>
      <c r="CZ1200" s="1"/>
      <c r="DA1200" s="1"/>
      <c r="DB1200" s="1"/>
      <c r="DC1200" s="1"/>
    </row>
    <row r="1201" spans="1:107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1"/>
      <c r="BR1201" s="1"/>
      <c r="BS1201" s="1"/>
      <c r="BT1201" s="1"/>
      <c r="BU1201" s="1"/>
      <c r="BV1201" s="1"/>
      <c r="BW1201" s="1"/>
      <c r="BX1201" s="1"/>
      <c r="BY1201" s="1"/>
      <c r="BZ1201" s="1"/>
      <c r="CA1201" s="1"/>
      <c r="CB1201" s="1"/>
      <c r="CC1201" s="1"/>
      <c r="CD1201" s="1"/>
      <c r="CE1201" s="1"/>
      <c r="CF1201" s="1"/>
      <c r="CG1201" s="1"/>
      <c r="CH1201" s="1"/>
      <c r="CI1201" s="1"/>
      <c r="CJ1201" s="1"/>
      <c r="CK1201" s="1"/>
      <c r="CL1201" s="1"/>
      <c r="CM1201" s="1"/>
      <c r="CN1201" s="1"/>
      <c r="CO1201" s="1"/>
      <c r="CP1201" s="1"/>
      <c r="CQ1201" s="1"/>
      <c r="CR1201" s="1"/>
      <c r="CS1201" s="1"/>
      <c r="CT1201" s="1"/>
      <c r="CU1201" s="1"/>
      <c r="CV1201" s="1"/>
      <c r="CW1201" s="1"/>
      <c r="CX1201" s="1"/>
      <c r="CY1201" s="1"/>
      <c r="CZ1201" s="1"/>
      <c r="DA1201" s="1"/>
      <c r="DB1201" s="1"/>
      <c r="DC1201" s="1"/>
    </row>
    <row r="1202" spans="1:107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1"/>
      <c r="BM1202" s="1"/>
      <c r="BN1202" s="1"/>
      <c r="BO1202" s="1"/>
      <c r="BP1202" s="1"/>
      <c r="BQ1202" s="1"/>
      <c r="BR1202" s="1"/>
      <c r="BS1202" s="1"/>
      <c r="BT1202" s="1"/>
      <c r="BU1202" s="1"/>
      <c r="BV1202" s="1"/>
      <c r="BW1202" s="1"/>
      <c r="BX1202" s="1"/>
      <c r="BY1202" s="1"/>
      <c r="BZ1202" s="1"/>
      <c r="CA1202" s="1"/>
      <c r="CB1202" s="1"/>
      <c r="CC1202" s="1"/>
      <c r="CD1202" s="1"/>
      <c r="CE1202" s="1"/>
      <c r="CF1202" s="1"/>
      <c r="CG1202" s="1"/>
      <c r="CH1202" s="1"/>
      <c r="CI1202" s="1"/>
      <c r="CJ1202" s="1"/>
      <c r="CK1202" s="1"/>
      <c r="CL1202" s="1"/>
      <c r="CM1202" s="1"/>
      <c r="CN1202" s="1"/>
      <c r="CO1202" s="1"/>
      <c r="CP1202" s="1"/>
      <c r="CQ1202" s="1"/>
      <c r="CR1202" s="1"/>
      <c r="CS1202" s="1"/>
      <c r="CT1202" s="1"/>
      <c r="CU1202" s="1"/>
      <c r="CV1202" s="1"/>
      <c r="CW1202" s="1"/>
      <c r="CX1202" s="1"/>
      <c r="CY1202" s="1"/>
      <c r="CZ1202" s="1"/>
      <c r="DA1202" s="1"/>
      <c r="DB1202" s="1"/>
      <c r="DC1202" s="1"/>
    </row>
    <row r="1203" spans="1:107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1"/>
      <c r="BM1203" s="1"/>
      <c r="BN1203" s="1"/>
      <c r="BO1203" s="1"/>
      <c r="BP1203" s="1"/>
      <c r="BQ1203" s="1"/>
      <c r="BR1203" s="1"/>
      <c r="BS1203" s="1"/>
      <c r="BT1203" s="1"/>
      <c r="BU1203" s="1"/>
      <c r="BV1203" s="1"/>
      <c r="BW1203" s="1"/>
      <c r="BX1203" s="1"/>
      <c r="BY1203" s="1"/>
      <c r="BZ1203" s="1"/>
      <c r="CA1203" s="1"/>
      <c r="CB1203" s="1"/>
      <c r="CC1203" s="1"/>
      <c r="CD1203" s="1"/>
      <c r="CE1203" s="1"/>
      <c r="CF1203" s="1"/>
      <c r="CG1203" s="1"/>
      <c r="CH1203" s="1"/>
      <c r="CI1203" s="1"/>
      <c r="CJ1203" s="1"/>
      <c r="CK1203" s="1"/>
      <c r="CL1203" s="1"/>
      <c r="CM1203" s="1"/>
      <c r="CN1203" s="1"/>
      <c r="CO1203" s="1"/>
      <c r="CP1203" s="1"/>
      <c r="CQ1203" s="1"/>
      <c r="CR1203" s="1"/>
      <c r="CS1203" s="1"/>
      <c r="CT1203" s="1"/>
      <c r="CU1203" s="1"/>
      <c r="CV1203" s="1"/>
      <c r="CW1203" s="1"/>
      <c r="CX1203" s="1"/>
      <c r="CY1203" s="1"/>
      <c r="CZ1203" s="1"/>
      <c r="DA1203" s="1"/>
      <c r="DB1203" s="1"/>
      <c r="DC1203" s="1"/>
    </row>
    <row r="1204" spans="1:107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1"/>
      <c r="BM1204" s="1"/>
      <c r="BN1204" s="1"/>
      <c r="BO1204" s="1"/>
      <c r="BP1204" s="1"/>
      <c r="BQ1204" s="1"/>
      <c r="BR1204" s="1"/>
      <c r="BS1204" s="1"/>
      <c r="BT1204" s="1"/>
      <c r="BU1204" s="1"/>
      <c r="BV1204" s="1"/>
      <c r="BW1204" s="1"/>
      <c r="BX1204" s="1"/>
      <c r="BY1204" s="1"/>
      <c r="BZ1204" s="1"/>
      <c r="CA1204" s="1"/>
      <c r="CB1204" s="1"/>
      <c r="CC1204" s="1"/>
      <c r="CD1204" s="1"/>
      <c r="CE1204" s="1"/>
      <c r="CF1204" s="1"/>
      <c r="CG1204" s="1"/>
      <c r="CH1204" s="1"/>
      <c r="CI1204" s="1"/>
      <c r="CJ1204" s="1"/>
      <c r="CK1204" s="1"/>
      <c r="CL1204" s="1"/>
      <c r="CM1204" s="1"/>
      <c r="CN1204" s="1"/>
      <c r="CO1204" s="1"/>
      <c r="CP1204" s="1"/>
      <c r="CQ1204" s="1"/>
      <c r="CR1204" s="1"/>
      <c r="CS1204" s="1"/>
      <c r="CT1204" s="1"/>
      <c r="CU1204" s="1"/>
      <c r="CV1204" s="1"/>
      <c r="CW1204" s="1"/>
      <c r="CX1204" s="1"/>
      <c r="CY1204" s="1"/>
      <c r="CZ1204" s="1"/>
      <c r="DA1204" s="1"/>
      <c r="DB1204" s="1"/>
      <c r="DC1204" s="1"/>
    </row>
    <row r="1205" spans="1:107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1"/>
      <c r="BM1205" s="1"/>
      <c r="BN1205" s="1"/>
      <c r="BO1205" s="1"/>
      <c r="BP1205" s="1"/>
      <c r="BQ1205" s="1"/>
      <c r="BR1205" s="1"/>
      <c r="BS1205" s="1"/>
      <c r="BT1205" s="1"/>
      <c r="BU1205" s="1"/>
      <c r="BV1205" s="1"/>
      <c r="BW1205" s="1"/>
      <c r="BX1205" s="1"/>
      <c r="BY1205" s="1"/>
      <c r="BZ1205" s="1"/>
      <c r="CA1205" s="1"/>
      <c r="CB1205" s="1"/>
      <c r="CC1205" s="1"/>
      <c r="CD1205" s="1"/>
      <c r="CE1205" s="1"/>
      <c r="CF1205" s="1"/>
      <c r="CG1205" s="1"/>
      <c r="CH1205" s="1"/>
      <c r="CI1205" s="1"/>
      <c r="CJ1205" s="1"/>
      <c r="CK1205" s="1"/>
      <c r="CL1205" s="1"/>
      <c r="CM1205" s="1"/>
      <c r="CN1205" s="1"/>
      <c r="CO1205" s="1"/>
      <c r="CP1205" s="1"/>
      <c r="CQ1205" s="1"/>
      <c r="CR1205" s="1"/>
      <c r="CS1205" s="1"/>
      <c r="CT1205" s="1"/>
      <c r="CU1205" s="1"/>
      <c r="CV1205" s="1"/>
      <c r="CW1205" s="1"/>
      <c r="CX1205" s="1"/>
      <c r="CY1205" s="1"/>
      <c r="CZ1205" s="1"/>
      <c r="DA1205" s="1"/>
      <c r="DB1205" s="1"/>
      <c r="DC1205" s="1"/>
    </row>
    <row r="1206" spans="1:107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1"/>
      <c r="BM1206" s="1"/>
      <c r="BN1206" s="1"/>
      <c r="BO1206" s="1"/>
      <c r="BP1206" s="1"/>
      <c r="BQ1206" s="1"/>
      <c r="BR1206" s="1"/>
      <c r="BS1206" s="1"/>
      <c r="BT1206" s="1"/>
      <c r="BU1206" s="1"/>
      <c r="BV1206" s="1"/>
      <c r="BW1206" s="1"/>
      <c r="BX1206" s="1"/>
      <c r="BY1206" s="1"/>
      <c r="BZ1206" s="1"/>
      <c r="CA1206" s="1"/>
      <c r="CB1206" s="1"/>
      <c r="CC1206" s="1"/>
      <c r="CD1206" s="1"/>
      <c r="CE1206" s="1"/>
      <c r="CF1206" s="1"/>
      <c r="CG1206" s="1"/>
      <c r="CH1206" s="1"/>
      <c r="CI1206" s="1"/>
      <c r="CJ1206" s="1"/>
      <c r="CK1206" s="1"/>
      <c r="CL1206" s="1"/>
      <c r="CM1206" s="1"/>
      <c r="CN1206" s="1"/>
      <c r="CO1206" s="1"/>
      <c r="CP1206" s="1"/>
      <c r="CQ1206" s="1"/>
      <c r="CR1206" s="1"/>
      <c r="CS1206" s="1"/>
      <c r="CT1206" s="1"/>
      <c r="CU1206" s="1"/>
      <c r="CV1206" s="1"/>
      <c r="CW1206" s="1"/>
      <c r="CX1206" s="1"/>
      <c r="CY1206" s="1"/>
      <c r="CZ1206" s="1"/>
      <c r="DA1206" s="1"/>
      <c r="DB1206" s="1"/>
      <c r="DC1206" s="1"/>
    </row>
    <row r="1207" spans="1:107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  <c r="BJ1207" s="1"/>
      <c r="BK1207" s="1"/>
      <c r="BL1207" s="1"/>
      <c r="BM1207" s="1"/>
      <c r="BN1207" s="1"/>
      <c r="BO1207" s="1"/>
      <c r="BP1207" s="1"/>
      <c r="BQ1207" s="1"/>
      <c r="BR1207" s="1"/>
      <c r="BS1207" s="1"/>
      <c r="BT1207" s="1"/>
      <c r="BU1207" s="1"/>
      <c r="BV1207" s="1"/>
      <c r="BW1207" s="1"/>
      <c r="BX1207" s="1"/>
      <c r="BY1207" s="1"/>
      <c r="BZ1207" s="1"/>
      <c r="CA1207" s="1"/>
      <c r="CB1207" s="1"/>
      <c r="CC1207" s="1"/>
      <c r="CD1207" s="1"/>
      <c r="CE1207" s="1"/>
      <c r="CF1207" s="1"/>
      <c r="CG1207" s="1"/>
      <c r="CH1207" s="1"/>
      <c r="CI1207" s="1"/>
      <c r="CJ1207" s="1"/>
      <c r="CK1207" s="1"/>
      <c r="CL1207" s="1"/>
      <c r="CM1207" s="1"/>
      <c r="CN1207" s="1"/>
      <c r="CO1207" s="1"/>
      <c r="CP1207" s="1"/>
      <c r="CQ1207" s="1"/>
      <c r="CR1207" s="1"/>
      <c r="CS1207" s="1"/>
      <c r="CT1207" s="1"/>
      <c r="CU1207" s="1"/>
      <c r="CV1207" s="1"/>
      <c r="CW1207" s="1"/>
      <c r="CX1207" s="1"/>
      <c r="CY1207" s="1"/>
      <c r="CZ1207" s="1"/>
      <c r="DA1207" s="1"/>
      <c r="DB1207" s="1"/>
      <c r="DC1207" s="1"/>
    </row>
    <row r="1208" spans="1:107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1"/>
      <c r="BJ1208" s="1"/>
      <c r="BK1208" s="1"/>
      <c r="BL1208" s="1"/>
      <c r="BM1208" s="1"/>
      <c r="BN1208" s="1"/>
      <c r="BO1208" s="1"/>
      <c r="BP1208" s="1"/>
      <c r="BQ1208" s="1"/>
      <c r="BR1208" s="1"/>
      <c r="BS1208" s="1"/>
      <c r="BT1208" s="1"/>
      <c r="BU1208" s="1"/>
      <c r="BV1208" s="1"/>
      <c r="BW1208" s="1"/>
      <c r="BX1208" s="1"/>
      <c r="BY1208" s="1"/>
      <c r="BZ1208" s="1"/>
      <c r="CA1208" s="1"/>
      <c r="CB1208" s="1"/>
      <c r="CC1208" s="1"/>
      <c r="CD1208" s="1"/>
      <c r="CE1208" s="1"/>
      <c r="CF1208" s="1"/>
      <c r="CG1208" s="1"/>
      <c r="CH1208" s="1"/>
      <c r="CI1208" s="1"/>
      <c r="CJ1208" s="1"/>
      <c r="CK1208" s="1"/>
      <c r="CL1208" s="1"/>
      <c r="CM1208" s="1"/>
      <c r="CN1208" s="1"/>
      <c r="CO1208" s="1"/>
      <c r="CP1208" s="1"/>
      <c r="CQ1208" s="1"/>
      <c r="CR1208" s="1"/>
      <c r="CS1208" s="1"/>
      <c r="CT1208" s="1"/>
      <c r="CU1208" s="1"/>
      <c r="CV1208" s="1"/>
      <c r="CW1208" s="1"/>
      <c r="CX1208" s="1"/>
      <c r="CY1208" s="1"/>
      <c r="CZ1208" s="1"/>
      <c r="DA1208" s="1"/>
      <c r="DB1208" s="1"/>
      <c r="DC1208" s="1"/>
    </row>
    <row r="1209" spans="1:107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  <c r="BM1209" s="1"/>
      <c r="BN1209" s="1"/>
      <c r="BO1209" s="1"/>
      <c r="BP1209" s="1"/>
      <c r="BQ1209" s="1"/>
      <c r="BR1209" s="1"/>
      <c r="BS1209" s="1"/>
      <c r="BT1209" s="1"/>
      <c r="BU1209" s="1"/>
      <c r="BV1209" s="1"/>
      <c r="BW1209" s="1"/>
      <c r="BX1209" s="1"/>
      <c r="BY1209" s="1"/>
      <c r="BZ1209" s="1"/>
      <c r="CA1209" s="1"/>
      <c r="CB1209" s="1"/>
      <c r="CC1209" s="1"/>
      <c r="CD1209" s="1"/>
      <c r="CE1209" s="1"/>
      <c r="CF1209" s="1"/>
      <c r="CG1209" s="1"/>
      <c r="CH1209" s="1"/>
      <c r="CI1209" s="1"/>
      <c r="CJ1209" s="1"/>
      <c r="CK1209" s="1"/>
      <c r="CL1209" s="1"/>
      <c r="CM1209" s="1"/>
      <c r="CN1209" s="1"/>
      <c r="CO1209" s="1"/>
      <c r="CP1209" s="1"/>
      <c r="CQ1209" s="1"/>
      <c r="CR1209" s="1"/>
      <c r="CS1209" s="1"/>
      <c r="CT1209" s="1"/>
      <c r="CU1209" s="1"/>
      <c r="CV1209" s="1"/>
      <c r="CW1209" s="1"/>
      <c r="CX1209" s="1"/>
      <c r="CY1209" s="1"/>
      <c r="CZ1209" s="1"/>
      <c r="DA1209" s="1"/>
      <c r="DB1209" s="1"/>
      <c r="DC1209" s="1"/>
    </row>
    <row r="1210" spans="1:107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1"/>
      <c r="BJ1210" s="1"/>
      <c r="BK1210" s="1"/>
      <c r="BL1210" s="1"/>
      <c r="BM1210" s="1"/>
      <c r="BN1210" s="1"/>
      <c r="BO1210" s="1"/>
      <c r="BP1210" s="1"/>
      <c r="BQ1210" s="1"/>
      <c r="BR1210" s="1"/>
      <c r="BS1210" s="1"/>
      <c r="BT1210" s="1"/>
      <c r="BU1210" s="1"/>
      <c r="BV1210" s="1"/>
      <c r="BW1210" s="1"/>
      <c r="BX1210" s="1"/>
      <c r="BY1210" s="1"/>
      <c r="BZ1210" s="1"/>
      <c r="CA1210" s="1"/>
      <c r="CB1210" s="1"/>
      <c r="CC1210" s="1"/>
      <c r="CD1210" s="1"/>
      <c r="CE1210" s="1"/>
      <c r="CF1210" s="1"/>
      <c r="CG1210" s="1"/>
      <c r="CH1210" s="1"/>
      <c r="CI1210" s="1"/>
      <c r="CJ1210" s="1"/>
      <c r="CK1210" s="1"/>
      <c r="CL1210" s="1"/>
      <c r="CM1210" s="1"/>
      <c r="CN1210" s="1"/>
      <c r="CO1210" s="1"/>
      <c r="CP1210" s="1"/>
      <c r="CQ1210" s="1"/>
      <c r="CR1210" s="1"/>
      <c r="CS1210" s="1"/>
      <c r="CT1210" s="1"/>
      <c r="CU1210" s="1"/>
      <c r="CV1210" s="1"/>
      <c r="CW1210" s="1"/>
      <c r="CX1210" s="1"/>
      <c r="CY1210" s="1"/>
      <c r="CZ1210" s="1"/>
      <c r="DA1210" s="1"/>
      <c r="DB1210" s="1"/>
      <c r="DC1210" s="1"/>
    </row>
    <row r="1211" spans="1:107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  <c r="BJ1211" s="1"/>
      <c r="BK1211" s="1"/>
      <c r="BL1211" s="1"/>
      <c r="BM1211" s="1"/>
      <c r="BN1211" s="1"/>
      <c r="BO1211" s="1"/>
      <c r="BP1211" s="1"/>
      <c r="BQ1211" s="1"/>
      <c r="BR1211" s="1"/>
      <c r="BS1211" s="1"/>
      <c r="BT1211" s="1"/>
      <c r="BU1211" s="1"/>
      <c r="BV1211" s="1"/>
      <c r="BW1211" s="1"/>
      <c r="BX1211" s="1"/>
      <c r="BY1211" s="1"/>
      <c r="BZ1211" s="1"/>
      <c r="CA1211" s="1"/>
      <c r="CB1211" s="1"/>
      <c r="CC1211" s="1"/>
      <c r="CD1211" s="1"/>
      <c r="CE1211" s="1"/>
      <c r="CF1211" s="1"/>
      <c r="CG1211" s="1"/>
      <c r="CH1211" s="1"/>
      <c r="CI1211" s="1"/>
      <c r="CJ1211" s="1"/>
      <c r="CK1211" s="1"/>
      <c r="CL1211" s="1"/>
      <c r="CM1211" s="1"/>
      <c r="CN1211" s="1"/>
      <c r="CO1211" s="1"/>
      <c r="CP1211" s="1"/>
      <c r="CQ1211" s="1"/>
      <c r="CR1211" s="1"/>
      <c r="CS1211" s="1"/>
      <c r="CT1211" s="1"/>
      <c r="CU1211" s="1"/>
      <c r="CV1211" s="1"/>
      <c r="CW1211" s="1"/>
      <c r="CX1211" s="1"/>
      <c r="CY1211" s="1"/>
      <c r="CZ1211" s="1"/>
      <c r="DA1211" s="1"/>
      <c r="DB1211" s="1"/>
      <c r="DC1211" s="1"/>
    </row>
    <row r="1212" spans="1:107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  <c r="BI1212" s="1"/>
      <c r="BJ1212" s="1"/>
      <c r="BK1212" s="1"/>
      <c r="BL1212" s="1"/>
      <c r="BM1212" s="1"/>
      <c r="BN1212" s="1"/>
      <c r="BO1212" s="1"/>
      <c r="BP1212" s="1"/>
      <c r="BQ1212" s="1"/>
      <c r="BR1212" s="1"/>
      <c r="BS1212" s="1"/>
      <c r="BT1212" s="1"/>
      <c r="BU1212" s="1"/>
      <c r="BV1212" s="1"/>
      <c r="BW1212" s="1"/>
      <c r="BX1212" s="1"/>
      <c r="BY1212" s="1"/>
      <c r="BZ1212" s="1"/>
      <c r="CA1212" s="1"/>
      <c r="CB1212" s="1"/>
      <c r="CC1212" s="1"/>
      <c r="CD1212" s="1"/>
      <c r="CE1212" s="1"/>
      <c r="CF1212" s="1"/>
      <c r="CG1212" s="1"/>
      <c r="CH1212" s="1"/>
      <c r="CI1212" s="1"/>
      <c r="CJ1212" s="1"/>
      <c r="CK1212" s="1"/>
      <c r="CL1212" s="1"/>
      <c r="CM1212" s="1"/>
      <c r="CN1212" s="1"/>
      <c r="CO1212" s="1"/>
      <c r="CP1212" s="1"/>
      <c r="CQ1212" s="1"/>
      <c r="CR1212" s="1"/>
      <c r="CS1212" s="1"/>
      <c r="CT1212" s="1"/>
      <c r="CU1212" s="1"/>
      <c r="CV1212" s="1"/>
      <c r="CW1212" s="1"/>
      <c r="CX1212" s="1"/>
      <c r="CY1212" s="1"/>
      <c r="CZ1212" s="1"/>
      <c r="DA1212" s="1"/>
      <c r="DB1212" s="1"/>
      <c r="DC1212" s="1"/>
    </row>
    <row r="1213" spans="1:107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1"/>
      <c r="BJ1213" s="1"/>
      <c r="BK1213" s="1"/>
      <c r="BL1213" s="1"/>
      <c r="BM1213" s="1"/>
      <c r="BN1213" s="1"/>
      <c r="BO1213" s="1"/>
      <c r="BP1213" s="1"/>
      <c r="BQ1213" s="1"/>
      <c r="BR1213" s="1"/>
      <c r="BS1213" s="1"/>
      <c r="BT1213" s="1"/>
      <c r="BU1213" s="1"/>
      <c r="BV1213" s="1"/>
      <c r="BW1213" s="1"/>
      <c r="BX1213" s="1"/>
      <c r="BY1213" s="1"/>
      <c r="BZ1213" s="1"/>
      <c r="CA1213" s="1"/>
      <c r="CB1213" s="1"/>
      <c r="CC1213" s="1"/>
      <c r="CD1213" s="1"/>
      <c r="CE1213" s="1"/>
      <c r="CF1213" s="1"/>
      <c r="CG1213" s="1"/>
      <c r="CH1213" s="1"/>
      <c r="CI1213" s="1"/>
      <c r="CJ1213" s="1"/>
      <c r="CK1213" s="1"/>
      <c r="CL1213" s="1"/>
      <c r="CM1213" s="1"/>
      <c r="CN1213" s="1"/>
      <c r="CO1213" s="1"/>
      <c r="CP1213" s="1"/>
      <c r="CQ1213" s="1"/>
      <c r="CR1213" s="1"/>
      <c r="CS1213" s="1"/>
      <c r="CT1213" s="1"/>
      <c r="CU1213" s="1"/>
      <c r="CV1213" s="1"/>
      <c r="CW1213" s="1"/>
      <c r="CX1213" s="1"/>
      <c r="CY1213" s="1"/>
      <c r="CZ1213" s="1"/>
      <c r="DA1213" s="1"/>
      <c r="DB1213" s="1"/>
      <c r="DC1213" s="1"/>
    </row>
    <row r="1214" spans="1:107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1"/>
      <c r="BJ1214" s="1"/>
      <c r="BK1214" s="1"/>
      <c r="BL1214" s="1"/>
      <c r="BM1214" s="1"/>
      <c r="BN1214" s="1"/>
      <c r="BO1214" s="1"/>
      <c r="BP1214" s="1"/>
      <c r="BQ1214" s="1"/>
      <c r="BR1214" s="1"/>
      <c r="BS1214" s="1"/>
      <c r="BT1214" s="1"/>
      <c r="BU1214" s="1"/>
      <c r="BV1214" s="1"/>
      <c r="BW1214" s="1"/>
      <c r="BX1214" s="1"/>
      <c r="BY1214" s="1"/>
      <c r="BZ1214" s="1"/>
      <c r="CA1214" s="1"/>
      <c r="CB1214" s="1"/>
      <c r="CC1214" s="1"/>
      <c r="CD1214" s="1"/>
      <c r="CE1214" s="1"/>
      <c r="CF1214" s="1"/>
      <c r="CG1214" s="1"/>
      <c r="CH1214" s="1"/>
      <c r="CI1214" s="1"/>
      <c r="CJ1214" s="1"/>
      <c r="CK1214" s="1"/>
      <c r="CL1214" s="1"/>
      <c r="CM1214" s="1"/>
      <c r="CN1214" s="1"/>
      <c r="CO1214" s="1"/>
      <c r="CP1214" s="1"/>
      <c r="CQ1214" s="1"/>
      <c r="CR1214" s="1"/>
      <c r="CS1214" s="1"/>
      <c r="CT1214" s="1"/>
      <c r="CU1214" s="1"/>
      <c r="CV1214" s="1"/>
      <c r="CW1214" s="1"/>
      <c r="CX1214" s="1"/>
      <c r="CY1214" s="1"/>
      <c r="CZ1214" s="1"/>
      <c r="DA1214" s="1"/>
      <c r="DB1214" s="1"/>
      <c r="DC1214" s="1"/>
    </row>
    <row r="1215" spans="1:107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  <c r="BI1215" s="1"/>
      <c r="BJ1215" s="1"/>
      <c r="BK1215" s="1"/>
      <c r="BL1215" s="1"/>
      <c r="BM1215" s="1"/>
      <c r="BN1215" s="1"/>
      <c r="BO1215" s="1"/>
      <c r="BP1215" s="1"/>
      <c r="BQ1215" s="1"/>
      <c r="BR1215" s="1"/>
      <c r="BS1215" s="1"/>
      <c r="BT1215" s="1"/>
      <c r="BU1215" s="1"/>
      <c r="BV1215" s="1"/>
      <c r="BW1215" s="1"/>
      <c r="BX1215" s="1"/>
      <c r="BY1215" s="1"/>
      <c r="BZ1215" s="1"/>
      <c r="CA1215" s="1"/>
      <c r="CB1215" s="1"/>
      <c r="CC1215" s="1"/>
      <c r="CD1215" s="1"/>
      <c r="CE1215" s="1"/>
      <c r="CF1215" s="1"/>
      <c r="CG1215" s="1"/>
      <c r="CH1215" s="1"/>
      <c r="CI1215" s="1"/>
      <c r="CJ1215" s="1"/>
      <c r="CK1215" s="1"/>
      <c r="CL1215" s="1"/>
      <c r="CM1215" s="1"/>
      <c r="CN1215" s="1"/>
      <c r="CO1215" s="1"/>
      <c r="CP1215" s="1"/>
      <c r="CQ1215" s="1"/>
      <c r="CR1215" s="1"/>
      <c r="CS1215" s="1"/>
      <c r="CT1215" s="1"/>
      <c r="CU1215" s="1"/>
      <c r="CV1215" s="1"/>
      <c r="CW1215" s="1"/>
      <c r="CX1215" s="1"/>
      <c r="CY1215" s="1"/>
      <c r="CZ1215" s="1"/>
      <c r="DA1215" s="1"/>
      <c r="DB1215" s="1"/>
      <c r="DC1215" s="1"/>
    </row>
    <row r="1216" spans="1:107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1"/>
      <c r="BJ1216" s="1"/>
      <c r="BK1216" s="1"/>
      <c r="BL1216" s="1"/>
      <c r="BM1216" s="1"/>
      <c r="BN1216" s="1"/>
      <c r="BO1216" s="1"/>
      <c r="BP1216" s="1"/>
      <c r="BQ1216" s="1"/>
      <c r="BR1216" s="1"/>
      <c r="BS1216" s="1"/>
      <c r="BT1216" s="1"/>
      <c r="BU1216" s="1"/>
      <c r="BV1216" s="1"/>
      <c r="BW1216" s="1"/>
      <c r="BX1216" s="1"/>
      <c r="BY1216" s="1"/>
      <c r="BZ1216" s="1"/>
      <c r="CA1216" s="1"/>
      <c r="CB1216" s="1"/>
      <c r="CC1216" s="1"/>
      <c r="CD1216" s="1"/>
      <c r="CE1216" s="1"/>
      <c r="CF1216" s="1"/>
      <c r="CG1216" s="1"/>
      <c r="CH1216" s="1"/>
      <c r="CI1216" s="1"/>
      <c r="CJ1216" s="1"/>
      <c r="CK1216" s="1"/>
      <c r="CL1216" s="1"/>
      <c r="CM1216" s="1"/>
      <c r="CN1216" s="1"/>
      <c r="CO1216" s="1"/>
      <c r="CP1216" s="1"/>
      <c r="CQ1216" s="1"/>
      <c r="CR1216" s="1"/>
      <c r="CS1216" s="1"/>
      <c r="CT1216" s="1"/>
      <c r="CU1216" s="1"/>
      <c r="CV1216" s="1"/>
      <c r="CW1216" s="1"/>
      <c r="CX1216" s="1"/>
      <c r="CY1216" s="1"/>
      <c r="CZ1216" s="1"/>
      <c r="DA1216" s="1"/>
      <c r="DB1216" s="1"/>
      <c r="DC1216" s="1"/>
    </row>
    <row r="1217" spans="1:107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  <c r="BK1217" s="1"/>
      <c r="BL1217" s="1"/>
      <c r="BM1217" s="1"/>
      <c r="BN1217" s="1"/>
      <c r="BO1217" s="1"/>
      <c r="BP1217" s="1"/>
      <c r="BQ1217" s="1"/>
      <c r="BR1217" s="1"/>
      <c r="BS1217" s="1"/>
      <c r="BT1217" s="1"/>
      <c r="BU1217" s="1"/>
      <c r="BV1217" s="1"/>
      <c r="BW1217" s="1"/>
      <c r="BX1217" s="1"/>
      <c r="BY1217" s="1"/>
      <c r="BZ1217" s="1"/>
      <c r="CA1217" s="1"/>
      <c r="CB1217" s="1"/>
      <c r="CC1217" s="1"/>
      <c r="CD1217" s="1"/>
      <c r="CE1217" s="1"/>
      <c r="CF1217" s="1"/>
      <c r="CG1217" s="1"/>
      <c r="CH1217" s="1"/>
      <c r="CI1217" s="1"/>
      <c r="CJ1217" s="1"/>
      <c r="CK1217" s="1"/>
      <c r="CL1217" s="1"/>
      <c r="CM1217" s="1"/>
      <c r="CN1217" s="1"/>
      <c r="CO1217" s="1"/>
      <c r="CP1217" s="1"/>
      <c r="CQ1217" s="1"/>
      <c r="CR1217" s="1"/>
      <c r="CS1217" s="1"/>
      <c r="CT1217" s="1"/>
      <c r="CU1217" s="1"/>
      <c r="CV1217" s="1"/>
      <c r="CW1217" s="1"/>
      <c r="CX1217" s="1"/>
      <c r="CY1217" s="1"/>
      <c r="CZ1217" s="1"/>
      <c r="DA1217" s="1"/>
      <c r="DB1217" s="1"/>
      <c r="DC1217" s="1"/>
    </row>
    <row r="1218" spans="1:107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1"/>
      <c r="BJ1218" s="1"/>
      <c r="BK1218" s="1"/>
      <c r="BL1218" s="1"/>
      <c r="BM1218" s="1"/>
      <c r="BN1218" s="1"/>
      <c r="BO1218" s="1"/>
      <c r="BP1218" s="1"/>
      <c r="BQ1218" s="1"/>
      <c r="BR1218" s="1"/>
      <c r="BS1218" s="1"/>
      <c r="BT1218" s="1"/>
      <c r="BU1218" s="1"/>
      <c r="BV1218" s="1"/>
      <c r="BW1218" s="1"/>
      <c r="BX1218" s="1"/>
      <c r="BY1218" s="1"/>
      <c r="BZ1218" s="1"/>
      <c r="CA1218" s="1"/>
      <c r="CB1218" s="1"/>
      <c r="CC1218" s="1"/>
      <c r="CD1218" s="1"/>
      <c r="CE1218" s="1"/>
      <c r="CF1218" s="1"/>
      <c r="CG1218" s="1"/>
      <c r="CH1218" s="1"/>
      <c r="CI1218" s="1"/>
      <c r="CJ1218" s="1"/>
      <c r="CK1218" s="1"/>
      <c r="CL1218" s="1"/>
      <c r="CM1218" s="1"/>
      <c r="CN1218" s="1"/>
      <c r="CO1218" s="1"/>
      <c r="CP1218" s="1"/>
      <c r="CQ1218" s="1"/>
      <c r="CR1218" s="1"/>
      <c r="CS1218" s="1"/>
      <c r="CT1218" s="1"/>
      <c r="CU1218" s="1"/>
      <c r="CV1218" s="1"/>
      <c r="CW1218" s="1"/>
      <c r="CX1218" s="1"/>
      <c r="CY1218" s="1"/>
      <c r="CZ1218" s="1"/>
      <c r="DA1218" s="1"/>
      <c r="DB1218" s="1"/>
      <c r="DC1218" s="1"/>
    </row>
    <row r="1219" spans="1:107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  <c r="BK1219" s="1"/>
      <c r="BL1219" s="1"/>
      <c r="BM1219" s="1"/>
      <c r="BN1219" s="1"/>
      <c r="BO1219" s="1"/>
      <c r="BP1219" s="1"/>
      <c r="BQ1219" s="1"/>
      <c r="BR1219" s="1"/>
      <c r="BS1219" s="1"/>
      <c r="BT1219" s="1"/>
      <c r="BU1219" s="1"/>
      <c r="BV1219" s="1"/>
      <c r="BW1219" s="1"/>
      <c r="BX1219" s="1"/>
      <c r="BY1219" s="1"/>
      <c r="BZ1219" s="1"/>
      <c r="CA1219" s="1"/>
      <c r="CB1219" s="1"/>
      <c r="CC1219" s="1"/>
      <c r="CD1219" s="1"/>
      <c r="CE1219" s="1"/>
      <c r="CF1219" s="1"/>
      <c r="CG1219" s="1"/>
      <c r="CH1219" s="1"/>
      <c r="CI1219" s="1"/>
      <c r="CJ1219" s="1"/>
      <c r="CK1219" s="1"/>
      <c r="CL1219" s="1"/>
      <c r="CM1219" s="1"/>
      <c r="CN1219" s="1"/>
      <c r="CO1219" s="1"/>
      <c r="CP1219" s="1"/>
      <c r="CQ1219" s="1"/>
      <c r="CR1219" s="1"/>
      <c r="CS1219" s="1"/>
      <c r="CT1219" s="1"/>
      <c r="CU1219" s="1"/>
      <c r="CV1219" s="1"/>
      <c r="CW1219" s="1"/>
      <c r="CX1219" s="1"/>
      <c r="CY1219" s="1"/>
      <c r="CZ1219" s="1"/>
      <c r="DA1219" s="1"/>
      <c r="DB1219" s="1"/>
      <c r="DC1219" s="1"/>
    </row>
    <row r="1220" spans="1:107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/>
      <c r="BJ1220" s="1"/>
      <c r="BK1220" s="1"/>
      <c r="BL1220" s="1"/>
      <c r="BM1220" s="1"/>
      <c r="BN1220" s="1"/>
      <c r="BO1220" s="1"/>
      <c r="BP1220" s="1"/>
      <c r="BQ1220" s="1"/>
      <c r="BR1220" s="1"/>
      <c r="BS1220" s="1"/>
      <c r="BT1220" s="1"/>
      <c r="BU1220" s="1"/>
      <c r="BV1220" s="1"/>
      <c r="BW1220" s="1"/>
      <c r="BX1220" s="1"/>
      <c r="BY1220" s="1"/>
      <c r="BZ1220" s="1"/>
      <c r="CA1220" s="1"/>
      <c r="CB1220" s="1"/>
      <c r="CC1220" s="1"/>
      <c r="CD1220" s="1"/>
      <c r="CE1220" s="1"/>
      <c r="CF1220" s="1"/>
      <c r="CG1220" s="1"/>
      <c r="CH1220" s="1"/>
      <c r="CI1220" s="1"/>
      <c r="CJ1220" s="1"/>
      <c r="CK1220" s="1"/>
      <c r="CL1220" s="1"/>
      <c r="CM1220" s="1"/>
      <c r="CN1220" s="1"/>
      <c r="CO1220" s="1"/>
      <c r="CP1220" s="1"/>
      <c r="CQ1220" s="1"/>
      <c r="CR1220" s="1"/>
      <c r="CS1220" s="1"/>
      <c r="CT1220" s="1"/>
      <c r="CU1220" s="1"/>
      <c r="CV1220" s="1"/>
      <c r="CW1220" s="1"/>
      <c r="CX1220" s="1"/>
      <c r="CY1220" s="1"/>
      <c r="CZ1220" s="1"/>
      <c r="DA1220" s="1"/>
      <c r="DB1220" s="1"/>
      <c r="DC1220" s="1"/>
    </row>
    <row r="1221" spans="1:107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/>
      <c r="BK1221" s="1"/>
      <c r="BL1221" s="1"/>
      <c r="BM1221" s="1"/>
      <c r="BN1221" s="1"/>
      <c r="BO1221" s="1"/>
      <c r="BP1221" s="1"/>
      <c r="BQ1221" s="1"/>
      <c r="BR1221" s="1"/>
      <c r="BS1221" s="1"/>
      <c r="BT1221" s="1"/>
      <c r="BU1221" s="1"/>
      <c r="BV1221" s="1"/>
      <c r="BW1221" s="1"/>
      <c r="BX1221" s="1"/>
      <c r="BY1221" s="1"/>
      <c r="BZ1221" s="1"/>
      <c r="CA1221" s="1"/>
      <c r="CB1221" s="1"/>
      <c r="CC1221" s="1"/>
      <c r="CD1221" s="1"/>
      <c r="CE1221" s="1"/>
      <c r="CF1221" s="1"/>
      <c r="CG1221" s="1"/>
      <c r="CH1221" s="1"/>
      <c r="CI1221" s="1"/>
      <c r="CJ1221" s="1"/>
      <c r="CK1221" s="1"/>
      <c r="CL1221" s="1"/>
      <c r="CM1221" s="1"/>
      <c r="CN1221" s="1"/>
      <c r="CO1221" s="1"/>
      <c r="CP1221" s="1"/>
      <c r="CQ1221" s="1"/>
      <c r="CR1221" s="1"/>
      <c r="CS1221" s="1"/>
      <c r="CT1221" s="1"/>
      <c r="CU1221" s="1"/>
      <c r="CV1221" s="1"/>
      <c r="CW1221" s="1"/>
      <c r="CX1221" s="1"/>
      <c r="CY1221" s="1"/>
      <c r="CZ1221" s="1"/>
      <c r="DA1221" s="1"/>
      <c r="DB1221" s="1"/>
      <c r="DC1221" s="1"/>
    </row>
    <row r="1222" spans="1:107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1"/>
      <c r="BM1222" s="1"/>
      <c r="BN1222" s="1"/>
      <c r="BO1222" s="1"/>
      <c r="BP1222" s="1"/>
      <c r="BQ1222" s="1"/>
      <c r="BR1222" s="1"/>
      <c r="BS1222" s="1"/>
      <c r="BT1222" s="1"/>
      <c r="BU1222" s="1"/>
      <c r="BV1222" s="1"/>
      <c r="BW1222" s="1"/>
      <c r="BX1222" s="1"/>
      <c r="BY1222" s="1"/>
      <c r="BZ1222" s="1"/>
      <c r="CA1222" s="1"/>
      <c r="CB1222" s="1"/>
      <c r="CC1222" s="1"/>
      <c r="CD1222" s="1"/>
      <c r="CE1222" s="1"/>
      <c r="CF1222" s="1"/>
      <c r="CG1222" s="1"/>
      <c r="CH1222" s="1"/>
      <c r="CI1222" s="1"/>
      <c r="CJ1222" s="1"/>
      <c r="CK1222" s="1"/>
      <c r="CL1222" s="1"/>
      <c r="CM1222" s="1"/>
      <c r="CN1222" s="1"/>
      <c r="CO1222" s="1"/>
      <c r="CP1222" s="1"/>
      <c r="CQ1222" s="1"/>
      <c r="CR1222" s="1"/>
      <c r="CS1222" s="1"/>
      <c r="CT1222" s="1"/>
      <c r="CU1222" s="1"/>
      <c r="CV1222" s="1"/>
      <c r="CW1222" s="1"/>
      <c r="CX1222" s="1"/>
      <c r="CY1222" s="1"/>
      <c r="CZ1222" s="1"/>
      <c r="DA1222" s="1"/>
      <c r="DB1222" s="1"/>
      <c r="DC1222" s="1"/>
    </row>
    <row r="1223" spans="1:107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  <c r="BO1223" s="1"/>
      <c r="BP1223" s="1"/>
      <c r="BQ1223" s="1"/>
      <c r="BR1223" s="1"/>
      <c r="BS1223" s="1"/>
      <c r="BT1223" s="1"/>
      <c r="BU1223" s="1"/>
      <c r="BV1223" s="1"/>
      <c r="BW1223" s="1"/>
      <c r="BX1223" s="1"/>
      <c r="BY1223" s="1"/>
      <c r="BZ1223" s="1"/>
      <c r="CA1223" s="1"/>
      <c r="CB1223" s="1"/>
      <c r="CC1223" s="1"/>
      <c r="CD1223" s="1"/>
      <c r="CE1223" s="1"/>
      <c r="CF1223" s="1"/>
      <c r="CG1223" s="1"/>
      <c r="CH1223" s="1"/>
      <c r="CI1223" s="1"/>
      <c r="CJ1223" s="1"/>
      <c r="CK1223" s="1"/>
      <c r="CL1223" s="1"/>
      <c r="CM1223" s="1"/>
      <c r="CN1223" s="1"/>
      <c r="CO1223" s="1"/>
      <c r="CP1223" s="1"/>
      <c r="CQ1223" s="1"/>
      <c r="CR1223" s="1"/>
      <c r="CS1223" s="1"/>
      <c r="CT1223" s="1"/>
      <c r="CU1223" s="1"/>
      <c r="CV1223" s="1"/>
      <c r="CW1223" s="1"/>
      <c r="CX1223" s="1"/>
      <c r="CY1223" s="1"/>
      <c r="CZ1223" s="1"/>
      <c r="DA1223" s="1"/>
      <c r="DB1223" s="1"/>
      <c r="DC1223" s="1"/>
    </row>
    <row r="1224" spans="1:107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1"/>
      <c r="BM1224" s="1"/>
      <c r="BN1224" s="1"/>
      <c r="BO1224" s="1"/>
      <c r="BP1224" s="1"/>
      <c r="BQ1224" s="1"/>
      <c r="BR1224" s="1"/>
      <c r="BS1224" s="1"/>
      <c r="BT1224" s="1"/>
      <c r="BU1224" s="1"/>
      <c r="BV1224" s="1"/>
      <c r="BW1224" s="1"/>
      <c r="BX1224" s="1"/>
      <c r="BY1224" s="1"/>
      <c r="BZ1224" s="1"/>
      <c r="CA1224" s="1"/>
      <c r="CB1224" s="1"/>
      <c r="CC1224" s="1"/>
      <c r="CD1224" s="1"/>
      <c r="CE1224" s="1"/>
      <c r="CF1224" s="1"/>
      <c r="CG1224" s="1"/>
      <c r="CH1224" s="1"/>
      <c r="CI1224" s="1"/>
      <c r="CJ1224" s="1"/>
      <c r="CK1224" s="1"/>
      <c r="CL1224" s="1"/>
      <c r="CM1224" s="1"/>
      <c r="CN1224" s="1"/>
      <c r="CO1224" s="1"/>
      <c r="CP1224" s="1"/>
      <c r="CQ1224" s="1"/>
      <c r="CR1224" s="1"/>
      <c r="CS1224" s="1"/>
      <c r="CT1224" s="1"/>
      <c r="CU1224" s="1"/>
      <c r="CV1224" s="1"/>
      <c r="CW1224" s="1"/>
      <c r="CX1224" s="1"/>
      <c r="CY1224" s="1"/>
      <c r="CZ1224" s="1"/>
      <c r="DA1224" s="1"/>
      <c r="DB1224" s="1"/>
      <c r="DC1224" s="1"/>
    </row>
    <row r="1225" spans="1:107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  <c r="BM1225" s="1"/>
      <c r="BN1225" s="1"/>
      <c r="BO1225" s="1"/>
      <c r="BP1225" s="1"/>
      <c r="BQ1225" s="1"/>
      <c r="BR1225" s="1"/>
      <c r="BS1225" s="1"/>
      <c r="BT1225" s="1"/>
      <c r="BU1225" s="1"/>
      <c r="BV1225" s="1"/>
      <c r="BW1225" s="1"/>
      <c r="BX1225" s="1"/>
      <c r="BY1225" s="1"/>
      <c r="BZ1225" s="1"/>
      <c r="CA1225" s="1"/>
      <c r="CB1225" s="1"/>
      <c r="CC1225" s="1"/>
      <c r="CD1225" s="1"/>
      <c r="CE1225" s="1"/>
      <c r="CF1225" s="1"/>
      <c r="CG1225" s="1"/>
      <c r="CH1225" s="1"/>
      <c r="CI1225" s="1"/>
      <c r="CJ1225" s="1"/>
      <c r="CK1225" s="1"/>
      <c r="CL1225" s="1"/>
      <c r="CM1225" s="1"/>
      <c r="CN1225" s="1"/>
      <c r="CO1225" s="1"/>
      <c r="CP1225" s="1"/>
      <c r="CQ1225" s="1"/>
      <c r="CR1225" s="1"/>
      <c r="CS1225" s="1"/>
      <c r="CT1225" s="1"/>
      <c r="CU1225" s="1"/>
      <c r="CV1225" s="1"/>
      <c r="CW1225" s="1"/>
      <c r="CX1225" s="1"/>
      <c r="CY1225" s="1"/>
      <c r="CZ1225" s="1"/>
      <c r="DA1225" s="1"/>
      <c r="DB1225" s="1"/>
      <c r="DC1225" s="1"/>
    </row>
    <row r="1226" spans="1:107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  <c r="BI1226" s="1"/>
      <c r="BJ1226" s="1"/>
      <c r="BK1226" s="1"/>
      <c r="BL1226" s="1"/>
      <c r="BM1226" s="1"/>
      <c r="BN1226" s="1"/>
      <c r="BO1226" s="1"/>
      <c r="BP1226" s="1"/>
      <c r="BQ1226" s="1"/>
      <c r="BR1226" s="1"/>
      <c r="BS1226" s="1"/>
      <c r="BT1226" s="1"/>
      <c r="BU1226" s="1"/>
      <c r="BV1226" s="1"/>
      <c r="BW1226" s="1"/>
      <c r="BX1226" s="1"/>
      <c r="BY1226" s="1"/>
      <c r="BZ1226" s="1"/>
      <c r="CA1226" s="1"/>
      <c r="CB1226" s="1"/>
      <c r="CC1226" s="1"/>
      <c r="CD1226" s="1"/>
      <c r="CE1226" s="1"/>
      <c r="CF1226" s="1"/>
      <c r="CG1226" s="1"/>
      <c r="CH1226" s="1"/>
      <c r="CI1226" s="1"/>
      <c r="CJ1226" s="1"/>
      <c r="CK1226" s="1"/>
      <c r="CL1226" s="1"/>
      <c r="CM1226" s="1"/>
      <c r="CN1226" s="1"/>
      <c r="CO1226" s="1"/>
      <c r="CP1226" s="1"/>
      <c r="CQ1226" s="1"/>
      <c r="CR1226" s="1"/>
      <c r="CS1226" s="1"/>
      <c r="CT1226" s="1"/>
      <c r="CU1226" s="1"/>
      <c r="CV1226" s="1"/>
      <c r="CW1226" s="1"/>
      <c r="CX1226" s="1"/>
      <c r="CY1226" s="1"/>
      <c r="CZ1226" s="1"/>
      <c r="DA1226" s="1"/>
      <c r="DB1226" s="1"/>
      <c r="DC1226" s="1"/>
    </row>
    <row r="1227" spans="1:107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/>
      <c r="BJ1227" s="1"/>
      <c r="BK1227" s="1"/>
      <c r="BL1227" s="1"/>
      <c r="BM1227" s="1"/>
      <c r="BN1227" s="1"/>
      <c r="BO1227" s="1"/>
      <c r="BP1227" s="1"/>
      <c r="BQ1227" s="1"/>
      <c r="BR1227" s="1"/>
      <c r="BS1227" s="1"/>
      <c r="BT1227" s="1"/>
      <c r="BU1227" s="1"/>
      <c r="BV1227" s="1"/>
      <c r="BW1227" s="1"/>
      <c r="BX1227" s="1"/>
      <c r="BY1227" s="1"/>
      <c r="BZ1227" s="1"/>
      <c r="CA1227" s="1"/>
      <c r="CB1227" s="1"/>
      <c r="CC1227" s="1"/>
      <c r="CD1227" s="1"/>
      <c r="CE1227" s="1"/>
      <c r="CF1227" s="1"/>
      <c r="CG1227" s="1"/>
      <c r="CH1227" s="1"/>
      <c r="CI1227" s="1"/>
      <c r="CJ1227" s="1"/>
      <c r="CK1227" s="1"/>
      <c r="CL1227" s="1"/>
      <c r="CM1227" s="1"/>
      <c r="CN1227" s="1"/>
      <c r="CO1227" s="1"/>
      <c r="CP1227" s="1"/>
      <c r="CQ1227" s="1"/>
      <c r="CR1227" s="1"/>
      <c r="CS1227" s="1"/>
      <c r="CT1227" s="1"/>
      <c r="CU1227" s="1"/>
      <c r="CV1227" s="1"/>
      <c r="CW1227" s="1"/>
      <c r="CX1227" s="1"/>
      <c r="CY1227" s="1"/>
      <c r="CZ1227" s="1"/>
      <c r="DA1227" s="1"/>
      <c r="DB1227" s="1"/>
      <c r="DC1227" s="1"/>
    </row>
    <row r="1228" spans="1:107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  <c r="BI1228" s="1"/>
      <c r="BJ1228" s="1"/>
      <c r="BK1228" s="1"/>
      <c r="BL1228" s="1"/>
      <c r="BM1228" s="1"/>
      <c r="BN1228" s="1"/>
      <c r="BO1228" s="1"/>
      <c r="BP1228" s="1"/>
      <c r="BQ1228" s="1"/>
      <c r="BR1228" s="1"/>
      <c r="BS1228" s="1"/>
      <c r="BT1228" s="1"/>
      <c r="BU1228" s="1"/>
      <c r="BV1228" s="1"/>
      <c r="BW1228" s="1"/>
      <c r="BX1228" s="1"/>
      <c r="BY1228" s="1"/>
      <c r="BZ1228" s="1"/>
      <c r="CA1228" s="1"/>
      <c r="CB1228" s="1"/>
      <c r="CC1228" s="1"/>
      <c r="CD1228" s="1"/>
      <c r="CE1228" s="1"/>
      <c r="CF1228" s="1"/>
      <c r="CG1228" s="1"/>
      <c r="CH1228" s="1"/>
      <c r="CI1228" s="1"/>
      <c r="CJ1228" s="1"/>
      <c r="CK1228" s="1"/>
      <c r="CL1228" s="1"/>
      <c r="CM1228" s="1"/>
      <c r="CN1228" s="1"/>
      <c r="CO1228" s="1"/>
      <c r="CP1228" s="1"/>
      <c r="CQ1228" s="1"/>
      <c r="CR1228" s="1"/>
      <c r="CS1228" s="1"/>
      <c r="CT1228" s="1"/>
      <c r="CU1228" s="1"/>
      <c r="CV1228" s="1"/>
      <c r="CW1228" s="1"/>
      <c r="CX1228" s="1"/>
      <c r="CY1228" s="1"/>
      <c r="CZ1228" s="1"/>
      <c r="DA1228" s="1"/>
      <c r="DB1228" s="1"/>
      <c r="DC1228" s="1"/>
    </row>
    <row r="1229" spans="1:107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  <c r="BJ1229" s="1"/>
      <c r="BK1229" s="1"/>
      <c r="BL1229" s="1"/>
      <c r="BM1229" s="1"/>
      <c r="BN1229" s="1"/>
      <c r="BO1229" s="1"/>
      <c r="BP1229" s="1"/>
      <c r="BQ1229" s="1"/>
      <c r="BR1229" s="1"/>
      <c r="BS1229" s="1"/>
      <c r="BT1229" s="1"/>
      <c r="BU1229" s="1"/>
      <c r="BV1229" s="1"/>
      <c r="BW1229" s="1"/>
      <c r="BX1229" s="1"/>
      <c r="BY1229" s="1"/>
      <c r="BZ1229" s="1"/>
      <c r="CA1229" s="1"/>
      <c r="CB1229" s="1"/>
      <c r="CC1229" s="1"/>
      <c r="CD1229" s="1"/>
      <c r="CE1229" s="1"/>
      <c r="CF1229" s="1"/>
      <c r="CG1229" s="1"/>
      <c r="CH1229" s="1"/>
      <c r="CI1229" s="1"/>
      <c r="CJ1229" s="1"/>
      <c r="CK1229" s="1"/>
      <c r="CL1229" s="1"/>
      <c r="CM1229" s="1"/>
      <c r="CN1229" s="1"/>
      <c r="CO1229" s="1"/>
      <c r="CP1229" s="1"/>
      <c r="CQ1229" s="1"/>
      <c r="CR1229" s="1"/>
      <c r="CS1229" s="1"/>
      <c r="CT1229" s="1"/>
      <c r="CU1229" s="1"/>
      <c r="CV1229" s="1"/>
      <c r="CW1229" s="1"/>
      <c r="CX1229" s="1"/>
      <c r="CY1229" s="1"/>
      <c r="CZ1229" s="1"/>
      <c r="DA1229" s="1"/>
      <c r="DB1229" s="1"/>
      <c r="DC1229" s="1"/>
    </row>
    <row r="1230" spans="1:107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1"/>
      <c r="BM1230" s="1"/>
      <c r="BN1230" s="1"/>
      <c r="BO1230" s="1"/>
      <c r="BP1230" s="1"/>
      <c r="BQ1230" s="1"/>
      <c r="BR1230" s="1"/>
      <c r="BS1230" s="1"/>
      <c r="BT1230" s="1"/>
      <c r="BU1230" s="1"/>
      <c r="BV1230" s="1"/>
      <c r="BW1230" s="1"/>
      <c r="BX1230" s="1"/>
      <c r="BY1230" s="1"/>
      <c r="BZ1230" s="1"/>
      <c r="CA1230" s="1"/>
      <c r="CB1230" s="1"/>
      <c r="CC1230" s="1"/>
      <c r="CD1230" s="1"/>
      <c r="CE1230" s="1"/>
      <c r="CF1230" s="1"/>
      <c r="CG1230" s="1"/>
      <c r="CH1230" s="1"/>
      <c r="CI1230" s="1"/>
      <c r="CJ1230" s="1"/>
      <c r="CK1230" s="1"/>
      <c r="CL1230" s="1"/>
      <c r="CM1230" s="1"/>
      <c r="CN1230" s="1"/>
      <c r="CO1230" s="1"/>
      <c r="CP1230" s="1"/>
      <c r="CQ1230" s="1"/>
      <c r="CR1230" s="1"/>
      <c r="CS1230" s="1"/>
      <c r="CT1230" s="1"/>
      <c r="CU1230" s="1"/>
      <c r="CV1230" s="1"/>
      <c r="CW1230" s="1"/>
      <c r="CX1230" s="1"/>
      <c r="CY1230" s="1"/>
      <c r="CZ1230" s="1"/>
      <c r="DA1230" s="1"/>
      <c r="DB1230" s="1"/>
      <c r="DC1230" s="1"/>
    </row>
    <row r="1231" spans="1:107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/>
      <c r="BK1231" s="1"/>
      <c r="BL1231" s="1"/>
      <c r="BM1231" s="1"/>
      <c r="BN1231" s="1"/>
      <c r="BO1231" s="1"/>
      <c r="BP1231" s="1"/>
      <c r="BQ1231" s="1"/>
      <c r="BR1231" s="1"/>
      <c r="BS1231" s="1"/>
      <c r="BT1231" s="1"/>
      <c r="BU1231" s="1"/>
      <c r="BV1231" s="1"/>
      <c r="BW1231" s="1"/>
      <c r="BX1231" s="1"/>
      <c r="BY1231" s="1"/>
      <c r="BZ1231" s="1"/>
      <c r="CA1231" s="1"/>
      <c r="CB1231" s="1"/>
      <c r="CC1231" s="1"/>
      <c r="CD1231" s="1"/>
      <c r="CE1231" s="1"/>
      <c r="CF1231" s="1"/>
      <c r="CG1231" s="1"/>
      <c r="CH1231" s="1"/>
      <c r="CI1231" s="1"/>
      <c r="CJ1231" s="1"/>
      <c r="CK1231" s="1"/>
      <c r="CL1231" s="1"/>
      <c r="CM1231" s="1"/>
      <c r="CN1231" s="1"/>
      <c r="CO1231" s="1"/>
      <c r="CP1231" s="1"/>
      <c r="CQ1231" s="1"/>
      <c r="CR1231" s="1"/>
      <c r="CS1231" s="1"/>
      <c r="CT1231" s="1"/>
      <c r="CU1231" s="1"/>
      <c r="CV1231" s="1"/>
      <c r="CW1231" s="1"/>
      <c r="CX1231" s="1"/>
      <c r="CY1231" s="1"/>
      <c r="CZ1231" s="1"/>
      <c r="DA1231" s="1"/>
      <c r="DB1231" s="1"/>
      <c r="DC1231" s="1"/>
    </row>
    <row r="1232" spans="1:107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  <c r="BI1232" s="1"/>
      <c r="BJ1232" s="1"/>
      <c r="BK1232" s="1"/>
      <c r="BL1232" s="1"/>
      <c r="BM1232" s="1"/>
      <c r="BN1232" s="1"/>
      <c r="BO1232" s="1"/>
      <c r="BP1232" s="1"/>
      <c r="BQ1232" s="1"/>
      <c r="BR1232" s="1"/>
      <c r="BS1232" s="1"/>
      <c r="BT1232" s="1"/>
      <c r="BU1232" s="1"/>
      <c r="BV1232" s="1"/>
      <c r="BW1232" s="1"/>
      <c r="BX1232" s="1"/>
      <c r="BY1232" s="1"/>
      <c r="BZ1232" s="1"/>
      <c r="CA1232" s="1"/>
      <c r="CB1232" s="1"/>
      <c r="CC1232" s="1"/>
      <c r="CD1232" s="1"/>
      <c r="CE1232" s="1"/>
      <c r="CF1232" s="1"/>
      <c r="CG1232" s="1"/>
      <c r="CH1232" s="1"/>
      <c r="CI1232" s="1"/>
      <c r="CJ1232" s="1"/>
      <c r="CK1232" s="1"/>
      <c r="CL1232" s="1"/>
      <c r="CM1232" s="1"/>
      <c r="CN1232" s="1"/>
      <c r="CO1232" s="1"/>
      <c r="CP1232" s="1"/>
      <c r="CQ1232" s="1"/>
      <c r="CR1232" s="1"/>
      <c r="CS1232" s="1"/>
      <c r="CT1232" s="1"/>
      <c r="CU1232" s="1"/>
      <c r="CV1232" s="1"/>
      <c r="CW1232" s="1"/>
      <c r="CX1232" s="1"/>
      <c r="CY1232" s="1"/>
      <c r="CZ1232" s="1"/>
      <c r="DA1232" s="1"/>
      <c r="DB1232" s="1"/>
      <c r="DC1232" s="1"/>
    </row>
    <row r="1233" spans="1:107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  <c r="BG1233" s="1"/>
      <c r="BH1233" s="1"/>
      <c r="BI1233" s="1"/>
      <c r="BJ1233" s="1"/>
      <c r="BK1233" s="1"/>
      <c r="BL1233" s="1"/>
      <c r="BM1233" s="1"/>
      <c r="BN1233" s="1"/>
      <c r="BO1233" s="1"/>
      <c r="BP1233" s="1"/>
      <c r="BQ1233" s="1"/>
      <c r="BR1233" s="1"/>
      <c r="BS1233" s="1"/>
      <c r="BT1233" s="1"/>
      <c r="BU1233" s="1"/>
      <c r="BV1233" s="1"/>
      <c r="BW1233" s="1"/>
      <c r="BX1233" s="1"/>
      <c r="BY1233" s="1"/>
      <c r="BZ1233" s="1"/>
      <c r="CA1233" s="1"/>
      <c r="CB1233" s="1"/>
      <c r="CC1233" s="1"/>
      <c r="CD1233" s="1"/>
      <c r="CE1233" s="1"/>
      <c r="CF1233" s="1"/>
      <c r="CG1233" s="1"/>
      <c r="CH1233" s="1"/>
      <c r="CI1233" s="1"/>
      <c r="CJ1233" s="1"/>
      <c r="CK1233" s="1"/>
      <c r="CL1233" s="1"/>
      <c r="CM1233" s="1"/>
      <c r="CN1233" s="1"/>
      <c r="CO1233" s="1"/>
      <c r="CP1233" s="1"/>
      <c r="CQ1233" s="1"/>
      <c r="CR1233" s="1"/>
      <c r="CS1233" s="1"/>
      <c r="CT1233" s="1"/>
      <c r="CU1233" s="1"/>
      <c r="CV1233" s="1"/>
      <c r="CW1233" s="1"/>
      <c r="CX1233" s="1"/>
      <c r="CY1233" s="1"/>
      <c r="CZ1233" s="1"/>
      <c r="DA1233" s="1"/>
      <c r="DB1233" s="1"/>
      <c r="DC1233" s="1"/>
    </row>
    <row r="1234" spans="1:107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  <c r="BK1234" s="1"/>
      <c r="BL1234" s="1"/>
      <c r="BM1234" s="1"/>
      <c r="BN1234" s="1"/>
      <c r="BO1234" s="1"/>
      <c r="BP1234" s="1"/>
      <c r="BQ1234" s="1"/>
      <c r="BR1234" s="1"/>
      <c r="BS1234" s="1"/>
      <c r="BT1234" s="1"/>
      <c r="BU1234" s="1"/>
      <c r="BV1234" s="1"/>
      <c r="BW1234" s="1"/>
      <c r="BX1234" s="1"/>
      <c r="BY1234" s="1"/>
      <c r="BZ1234" s="1"/>
      <c r="CA1234" s="1"/>
      <c r="CB1234" s="1"/>
      <c r="CC1234" s="1"/>
      <c r="CD1234" s="1"/>
      <c r="CE1234" s="1"/>
      <c r="CF1234" s="1"/>
      <c r="CG1234" s="1"/>
      <c r="CH1234" s="1"/>
      <c r="CI1234" s="1"/>
      <c r="CJ1234" s="1"/>
      <c r="CK1234" s="1"/>
      <c r="CL1234" s="1"/>
      <c r="CM1234" s="1"/>
      <c r="CN1234" s="1"/>
      <c r="CO1234" s="1"/>
      <c r="CP1234" s="1"/>
      <c r="CQ1234" s="1"/>
      <c r="CR1234" s="1"/>
      <c r="CS1234" s="1"/>
      <c r="CT1234" s="1"/>
      <c r="CU1234" s="1"/>
      <c r="CV1234" s="1"/>
      <c r="CW1234" s="1"/>
      <c r="CX1234" s="1"/>
      <c r="CY1234" s="1"/>
      <c r="CZ1234" s="1"/>
      <c r="DA1234" s="1"/>
      <c r="DB1234" s="1"/>
      <c r="DC1234" s="1"/>
    </row>
    <row r="1235" spans="1:107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  <c r="BI1235" s="1"/>
      <c r="BJ1235" s="1"/>
      <c r="BK1235" s="1"/>
      <c r="BL1235" s="1"/>
      <c r="BM1235" s="1"/>
      <c r="BN1235" s="1"/>
      <c r="BO1235" s="1"/>
      <c r="BP1235" s="1"/>
      <c r="BQ1235" s="1"/>
      <c r="BR1235" s="1"/>
      <c r="BS1235" s="1"/>
      <c r="BT1235" s="1"/>
      <c r="BU1235" s="1"/>
      <c r="BV1235" s="1"/>
      <c r="BW1235" s="1"/>
      <c r="BX1235" s="1"/>
      <c r="BY1235" s="1"/>
      <c r="BZ1235" s="1"/>
      <c r="CA1235" s="1"/>
      <c r="CB1235" s="1"/>
      <c r="CC1235" s="1"/>
      <c r="CD1235" s="1"/>
      <c r="CE1235" s="1"/>
      <c r="CF1235" s="1"/>
      <c r="CG1235" s="1"/>
      <c r="CH1235" s="1"/>
      <c r="CI1235" s="1"/>
      <c r="CJ1235" s="1"/>
      <c r="CK1235" s="1"/>
      <c r="CL1235" s="1"/>
      <c r="CM1235" s="1"/>
      <c r="CN1235" s="1"/>
      <c r="CO1235" s="1"/>
      <c r="CP1235" s="1"/>
      <c r="CQ1235" s="1"/>
      <c r="CR1235" s="1"/>
      <c r="CS1235" s="1"/>
      <c r="CT1235" s="1"/>
      <c r="CU1235" s="1"/>
      <c r="CV1235" s="1"/>
      <c r="CW1235" s="1"/>
      <c r="CX1235" s="1"/>
      <c r="CY1235" s="1"/>
      <c r="CZ1235" s="1"/>
      <c r="DA1235" s="1"/>
      <c r="DB1235" s="1"/>
      <c r="DC1235" s="1"/>
    </row>
    <row r="1236" spans="1:107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  <c r="BI1236" s="1"/>
      <c r="BJ1236" s="1"/>
      <c r="BK1236" s="1"/>
      <c r="BL1236" s="1"/>
      <c r="BM1236" s="1"/>
      <c r="BN1236" s="1"/>
      <c r="BO1236" s="1"/>
      <c r="BP1236" s="1"/>
      <c r="BQ1236" s="1"/>
      <c r="BR1236" s="1"/>
      <c r="BS1236" s="1"/>
      <c r="BT1236" s="1"/>
      <c r="BU1236" s="1"/>
      <c r="BV1236" s="1"/>
      <c r="BW1236" s="1"/>
      <c r="BX1236" s="1"/>
      <c r="BY1236" s="1"/>
      <c r="BZ1236" s="1"/>
      <c r="CA1236" s="1"/>
      <c r="CB1236" s="1"/>
      <c r="CC1236" s="1"/>
      <c r="CD1236" s="1"/>
      <c r="CE1236" s="1"/>
      <c r="CF1236" s="1"/>
      <c r="CG1236" s="1"/>
      <c r="CH1236" s="1"/>
      <c r="CI1236" s="1"/>
      <c r="CJ1236" s="1"/>
      <c r="CK1236" s="1"/>
      <c r="CL1236" s="1"/>
      <c r="CM1236" s="1"/>
      <c r="CN1236" s="1"/>
      <c r="CO1236" s="1"/>
      <c r="CP1236" s="1"/>
      <c r="CQ1236" s="1"/>
      <c r="CR1236" s="1"/>
      <c r="CS1236" s="1"/>
      <c r="CT1236" s="1"/>
      <c r="CU1236" s="1"/>
      <c r="CV1236" s="1"/>
      <c r="CW1236" s="1"/>
      <c r="CX1236" s="1"/>
      <c r="CY1236" s="1"/>
      <c r="CZ1236" s="1"/>
      <c r="DA1236" s="1"/>
      <c r="DB1236" s="1"/>
      <c r="DC1236" s="1"/>
    </row>
    <row r="1237" spans="1:107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/>
      <c r="BG1237" s="1"/>
      <c r="BH1237" s="1"/>
      <c r="BI1237" s="1"/>
      <c r="BJ1237" s="1"/>
      <c r="BK1237" s="1"/>
      <c r="BL1237" s="1"/>
      <c r="BM1237" s="1"/>
      <c r="BN1237" s="1"/>
      <c r="BO1237" s="1"/>
      <c r="BP1237" s="1"/>
      <c r="BQ1237" s="1"/>
      <c r="BR1237" s="1"/>
      <c r="BS1237" s="1"/>
      <c r="BT1237" s="1"/>
      <c r="BU1237" s="1"/>
      <c r="BV1237" s="1"/>
      <c r="BW1237" s="1"/>
      <c r="BX1237" s="1"/>
      <c r="BY1237" s="1"/>
      <c r="BZ1237" s="1"/>
      <c r="CA1237" s="1"/>
      <c r="CB1237" s="1"/>
      <c r="CC1237" s="1"/>
      <c r="CD1237" s="1"/>
      <c r="CE1237" s="1"/>
      <c r="CF1237" s="1"/>
      <c r="CG1237" s="1"/>
      <c r="CH1237" s="1"/>
      <c r="CI1237" s="1"/>
      <c r="CJ1237" s="1"/>
      <c r="CK1237" s="1"/>
      <c r="CL1237" s="1"/>
      <c r="CM1237" s="1"/>
      <c r="CN1237" s="1"/>
      <c r="CO1237" s="1"/>
      <c r="CP1237" s="1"/>
      <c r="CQ1237" s="1"/>
      <c r="CR1237" s="1"/>
      <c r="CS1237" s="1"/>
      <c r="CT1237" s="1"/>
      <c r="CU1237" s="1"/>
      <c r="CV1237" s="1"/>
      <c r="CW1237" s="1"/>
      <c r="CX1237" s="1"/>
      <c r="CY1237" s="1"/>
      <c r="CZ1237" s="1"/>
      <c r="DA1237" s="1"/>
      <c r="DB1237" s="1"/>
      <c r="DC1237" s="1"/>
    </row>
    <row r="1238" spans="1:107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1"/>
      <c r="BJ1238" s="1"/>
      <c r="BK1238" s="1"/>
      <c r="BL1238" s="1"/>
      <c r="BM1238" s="1"/>
      <c r="BN1238" s="1"/>
      <c r="BO1238" s="1"/>
      <c r="BP1238" s="1"/>
      <c r="BQ1238" s="1"/>
      <c r="BR1238" s="1"/>
      <c r="BS1238" s="1"/>
      <c r="BT1238" s="1"/>
      <c r="BU1238" s="1"/>
      <c r="BV1238" s="1"/>
      <c r="BW1238" s="1"/>
      <c r="BX1238" s="1"/>
      <c r="BY1238" s="1"/>
      <c r="BZ1238" s="1"/>
      <c r="CA1238" s="1"/>
      <c r="CB1238" s="1"/>
      <c r="CC1238" s="1"/>
      <c r="CD1238" s="1"/>
      <c r="CE1238" s="1"/>
      <c r="CF1238" s="1"/>
      <c r="CG1238" s="1"/>
      <c r="CH1238" s="1"/>
      <c r="CI1238" s="1"/>
      <c r="CJ1238" s="1"/>
      <c r="CK1238" s="1"/>
      <c r="CL1238" s="1"/>
      <c r="CM1238" s="1"/>
      <c r="CN1238" s="1"/>
      <c r="CO1238" s="1"/>
      <c r="CP1238" s="1"/>
      <c r="CQ1238" s="1"/>
      <c r="CR1238" s="1"/>
      <c r="CS1238" s="1"/>
      <c r="CT1238" s="1"/>
      <c r="CU1238" s="1"/>
      <c r="CV1238" s="1"/>
      <c r="CW1238" s="1"/>
      <c r="CX1238" s="1"/>
      <c r="CY1238" s="1"/>
      <c r="CZ1238" s="1"/>
      <c r="DA1238" s="1"/>
      <c r="DB1238" s="1"/>
      <c r="DC1238" s="1"/>
    </row>
    <row r="1239" spans="1:107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1"/>
      <c r="BJ1239" s="1"/>
      <c r="BK1239" s="1"/>
      <c r="BL1239" s="1"/>
      <c r="BM1239" s="1"/>
      <c r="BN1239" s="1"/>
      <c r="BO1239" s="1"/>
      <c r="BP1239" s="1"/>
      <c r="BQ1239" s="1"/>
      <c r="BR1239" s="1"/>
      <c r="BS1239" s="1"/>
      <c r="BT1239" s="1"/>
      <c r="BU1239" s="1"/>
      <c r="BV1239" s="1"/>
      <c r="BW1239" s="1"/>
      <c r="BX1239" s="1"/>
      <c r="BY1239" s="1"/>
      <c r="BZ1239" s="1"/>
      <c r="CA1239" s="1"/>
      <c r="CB1239" s="1"/>
      <c r="CC1239" s="1"/>
      <c r="CD1239" s="1"/>
      <c r="CE1239" s="1"/>
      <c r="CF1239" s="1"/>
      <c r="CG1239" s="1"/>
      <c r="CH1239" s="1"/>
      <c r="CI1239" s="1"/>
      <c r="CJ1239" s="1"/>
      <c r="CK1239" s="1"/>
      <c r="CL1239" s="1"/>
      <c r="CM1239" s="1"/>
      <c r="CN1239" s="1"/>
      <c r="CO1239" s="1"/>
      <c r="CP1239" s="1"/>
      <c r="CQ1239" s="1"/>
      <c r="CR1239" s="1"/>
      <c r="CS1239" s="1"/>
      <c r="CT1239" s="1"/>
      <c r="CU1239" s="1"/>
      <c r="CV1239" s="1"/>
      <c r="CW1239" s="1"/>
      <c r="CX1239" s="1"/>
      <c r="CY1239" s="1"/>
      <c r="CZ1239" s="1"/>
      <c r="DA1239" s="1"/>
      <c r="DB1239" s="1"/>
      <c r="DC1239" s="1"/>
    </row>
    <row r="1240" spans="1:107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/>
      <c r="BJ1240" s="1"/>
      <c r="BK1240" s="1"/>
      <c r="BL1240" s="1"/>
      <c r="BM1240" s="1"/>
      <c r="BN1240" s="1"/>
      <c r="BO1240" s="1"/>
      <c r="BP1240" s="1"/>
      <c r="BQ1240" s="1"/>
      <c r="BR1240" s="1"/>
      <c r="BS1240" s="1"/>
      <c r="BT1240" s="1"/>
      <c r="BU1240" s="1"/>
      <c r="BV1240" s="1"/>
      <c r="BW1240" s="1"/>
      <c r="BX1240" s="1"/>
      <c r="BY1240" s="1"/>
      <c r="BZ1240" s="1"/>
      <c r="CA1240" s="1"/>
      <c r="CB1240" s="1"/>
      <c r="CC1240" s="1"/>
      <c r="CD1240" s="1"/>
      <c r="CE1240" s="1"/>
      <c r="CF1240" s="1"/>
      <c r="CG1240" s="1"/>
      <c r="CH1240" s="1"/>
      <c r="CI1240" s="1"/>
      <c r="CJ1240" s="1"/>
      <c r="CK1240" s="1"/>
      <c r="CL1240" s="1"/>
      <c r="CM1240" s="1"/>
      <c r="CN1240" s="1"/>
      <c r="CO1240" s="1"/>
      <c r="CP1240" s="1"/>
      <c r="CQ1240" s="1"/>
      <c r="CR1240" s="1"/>
      <c r="CS1240" s="1"/>
      <c r="CT1240" s="1"/>
      <c r="CU1240" s="1"/>
      <c r="CV1240" s="1"/>
      <c r="CW1240" s="1"/>
      <c r="CX1240" s="1"/>
      <c r="CY1240" s="1"/>
      <c r="CZ1240" s="1"/>
      <c r="DA1240" s="1"/>
      <c r="DB1240" s="1"/>
      <c r="DC1240" s="1"/>
    </row>
    <row r="1241" spans="1:107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  <c r="BM1241" s="1"/>
      <c r="BN1241" s="1"/>
      <c r="BO1241" s="1"/>
      <c r="BP1241" s="1"/>
      <c r="BQ1241" s="1"/>
      <c r="BR1241" s="1"/>
      <c r="BS1241" s="1"/>
      <c r="BT1241" s="1"/>
      <c r="BU1241" s="1"/>
      <c r="BV1241" s="1"/>
      <c r="BW1241" s="1"/>
      <c r="BX1241" s="1"/>
      <c r="BY1241" s="1"/>
      <c r="BZ1241" s="1"/>
      <c r="CA1241" s="1"/>
      <c r="CB1241" s="1"/>
      <c r="CC1241" s="1"/>
      <c r="CD1241" s="1"/>
      <c r="CE1241" s="1"/>
      <c r="CF1241" s="1"/>
      <c r="CG1241" s="1"/>
      <c r="CH1241" s="1"/>
      <c r="CI1241" s="1"/>
      <c r="CJ1241" s="1"/>
      <c r="CK1241" s="1"/>
      <c r="CL1241" s="1"/>
      <c r="CM1241" s="1"/>
      <c r="CN1241" s="1"/>
      <c r="CO1241" s="1"/>
      <c r="CP1241" s="1"/>
      <c r="CQ1241" s="1"/>
      <c r="CR1241" s="1"/>
      <c r="CS1241" s="1"/>
      <c r="CT1241" s="1"/>
      <c r="CU1241" s="1"/>
      <c r="CV1241" s="1"/>
      <c r="CW1241" s="1"/>
      <c r="CX1241" s="1"/>
      <c r="CY1241" s="1"/>
      <c r="CZ1241" s="1"/>
      <c r="DA1241" s="1"/>
      <c r="DB1241" s="1"/>
      <c r="DC1241" s="1"/>
    </row>
    <row r="1242" spans="1:107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1"/>
      <c r="BM1242" s="1"/>
      <c r="BN1242" s="1"/>
      <c r="BO1242" s="1"/>
      <c r="BP1242" s="1"/>
      <c r="BQ1242" s="1"/>
      <c r="BR1242" s="1"/>
      <c r="BS1242" s="1"/>
      <c r="BT1242" s="1"/>
      <c r="BU1242" s="1"/>
      <c r="BV1242" s="1"/>
      <c r="BW1242" s="1"/>
      <c r="BX1242" s="1"/>
      <c r="BY1242" s="1"/>
      <c r="BZ1242" s="1"/>
      <c r="CA1242" s="1"/>
      <c r="CB1242" s="1"/>
      <c r="CC1242" s="1"/>
      <c r="CD1242" s="1"/>
      <c r="CE1242" s="1"/>
      <c r="CF1242" s="1"/>
      <c r="CG1242" s="1"/>
      <c r="CH1242" s="1"/>
      <c r="CI1242" s="1"/>
      <c r="CJ1242" s="1"/>
      <c r="CK1242" s="1"/>
      <c r="CL1242" s="1"/>
      <c r="CM1242" s="1"/>
      <c r="CN1242" s="1"/>
      <c r="CO1242" s="1"/>
      <c r="CP1242" s="1"/>
      <c r="CQ1242" s="1"/>
      <c r="CR1242" s="1"/>
      <c r="CS1242" s="1"/>
      <c r="CT1242" s="1"/>
      <c r="CU1242" s="1"/>
      <c r="CV1242" s="1"/>
      <c r="CW1242" s="1"/>
      <c r="CX1242" s="1"/>
      <c r="CY1242" s="1"/>
      <c r="CZ1242" s="1"/>
      <c r="DA1242" s="1"/>
      <c r="DB1242" s="1"/>
      <c r="DC1242" s="1"/>
    </row>
    <row r="1243" spans="1:107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/>
      <c r="BJ1243" s="1"/>
      <c r="BK1243" s="1"/>
      <c r="BL1243" s="1"/>
      <c r="BM1243" s="1"/>
      <c r="BN1243" s="1"/>
      <c r="BO1243" s="1"/>
      <c r="BP1243" s="1"/>
      <c r="BQ1243" s="1"/>
      <c r="BR1243" s="1"/>
      <c r="BS1243" s="1"/>
      <c r="BT1243" s="1"/>
      <c r="BU1243" s="1"/>
      <c r="BV1243" s="1"/>
      <c r="BW1243" s="1"/>
      <c r="BX1243" s="1"/>
      <c r="BY1243" s="1"/>
      <c r="BZ1243" s="1"/>
      <c r="CA1243" s="1"/>
      <c r="CB1243" s="1"/>
      <c r="CC1243" s="1"/>
      <c r="CD1243" s="1"/>
      <c r="CE1243" s="1"/>
      <c r="CF1243" s="1"/>
      <c r="CG1243" s="1"/>
      <c r="CH1243" s="1"/>
      <c r="CI1243" s="1"/>
      <c r="CJ1243" s="1"/>
      <c r="CK1243" s="1"/>
      <c r="CL1243" s="1"/>
      <c r="CM1243" s="1"/>
      <c r="CN1243" s="1"/>
      <c r="CO1243" s="1"/>
      <c r="CP1243" s="1"/>
      <c r="CQ1243" s="1"/>
      <c r="CR1243" s="1"/>
      <c r="CS1243" s="1"/>
      <c r="CT1243" s="1"/>
      <c r="CU1243" s="1"/>
      <c r="CV1243" s="1"/>
      <c r="CW1243" s="1"/>
      <c r="CX1243" s="1"/>
      <c r="CY1243" s="1"/>
      <c r="CZ1243" s="1"/>
      <c r="DA1243" s="1"/>
      <c r="DB1243" s="1"/>
      <c r="DC1243" s="1"/>
    </row>
    <row r="1244" spans="1:107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  <c r="BJ1244" s="1"/>
      <c r="BK1244" s="1"/>
      <c r="BL1244" s="1"/>
      <c r="BM1244" s="1"/>
      <c r="BN1244" s="1"/>
      <c r="BO1244" s="1"/>
      <c r="BP1244" s="1"/>
      <c r="BQ1244" s="1"/>
      <c r="BR1244" s="1"/>
      <c r="BS1244" s="1"/>
      <c r="BT1244" s="1"/>
      <c r="BU1244" s="1"/>
      <c r="BV1244" s="1"/>
      <c r="BW1244" s="1"/>
      <c r="BX1244" s="1"/>
      <c r="BY1244" s="1"/>
      <c r="BZ1244" s="1"/>
      <c r="CA1244" s="1"/>
      <c r="CB1244" s="1"/>
      <c r="CC1244" s="1"/>
      <c r="CD1244" s="1"/>
      <c r="CE1244" s="1"/>
      <c r="CF1244" s="1"/>
      <c r="CG1244" s="1"/>
      <c r="CH1244" s="1"/>
      <c r="CI1244" s="1"/>
      <c r="CJ1244" s="1"/>
      <c r="CK1244" s="1"/>
      <c r="CL1244" s="1"/>
      <c r="CM1244" s="1"/>
      <c r="CN1244" s="1"/>
      <c r="CO1244" s="1"/>
      <c r="CP1244" s="1"/>
      <c r="CQ1244" s="1"/>
      <c r="CR1244" s="1"/>
      <c r="CS1244" s="1"/>
      <c r="CT1244" s="1"/>
      <c r="CU1244" s="1"/>
      <c r="CV1244" s="1"/>
      <c r="CW1244" s="1"/>
      <c r="CX1244" s="1"/>
      <c r="CY1244" s="1"/>
      <c r="CZ1244" s="1"/>
      <c r="DA1244" s="1"/>
      <c r="DB1244" s="1"/>
      <c r="DC1244" s="1"/>
    </row>
    <row r="1245" spans="1:107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1"/>
      <c r="BM1245" s="1"/>
      <c r="BN1245" s="1"/>
      <c r="BO1245" s="1"/>
      <c r="BP1245" s="1"/>
      <c r="BQ1245" s="1"/>
      <c r="BR1245" s="1"/>
      <c r="BS1245" s="1"/>
      <c r="BT1245" s="1"/>
      <c r="BU1245" s="1"/>
      <c r="BV1245" s="1"/>
      <c r="BW1245" s="1"/>
      <c r="BX1245" s="1"/>
      <c r="BY1245" s="1"/>
      <c r="BZ1245" s="1"/>
      <c r="CA1245" s="1"/>
      <c r="CB1245" s="1"/>
      <c r="CC1245" s="1"/>
      <c r="CD1245" s="1"/>
      <c r="CE1245" s="1"/>
      <c r="CF1245" s="1"/>
      <c r="CG1245" s="1"/>
      <c r="CH1245" s="1"/>
      <c r="CI1245" s="1"/>
      <c r="CJ1245" s="1"/>
      <c r="CK1245" s="1"/>
      <c r="CL1245" s="1"/>
      <c r="CM1245" s="1"/>
      <c r="CN1245" s="1"/>
      <c r="CO1245" s="1"/>
      <c r="CP1245" s="1"/>
      <c r="CQ1245" s="1"/>
      <c r="CR1245" s="1"/>
      <c r="CS1245" s="1"/>
      <c r="CT1245" s="1"/>
      <c r="CU1245" s="1"/>
      <c r="CV1245" s="1"/>
      <c r="CW1245" s="1"/>
      <c r="CX1245" s="1"/>
      <c r="CY1245" s="1"/>
      <c r="CZ1245" s="1"/>
      <c r="DA1245" s="1"/>
      <c r="DB1245" s="1"/>
      <c r="DC1245" s="1"/>
    </row>
    <row r="1246" spans="1:107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  <c r="BI1246" s="1"/>
      <c r="BJ1246" s="1"/>
      <c r="BK1246" s="1"/>
      <c r="BL1246" s="1"/>
      <c r="BM1246" s="1"/>
      <c r="BN1246" s="1"/>
      <c r="BO1246" s="1"/>
      <c r="BP1246" s="1"/>
      <c r="BQ1246" s="1"/>
      <c r="BR1246" s="1"/>
      <c r="BS1246" s="1"/>
      <c r="BT1246" s="1"/>
      <c r="BU1246" s="1"/>
      <c r="BV1246" s="1"/>
      <c r="BW1246" s="1"/>
      <c r="BX1246" s="1"/>
      <c r="BY1246" s="1"/>
      <c r="BZ1246" s="1"/>
      <c r="CA1246" s="1"/>
      <c r="CB1246" s="1"/>
      <c r="CC1246" s="1"/>
      <c r="CD1246" s="1"/>
      <c r="CE1246" s="1"/>
      <c r="CF1246" s="1"/>
      <c r="CG1246" s="1"/>
      <c r="CH1246" s="1"/>
      <c r="CI1246" s="1"/>
      <c r="CJ1246" s="1"/>
      <c r="CK1246" s="1"/>
      <c r="CL1246" s="1"/>
      <c r="CM1246" s="1"/>
      <c r="CN1246" s="1"/>
      <c r="CO1246" s="1"/>
      <c r="CP1246" s="1"/>
      <c r="CQ1246" s="1"/>
      <c r="CR1246" s="1"/>
      <c r="CS1246" s="1"/>
      <c r="CT1246" s="1"/>
      <c r="CU1246" s="1"/>
      <c r="CV1246" s="1"/>
      <c r="CW1246" s="1"/>
      <c r="CX1246" s="1"/>
      <c r="CY1246" s="1"/>
      <c r="CZ1246" s="1"/>
      <c r="DA1246" s="1"/>
      <c r="DB1246" s="1"/>
      <c r="DC1246" s="1"/>
    </row>
    <row r="1247" spans="1:107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  <c r="BF1247" s="1"/>
      <c r="BG1247" s="1"/>
      <c r="BH1247" s="1"/>
      <c r="BI1247" s="1"/>
      <c r="BJ1247" s="1"/>
      <c r="BK1247" s="1"/>
      <c r="BL1247" s="1"/>
      <c r="BM1247" s="1"/>
      <c r="BN1247" s="1"/>
      <c r="BO1247" s="1"/>
      <c r="BP1247" s="1"/>
      <c r="BQ1247" s="1"/>
      <c r="BR1247" s="1"/>
      <c r="BS1247" s="1"/>
      <c r="BT1247" s="1"/>
      <c r="BU1247" s="1"/>
      <c r="BV1247" s="1"/>
      <c r="BW1247" s="1"/>
      <c r="BX1247" s="1"/>
      <c r="BY1247" s="1"/>
      <c r="BZ1247" s="1"/>
      <c r="CA1247" s="1"/>
      <c r="CB1247" s="1"/>
      <c r="CC1247" s="1"/>
      <c r="CD1247" s="1"/>
      <c r="CE1247" s="1"/>
      <c r="CF1247" s="1"/>
      <c r="CG1247" s="1"/>
      <c r="CH1247" s="1"/>
      <c r="CI1247" s="1"/>
      <c r="CJ1247" s="1"/>
      <c r="CK1247" s="1"/>
      <c r="CL1247" s="1"/>
      <c r="CM1247" s="1"/>
      <c r="CN1247" s="1"/>
      <c r="CO1247" s="1"/>
      <c r="CP1247" s="1"/>
      <c r="CQ1247" s="1"/>
      <c r="CR1247" s="1"/>
      <c r="CS1247" s="1"/>
      <c r="CT1247" s="1"/>
      <c r="CU1247" s="1"/>
      <c r="CV1247" s="1"/>
      <c r="CW1247" s="1"/>
      <c r="CX1247" s="1"/>
      <c r="CY1247" s="1"/>
      <c r="CZ1247" s="1"/>
      <c r="DA1247" s="1"/>
      <c r="DB1247" s="1"/>
      <c r="DC1247" s="1"/>
    </row>
    <row r="1248" spans="1:107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  <c r="BI1248" s="1"/>
      <c r="BJ1248" s="1"/>
      <c r="BK1248" s="1"/>
      <c r="BL1248" s="1"/>
      <c r="BM1248" s="1"/>
      <c r="BN1248" s="1"/>
      <c r="BO1248" s="1"/>
      <c r="BP1248" s="1"/>
      <c r="BQ1248" s="1"/>
      <c r="BR1248" s="1"/>
      <c r="BS1248" s="1"/>
      <c r="BT1248" s="1"/>
      <c r="BU1248" s="1"/>
      <c r="BV1248" s="1"/>
      <c r="BW1248" s="1"/>
      <c r="BX1248" s="1"/>
      <c r="BY1248" s="1"/>
      <c r="BZ1248" s="1"/>
      <c r="CA1248" s="1"/>
      <c r="CB1248" s="1"/>
      <c r="CC1248" s="1"/>
      <c r="CD1248" s="1"/>
      <c r="CE1248" s="1"/>
      <c r="CF1248" s="1"/>
      <c r="CG1248" s="1"/>
      <c r="CH1248" s="1"/>
      <c r="CI1248" s="1"/>
      <c r="CJ1248" s="1"/>
      <c r="CK1248" s="1"/>
      <c r="CL1248" s="1"/>
      <c r="CM1248" s="1"/>
      <c r="CN1248" s="1"/>
      <c r="CO1248" s="1"/>
      <c r="CP1248" s="1"/>
      <c r="CQ1248" s="1"/>
      <c r="CR1248" s="1"/>
      <c r="CS1248" s="1"/>
      <c r="CT1248" s="1"/>
      <c r="CU1248" s="1"/>
      <c r="CV1248" s="1"/>
      <c r="CW1248" s="1"/>
      <c r="CX1248" s="1"/>
      <c r="CY1248" s="1"/>
      <c r="CZ1248" s="1"/>
      <c r="DA1248" s="1"/>
      <c r="DB1248" s="1"/>
      <c r="DC1248" s="1"/>
    </row>
    <row r="1249" spans="1:107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  <c r="BI1249" s="1"/>
      <c r="BJ1249" s="1"/>
      <c r="BK1249" s="1"/>
      <c r="BL1249" s="1"/>
      <c r="BM1249" s="1"/>
      <c r="BN1249" s="1"/>
      <c r="BO1249" s="1"/>
      <c r="BP1249" s="1"/>
      <c r="BQ1249" s="1"/>
      <c r="BR1249" s="1"/>
      <c r="BS1249" s="1"/>
      <c r="BT1249" s="1"/>
      <c r="BU1249" s="1"/>
      <c r="BV1249" s="1"/>
      <c r="BW1249" s="1"/>
      <c r="BX1249" s="1"/>
      <c r="BY1249" s="1"/>
      <c r="BZ1249" s="1"/>
      <c r="CA1249" s="1"/>
      <c r="CB1249" s="1"/>
      <c r="CC1249" s="1"/>
      <c r="CD1249" s="1"/>
      <c r="CE1249" s="1"/>
      <c r="CF1249" s="1"/>
      <c r="CG1249" s="1"/>
      <c r="CH1249" s="1"/>
      <c r="CI1249" s="1"/>
      <c r="CJ1249" s="1"/>
      <c r="CK1249" s="1"/>
      <c r="CL1249" s="1"/>
      <c r="CM1249" s="1"/>
      <c r="CN1249" s="1"/>
      <c r="CO1249" s="1"/>
      <c r="CP1249" s="1"/>
      <c r="CQ1249" s="1"/>
      <c r="CR1249" s="1"/>
      <c r="CS1249" s="1"/>
      <c r="CT1249" s="1"/>
      <c r="CU1249" s="1"/>
      <c r="CV1249" s="1"/>
      <c r="CW1249" s="1"/>
      <c r="CX1249" s="1"/>
      <c r="CY1249" s="1"/>
      <c r="CZ1249" s="1"/>
      <c r="DA1249" s="1"/>
      <c r="DB1249" s="1"/>
      <c r="DC1249" s="1"/>
    </row>
    <row r="1250" spans="1:107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  <c r="BI1250" s="1"/>
      <c r="BJ1250" s="1"/>
      <c r="BK1250" s="1"/>
      <c r="BL1250" s="1"/>
      <c r="BM1250" s="1"/>
      <c r="BN1250" s="1"/>
      <c r="BO1250" s="1"/>
      <c r="BP1250" s="1"/>
      <c r="BQ1250" s="1"/>
      <c r="BR1250" s="1"/>
      <c r="BS1250" s="1"/>
      <c r="BT1250" s="1"/>
      <c r="BU1250" s="1"/>
      <c r="BV1250" s="1"/>
      <c r="BW1250" s="1"/>
      <c r="BX1250" s="1"/>
      <c r="BY1250" s="1"/>
      <c r="BZ1250" s="1"/>
      <c r="CA1250" s="1"/>
      <c r="CB1250" s="1"/>
      <c r="CC1250" s="1"/>
      <c r="CD1250" s="1"/>
      <c r="CE1250" s="1"/>
      <c r="CF1250" s="1"/>
      <c r="CG1250" s="1"/>
      <c r="CH1250" s="1"/>
      <c r="CI1250" s="1"/>
      <c r="CJ1250" s="1"/>
      <c r="CK1250" s="1"/>
      <c r="CL1250" s="1"/>
      <c r="CM1250" s="1"/>
      <c r="CN1250" s="1"/>
      <c r="CO1250" s="1"/>
      <c r="CP1250" s="1"/>
      <c r="CQ1250" s="1"/>
      <c r="CR1250" s="1"/>
      <c r="CS1250" s="1"/>
      <c r="CT1250" s="1"/>
      <c r="CU1250" s="1"/>
      <c r="CV1250" s="1"/>
      <c r="CW1250" s="1"/>
      <c r="CX1250" s="1"/>
      <c r="CY1250" s="1"/>
      <c r="CZ1250" s="1"/>
      <c r="DA1250" s="1"/>
      <c r="DB1250" s="1"/>
      <c r="DC1250" s="1"/>
    </row>
    <row r="1251" spans="1:107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1"/>
      <c r="BJ1251" s="1"/>
      <c r="BK1251" s="1"/>
      <c r="BL1251" s="1"/>
      <c r="BM1251" s="1"/>
      <c r="BN1251" s="1"/>
      <c r="BO1251" s="1"/>
      <c r="BP1251" s="1"/>
      <c r="BQ1251" s="1"/>
      <c r="BR1251" s="1"/>
      <c r="BS1251" s="1"/>
      <c r="BT1251" s="1"/>
      <c r="BU1251" s="1"/>
      <c r="BV1251" s="1"/>
      <c r="BW1251" s="1"/>
      <c r="BX1251" s="1"/>
      <c r="BY1251" s="1"/>
      <c r="BZ1251" s="1"/>
      <c r="CA1251" s="1"/>
      <c r="CB1251" s="1"/>
      <c r="CC1251" s="1"/>
      <c r="CD1251" s="1"/>
      <c r="CE1251" s="1"/>
      <c r="CF1251" s="1"/>
      <c r="CG1251" s="1"/>
      <c r="CH1251" s="1"/>
      <c r="CI1251" s="1"/>
      <c r="CJ1251" s="1"/>
      <c r="CK1251" s="1"/>
      <c r="CL1251" s="1"/>
      <c r="CM1251" s="1"/>
      <c r="CN1251" s="1"/>
      <c r="CO1251" s="1"/>
      <c r="CP1251" s="1"/>
      <c r="CQ1251" s="1"/>
      <c r="CR1251" s="1"/>
      <c r="CS1251" s="1"/>
      <c r="CT1251" s="1"/>
      <c r="CU1251" s="1"/>
      <c r="CV1251" s="1"/>
      <c r="CW1251" s="1"/>
      <c r="CX1251" s="1"/>
      <c r="CY1251" s="1"/>
      <c r="CZ1251" s="1"/>
      <c r="DA1251" s="1"/>
      <c r="DB1251" s="1"/>
      <c r="DC1251" s="1"/>
    </row>
    <row r="1252" spans="1:107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  <c r="BI1252" s="1"/>
      <c r="BJ1252" s="1"/>
      <c r="BK1252" s="1"/>
      <c r="BL1252" s="1"/>
      <c r="BM1252" s="1"/>
      <c r="BN1252" s="1"/>
      <c r="BO1252" s="1"/>
      <c r="BP1252" s="1"/>
      <c r="BQ1252" s="1"/>
      <c r="BR1252" s="1"/>
      <c r="BS1252" s="1"/>
      <c r="BT1252" s="1"/>
      <c r="BU1252" s="1"/>
      <c r="BV1252" s="1"/>
      <c r="BW1252" s="1"/>
      <c r="BX1252" s="1"/>
      <c r="BY1252" s="1"/>
      <c r="BZ1252" s="1"/>
      <c r="CA1252" s="1"/>
      <c r="CB1252" s="1"/>
      <c r="CC1252" s="1"/>
      <c r="CD1252" s="1"/>
      <c r="CE1252" s="1"/>
      <c r="CF1252" s="1"/>
      <c r="CG1252" s="1"/>
      <c r="CH1252" s="1"/>
      <c r="CI1252" s="1"/>
      <c r="CJ1252" s="1"/>
      <c r="CK1252" s="1"/>
      <c r="CL1252" s="1"/>
      <c r="CM1252" s="1"/>
      <c r="CN1252" s="1"/>
      <c r="CO1252" s="1"/>
      <c r="CP1252" s="1"/>
      <c r="CQ1252" s="1"/>
      <c r="CR1252" s="1"/>
      <c r="CS1252" s="1"/>
      <c r="CT1252" s="1"/>
      <c r="CU1252" s="1"/>
      <c r="CV1252" s="1"/>
      <c r="CW1252" s="1"/>
      <c r="CX1252" s="1"/>
      <c r="CY1252" s="1"/>
      <c r="CZ1252" s="1"/>
      <c r="DA1252" s="1"/>
      <c r="DB1252" s="1"/>
      <c r="DC1252" s="1"/>
    </row>
    <row r="1253" spans="1:107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1"/>
      <c r="BJ1253" s="1"/>
      <c r="BK1253" s="1"/>
      <c r="BL1253" s="1"/>
      <c r="BM1253" s="1"/>
      <c r="BN1253" s="1"/>
      <c r="BO1253" s="1"/>
      <c r="BP1253" s="1"/>
      <c r="BQ1253" s="1"/>
      <c r="BR1253" s="1"/>
      <c r="BS1253" s="1"/>
      <c r="BT1253" s="1"/>
      <c r="BU1253" s="1"/>
      <c r="BV1253" s="1"/>
      <c r="BW1253" s="1"/>
      <c r="BX1253" s="1"/>
      <c r="BY1253" s="1"/>
      <c r="BZ1253" s="1"/>
      <c r="CA1253" s="1"/>
      <c r="CB1253" s="1"/>
      <c r="CC1253" s="1"/>
      <c r="CD1253" s="1"/>
      <c r="CE1253" s="1"/>
      <c r="CF1253" s="1"/>
      <c r="CG1253" s="1"/>
      <c r="CH1253" s="1"/>
      <c r="CI1253" s="1"/>
      <c r="CJ1253" s="1"/>
      <c r="CK1253" s="1"/>
      <c r="CL1253" s="1"/>
      <c r="CM1253" s="1"/>
      <c r="CN1253" s="1"/>
      <c r="CO1253" s="1"/>
      <c r="CP1253" s="1"/>
      <c r="CQ1253" s="1"/>
      <c r="CR1253" s="1"/>
      <c r="CS1253" s="1"/>
      <c r="CT1253" s="1"/>
      <c r="CU1253" s="1"/>
      <c r="CV1253" s="1"/>
      <c r="CW1253" s="1"/>
      <c r="CX1253" s="1"/>
      <c r="CY1253" s="1"/>
      <c r="CZ1253" s="1"/>
      <c r="DA1253" s="1"/>
      <c r="DB1253" s="1"/>
      <c r="DC1253" s="1"/>
    </row>
    <row r="1254" spans="1:107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"/>
      <c r="BL1254" s="1"/>
      <c r="BM1254" s="1"/>
      <c r="BN1254" s="1"/>
      <c r="BO1254" s="1"/>
      <c r="BP1254" s="1"/>
      <c r="BQ1254" s="1"/>
      <c r="BR1254" s="1"/>
      <c r="BS1254" s="1"/>
      <c r="BT1254" s="1"/>
      <c r="BU1254" s="1"/>
      <c r="BV1254" s="1"/>
      <c r="BW1254" s="1"/>
      <c r="BX1254" s="1"/>
      <c r="BY1254" s="1"/>
      <c r="BZ1254" s="1"/>
      <c r="CA1254" s="1"/>
      <c r="CB1254" s="1"/>
      <c r="CC1254" s="1"/>
      <c r="CD1254" s="1"/>
      <c r="CE1254" s="1"/>
      <c r="CF1254" s="1"/>
      <c r="CG1254" s="1"/>
      <c r="CH1254" s="1"/>
      <c r="CI1254" s="1"/>
      <c r="CJ1254" s="1"/>
      <c r="CK1254" s="1"/>
      <c r="CL1254" s="1"/>
      <c r="CM1254" s="1"/>
      <c r="CN1254" s="1"/>
      <c r="CO1254" s="1"/>
      <c r="CP1254" s="1"/>
      <c r="CQ1254" s="1"/>
      <c r="CR1254" s="1"/>
      <c r="CS1254" s="1"/>
      <c r="CT1254" s="1"/>
      <c r="CU1254" s="1"/>
      <c r="CV1254" s="1"/>
      <c r="CW1254" s="1"/>
      <c r="CX1254" s="1"/>
      <c r="CY1254" s="1"/>
      <c r="CZ1254" s="1"/>
      <c r="DA1254" s="1"/>
      <c r="DB1254" s="1"/>
      <c r="DC1254" s="1"/>
    </row>
    <row r="1255" spans="1:107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1"/>
      <c r="BJ1255" s="1"/>
      <c r="BK1255" s="1"/>
      <c r="BL1255" s="1"/>
      <c r="BM1255" s="1"/>
      <c r="BN1255" s="1"/>
      <c r="BO1255" s="1"/>
      <c r="BP1255" s="1"/>
      <c r="BQ1255" s="1"/>
      <c r="BR1255" s="1"/>
      <c r="BS1255" s="1"/>
      <c r="BT1255" s="1"/>
      <c r="BU1255" s="1"/>
      <c r="BV1255" s="1"/>
      <c r="BW1255" s="1"/>
      <c r="BX1255" s="1"/>
      <c r="BY1255" s="1"/>
      <c r="BZ1255" s="1"/>
      <c r="CA1255" s="1"/>
      <c r="CB1255" s="1"/>
      <c r="CC1255" s="1"/>
      <c r="CD1255" s="1"/>
      <c r="CE1255" s="1"/>
      <c r="CF1255" s="1"/>
      <c r="CG1255" s="1"/>
      <c r="CH1255" s="1"/>
      <c r="CI1255" s="1"/>
      <c r="CJ1255" s="1"/>
      <c r="CK1255" s="1"/>
      <c r="CL1255" s="1"/>
      <c r="CM1255" s="1"/>
      <c r="CN1255" s="1"/>
      <c r="CO1255" s="1"/>
      <c r="CP1255" s="1"/>
      <c r="CQ1255" s="1"/>
      <c r="CR1255" s="1"/>
      <c r="CS1255" s="1"/>
      <c r="CT1255" s="1"/>
      <c r="CU1255" s="1"/>
      <c r="CV1255" s="1"/>
      <c r="CW1255" s="1"/>
      <c r="CX1255" s="1"/>
      <c r="CY1255" s="1"/>
      <c r="CZ1255" s="1"/>
      <c r="DA1255" s="1"/>
      <c r="DB1255" s="1"/>
      <c r="DC1255" s="1"/>
    </row>
    <row r="1256" spans="1:107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  <c r="BI1256" s="1"/>
      <c r="BJ1256" s="1"/>
      <c r="BK1256" s="1"/>
      <c r="BL1256" s="1"/>
      <c r="BM1256" s="1"/>
      <c r="BN1256" s="1"/>
      <c r="BO1256" s="1"/>
      <c r="BP1256" s="1"/>
      <c r="BQ1256" s="1"/>
      <c r="BR1256" s="1"/>
      <c r="BS1256" s="1"/>
      <c r="BT1256" s="1"/>
      <c r="BU1256" s="1"/>
      <c r="BV1256" s="1"/>
      <c r="BW1256" s="1"/>
      <c r="BX1256" s="1"/>
      <c r="BY1256" s="1"/>
      <c r="BZ1256" s="1"/>
      <c r="CA1256" s="1"/>
      <c r="CB1256" s="1"/>
      <c r="CC1256" s="1"/>
      <c r="CD1256" s="1"/>
      <c r="CE1256" s="1"/>
      <c r="CF1256" s="1"/>
      <c r="CG1256" s="1"/>
      <c r="CH1256" s="1"/>
      <c r="CI1256" s="1"/>
      <c r="CJ1256" s="1"/>
      <c r="CK1256" s="1"/>
      <c r="CL1256" s="1"/>
      <c r="CM1256" s="1"/>
      <c r="CN1256" s="1"/>
      <c r="CO1256" s="1"/>
      <c r="CP1256" s="1"/>
      <c r="CQ1256" s="1"/>
      <c r="CR1256" s="1"/>
      <c r="CS1256" s="1"/>
      <c r="CT1256" s="1"/>
      <c r="CU1256" s="1"/>
      <c r="CV1256" s="1"/>
      <c r="CW1256" s="1"/>
      <c r="CX1256" s="1"/>
      <c r="CY1256" s="1"/>
      <c r="CZ1256" s="1"/>
      <c r="DA1256" s="1"/>
      <c r="DB1256" s="1"/>
      <c r="DC1256" s="1"/>
    </row>
    <row r="1257" spans="1:107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  <c r="BI1257" s="1"/>
      <c r="BJ1257" s="1"/>
      <c r="BK1257" s="1"/>
      <c r="BL1257" s="1"/>
      <c r="BM1257" s="1"/>
      <c r="BN1257" s="1"/>
      <c r="BO1257" s="1"/>
      <c r="BP1257" s="1"/>
      <c r="BQ1257" s="1"/>
      <c r="BR1257" s="1"/>
      <c r="BS1257" s="1"/>
      <c r="BT1257" s="1"/>
      <c r="BU1257" s="1"/>
      <c r="BV1257" s="1"/>
      <c r="BW1257" s="1"/>
      <c r="BX1257" s="1"/>
      <c r="BY1257" s="1"/>
      <c r="BZ1257" s="1"/>
      <c r="CA1257" s="1"/>
      <c r="CB1257" s="1"/>
      <c r="CC1257" s="1"/>
      <c r="CD1257" s="1"/>
      <c r="CE1257" s="1"/>
      <c r="CF1257" s="1"/>
      <c r="CG1257" s="1"/>
      <c r="CH1257" s="1"/>
      <c r="CI1257" s="1"/>
      <c r="CJ1257" s="1"/>
      <c r="CK1257" s="1"/>
      <c r="CL1257" s="1"/>
      <c r="CM1257" s="1"/>
      <c r="CN1257" s="1"/>
      <c r="CO1257" s="1"/>
      <c r="CP1257" s="1"/>
      <c r="CQ1257" s="1"/>
      <c r="CR1257" s="1"/>
      <c r="CS1257" s="1"/>
      <c r="CT1257" s="1"/>
      <c r="CU1257" s="1"/>
      <c r="CV1257" s="1"/>
      <c r="CW1257" s="1"/>
      <c r="CX1257" s="1"/>
      <c r="CY1257" s="1"/>
      <c r="CZ1257" s="1"/>
      <c r="DA1257" s="1"/>
      <c r="DB1257" s="1"/>
      <c r="DC1257" s="1"/>
    </row>
    <row r="1258" spans="1:107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1"/>
      <c r="BJ1258" s="1"/>
      <c r="BK1258" s="1"/>
      <c r="BL1258" s="1"/>
      <c r="BM1258" s="1"/>
      <c r="BN1258" s="1"/>
      <c r="BO1258" s="1"/>
      <c r="BP1258" s="1"/>
      <c r="BQ1258" s="1"/>
      <c r="BR1258" s="1"/>
      <c r="BS1258" s="1"/>
      <c r="BT1258" s="1"/>
      <c r="BU1258" s="1"/>
      <c r="BV1258" s="1"/>
      <c r="BW1258" s="1"/>
      <c r="BX1258" s="1"/>
      <c r="BY1258" s="1"/>
      <c r="BZ1258" s="1"/>
      <c r="CA1258" s="1"/>
      <c r="CB1258" s="1"/>
      <c r="CC1258" s="1"/>
      <c r="CD1258" s="1"/>
      <c r="CE1258" s="1"/>
      <c r="CF1258" s="1"/>
      <c r="CG1258" s="1"/>
      <c r="CH1258" s="1"/>
      <c r="CI1258" s="1"/>
      <c r="CJ1258" s="1"/>
      <c r="CK1258" s="1"/>
      <c r="CL1258" s="1"/>
      <c r="CM1258" s="1"/>
      <c r="CN1258" s="1"/>
      <c r="CO1258" s="1"/>
      <c r="CP1258" s="1"/>
      <c r="CQ1258" s="1"/>
      <c r="CR1258" s="1"/>
      <c r="CS1258" s="1"/>
      <c r="CT1258" s="1"/>
      <c r="CU1258" s="1"/>
      <c r="CV1258" s="1"/>
      <c r="CW1258" s="1"/>
      <c r="CX1258" s="1"/>
      <c r="CY1258" s="1"/>
      <c r="CZ1258" s="1"/>
      <c r="DA1258" s="1"/>
      <c r="DB1258" s="1"/>
      <c r="DC1258" s="1"/>
    </row>
    <row r="1259" spans="1:107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/>
      <c r="BJ1259" s="1"/>
      <c r="BK1259" s="1"/>
      <c r="BL1259" s="1"/>
      <c r="BM1259" s="1"/>
      <c r="BN1259" s="1"/>
      <c r="BO1259" s="1"/>
      <c r="BP1259" s="1"/>
      <c r="BQ1259" s="1"/>
      <c r="BR1259" s="1"/>
      <c r="BS1259" s="1"/>
      <c r="BT1259" s="1"/>
      <c r="BU1259" s="1"/>
      <c r="BV1259" s="1"/>
      <c r="BW1259" s="1"/>
      <c r="BX1259" s="1"/>
      <c r="BY1259" s="1"/>
      <c r="BZ1259" s="1"/>
      <c r="CA1259" s="1"/>
      <c r="CB1259" s="1"/>
      <c r="CC1259" s="1"/>
      <c r="CD1259" s="1"/>
      <c r="CE1259" s="1"/>
      <c r="CF1259" s="1"/>
      <c r="CG1259" s="1"/>
      <c r="CH1259" s="1"/>
      <c r="CI1259" s="1"/>
      <c r="CJ1259" s="1"/>
      <c r="CK1259" s="1"/>
      <c r="CL1259" s="1"/>
      <c r="CM1259" s="1"/>
      <c r="CN1259" s="1"/>
      <c r="CO1259" s="1"/>
      <c r="CP1259" s="1"/>
      <c r="CQ1259" s="1"/>
      <c r="CR1259" s="1"/>
      <c r="CS1259" s="1"/>
      <c r="CT1259" s="1"/>
      <c r="CU1259" s="1"/>
      <c r="CV1259" s="1"/>
      <c r="CW1259" s="1"/>
      <c r="CX1259" s="1"/>
      <c r="CY1259" s="1"/>
      <c r="CZ1259" s="1"/>
      <c r="DA1259" s="1"/>
      <c r="DB1259" s="1"/>
      <c r="DC1259" s="1"/>
    </row>
    <row r="1260" spans="1:107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  <c r="BI1260" s="1"/>
      <c r="BJ1260" s="1"/>
      <c r="BK1260" s="1"/>
      <c r="BL1260" s="1"/>
      <c r="BM1260" s="1"/>
      <c r="BN1260" s="1"/>
      <c r="BO1260" s="1"/>
      <c r="BP1260" s="1"/>
      <c r="BQ1260" s="1"/>
      <c r="BR1260" s="1"/>
      <c r="BS1260" s="1"/>
      <c r="BT1260" s="1"/>
      <c r="BU1260" s="1"/>
      <c r="BV1260" s="1"/>
      <c r="BW1260" s="1"/>
      <c r="BX1260" s="1"/>
      <c r="BY1260" s="1"/>
      <c r="BZ1260" s="1"/>
      <c r="CA1260" s="1"/>
      <c r="CB1260" s="1"/>
      <c r="CC1260" s="1"/>
      <c r="CD1260" s="1"/>
      <c r="CE1260" s="1"/>
      <c r="CF1260" s="1"/>
      <c r="CG1260" s="1"/>
      <c r="CH1260" s="1"/>
      <c r="CI1260" s="1"/>
      <c r="CJ1260" s="1"/>
      <c r="CK1260" s="1"/>
      <c r="CL1260" s="1"/>
      <c r="CM1260" s="1"/>
      <c r="CN1260" s="1"/>
      <c r="CO1260" s="1"/>
      <c r="CP1260" s="1"/>
      <c r="CQ1260" s="1"/>
      <c r="CR1260" s="1"/>
      <c r="CS1260" s="1"/>
      <c r="CT1260" s="1"/>
      <c r="CU1260" s="1"/>
      <c r="CV1260" s="1"/>
      <c r="CW1260" s="1"/>
      <c r="CX1260" s="1"/>
      <c r="CY1260" s="1"/>
      <c r="CZ1260" s="1"/>
      <c r="DA1260" s="1"/>
      <c r="DB1260" s="1"/>
      <c r="DC1260" s="1"/>
    </row>
    <row r="1261" spans="1:107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1"/>
      <c r="BM1261" s="1"/>
      <c r="BN1261" s="1"/>
      <c r="BO1261" s="1"/>
      <c r="BP1261" s="1"/>
      <c r="BQ1261" s="1"/>
      <c r="BR1261" s="1"/>
      <c r="BS1261" s="1"/>
      <c r="BT1261" s="1"/>
      <c r="BU1261" s="1"/>
      <c r="BV1261" s="1"/>
      <c r="BW1261" s="1"/>
      <c r="BX1261" s="1"/>
      <c r="BY1261" s="1"/>
      <c r="BZ1261" s="1"/>
      <c r="CA1261" s="1"/>
      <c r="CB1261" s="1"/>
      <c r="CC1261" s="1"/>
      <c r="CD1261" s="1"/>
      <c r="CE1261" s="1"/>
      <c r="CF1261" s="1"/>
      <c r="CG1261" s="1"/>
      <c r="CH1261" s="1"/>
      <c r="CI1261" s="1"/>
      <c r="CJ1261" s="1"/>
      <c r="CK1261" s="1"/>
      <c r="CL1261" s="1"/>
      <c r="CM1261" s="1"/>
      <c r="CN1261" s="1"/>
      <c r="CO1261" s="1"/>
      <c r="CP1261" s="1"/>
      <c r="CQ1261" s="1"/>
      <c r="CR1261" s="1"/>
      <c r="CS1261" s="1"/>
      <c r="CT1261" s="1"/>
      <c r="CU1261" s="1"/>
      <c r="CV1261" s="1"/>
      <c r="CW1261" s="1"/>
      <c r="CX1261" s="1"/>
      <c r="CY1261" s="1"/>
      <c r="CZ1261" s="1"/>
      <c r="DA1261" s="1"/>
      <c r="DB1261" s="1"/>
      <c r="DC1261" s="1"/>
    </row>
    <row r="1262" spans="1:107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  <c r="BI1262" s="1"/>
      <c r="BJ1262" s="1"/>
      <c r="BK1262" s="1"/>
      <c r="BL1262" s="1"/>
      <c r="BM1262" s="1"/>
      <c r="BN1262" s="1"/>
      <c r="BO1262" s="1"/>
      <c r="BP1262" s="1"/>
      <c r="BQ1262" s="1"/>
      <c r="BR1262" s="1"/>
      <c r="BS1262" s="1"/>
      <c r="BT1262" s="1"/>
      <c r="BU1262" s="1"/>
      <c r="BV1262" s="1"/>
      <c r="BW1262" s="1"/>
      <c r="BX1262" s="1"/>
      <c r="BY1262" s="1"/>
      <c r="BZ1262" s="1"/>
      <c r="CA1262" s="1"/>
      <c r="CB1262" s="1"/>
      <c r="CC1262" s="1"/>
      <c r="CD1262" s="1"/>
      <c r="CE1262" s="1"/>
      <c r="CF1262" s="1"/>
      <c r="CG1262" s="1"/>
      <c r="CH1262" s="1"/>
      <c r="CI1262" s="1"/>
      <c r="CJ1262" s="1"/>
      <c r="CK1262" s="1"/>
      <c r="CL1262" s="1"/>
      <c r="CM1262" s="1"/>
      <c r="CN1262" s="1"/>
      <c r="CO1262" s="1"/>
      <c r="CP1262" s="1"/>
      <c r="CQ1262" s="1"/>
      <c r="CR1262" s="1"/>
      <c r="CS1262" s="1"/>
      <c r="CT1262" s="1"/>
      <c r="CU1262" s="1"/>
      <c r="CV1262" s="1"/>
      <c r="CW1262" s="1"/>
      <c r="CX1262" s="1"/>
      <c r="CY1262" s="1"/>
      <c r="CZ1262" s="1"/>
      <c r="DA1262" s="1"/>
      <c r="DB1262" s="1"/>
      <c r="DC1262" s="1"/>
    </row>
    <row r="1263" spans="1:107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1"/>
      <c r="BJ1263" s="1"/>
      <c r="BK1263" s="1"/>
      <c r="BL1263" s="1"/>
      <c r="BM1263" s="1"/>
      <c r="BN1263" s="1"/>
      <c r="BO1263" s="1"/>
      <c r="BP1263" s="1"/>
      <c r="BQ1263" s="1"/>
      <c r="BR1263" s="1"/>
      <c r="BS1263" s="1"/>
      <c r="BT1263" s="1"/>
      <c r="BU1263" s="1"/>
      <c r="BV1263" s="1"/>
      <c r="BW1263" s="1"/>
      <c r="BX1263" s="1"/>
      <c r="BY1263" s="1"/>
      <c r="BZ1263" s="1"/>
      <c r="CA1263" s="1"/>
      <c r="CB1263" s="1"/>
      <c r="CC1263" s="1"/>
      <c r="CD1263" s="1"/>
      <c r="CE1263" s="1"/>
      <c r="CF1263" s="1"/>
      <c r="CG1263" s="1"/>
      <c r="CH1263" s="1"/>
      <c r="CI1263" s="1"/>
      <c r="CJ1263" s="1"/>
      <c r="CK1263" s="1"/>
      <c r="CL1263" s="1"/>
      <c r="CM1263" s="1"/>
      <c r="CN1263" s="1"/>
      <c r="CO1263" s="1"/>
      <c r="CP1263" s="1"/>
      <c r="CQ1263" s="1"/>
      <c r="CR1263" s="1"/>
      <c r="CS1263" s="1"/>
      <c r="CT1263" s="1"/>
      <c r="CU1263" s="1"/>
      <c r="CV1263" s="1"/>
      <c r="CW1263" s="1"/>
      <c r="CX1263" s="1"/>
      <c r="CY1263" s="1"/>
      <c r="CZ1263" s="1"/>
      <c r="DA1263" s="1"/>
      <c r="DB1263" s="1"/>
      <c r="DC1263" s="1"/>
    </row>
    <row r="1264" spans="1:107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  <c r="BI1264" s="1"/>
      <c r="BJ1264" s="1"/>
      <c r="BK1264" s="1"/>
      <c r="BL1264" s="1"/>
      <c r="BM1264" s="1"/>
      <c r="BN1264" s="1"/>
      <c r="BO1264" s="1"/>
      <c r="BP1264" s="1"/>
      <c r="BQ1264" s="1"/>
      <c r="BR1264" s="1"/>
      <c r="BS1264" s="1"/>
      <c r="BT1264" s="1"/>
      <c r="BU1264" s="1"/>
      <c r="BV1264" s="1"/>
      <c r="BW1264" s="1"/>
      <c r="BX1264" s="1"/>
      <c r="BY1264" s="1"/>
      <c r="BZ1264" s="1"/>
      <c r="CA1264" s="1"/>
      <c r="CB1264" s="1"/>
      <c r="CC1264" s="1"/>
      <c r="CD1264" s="1"/>
      <c r="CE1264" s="1"/>
      <c r="CF1264" s="1"/>
      <c r="CG1264" s="1"/>
      <c r="CH1264" s="1"/>
      <c r="CI1264" s="1"/>
      <c r="CJ1264" s="1"/>
      <c r="CK1264" s="1"/>
      <c r="CL1264" s="1"/>
      <c r="CM1264" s="1"/>
      <c r="CN1264" s="1"/>
      <c r="CO1264" s="1"/>
      <c r="CP1264" s="1"/>
      <c r="CQ1264" s="1"/>
      <c r="CR1264" s="1"/>
      <c r="CS1264" s="1"/>
      <c r="CT1264" s="1"/>
      <c r="CU1264" s="1"/>
      <c r="CV1264" s="1"/>
      <c r="CW1264" s="1"/>
      <c r="CX1264" s="1"/>
      <c r="CY1264" s="1"/>
      <c r="CZ1264" s="1"/>
      <c r="DA1264" s="1"/>
      <c r="DB1264" s="1"/>
      <c r="DC1264" s="1"/>
    </row>
    <row r="1265" spans="1:107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1"/>
      <c r="BJ1265" s="1"/>
      <c r="BK1265" s="1"/>
      <c r="BL1265" s="1"/>
      <c r="BM1265" s="1"/>
      <c r="BN1265" s="1"/>
      <c r="BO1265" s="1"/>
      <c r="BP1265" s="1"/>
      <c r="BQ1265" s="1"/>
      <c r="BR1265" s="1"/>
      <c r="BS1265" s="1"/>
      <c r="BT1265" s="1"/>
      <c r="BU1265" s="1"/>
      <c r="BV1265" s="1"/>
      <c r="BW1265" s="1"/>
      <c r="BX1265" s="1"/>
      <c r="BY1265" s="1"/>
      <c r="BZ1265" s="1"/>
      <c r="CA1265" s="1"/>
      <c r="CB1265" s="1"/>
      <c r="CC1265" s="1"/>
      <c r="CD1265" s="1"/>
      <c r="CE1265" s="1"/>
      <c r="CF1265" s="1"/>
      <c r="CG1265" s="1"/>
      <c r="CH1265" s="1"/>
      <c r="CI1265" s="1"/>
      <c r="CJ1265" s="1"/>
      <c r="CK1265" s="1"/>
      <c r="CL1265" s="1"/>
      <c r="CM1265" s="1"/>
      <c r="CN1265" s="1"/>
      <c r="CO1265" s="1"/>
      <c r="CP1265" s="1"/>
      <c r="CQ1265" s="1"/>
      <c r="CR1265" s="1"/>
      <c r="CS1265" s="1"/>
      <c r="CT1265" s="1"/>
      <c r="CU1265" s="1"/>
      <c r="CV1265" s="1"/>
      <c r="CW1265" s="1"/>
      <c r="CX1265" s="1"/>
      <c r="CY1265" s="1"/>
      <c r="CZ1265" s="1"/>
      <c r="DA1265" s="1"/>
      <c r="DB1265" s="1"/>
      <c r="DC1265" s="1"/>
    </row>
    <row r="1266" spans="1:107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  <c r="BI1266" s="1"/>
      <c r="BJ1266" s="1"/>
      <c r="BK1266" s="1"/>
      <c r="BL1266" s="1"/>
      <c r="BM1266" s="1"/>
      <c r="BN1266" s="1"/>
      <c r="BO1266" s="1"/>
      <c r="BP1266" s="1"/>
      <c r="BQ1266" s="1"/>
      <c r="BR1266" s="1"/>
      <c r="BS1266" s="1"/>
      <c r="BT1266" s="1"/>
      <c r="BU1266" s="1"/>
      <c r="BV1266" s="1"/>
      <c r="BW1266" s="1"/>
      <c r="BX1266" s="1"/>
      <c r="BY1266" s="1"/>
      <c r="BZ1266" s="1"/>
      <c r="CA1266" s="1"/>
      <c r="CB1266" s="1"/>
      <c r="CC1266" s="1"/>
      <c r="CD1266" s="1"/>
      <c r="CE1266" s="1"/>
      <c r="CF1266" s="1"/>
      <c r="CG1266" s="1"/>
      <c r="CH1266" s="1"/>
      <c r="CI1266" s="1"/>
      <c r="CJ1266" s="1"/>
      <c r="CK1266" s="1"/>
      <c r="CL1266" s="1"/>
      <c r="CM1266" s="1"/>
      <c r="CN1266" s="1"/>
      <c r="CO1266" s="1"/>
      <c r="CP1266" s="1"/>
      <c r="CQ1266" s="1"/>
      <c r="CR1266" s="1"/>
      <c r="CS1266" s="1"/>
      <c r="CT1266" s="1"/>
      <c r="CU1266" s="1"/>
      <c r="CV1266" s="1"/>
      <c r="CW1266" s="1"/>
      <c r="CX1266" s="1"/>
      <c r="CY1266" s="1"/>
      <c r="CZ1266" s="1"/>
      <c r="DA1266" s="1"/>
      <c r="DB1266" s="1"/>
      <c r="DC1266" s="1"/>
    </row>
    <row r="1267" spans="1:107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  <c r="BJ1267" s="1"/>
      <c r="BK1267" s="1"/>
      <c r="BL1267" s="1"/>
      <c r="BM1267" s="1"/>
      <c r="BN1267" s="1"/>
      <c r="BO1267" s="1"/>
      <c r="BP1267" s="1"/>
      <c r="BQ1267" s="1"/>
      <c r="BR1267" s="1"/>
      <c r="BS1267" s="1"/>
      <c r="BT1267" s="1"/>
      <c r="BU1267" s="1"/>
      <c r="BV1267" s="1"/>
      <c r="BW1267" s="1"/>
      <c r="BX1267" s="1"/>
      <c r="BY1267" s="1"/>
      <c r="BZ1267" s="1"/>
      <c r="CA1267" s="1"/>
      <c r="CB1267" s="1"/>
      <c r="CC1267" s="1"/>
      <c r="CD1267" s="1"/>
      <c r="CE1267" s="1"/>
      <c r="CF1267" s="1"/>
      <c r="CG1267" s="1"/>
      <c r="CH1267" s="1"/>
      <c r="CI1267" s="1"/>
      <c r="CJ1267" s="1"/>
      <c r="CK1267" s="1"/>
      <c r="CL1267" s="1"/>
      <c r="CM1267" s="1"/>
      <c r="CN1267" s="1"/>
      <c r="CO1267" s="1"/>
      <c r="CP1267" s="1"/>
      <c r="CQ1267" s="1"/>
      <c r="CR1267" s="1"/>
      <c r="CS1267" s="1"/>
      <c r="CT1267" s="1"/>
      <c r="CU1267" s="1"/>
      <c r="CV1267" s="1"/>
      <c r="CW1267" s="1"/>
      <c r="CX1267" s="1"/>
      <c r="CY1267" s="1"/>
      <c r="CZ1267" s="1"/>
      <c r="DA1267" s="1"/>
      <c r="DB1267" s="1"/>
      <c r="DC1267" s="1"/>
    </row>
    <row r="1268" spans="1:107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  <c r="BM1268" s="1"/>
      <c r="BN1268" s="1"/>
      <c r="BO1268" s="1"/>
      <c r="BP1268" s="1"/>
      <c r="BQ1268" s="1"/>
      <c r="BR1268" s="1"/>
      <c r="BS1268" s="1"/>
      <c r="BT1268" s="1"/>
      <c r="BU1268" s="1"/>
      <c r="BV1268" s="1"/>
      <c r="BW1268" s="1"/>
      <c r="BX1268" s="1"/>
      <c r="BY1268" s="1"/>
      <c r="BZ1268" s="1"/>
      <c r="CA1268" s="1"/>
      <c r="CB1268" s="1"/>
      <c r="CC1268" s="1"/>
      <c r="CD1268" s="1"/>
      <c r="CE1268" s="1"/>
      <c r="CF1268" s="1"/>
      <c r="CG1268" s="1"/>
      <c r="CH1268" s="1"/>
      <c r="CI1268" s="1"/>
      <c r="CJ1268" s="1"/>
      <c r="CK1268" s="1"/>
      <c r="CL1268" s="1"/>
      <c r="CM1268" s="1"/>
      <c r="CN1268" s="1"/>
      <c r="CO1268" s="1"/>
      <c r="CP1268" s="1"/>
      <c r="CQ1268" s="1"/>
      <c r="CR1268" s="1"/>
      <c r="CS1268" s="1"/>
      <c r="CT1268" s="1"/>
      <c r="CU1268" s="1"/>
      <c r="CV1268" s="1"/>
      <c r="CW1268" s="1"/>
      <c r="CX1268" s="1"/>
      <c r="CY1268" s="1"/>
      <c r="CZ1268" s="1"/>
      <c r="DA1268" s="1"/>
      <c r="DB1268" s="1"/>
      <c r="DC1268" s="1"/>
    </row>
    <row r="1269" spans="1:107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1"/>
      <c r="BJ1269" s="1"/>
      <c r="BK1269" s="1"/>
      <c r="BL1269" s="1"/>
      <c r="BM1269" s="1"/>
      <c r="BN1269" s="1"/>
      <c r="BO1269" s="1"/>
      <c r="BP1269" s="1"/>
      <c r="BQ1269" s="1"/>
      <c r="BR1269" s="1"/>
      <c r="BS1269" s="1"/>
      <c r="BT1269" s="1"/>
      <c r="BU1269" s="1"/>
      <c r="BV1269" s="1"/>
      <c r="BW1269" s="1"/>
      <c r="BX1269" s="1"/>
      <c r="BY1269" s="1"/>
      <c r="BZ1269" s="1"/>
      <c r="CA1269" s="1"/>
      <c r="CB1269" s="1"/>
      <c r="CC1269" s="1"/>
      <c r="CD1269" s="1"/>
      <c r="CE1269" s="1"/>
      <c r="CF1269" s="1"/>
      <c r="CG1269" s="1"/>
      <c r="CH1269" s="1"/>
      <c r="CI1269" s="1"/>
      <c r="CJ1269" s="1"/>
      <c r="CK1269" s="1"/>
      <c r="CL1269" s="1"/>
      <c r="CM1269" s="1"/>
      <c r="CN1269" s="1"/>
      <c r="CO1269" s="1"/>
      <c r="CP1269" s="1"/>
      <c r="CQ1269" s="1"/>
      <c r="CR1269" s="1"/>
      <c r="CS1269" s="1"/>
      <c r="CT1269" s="1"/>
      <c r="CU1269" s="1"/>
      <c r="CV1269" s="1"/>
      <c r="CW1269" s="1"/>
      <c r="CX1269" s="1"/>
      <c r="CY1269" s="1"/>
      <c r="CZ1269" s="1"/>
      <c r="DA1269" s="1"/>
      <c r="DB1269" s="1"/>
      <c r="DC1269" s="1"/>
    </row>
    <row r="1270" spans="1:107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  <c r="BI1270" s="1"/>
      <c r="BJ1270" s="1"/>
      <c r="BK1270" s="1"/>
      <c r="BL1270" s="1"/>
      <c r="BM1270" s="1"/>
      <c r="BN1270" s="1"/>
      <c r="BO1270" s="1"/>
      <c r="BP1270" s="1"/>
      <c r="BQ1270" s="1"/>
      <c r="BR1270" s="1"/>
      <c r="BS1270" s="1"/>
      <c r="BT1270" s="1"/>
      <c r="BU1270" s="1"/>
      <c r="BV1270" s="1"/>
      <c r="BW1270" s="1"/>
      <c r="BX1270" s="1"/>
      <c r="BY1270" s="1"/>
      <c r="BZ1270" s="1"/>
      <c r="CA1270" s="1"/>
      <c r="CB1270" s="1"/>
      <c r="CC1270" s="1"/>
      <c r="CD1270" s="1"/>
      <c r="CE1270" s="1"/>
      <c r="CF1270" s="1"/>
      <c r="CG1270" s="1"/>
      <c r="CH1270" s="1"/>
      <c r="CI1270" s="1"/>
      <c r="CJ1270" s="1"/>
      <c r="CK1270" s="1"/>
      <c r="CL1270" s="1"/>
      <c r="CM1270" s="1"/>
      <c r="CN1270" s="1"/>
      <c r="CO1270" s="1"/>
      <c r="CP1270" s="1"/>
      <c r="CQ1270" s="1"/>
      <c r="CR1270" s="1"/>
      <c r="CS1270" s="1"/>
      <c r="CT1270" s="1"/>
      <c r="CU1270" s="1"/>
      <c r="CV1270" s="1"/>
      <c r="CW1270" s="1"/>
      <c r="CX1270" s="1"/>
      <c r="CY1270" s="1"/>
      <c r="CZ1270" s="1"/>
      <c r="DA1270" s="1"/>
      <c r="DB1270" s="1"/>
      <c r="DC1270" s="1"/>
    </row>
    <row r="1271" spans="1:107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  <c r="BJ1271" s="1"/>
      <c r="BK1271" s="1"/>
      <c r="BL1271" s="1"/>
      <c r="BM1271" s="1"/>
      <c r="BN1271" s="1"/>
      <c r="BO1271" s="1"/>
      <c r="BP1271" s="1"/>
      <c r="BQ1271" s="1"/>
      <c r="BR1271" s="1"/>
      <c r="BS1271" s="1"/>
      <c r="BT1271" s="1"/>
      <c r="BU1271" s="1"/>
      <c r="BV1271" s="1"/>
      <c r="BW1271" s="1"/>
      <c r="BX1271" s="1"/>
      <c r="BY1271" s="1"/>
      <c r="BZ1271" s="1"/>
      <c r="CA1271" s="1"/>
      <c r="CB1271" s="1"/>
      <c r="CC1271" s="1"/>
      <c r="CD1271" s="1"/>
      <c r="CE1271" s="1"/>
      <c r="CF1271" s="1"/>
      <c r="CG1271" s="1"/>
      <c r="CH1271" s="1"/>
      <c r="CI1271" s="1"/>
      <c r="CJ1271" s="1"/>
      <c r="CK1271" s="1"/>
      <c r="CL1271" s="1"/>
      <c r="CM1271" s="1"/>
      <c r="CN1271" s="1"/>
      <c r="CO1271" s="1"/>
      <c r="CP1271" s="1"/>
      <c r="CQ1271" s="1"/>
      <c r="CR1271" s="1"/>
      <c r="CS1271" s="1"/>
      <c r="CT1271" s="1"/>
      <c r="CU1271" s="1"/>
      <c r="CV1271" s="1"/>
      <c r="CW1271" s="1"/>
      <c r="CX1271" s="1"/>
      <c r="CY1271" s="1"/>
      <c r="CZ1271" s="1"/>
      <c r="DA1271" s="1"/>
      <c r="DB1271" s="1"/>
      <c r="DC1271" s="1"/>
    </row>
    <row r="1272" spans="1:107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  <c r="BI1272" s="1"/>
      <c r="BJ1272" s="1"/>
      <c r="BK1272" s="1"/>
      <c r="BL1272" s="1"/>
      <c r="BM1272" s="1"/>
      <c r="BN1272" s="1"/>
      <c r="BO1272" s="1"/>
      <c r="BP1272" s="1"/>
      <c r="BQ1272" s="1"/>
      <c r="BR1272" s="1"/>
      <c r="BS1272" s="1"/>
      <c r="BT1272" s="1"/>
      <c r="BU1272" s="1"/>
      <c r="BV1272" s="1"/>
      <c r="BW1272" s="1"/>
      <c r="BX1272" s="1"/>
      <c r="BY1272" s="1"/>
      <c r="BZ1272" s="1"/>
      <c r="CA1272" s="1"/>
      <c r="CB1272" s="1"/>
      <c r="CC1272" s="1"/>
      <c r="CD1272" s="1"/>
      <c r="CE1272" s="1"/>
      <c r="CF1272" s="1"/>
      <c r="CG1272" s="1"/>
      <c r="CH1272" s="1"/>
      <c r="CI1272" s="1"/>
      <c r="CJ1272" s="1"/>
      <c r="CK1272" s="1"/>
      <c r="CL1272" s="1"/>
      <c r="CM1272" s="1"/>
      <c r="CN1272" s="1"/>
      <c r="CO1272" s="1"/>
      <c r="CP1272" s="1"/>
      <c r="CQ1272" s="1"/>
      <c r="CR1272" s="1"/>
      <c r="CS1272" s="1"/>
      <c r="CT1272" s="1"/>
      <c r="CU1272" s="1"/>
      <c r="CV1272" s="1"/>
      <c r="CW1272" s="1"/>
      <c r="CX1272" s="1"/>
      <c r="CY1272" s="1"/>
      <c r="CZ1272" s="1"/>
      <c r="DA1272" s="1"/>
      <c r="DB1272" s="1"/>
      <c r="DC1272" s="1"/>
    </row>
    <row r="1273" spans="1:107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1"/>
      <c r="BG1273" s="1"/>
      <c r="BH1273" s="1"/>
      <c r="BI1273" s="1"/>
      <c r="BJ1273" s="1"/>
      <c r="BK1273" s="1"/>
      <c r="BL1273" s="1"/>
      <c r="BM1273" s="1"/>
      <c r="BN1273" s="1"/>
      <c r="BO1273" s="1"/>
      <c r="BP1273" s="1"/>
      <c r="BQ1273" s="1"/>
      <c r="BR1273" s="1"/>
      <c r="BS1273" s="1"/>
      <c r="BT1273" s="1"/>
      <c r="BU1273" s="1"/>
      <c r="BV1273" s="1"/>
      <c r="BW1273" s="1"/>
      <c r="BX1273" s="1"/>
      <c r="BY1273" s="1"/>
      <c r="BZ1273" s="1"/>
      <c r="CA1273" s="1"/>
      <c r="CB1273" s="1"/>
      <c r="CC1273" s="1"/>
      <c r="CD1273" s="1"/>
      <c r="CE1273" s="1"/>
      <c r="CF1273" s="1"/>
      <c r="CG1273" s="1"/>
      <c r="CH1273" s="1"/>
      <c r="CI1273" s="1"/>
      <c r="CJ1273" s="1"/>
      <c r="CK1273" s="1"/>
      <c r="CL1273" s="1"/>
      <c r="CM1273" s="1"/>
      <c r="CN1273" s="1"/>
      <c r="CO1273" s="1"/>
      <c r="CP1273" s="1"/>
      <c r="CQ1273" s="1"/>
      <c r="CR1273" s="1"/>
      <c r="CS1273" s="1"/>
      <c r="CT1273" s="1"/>
      <c r="CU1273" s="1"/>
      <c r="CV1273" s="1"/>
      <c r="CW1273" s="1"/>
      <c r="CX1273" s="1"/>
      <c r="CY1273" s="1"/>
      <c r="CZ1273" s="1"/>
      <c r="DA1273" s="1"/>
      <c r="DB1273" s="1"/>
      <c r="DC1273" s="1"/>
    </row>
    <row r="1274" spans="1:107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1"/>
      <c r="BJ1274" s="1"/>
      <c r="BK1274" s="1"/>
      <c r="BL1274" s="1"/>
      <c r="BM1274" s="1"/>
      <c r="BN1274" s="1"/>
      <c r="BO1274" s="1"/>
      <c r="BP1274" s="1"/>
      <c r="BQ1274" s="1"/>
      <c r="BR1274" s="1"/>
      <c r="BS1274" s="1"/>
      <c r="BT1274" s="1"/>
      <c r="BU1274" s="1"/>
      <c r="BV1274" s="1"/>
      <c r="BW1274" s="1"/>
      <c r="BX1274" s="1"/>
      <c r="BY1274" s="1"/>
      <c r="BZ1274" s="1"/>
      <c r="CA1274" s="1"/>
      <c r="CB1274" s="1"/>
      <c r="CC1274" s="1"/>
      <c r="CD1274" s="1"/>
      <c r="CE1274" s="1"/>
      <c r="CF1274" s="1"/>
      <c r="CG1274" s="1"/>
      <c r="CH1274" s="1"/>
      <c r="CI1274" s="1"/>
      <c r="CJ1274" s="1"/>
      <c r="CK1274" s="1"/>
      <c r="CL1274" s="1"/>
      <c r="CM1274" s="1"/>
      <c r="CN1274" s="1"/>
      <c r="CO1274" s="1"/>
      <c r="CP1274" s="1"/>
      <c r="CQ1274" s="1"/>
      <c r="CR1274" s="1"/>
      <c r="CS1274" s="1"/>
      <c r="CT1274" s="1"/>
      <c r="CU1274" s="1"/>
      <c r="CV1274" s="1"/>
      <c r="CW1274" s="1"/>
      <c r="CX1274" s="1"/>
      <c r="CY1274" s="1"/>
      <c r="CZ1274" s="1"/>
      <c r="DA1274" s="1"/>
      <c r="DB1274" s="1"/>
      <c r="DC1274" s="1"/>
    </row>
    <row r="1275" spans="1:107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/>
      <c r="BJ1275" s="1"/>
      <c r="BK1275" s="1"/>
      <c r="BL1275" s="1"/>
      <c r="BM1275" s="1"/>
      <c r="BN1275" s="1"/>
      <c r="BO1275" s="1"/>
      <c r="BP1275" s="1"/>
      <c r="BQ1275" s="1"/>
      <c r="BR1275" s="1"/>
      <c r="BS1275" s="1"/>
      <c r="BT1275" s="1"/>
      <c r="BU1275" s="1"/>
      <c r="BV1275" s="1"/>
      <c r="BW1275" s="1"/>
      <c r="BX1275" s="1"/>
      <c r="BY1275" s="1"/>
      <c r="BZ1275" s="1"/>
      <c r="CA1275" s="1"/>
      <c r="CB1275" s="1"/>
      <c r="CC1275" s="1"/>
      <c r="CD1275" s="1"/>
      <c r="CE1275" s="1"/>
      <c r="CF1275" s="1"/>
      <c r="CG1275" s="1"/>
      <c r="CH1275" s="1"/>
      <c r="CI1275" s="1"/>
      <c r="CJ1275" s="1"/>
      <c r="CK1275" s="1"/>
      <c r="CL1275" s="1"/>
      <c r="CM1275" s="1"/>
      <c r="CN1275" s="1"/>
      <c r="CO1275" s="1"/>
      <c r="CP1275" s="1"/>
      <c r="CQ1275" s="1"/>
      <c r="CR1275" s="1"/>
      <c r="CS1275" s="1"/>
      <c r="CT1275" s="1"/>
      <c r="CU1275" s="1"/>
      <c r="CV1275" s="1"/>
      <c r="CW1275" s="1"/>
      <c r="CX1275" s="1"/>
      <c r="CY1275" s="1"/>
      <c r="CZ1275" s="1"/>
      <c r="DA1275" s="1"/>
      <c r="DB1275" s="1"/>
      <c r="DC1275" s="1"/>
    </row>
    <row r="1276" spans="1:107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  <c r="BI1276" s="1"/>
      <c r="BJ1276" s="1"/>
      <c r="BK1276" s="1"/>
      <c r="BL1276" s="1"/>
      <c r="BM1276" s="1"/>
      <c r="BN1276" s="1"/>
      <c r="BO1276" s="1"/>
      <c r="BP1276" s="1"/>
      <c r="BQ1276" s="1"/>
      <c r="BR1276" s="1"/>
      <c r="BS1276" s="1"/>
      <c r="BT1276" s="1"/>
      <c r="BU1276" s="1"/>
      <c r="BV1276" s="1"/>
      <c r="BW1276" s="1"/>
      <c r="BX1276" s="1"/>
      <c r="BY1276" s="1"/>
      <c r="BZ1276" s="1"/>
      <c r="CA1276" s="1"/>
      <c r="CB1276" s="1"/>
      <c r="CC1276" s="1"/>
      <c r="CD1276" s="1"/>
      <c r="CE1276" s="1"/>
      <c r="CF1276" s="1"/>
      <c r="CG1276" s="1"/>
      <c r="CH1276" s="1"/>
      <c r="CI1276" s="1"/>
      <c r="CJ1276" s="1"/>
      <c r="CK1276" s="1"/>
      <c r="CL1276" s="1"/>
      <c r="CM1276" s="1"/>
      <c r="CN1276" s="1"/>
      <c r="CO1276" s="1"/>
      <c r="CP1276" s="1"/>
      <c r="CQ1276" s="1"/>
      <c r="CR1276" s="1"/>
      <c r="CS1276" s="1"/>
      <c r="CT1276" s="1"/>
      <c r="CU1276" s="1"/>
      <c r="CV1276" s="1"/>
      <c r="CW1276" s="1"/>
      <c r="CX1276" s="1"/>
      <c r="CY1276" s="1"/>
      <c r="CZ1276" s="1"/>
      <c r="DA1276" s="1"/>
      <c r="DB1276" s="1"/>
      <c r="DC1276" s="1"/>
    </row>
    <row r="1277" spans="1:107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1"/>
      <c r="BJ1277" s="1"/>
      <c r="BK1277" s="1"/>
      <c r="BL1277" s="1"/>
      <c r="BM1277" s="1"/>
      <c r="BN1277" s="1"/>
      <c r="BO1277" s="1"/>
      <c r="BP1277" s="1"/>
      <c r="BQ1277" s="1"/>
      <c r="BR1277" s="1"/>
      <c r="BS1277" s="1"/>
      <c r="BT1277" s="1"/>
      <c r="BU1277" s="1"/>
      <c r="BV1277" s="1"/>
      <c r="BW1277" s="1"/>
      <c r="BX1277" s="1"/>
      <c r="BY1277" s="1"/>
      <c r="BZ1277" s="1"/>
      <c r="CA1277" s="1"/>
      <c r="CB1277" s="1"/>
      <c r="CC1277" s="1"/>
      <c r="CD1277" s="1"/>
      <c r="CE1277" s="1"/>
      <c r="CF1277" s="1"/>
      <c r="CG1277" s="1"/>
      <c r="CH1277" s="1"/>
      <c r="CI1277" s="1"/>
      <c r="CJ1277" s="1"/>
      <c r="CK1277" s="1"/>
      <c r="CL1277" s="1"/>
      <c r="CM1277" s="1"/>
      <c r="CN1277" s="1"/>
      <c r="CO1277" s="1"/>
      <c r="CP1277" s="1"/>
      <c r="CQ1277" s="1"/>
      <c r="CR1277" s="1"/>
      <c r="CS1277" s="1"/>
      <c r="CT1277" s="1"/>
      <c r="CU1277" s="1"/>
      <c r="CV1277" s="1"/>
      <c r="CW1277" s="1"/>
      <c r="CX1277" s="1"/>
      <c r="CY1277" s="1"/>
      <c r="CZ1277" s="1"/>
      <c r="DA1277" s="1"/>
      <c r="DB1277" s="1"/>
      <c r="DC1277" s="1"/>
    </row>
    <row r="1278" spans="1:107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1"/>
      <c r="BJ1278" s="1"/>
      <c r="BK1278" s="1"/>
      <c r="BL1278" s="1"/>
      <c r="BM1278" s="1"/>
      <c r="BN1278" s="1"/>
      <c r="BO1278" s="1"/>
      <c r="BP1278" s="1"/>
      <c r="BQ1278" s="1"/>
      <c r="BR1278" s="1"/>
      <c r="BS1278" s="1"/>
      <c r="BT1278" s="1"/>
      <c r="BU1278" s="1"/>
      <c r="BV1278" s="1"/>
      <c r="BW1278" s="1"/>
      <c r="BX1278" s="1"/>
      <c r="BY1278" s="1"/>
      <c r="BZ1278" s="1"/>
      <c r="CA1278" s="1"/>
      <c r="CB1278" s="1"/>
      <c r="CC1278" s="1"/>
      <c r="CD1278" s="1"/>
      <c r="CE1278" s="1"/>
      <c r="CF1278" s="1"/>
      <c r="CG1278" s="1"/>
      <c r="CH1278" s="1"/>
      <c r="CI1278" s="1"/>
      <c r="CJ1278" s="1"/>
      <c r="CK1278" s="1"/>
      <c r="CL1278" s="1"/>
      <c r="CM1278" s="1"/>
      <c r="CN1278" s="1"/>
      <c r="CO1278" s="1"/>
      <c r="CP1278" s="1"/>
      <c r="CQ1278" s="1"/>
      <c r="CR1278" s="1"/>
      <c r="CS1278" s="1"/>
      <c r="CT1278" s="1"/>
      <c r="CU1278" s="1"/>
      <c r="CV1278" s="1"/>
      <c r="CW1278" s="1"/>
      <c r="CX1278" s="1"/>
      <c r="CY1278" s="1"/>
      <c r="CZ1278" s="1"/>
      <c r="DA1278" s="1"/>
      <c r="DB1278" s="1"/>
      <c r="DC1278" s="1"/>
    </row>
    <row r="1279" spans="1:107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  <c r="BI1279" s="1"/>
      <c r="BJ1279" s="1"/>
      <c r="BK1279" s="1"/>
      <c r="BL1279" s="1"/>
      <c r="BM1279" s="1"/>
      <c r="BN1279" s="1"/>
      <c r="BO1279" s="1"/>
      <c r="BP1279" s="1"/>
      <c r="BQ1279" s="1"/>
      <c r="BR1279" s="1"/>
      <c r="BS1279" s="1"/>
      <c r="BT1279" s="1"/>
      <c r="BU1279" s="1"/>
      <c r="BV1279" s="1"/>
      <c r="BW1279" s="1"/>
      <c r="BX1279" s="1"/>
      <c r="BY1279" s="1"/>
      <c r="BZ1279" s="1"/>
      <c r="CA1279" s="1"/>
      <c r="CB1279" s="1"/>
      <c r="CC1279" s="1"/>
      <c r="CD1279" s="1"/>
      <c r="CE1279" s="1"/>
      <c r="CF1279" s="1"/>
      <c r="CG1279" s="1"/>
      <c r="CH1279" s="1"/>
      <c r="CI1279" s="1"/>
      <c r="CJ1279" s="1"/>
      <c r="CK1279" s="1"/>
      <c r="CL1279" s="1"/>
      <c r="CM1279" s="1"/>
      <c r="CN1279" s="1"/>
      <c r="CO1279" s="1"/>
      <c r="CP1279" s="1"/>
      <c r="CQ1279" s="1"/>
      <c r="CR1279" s="1"/>
      <c r="CS1279" s="1"/>
      <c r="CT1279" s="1"/>
      <c r="CU1279" s="1"/>
      <c r="CV1279" s="1"/>
      <c r="CW1279" s="1"/>
      <c r="CX1279" s="1"/>
      <c r="CY1279" s="1"/>
      <c r="CZ1279" s="1"/>
      <c r="DA1279" s="1"/>
      <c r="DB1279" s="1"/>
      <c r="DC1279" s="1"/>
    </row>
    <row r="1280" spans="1:107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  <c r="BI1280" s="1"/>
      <c r="BJ1280" s="1"/>
      <c r="BK1280" s="1"/>
      <c r="BL1280" s="1"/>
      <c r="BM1280" s="1"/>
      <c r="BN1280" s="1"/>
      <c r="BO1280" s="1"/>
      <c r="BP1280" s="1"/>
      <c r="BQ1280" s="1"/>
      <c r="BR1280" s="1"/>
      <c r="BS1280" s="1"/>
      <c r="BT1280" s="1"/>
      <c r="BU1280" s="1"/>
      <c r="BV1280" s="1"/>
      <c r="BW1280" s="1"/>
      <c r="BX1280" s="1"/>
      <c r="BY1280" s="1"/>
      <c r="BZ1280" s="1"/>
      <c r="CA1280" s="1"/>
      <c r="CB1280" s="1"/>
      <c r="CC1280" s="1"/>
      <c r="CD1280" s="1"/>
      <c r="CE1280" s="1"/>
      <c r="CF1280" s="1"/>
      <c r="CG1280" s="1"/>
      <c r="CH1280" s="1"/>
      <c r="CI1280" s="1"/>
      <c r="CJ1280" s="1"/>
      <c r="CK1280" s="1"/>
      <c r="CL1280" s="1"/>
      <c r="CM1280" s="1"/>
      <c r="CN1280" s="1"/>
      <c r="CO1280" s="1"/>
      <c r="CP1280" s="1"/>
      <c r="CQ1280" s="1"/>
      <c r="CR1280" s="1"/>
      <c r="CS1280" s="1"/>
      <c r="CT1280" s="1"/>
      <c r="CU1280" s="1"/>
      <c r="CV1280" s="1"/>
      <c r="CW1280" s="1"/>
      <c r="CX1280" s="1"/>
      <c r="CY1280" s="1"/>
      <c r="CZ1280" s="1"/>
      <c r="DA1280" s="1"/>
      <c r="DB1280" s="1"/>
      <c r="DC1280" s="1"/>
    </row>
    <row r="1281" spans="1:107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1"/>
      <c r="BJ1281" s="1"/>
      <c r="BK1281" s="1"/>
      <c r="BL1281" s="1"/>
      <c r="BM1281" s="1"/>
      <c r="BN1281" s="1"/>
      <c r="BO1281" s="1"/>
      <c r="BP1281" s="1"/>
      <c r="BQ1281" s="1"/>
      <c r="BR1281" s="1"/>
      <c r="BS1281" s="1"/>
      <c r="BT1281" s="1"/>
      <c r="BU1281" s="1"/>
      <c r="BV1281" s="1"/>
      <c r="BW1281" s="1"/>
      <c r="BX1281" s="1"/>
      <c r="BY1281" s="1"/>
      <c r="BZ1281" s="1"/>
      <c r="CA1281" s="1"/>
      <c r="CB1281" s="1"/>
      <c r="CC1281" s="1"/>
      <c r="CD1281" s="1"/>
      <c r="CE1281" s="1"/>
      <c r="CF1281" s="1"/>
      <c r="CG1281" s="1"/>
      <c r="CH1281" s="1"/>
      <c r="CI1281" s="1"/>
      <c r="CJ1281" s="1"/>
      <c r="CK1281" s="1"/>
      <c r="CL1281" s="1"/>
      <c r="CM1281" s="1"/>
      <c r="CN1281" s="1"/>
      <c r="CO1281" s="1"/>
      <c r="CP1281" s="1"/>
      <c r="CQ1281" s="1"/>
      <c r="CR1281" s="1"/>
      <c r="CS1281" s="1"/>
      <c r="CT1281" s="1"/>
      <c r="CU1281" s="1"/>
      <c r="CV1281" s="1"/>
      <c r="CW1281" s="1"/>
      <c r="CX1281" s="1"/>
      <c r="CY1281" s="1"/>
      <c r="CZ1281" s="1"/>
      <c r="DA1281" s="1"/>
      <c r="DB1281" s="1"/>
      <c r="DC1281" s="1"/>
    </row>
    <row r="1282" spans="1:107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  <c r="BI1282" s="1"/>
      <c r="BJ1282" s="1"/>
      <c r="BK1282" s="1"/>
      <c r="BL1282" s="1"/>
      <c r="BM1282" s="1"/>
      <c r="BN1282" s="1"/>
      <c r="BO1282" s="1"/>
      <c r="BP1282" s="1"/>
      <c r="BQ1282" s="1"/>
      <c r="BR1282" s="1"/>
      <c r="BS1282" s="1"/>
      <c r="BT1282" s="1"/>
      <c r="BU1282" s="1"/>
      <c r="BV1282" s="1"/>
      <c r="BW1282" s="1"/>
      <c r="BX1282" s="1"/>
      <c r="BY1282" s="1"/>
      <c r="BZ1282" s="1"/>
      <c r="CA1282" s="1"/>
      <c r="CB1282" s="1"/>
      <c r="CC1282" s="1"/>
      <c r="CD1282" s="1"/>
      <c r="CE1282" s="1"/>
      <c r="CF1282" s="1"/>
      <c r="CG1282" s="1"/>
      <c r="CH1282" s="1"/>
      <c r="CI1282" s="1"/>
      <c r="CJ1282" s="1"/>
      <c r="CK1282" s="1"/>
      <c r="CL1282" s="1"/>
      <c r="CM1282" s="1"/>
      <c r="CN1282" s="1"/>
      <c r="CO1282" s="1"/>
      <c r="CP1282" s="1"/>
      <c r="CQ1282" s="1"/>
      <c r="CR1282" s="1"/>
      <c r="CS1282" s="1"/>
      <c r="CT1282" s="1"/>
      <c r="CU1282" s="1"/>
      <c r="CV1282" s="1"/>
      <c r="CW1282" s="1"/>
      <c r="CX1282" s="1"/>
      <c r="CY1282" s="1"/>
      <c r="CZ1282" s="1"/>
      <c r="DA1282" s="1"/>
      <c r="DB1282" s="1"/>
      <c r="DC1282" s="1"/>
    </row>
    <row r="1283" spans="1:107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  <c r="BI1283" s="1"/>
      <c r="BJ1283" s="1"/>
      <c r="BK1283" s="1"/>
      <c r="BL1283" s="1"/>
      <c r="BM1283" s="1"/>
      <c r="BN1283" s="1"/>
      <c r="BO1283" s="1"/>
      <c r="BP1283" s="1"/>
      <c r="BQ1283" s="1"/>
      <c r="BR1283" s="1"/>
      <c r="BS1283" s="1"/>
      <c r="BT1283" s="1"/>
      <c r="BU1283" s="1"/>
      <c r="BV1283" s="1"/>
      <c r="BW1283" s="1"/>
      <c r="BX1283" s="1"/>
      <c r="BY1283" s="1"/>
      <c r="BZ1283" s="1"/>
      <c r="CA1283" s="1"/>
      <c r="CB1283" s="1"/>
      <c r="CC1283" s="1"/>
      <c r="CD1283" s="1"/>
      <c r="CE1283" s="1"/>
      <c r="CF1283" s="1"/>
      <c r="CG1283" s="1"/>
      <c r="CH1283" s="1"/>
      <c r="CI1283" s="1"/>
      <c r="CJ1283" s="1"/>
      <c r="CK1283" s="1"/>
      <c r="CL1283" s="1"/>
      <c r="CM1283" s="1"/>
      <c r="CN1283" s="1"/>
      <c r="CO1283" s="1"/>
      <c r="CP1283" s="1"/>
      <c r="CQ1283" s="1"/>
      <c r="CR1283" s="1"/>
      <c r="CS1283" s="1"/>
      <c r="CT1283" s="1"/>
      <c r="CU1283" s="1"/>
      <c r="CV1283" s="1"/>
      <c r="CW1283" s="1"/>
      <c r="CX1283" s="1"/>
      <c r="CY1283" s="1"/>
      <c r="CZ1283" s="1"/>
      <c r="DA1283" s="1"/>
      <c r="DB1283" s="1"/>
      <c r="DC1283" s="1"/>
    </row>
    <row r="1284" spans="1:107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  <c r="BI1284" s="1"/>
      <c r="BJ1284" s="1"/>
      <c r="BK1284" s="1"/>
      <c r="BL1284" s="1"/>
      <c r="BM1284" s="1"/>
      <c r="BN1284" s="1"/>
      <c r="BO1284" s="1"/>
      <c r="BP1284" s="1"/>
      <c r="BQ1284" s="1"/>
      <c r="BR1284" s="1"/>
      <c r="BS1284" s="1"/>
      <c r="BT1284" s="1"/>
      <c r="BU1284" s="1"/>
      <c r="BV1284" s="1"/>
      <c r="BW1284" s="1"/>
      <c r="BX1284" s="1"/>
      <c r="BY1284" s="1"/>
      <c r="BZ1284" s="1"/>
      <c r="CA1284" s="1"/>
      <c r="CB1284" s="1"/>
      <c r="CC1284" s="1"/>
      <c r="CD1284" s="1"/>
      <c r="CE1284" s="1"/>
      <c r="CF1284" s="1"/>
      <c r="CG1284" s="1"/>
      <c r="CH1284" s="1"/>
      <c r="CI1284" s="1"/>
      <c r="CJ1284" s="1"/>
      <c r="CK1284" s="1"/>
      <c r="CL1284" s="1"/>
      <c r="CM1284" s="1"/>
      <c r="CN1284" s="1"/>
      <c r="CO1284" s="1"/>
      <c r="CP1284" s="1"/>
      <c r="CQ1284" s="1"/>
      <c r="CR1284" s="1"/>
      <c r="CS1284" s="1"/>
      <c r="CT1284" s="1"/>
      <c r="CU1284" s="1"/>
      <c r="CV1284" s="1"/>
      <c r="CW1284" s="1"/>
      <c r="CX1284" s="1"/>
      <c r="CY1284" s="1"/>
      <c r="CZ1284" s="1"/>
      <c r="DA1284" s="1"/>
      <c r="DB1284" s="1"/>
      <c r="DC1284" s="1"/>
    </row>
    <row r="1285" spans="1:107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1"/>
      <c r="BJ1285" s="1"/>
      <c r="BK1285" s="1"/>
      <c r="BL1285" s="1"/>
      <c r="BM1285" s="1"/>
      <c r="BN1285" s="1"/>
      <c r="BO1285" s="1"/>
      <c r="BP1285" s="1"/>
      <c r="BQ1285" s="1"/>
      <c r="BR1285" s="1"/>
      <c r="BS1285" s="1"/>
      <c r="BT1285" s="1"/>
      <c r="BU1285" s="1"/>
      <c r="BV1285" s="1"/>
      <c r="BW1285" s="1"/>
      <c r="BX1285" s="1"/>
      <c r="BY1285" s="1"/>
      <c r="BZ1285" s="1"/>
      <c r="CA1285" s="1"/>
      <c r="CB1285" s="1"/>
      <c r="CC1285" s="1"/>
      <c r="CD1285" s="1"/>
      <c r="CE1285" s="1"/>
      <c r="CF1285" s="1"/>
      <c r="CG1285" s="1"/>
      <c r="CH1285" s="1"/>
      <c r="CI1285" s="1"/>
      <c r="CJ1285" s="1"/>
      <c r="CK1285" s="1"/>
      <c r="CL1285" s="1"/>
      <c r="CM1285" s="1"/>
      <c r="CN1285" s="1"/>
      <c r="CO1285" s="1"/>
      <c r="CP1285" s="1"/>
      <c r="CQ1285" s="1"/>
      <c r="CR1285" s="1"/>
      <c r="CS1285" s="1"/>
      <c r="CT1285" s="1"/>
      <c r="CU1285" s="1"/>
      <c r="CV1285" s="1"/>
      <c r="CW1285" s="1"/>
      <c r="CX1285" s="1"/>
      <c r="CY1285" s="1"/>
      <c r="CZ1285" s="1"/>
      <c r="DA1285" s="1"/>
      <c r="DB1285" s="1"/>
      <c r="DC1285" s="1"/>
    </row>
    <row r="1286" spans="1:107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1"/>
      <c r="BJ1286" s="1"/>
      <c r="BK1286" s="1"/>
      <c r="BL1286" s="1"/>
      <c r="BM1286" s="1"/>
      <c r="BN1286" s="1"/>
      <c r="BO1286" s="1"/>
      <c r="BP1286" s="1"/>
      <c r="BQ1286" s="1"/>
      <c r="BR1286" s="1"/>
      <c r="BS1286" s="1"/>
      <c r="BT1286" s="1"/>
      <c r="BU1286" s="1"/>
      <c r="BV1286" s="1"/>
      <c r="BW1286" s="1"/>
      <c r="BX1286" s="1"/>
      <c r="BY1286" s="1"/>
      <c r="BZ1286" s="1"/>
      <c r="CA1286" s="1"/>
      <c r="CB1286" s="1"/>
      <c r="CC1286" s="1"/>
      <c r="CD1286" s="1"/>
      <c r="CE1286" s="1"/>
      <c r="CF1286" s="1"/>
      <c r="CG1286" s="1"/>
      <c r="CH1286" s="1"/>
      <c r="CI1286" s="1"/>
      <c r="CJ1286" s="1"/>
      <c r="CK1286" s="1"/>
      <c r="CL1286" s="1"/>
      <c r="CM1286" s="1"/>
      <c r="CN1286" s="1"/>
      <c r="CO1286" s="1"/>
      <c r="CP1286" s="1"/>
      <c r="CQ1286" s="1"/>
      <c r="CR1286" s="1"/>
      <c r="CS1286" s="1"/>
      <c r="CT1286" s="1"/>
      <c r="CU1286" s="1"/>
      <c r="CV1286" s="1"/>
      <c r="CW1286" s="1"/>
      <c r="CX1286" s="1"/>
      <c r="CY1286" s="1"/>
      <c r="CZ1286" s="1"/>
      <c r="DA1286" s="1"/>
      <c r="DB1286" s="1"/>
      <c r="DC1286" s="1"/>
    </row>
    <row r="1287" spans="1:107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  <c r="BI1287" s="1"/>
      <c r="BJ1287" s="1"/>
      <c r="BK1287" s="1"/>
      <c r="BL1287" s="1"/>
      <c r="BM1287" s="1"/>
      <c r="BN1287" s="1"/>
      <c r="BO1287" s="1"/>
      <c r="BP1287" s="1"/>
      <c r="BQ1287" s="1"/>
      <c r="BR1287" s="1"/>
      <c r="BS1287" s="1"/>
      <c r="BT1287" s="1"/>
      <c r="BU1287" s="1"/>
      <c r="BV1287" s="1"/>
      <c r="BW1287" s="1"/>
      <c r="BX1287" s="1"/>
      <c r="BY1287" s="1"/>
      <c r="BZ1287" s="1"/>
      <c r="CA1287" s="1"/>
      <c r="CB1287" s="1"/>
      <c r="CC1287" s="1"/>
      <c r="CD1287" s="1"/>
      <c r="CE1287" s="1"/>
      <c r="CF1287" s="1"/>
      <c r="CG1287" s="1"/>
      <c r="CH1287" s="1"/>
      <c r="CI1287" s="1"/>
      <c r="CJ1287" s="1"/>
      <c r="CK1287" s="1"/>
      <c r="CL1287" s="1"/>
      <c r="CM1287" s="1"/>
      <c r="CN1287" s="1"/>
      <c r="CO1287" s="1"/>
      <c r="CP1287" s="1"/>
      <c r="CQ1287" s="1"/>
      <c r="CR1287" s="1"/>
      <c r="CS1287" s="1"/>
      <c r="CT1287" s="1"/>
      <c r="CU1287" s="1"/>
      <c r="CV1287" s="1"/>
      <c r="CW1287" s="1"/>
      <c r="CX1287" s="1"/>
      <c r="CY1287" s="1"/>
      <c r="CZ1287" s="1"/>
      <c r="DA1287" s="1"/>
      <c r="DB1287" s="1"/>
      <c r="DC1287" s="1"/>
    </row>
    <row r="1288" spans="1:107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  <c r="BJ1288" s="1"/>
      <c r="BK1288" s="1"/>
      <c r="BL1288" s="1"/>
      <c r="BM1288" s="1"/>
      <c r="BN1288" s="1"/>
      <c r="BO1288" s="1"/>
      <c r="BP1288" s="1"/>
      <c r="BQ1288" s="1"/>
      <c r="BR1288" s="1"/>
      <c r="BS1288" s="1"/>
      <c r="BT1288" s="1"/>
      <c r="BU1288" s="1"/>
      <c r="BV1288" s="1"/>
      <c r="BW1288" s="1"/>
      <c r="BX1288" s="1"/>
      <c r="BY1288" s="1"/>
      <c r="BZ1288" s="1"/>
      <c r="CA1288" s="1"/>
      <c r="CB1288" s="1"/>
      <c r="CC1288" s="1"/>
      <c r="CD1288" s="1"/>
      <c r="CE1288" s="1"/>
      <c r="CF1288" s="1"/>
      <c r="CG1288" s="1"/>
      <c r="CH1288" s="1"/>
      <c r="CI1288" s="1"/>
      <c r="CJ1288" s="1"/>
      <c r="CK1288" s="1"/>
      <c r="CL1288" s="1"/>
      <c r="CM1288" s="1"/>
      <c r="CN1288" s="1"/>
      <c r="CO1288" s="1"/>
      <c r="CP1288" s="1"/>
      <c r="CQ1288" s="1"/>
      <c r="CR1288" s="1"/>
      <c r="CS1288" s="1"/>
      <c r="CT1288" s="1"/>
      <c r="CU1288" s="1"/>
      <c r="CV1288" s="1"/>
      <c r="CW1288" s="1"/>
      <c r="CX1288" s="1"/>
      <c r="CY1288" s="1"/>
      <c r="CZ1288" s="1"/>
      <c r="DA1288" s="1"/>
      <c r="DB1288" s="1"/>
      <c r="DC1288" s="1"/>
    </row>
    <row r="1289" spans="1:107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  <c r="BI1289" s="1"/>
      <c r="BJ1289" s="1"/>
      <c r="BK1289" s="1"/>
      <c r="BL1289" s="1"/>
      <c r="BM1289" s="1"/>
      <c r="BN1289" s="1"/>
      <c r="BO1289" s="1"/>
      <c r="BP1289" s="1"/>
      <c r="BQ1289" s="1"/>
      <c r="BR1289" s="1"/>
      <c r="BS1289" s="1"/>
      <c r="BT1289" s="1"/>
      <c r="BU1289" s="1"/>
      <c r="BV1289" s="1"/>
      <c r="BW1289" s="1"/>
      <c r="BX1289" s="1"/>
      <c r="BY1289" s="1"/>
      <c r="BZ1289" s="1"/>
      <c r="CA1289" s="1"/>
      <c r="CB1289" s="1"/>
      <c r="CC1289" s="1"/>
      <c r="CD1289" s="1"/>
      <c r="CE1289" s="1"/>
      <c r="CF1289" s="1"/>
      <c r="CG1289" s="1"/>
      <c r="CH1289" s="1"/>
      <c r="CI1289" s="1"/>
      <c r="CJ1289" s="1"/>
      <c r="CK1289" s="1"/>
      <c r="CL1289" s="1"/>
      <c r="CM1289" s="1"/>
      <c r="CN1289" s="1"/>
      <c r="CO1289" s="1"/>
      <c r="CP1289" s="1"/>
      <c r="CQ1289" s="1"/>
      <c r="CR1289" s="1"/>
      <c r="CS1289" s="1"/>
      <c r="CT1289" s="1"/>
      <c r="CU1289" s="1"/>
      <c r="CV1289" s="1"/>
      <c r="CW1289" s="1"/>
      <c r="CX1289" s="1"/>
      <c r="CY1289" s="1"/>
      <c r="CZ1289" s="1"/>
      <c r="DA1289" s="1"/>
      <c r="DB1289" s="1"/>
      <c r="DC1289" s="1"/>
    </row>
    <row r="1290" spans="1:107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  <c r="BI1290" s="1"/>
      <c r="BJ1290" s="1"/>
      <c r="BK1290" s="1"/>
      <c r="BL1290" s="1"/>
      <c r="BM1290" s="1"/>
      <c r="BN1290" s="1"/>
      <c r="BO1290" s="1"/>
      <c r="BP1290" s="1"/>
      <c r="BQ1290" s="1"/>
      <c r="BR1290" s="1"/>
      <c r="BS1290" s="1"/>
      <c r="BT1290" s="1"/>
      <c r="BU1290" s="1"/>
      <c r="BV1290" s="1"/>
      <c r="BW1290" s="1"/>
      <c r="BX1290" s="1"/>
      <c r="BY1290" s="1"/>
      <c r="BZ1290" s="1"/>
      <c r="CA1290" s="1"/>
      <c r="CB1290" s="1"/>
      <c r="CC1290" s="1"/>
      <c r="CD1290" s="1"/>
      <c r="CE1290" s="1"/>
      <c r="CF1290" s="1"/>
      <c r="CG1290" s="1"/>
      <c r="CH1290" s="1"/>
      <c r="CI1290" s="1"/>
      <c r="CJ1290" s="1"/>
      <c r="CK1290" s="1"/>
      <c r="CL1290" s="1"/>
      <c r="CM1290" s="1"/>
      <c r="CN1290" s="1"/>
      <c r="CO1290" s="1"/>
      <c r="CP1290" s="1"/>
      <c r="CQ1290" s="1"/>
      <c r="CR1290" s="1"/>
      <c r="CS1290" s="1"/>
      <c r="CT1290" s="1"/>
      <c r="CU1290" s="1"/>
      <c r="CV1290" s="1"/>
      <c r="CW1290" s="1"/>
      <c r="CX1290" s="1"/>
      <c r="CY1290" s="1"/>
      <c r="CZ1290" s="1"/>
      <c r="DA1290" s="1"/>
      <c r="DB1290" s="1"/>
      <c r="DC1290" s="1"/>
    </row>
    <row r="1291" spans="1:107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1"/>
      <c r="BJ1291" s="1"/>
      <c r="BK1291" s="1"/>
      <c r="BL1291" s="1"/>
      <c r="BM1291" s="1"/>
      <c r="BN1291" s="1"/>
      <c r="BO1291" s="1"/>
      <c r="BP1291" s="1"/>
      <c r="BQ1291" s="1"/>
      <c r="BR1291" s="1"/>
      <c r="BS1291" s="1"/>
      <c r="BT1291" s="1"/>
      <c r="BU1291" s="1"/>
      <c r="BV1291" s="1"/>
      <c r="BW1291" s="1"/>
      <c r="BX1291" s="1"/>
      <c r="BY1291" s="1"/>
      <c r="BZ1291" s="1"/>
      <c r="CA1291" s="1"/>
      <c r="CB1291" s="1"/>
      <c r="CC1291" s="1"/>
      <c r="CD1291" s="1"/>
      <c r="CE1291" s="1"/>
      <c r="CF1291" s="1"/>
      <c r="CG1291" s="1"/>
      <c r="CH1291" s="1"/>
      <c r="CI1291" s="1"/>
      <c r="CJ1291" s="1"/>
      <c r="CK1291" s="1"/>
      <c r="CL1291" s="1"/>
      <c r="CM1291" s="1"/>
      <c r="CN1291" s="1"/>
      <c r="CO1291" s="1"/>
      <c r="CP1291" s="1"/>
      <c r="CQ1291" s="1"/>
      <c r="CR1291" s="1"/>
      <c r="CS1291" s="1"/>
      <c r="CT1291" s="1"/>
      <c r="CU1291" s="1"/>
      <c r="CV1291" s="1"/>
      <c r="CW1291" s="1"/>
      <c r="CX1291" s="1"/>
      <c r="CY1291" s="1"/>
      <c r="CZ1291" s="1"/>
      <c r="DA1291" s="1"/>
      <c r="DB1291" s="1"/>
      <c r="DC1291" s="1"/>
    </row>
    <row r="1292" spans="1:107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  <c r="BJ1292" s="1"/>
      <c r="BK1292" s="1"/>
      <c r="BL1292" s="1"/>
      <c r="BM1292" s="1"/>
      <c r="BN1292" s="1"/>
      <c r="BO1292" s="1"/>
      <c r="BP1292" s="1"/>
      <c r="BQ1292" s="1"/>
      <c r="BR1292" s="1"/>
      <c r="BS1292" s="1"/>
      <c r="BT1292" s="1"/>
      <c r="BU1292" s="1"/>
      <c r="BV1292" s="1"/>
      <c r="BW1292" s="1"/>
      <c r="BX1292" s="1"/>
      <c r="BY1292" s="1"/>
      <c r="BZ1292" s="1"/>
      <c r="CA1292" s="1"/>
      <c r="CB1292" s="1"/>
      <c r="CC1292" s="1"/>
      <c r="CD1292" s="1"/>
      <c r="CE1292" s="1"/>
      <c r="CF1292" s="1"/>
      <c r="CG1292" s="1"/>
      <c r="CH1292" s="1"/>
      <c r="CI1292" s="1"/>
      <c r="CJ1292" s="1"/>
      <c r="CK1292" s="1"/>
      <c r="CL1292" s="1"/>
      <c r="CM1292" s="1"/>
      <c r="CN1292" s="1"/>
      <c r="CO1292" s="1"/>
      <c r="CP1292" s="1"/>
      <c r="CQ1292" s="1"/>
      <c r="CR1292" s="1"/>
      <c r="CS1292" s="1"/>
      <c r="CT1292" s="1"/>
      <c r="CU1292" s="1"/>
      <c r="CV1292" s="1"/>
      <c r="CW1292" s="1"/>
      <c r="CX1292" s="1"/>
      <c r="CY1292" s="1"/>
      <c r="CZ1292" s="1"/>
      <c r="DA1292" s="1"/>
      <c r="DB1292" s="1"/>
      <c r="DC1292" s="1"/>
    </row>
    <row r="1293" spans="1:107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/>
      <c r="BJ1293" s="1"/>
      <c r="BK1293" s="1"/>
      <c r="BL1293" s="1"/>
      <c r="BM1293" s="1"/>
      <c r="BN1293" s="1"/>
      <c r="BO1293" s="1"/>
      <c r="BP1293" s="1"/>
      <c r="BQ1293" s="1"/>
      <c r="BR1293" s="1"/>
      <c r="BS1293" s="1"/>
      <c r="BT1293" s="1"/>
      <c r="BU1293" s="1"/>
      <c r="BV1293" s="1"/>
      <c r="BW1293" s="1"/>
      <c r="BX1293" s="1"/>
      <c r="BY1293" s="1"/>
      <c r="BZ1293" s="1"/>
      <c r="CA1293" s="1"/>
      <c r="CB1293" s="1"/>
      <c r="CC1293" s="1"/>
      <c r="CD1293" s="1"/>
      <c r="CE1293" s="1"/>
      <c r="CF1293" s="1"/>
      <c r="CG1293" s="1"/>
      <c r="CH1293" s="1"/>
      <c r="CI1293" s="1"/>
      <c r="CJ1293" s="1"/>
      <c r="CK1293" s="1"/>
      <c r="CL1293" s="1"/>
      <c r="CM1293" s="1"/>
      <c r="CN1293" s="1"/>
      <c r="CO1293" s="1"/>
      <c r="CP1293" s="1"/>
      <c r="CQ1293" s="1"/>
      <c r="CR1293" s="1"/>
      <c r="CS1293" s="1"/>
      <c r="CT1293" s="1"/>
      <c r="CU1293" s="1"/>
      <c r="CV1293" s="1"/>
      <c r="CW1293" s="1"/>
      <c r="CX1293" s="1"/>
      <c r="CY1293" s="1"/>
      <c r="CZ1293" s="1"/>
      <c r="DA1293" s="1"/>
      <c r="DB1293" s="1"/>
      <c r="DC1293" s="1"/>
    </row>
    <row r="1294" spans="1:107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1"/>
      <c r="BJ1294" s="1"/>
      <c r="BK1294" s="1"/>
      <c r="BL1294" s="1"/>
      <c r="BM1294" s="1"/>
      <c r="BN1294" s="1"/>
      <c r="BO1294" s="1"/>
      <c r="BP1294" s="1"/>
      <c r="BQ1294" s="1"/>
      <c r="BR1294" s="1"/>
      <c r="BS1294" s="1"/>
      <c r="BT1294" s="1"/>
      <c r="BU1294" s="1"/>
      <c r="BV1294" s="1"/>
      <c r="BW1294" s="1"/>
      <c r="BX1294" s="1"/>
      <c r="BY1294" s="1"/>
      <c r="BZ1294" s="1"/>
      <c r="CA1294" s="1"/>
      <c r="CB1294" s="1"/>
      <c r="CC1294" s="1"/>
      <c r="CD1294" s="1"/>
      <c r="CE1294" s="1"/>
      <c r="CF1294" s="1"/>
      <c r="CG1294" s="1"/>
      <c r="CH1294" s="1"/>
      <c r="CI1294" s="1"/>
      <c r="CJ1294" s="1"/>
      <c r="CK1294" s="1"/>
      <c r="CL1294" s="1"/>
      <c r="CM1294" s="1"/>
      <c r="CN1294" s="1"/>
      <c r="CO1294" s="1"/>
      <c r="CP1294" s="1"/>
      <c r="CQ1294" s="1"/>
      <c r="CR1294" s="1"/>
      <c r="CS1294" s="1"/>
      <c r="CT1294" s="1"/>
      <c r="CU1294" s="1"/>
      <c r="CV1294" s="1"/>
      <c r="CW1294" s="1"/>
      <c r="CX1294" s="1"/>
      <c r="CY1294" s="1"/>
      <c r="CZ1294" s="1"/>
      <c r="DA1294" s="1"/>
      <c r="DB1294" s="1"/>
      <c r="DC1294" s="1"/>
    </row>
    <row r="1295" spans="1:107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/>
      <c r="BJ1295" s="1"/>
      <c r="BK1295" s="1"/>
      <c r="BL1295" s="1"/>
      <c r="BM1295" s="1"/>
      <c r="BN1295" s="1"/>
      <c r="BO1295" s="1"/>
      <c r="BP1295" s="1"/>
      <c r="BQ1295" s="1"/>
      <c r="BR1295" s="1"/>
      <c r="BS1295" s="1"/>
      <c r="BT1295" s="1"/>
      <c r="BU1295" s="1"/>
      <c r="BV1295" s="1"/>
      <c r="BW1295" s="1"/>
      <c r="BX1295" s="1"/>
      <c r="BY1295" s="1"/>
      <c r="BZ1295" s="1"/>
      <c r="CA1295" s="1"/>
      <c r="CB1295" s="1"/>
      <c r="CC1295" s="1"/>
      <c r="CD1295" s="1"/>
      <c r="CE1295" s="1"/>
      <c r="CF1295" s="1"/>
      <c r="CG1295" s="1"/>
      <c r="CH1295" s="1"/>
      <c r="CI1295" s="1"/>
      <c r="CJ1295" s="1"/>
      <c r="CK1295" s="1"/>
      <c r="CL1295" s="1"/>
      <c r="CM1295" s="1"/>
      <c r="CN1295" s="1"/>
      <c r="CO1295" s="1"/>
      <c r="CP1295" s="1"/>
      <c r="CQ1295" s="1"/>
      <c r="CR1295" s="1"/>
      <c r="CS1295" s="1"/>
      <c r="CT1295" s="1"/>
      <c r="CU1295" s="1"/>
      <c r="CV1295" s="1"/>
      <c r="CW1295" s="1"/>
      <c r="CX1295" s="1"/>
      <c r="CY1295" s="1"/>
      <c r="CZ1295" s="1"/>
      <c r="DA1295" s="1"/>
      <c r="DB1295" s="1"/>
      <c r="DC1295" s="1"/>
    </row>
    <row r="1296" spans="1:107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  <c r="BI1296" s="1"/>
      <c r="BJ1296" s="1"/>
      <c r="BK1296" s="1"/>
      <c r="BL1296" s="1"/>
      <c r="BM1296" s="1"/>
      <c r="BN1296" s="1"/>
      <c r="BO1296" s="1"/>
      <c r="BP1296" s="1"/>
      <c r="BQ1296" s="1"/>
      <c r="BR1296" s="1"/>
      <c r="BS1296" s="1"/>
      <c r="BT1296" s="1"/>
      <c r="BU1296" s="1"/>
      <c r="BV1296" s="1"/>
      <c r="BW1296" s="1"/>
      <c r="BX1296" s="1"/>
      <c r="BY1296" s="1"/>
      <c r="BZ1296" s="1"/>
      <c r="CA1296" s="1"/>
      <c r="CB1296" s="1"/>
      <c r="CC1296" s="1"/>
      <c r="CD1296" s="1"/>
      <c r="CE1296" s="1"/>
      <c r="CF1296" s="1"/>
      <c r="CG1296" s="1"/>
      <c r="CH1296" s="1"/>
      <c r="CI1296" s="1"/>
      <c r="CJ1296" s="1"/>
      <c r="CK1296" s="1"/>
      <c r="CL1296" s="1"/>
      <c r="CM1296" s="1"/>
      <c r="CN1296" s="1"/>
      <c r="CO1296" s="1"/>
      <c r="CP1296" s="1"/>
      <c r="CQ1296" s="1"/>
      <c r="CR1296" s="1"/>
      <c r="CS1296" s="1"/>
      <c r="CT1296" s="1"/>
      <c r="CU1296" s="1"/>
      <c r="CV1296" s="1"/>
      <c r="CW1296" s="1"/>
      <c r="CX1296" s="1"/>
      <c r="CY1296" s="1"/>
      <c r="CZ1296" s="1"/>
      <c r="DA1296" s="1"/>
      <c r="DB1296" s="1"/>
      <c r="DC1296" s="1"/>
    </row>
    <row r="1297" spans="1:107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  <c r="BI1297" s="1"/>
      <c r="BJ1297" s="1"/>
      <c r="BK1297" s="1"/>
      <c r="BL1297" s="1"/>
      <c r="BM1297" s="1"/>
      <c r="BN1297" s="1"/>
      <c r="BO1297" s="1"/>
      <c r="BP1297" s="1"/>
      <c r="BQ1297" s="1"/>
      <c r="BR1297" s="1"/>
      <c r="BS1297" s="1"/>
      <c r="BT1297" s="1"/>
      <c r="BU1297" s="1"/>
      <c r="BV1297" s="1"/>
      <c r="BW1297" s="1"/>
      <c r="BX1297" s="1"/>
      <c r="BY1297" s="1"/>
      <c r="BZ1297" s="1"/>
      <c r="CA1297" s="1"/>
      <c r="CB1297" s="1"/>
      <c r="CC1297" s="1"/>
      <c r="CD1297" s="1"/>
      <c r="CE1297" s="1"/>
      <c r="CF1297" s="1"/>
      <c r="CG1297" s="1"/>
      <c r="CH1297" s="1"/>
      <c r="CI1297" s="1"/>
      <c r="CJ1297" s="1"/>
      <c r="CK1297" s="1"/>
      <c r="CL1297" s="1"/>
      <c r="CM1297" s="1"/>
      <c r="CN1297" s="1"/>
      <c r="CO1297" s="1"/>
      <c r="CP1297" s="1"/>
      <c r="CQ1297" s="1"/>
      <c r="CR1297" s="1"/>
      <c r="CS1297" s="1"/>
      <c r="CT1297" s="1"/>
      <c r="CU1297" s="1"/>
      <c r="CV1297" s="1"/>
      <c r="CW1297" s="1"/>
      <c r="CX1297" s="1"/>
      <c r="CY1297" s="1"/>
      <c r="CZ1297" s="1"/>
      <c r="DA1297" s="1"/>
      <c r="DB1297" s="1"/>
      <c r="DC1297" s="1"/>
    </row>
    <row r="1298" spans="1:107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  <c r="BK1298" s="1"/>
      <c r="BL1298" s="1"/>
      <c r="BM1298" s="1"/>
      <c r="BN1298" s="1"/>
      <c r="BO1298" s="1"/>
      <c r="BP1298" s="1"/>
      <c r="BQ1298" s="1"/>
      <c r="BR1298" s="1"/>
      <c r="BS1298" s="1"/>
      <c r="BT1298" s="1"/>
      <c r="BU1298" s="1"/>
      <c r="BV1298" s="1"/>
      <c r="BW1298" s="1"/>
      <c r="BX1298" s="1"/>
      <c r="BY1298" s="1"/>
      <c r="BZ1298" s="1"/>
      <c r="CA1298" s="1"/>
      <c r="CB1298" s="1"/>
      <c r="CC1298" s="1"/>
      <c r="CD1298" s="1"/>
      <c r="CE1298" s="1"/>
      <c r="CF1298" s="1"/>
      <c r="CG1298" s="1"/>
      <c r="CH1298" s="1"/>
      <c r="CI1298" s="1"/>
      <c r="CJ1298" s="1"/>
      <c r="CK1298" s="1"/>
      <c r="CL1298" s="1"/>
      <c r="CM1298" s="1"/>
      <c r="CN1298" s="1"/>
      <c r="CO1298" s="1"/>
      <c r="CP1298" s="1"/>
      <c r="CQ1298" s="1"/>
      <c r="CR1298" s="1"/>
      <c r="CS1298" s="1"/>
      <c r="CT1298" s="1"/>
      <c r="CU1298" s="1"/>
      <c r="CV1298" s="1"/>
      <c r="CW1298" s="1"/>
      <c r="CX1298" s="1"/>
      <c r="CY1298" s="1"/>
      <c r="CZ1298" s="1"/>
      <c r="DA1298" s="1"/>
      <c r="DB1298" s="1"/>
      <c r="DC1298" s="1"/>
    </row>
    <row r="1299" spans="1:107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  <c r="BI1299" s="1"/>
      <c r="BJ1299" s="1"/>
      <c r="BK1299" s="1"/>
      <c r="BL1299" s="1"/>
      <c r="BM1299" s="1"/>
      <c r="BN1299" s="1"/>
      <c r="BO1299" s="1"/>
      <c r="BP1299" s="1"/>
      <c r="BQ1299" s="1"/>
      <c r="BR1299" s="1"/>
      <c r="BS1299" s="1"/>
      <c r="BT1299" s="1"/>
      <c r="BU1299" s="1"/>
      <c r="BV1299" s="1"/>
      <c r="BW1299" s="1"/>
      <c r="BX1299" s="1"/>
      <c r="BY1299" s="1"/>
      <c r="BZ1299" s="1"/>
      <c r="CA1299" s="1"/>
      <c r="CB1299" s="1"/>
      <c r="CC1299" s="1"/>
      <c r="CD1299" s="1"/>
      <c r="CE1299" s="1"/>
      <c r="CF1299" s="1"/>
      <c r="CG1299" s="1"/>
      <c r="CH1299" s="1"/>
      <c r="CI1299" s="1"/>
      <c r="CJ1299" s="1"/>
      <c r="CK1299" s="1"/>
      <c r="CL1299" s="1"/>
      <c r="CM1299" s="1"/>
      <c r="CN1299" s="1"/>
      <c r="CO1299" s="1"/>
      <c r="CP1299" s="1"/>
      <c r="CQ1299" s="1"/>
      <c r="CR1299" s="1"/>
      <c r="CS1299" s="1"/>
      <c r="CT1299" s="1"/>
      <c r="CU1299" s="1"/>
      <c r="CV1299" s="1"/>
      <c r="CW1299" s="1"/>
      <c r="CX1299" s="1"/>
      <c r="CY1299" s="1"/>
      <c r="CZ1299" s="1"/>
      <c r="DA1299" s="1"/>
      <c r="DB1299" s="1"/>
      <c r="DC1299" s="1"/>
    </row>
    <row r="1300" spans="1:107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  <c r="BI1300" s="1"/>
      <c r="BJ1300" s="1"/>
      <c r="BK1300" s="1"/>
      <c r="BL1300" s="1"/>
      <c r="BM1300" s="1"/>
      <c r="BN1300" s="1"/>
      <c r="BO1300" s="1"/>
      <c r="BP1300" s="1"/>
      <c r="BQ1300" s="1"/>
      <c r="BR1300" s="1"/>
      <c r="BS1300" s="1"/>
      <c r="BT1300" s="1"/>
      <c r="BU1300" s="1"/>
      <c r="BV1300" s="1"/>
      <c r="BW1300" s="1"/>
      <c r="BX1300" s="1"/>
      <c r="BY1300" s="1"/>
      <c r="BZ1300" s="1"/>
      <c r="CA1300" s="1"/>
      <c r="CB1300" s="1"/>
      <c r="CC1300" s="1"/>
      <c r="CD1300" s="1"/>
      <c r="CE1300" s="1"/>
      <c r="CF1300" s="1"/>
      <c r="CG1300" s="1"/>
      <c r="CH1300" s="1"/>
      <c r="CI1300" s="1"/>
      <c r="CJ1300" s="1"/>
      <c r="CK1300" s="1"/>
      <c r="CL1300" s="1"/>
      <c r="CM1300" s="1"/>
      <c r="CN1300" s="1"/>
      <c r="CO1300" s="1"/>
      <c r="CP1300" s="1"/>
      <c r="CQ1300" s="1"/>
      <c r="CR1300" s="1"/>
      <c r="CS1300" s="1"/>
      <c r="CT1300" s="1"/>
      <c r="CU1300" s="1"/>
      <c r="CV1300" s="1"/>
      <c r="CW1300" s="1"/>
      <c r="CX1300" s="1"/>
      <c r="CY1300" s="1"/>
      <c r="CZ1300" s="1"/>
      <c r="DA1300" s="1"/>
      <c r="DB1300" s="1"/>
      <c r="DC1300" s="1"/>
    </row>
    <row r="1301" spans="1:107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/>
      <c r="BJ1301" s="1"/>
      <c r="BK1301" s="1"/>
      <c r="BL1301" s="1"/>
      <c r="BM1301" s="1"/>
      <c r="BN1301" s="1"/>
      <c r="BO1301" s="1"/>
      <c r="BP1301" s="1"/>
      <c r="BQ1301" s="1"/>
      <c r="BR1301" s="1"/>
      <c r="BS1301" s="1"/>
      <c r="BT1301" s="1"/>
      <c r="BU1301" s="1"/>
      <c r="BV1301" s="1"/>
      <c r="BW1301" s="1"/>
      <c r="BX1301" s="1"/>
      <c r="BY1301" s="1"/>
      <c r="BZ1301" s="1"/>
      <c r="CA1301" s="1"/>
      <c r="CB1301" s="1"/>
      <c r="CC1301" s="1"/>
      <c r="CD1301" s="1"/>
      <c r="CE1301" s="1"/>
      <c r="CF1301" s="1"/>
      <c r="CG1301" s="1"/>
      <c r="CH1301" s="1"/>
      <c r="CI1301" s="1"/>
      <c r="CJ1301" s="1"/>
      <c r="CK1301" s="1"/>
      <c r="CL1301" s="1"/>
      <c r="CM1301" s="1"/>
      <c r="CN1301" s="1"/>
      <c r="CO1301" s="1"/>
      <c r="CP1301" s="1"/>
      <c r="CQ1301" s="1"/>
      <c r="CR1301" s="1"/>
      <c r="CS1301" s="1"/>
      <c r="CT1301" s="1"/>
      <c r="CU1301" s="1"/>
      <c r="CV1301" s="1"/>
      <c r="CW1301" s="1"/>
      <c r="CX1301" s="1"/>
      <c r="CY1301" s="1"/>
      <c r="CZ1301" s="1"/>
      <c r="DA1301" s="1"/>
      <c r="DB1301" s="1"/>
      <c r="DC1301" s="1"/>
    </row>
    <row r="1302" spans="1:107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1"/>
      <c r="BJ1302" s="1"/>
      <c r="BK1302" s="1"/>
      <c r="BL1302" s="1"/>
      <c r="BM1302" s="1"/>
      <c r="BN1302" s="1"/>
      <c r="BO1302" s="1"/>
      <c r="BP1302" s="1"/>
      <c r="BQ1302" s="1"/>
      <c r="BR1302" s="1"/>
      <c r="BS1302" s="1"/>
      <c r="BT1302" s="1"/>
      <c r="BU1302" s="1"/>
      <c r="BV1302" s="1"/>
      <c r="BW1302" s="1"/>
      <c r="BX1302" s="1"/>
      <c r="BY1302" s="1"/>
      <c r="BZ1302" s="1"/>
      <c r="CA1302" s="1"/>
      <c r="CB1302" s="1"/>
      <c r="CC1302" s="1"/>
      <c r="CD1302" s="1"/>
      <c r="CE1302" s="1"/>
      <c r="CF1302" s="1"/>
      <c r="CG1302" s="1"/>
      <c r="CH1302" s="1"/>
      <c r="CI1302" s="1"/>
      <c r="CJ1302" s="1"/>
      <c r="CK1302" s="1"/>
      <c r="CL1302" s="1"/>
      <c r="CM1302" s="1"/>
      <c r="CN1302" s="1"/>
      <c r="CO1302" s="1"/>
      <c r="CP1302" s="1"/>
      <c r="CQ1302" s="1"/>
      <c r="CR1302" s="1"/>
      <c r="CS1302" s="1"/>
      <c r="CT1302" s="1"/>
      <c r="CU1302" s="1"/>
      <c r="CV1302" s="1"/>
      <c r="CW1302" s="1"/>
      <c r="CX1302" s="1"/>
      <c r="CY1302" s="1"/>
      <c r="CZ1302" s="1"/>
      <c r="DA1302" s="1"/>
      <c r="DB1302" s="1"/>
      <c r="DC1302" s="1"/>
    </row>
    <row r="1303" spans="1:107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  <c r="BI1303" s="1"/>
      <c r="BJ1303" s="1"/>
      <c r="BK1303" s="1"/>
      <c r="BL1303" s="1"/>
      <c r="BM1303" s="1"/>
      <c r="BN1303" s="1"/>
      <c r="BO1303" s="1"/>
      <c r="BP1303" s="1"/>
      <c r="BQ1303" s="1"/>
      <c r="BR1303" s="1"/>
      <c r="BS1303" s="1"/>
      <c r="BT1303" s="1"/>
      <c r="BU1303" s="1"/>
      <c r="BV1303" s="1"/>
      <c r="BW1303" s="1"/>
      <c r="BX1303" s="1"/>
      <c r="BY1303" s="1"/>
      <c r="BZ1303" s="1"/>
      <c r="CA1303" s="1"/>
      <c r="CB1303" s="1"/>
      <c r="CC1303" s="1"/>
      <c r="CD1303" s="1"/>
      <c r="CE1303" s="1"/>
      <c r="CF1303" s="1"/>
      <c r="CG1303" s="1"/>
      <c r="CH1303" s="1"/>
      <c r="CI1303" s="1"/>
      <c r="CJ1303" s="1"/>
      <c r="CK1303" s="1"/>
      <c r="CL1303" s="1"/>
      <c r="CM1303" s="1"/>
      <c r="CN1303" s="1"/>
      <c r="CO1303" s="1"/>
      <c r="CP1303" s="1"/>
      <c r="CQ1303" s="1"/>
      <c r="CR1303" s="1"/>
      <c r="CS1303" s="1"/>
      <c r="CT1303" s="1"/>
      <c r="CU1303" s="1"/>
      <c r="CV1303" s="1"/>
      <c r="CW1303" s="1"/>
      <c r="CX1303" s="1"/>
      <c r="CY1303" s="1"/>
      <c r="CZ1303" s="1"/>
      <c r="DA1303" s="1"/>
      <c r="DB1303" s="1"/>
      <c r="DC1303" s="1"/>
    </row>
    <row r="1304" spans="1:107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  <c r="BI1304" s="1"/>
      <c r="BJ1304" s="1"/>
      <c r="BK1304" s="1"/>
      <c r="BL1304" s="1"/>
      <c r="BM1304" s="1"/>
      <c r="BN1304" s="1"/>
      <c r="BO1304" s="1"/>
      <c r="BP1304" s="1"/>
      <c r="BQ1304" s="1"/>
      <c r="BR1304" s="1"/>
      <c r="BS1304" s="1"/>
      <c r="BT1304" s="1"/>
      <c r="BU1304" s="1"/>
      <c r="BV1304" s="1"/>
      <c r="BW1304" s="1"/>
      <c r="BX1304" s="1"/>
      <c r="BY1304" s="1"/>
      <c r="BZ1304" s="1"/>
      <c r="CA1304" s="1"/>
      <c r="CB1304" s="1"/>
      <c r="CC1304" s="1"/>
      <c r="CD1304" s="1"/>
      <c r="CE1304" s="1"/>
      <c r="CF1304" s="1"/>
      <c r="CG1304" s="1"/>
      <c r="CH1304" s="1"/>
      <c r="CI1304" s="1"/>
      <c r="CJ1304" s="1"/>
      <c r="CK1304" s="1"/>
      <c r="CL1304" s="1"/>
      <c r="CM1304" s="1"/>
      <c r="CN1304" s="1"/>
      <c r="CO1304" s="1"/>
      <c r="CP1304" s="1"/>
      <c r="CQ1304" s="1"/>
      <c r="CR1304" s="1"/>
      <c r="CS1304" s="1"/>
      <c r="CT1304" s="1"/>
      <c r="CU1304" s="1"/>
      <c r="CV1304" s="1"/>
      <c r="CW1304" s="1"/>
      <c r="CX1304" s="1"/>
      <c r="CY1304" s="1"/>
      <c r="CZ1304" s="1"/>
      <c r="DA1304" s="1"/>
      <c r="DB1304" s="1"/>
      <c r="DC1304" s="1"/>
    </row>
    <row r="1305" spans="1:107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  <c r="BG1305" s="1"/>
      <c r="BH1305" s="1"/>
      <c r="BI1305" s="1"/>
      <c r="BJ1305" s="1"/>
      <c r="BK1305" s="1"/>
      <c r="BL1305" s="1"/>
      <c r="BM1305" s="1"/>
      <c r="BN1305" s="1"/>
      <c r="BO1305" s="1"/>
      <c r="BP1305" s="1"/>
      <c r="BQ1305" s="1"/>
      <c r="BR1305" s="1"/>
      <c r="BS1305" s="1"/>
      <c r="BT1305" s="1"/>
      <c r="BU1305" s="1"/>
      <c r="BV1305" s="1"/>
      <c r="BW1305" s="1"/>
      <c r="BX1305" s="1"/>
      <c r="BY1305" s="1"/>
      <c r="BZ1305" s="1"/>
      <c r="CA1305" s="1"/>
      <c r="CB1305" s="1"/>
      <c r="CC1305" s="1"/>
      <c r="CD1305" s="1"/>
      <c r="CE1305" s="1"/>
      <c r="CF1305" s="1"/>
      <c r="CG1305" s="1"/>
      <c r="CH1305" s="1"/>
      <c r="CI1305" s="1"/>
      <c r="CJ1305" s="1"/>
      <c r="CK1305" s="1"/>
      <c r="CL1305" s="1"/>
      <c r="CM1305" s="1"/>
      <c r="CN1305" s="1"/>
      <c r="CO1305" s="1"/>
      <c r="CP1305" s="1"/>
      <c r="CQ1305" s="1"/>
      <c r="CR1305" s="1"/>
      <c r="CS1305" s="1"/>
      <c r="CT1305" s="1"/>
      <c r="CU1305" s="1"/>
      <c r="CV1305" s="1"/>
      <c r="CW1305" s="1"/>
      <c r="CX1305" s="1"/>
      <c r="CY1305" s="1"/>
      <c r="CZ1305" s="1"/>
      <c r="DA1305" s="1"/>
      <c r="DB1305" s="1"/>
      <c r="DC1305" s="1"/>
    </row>
    <row r="1306" spans="1:107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  <c r="BF1306" s="1"/>
      <c r="BG1306" s="1"/>
      <c r="BH1306" s="1"/>
      <c r="BI1306" s="1"/>
      <c r="BJ1306" s="1"/>
      <c r="BK1306" s="1"/>
      <c r="BL1306" s="1"/>
      <c r="BM1306" s="1"/>
      <c r="BN1306" s="1"/>
      <c r="BO1306" s="1"/>
      <c r="BP1306" s="1"/>
      <c r="BQ1306" s="1"/>
      <c r="BR1306" s="1"/>
      <c r="BS1306" s="1"/>
      <c r="BT1306" s="1"/>
      <c r="BU1306" s="1"/>
      <c r="BV1306" s="1"/>
      <c r="BW1306" s="1"/>
      <c r="BX1306" s="1"/>
      <c r="BY1306" s="1"/>
      <c r="BZ1306" s="1"/>
      <c r="CA1306" s="1"/>
      <c r="CB1306" s="1"/>
      <c r="CC1306" s="1"/>
      <c r="CD1306" s="1"/>
      <c r="CE1306" s="1"/>
      <c r="CF1306" s="1"/>
      <c r="CG1306" s="1"/>
      <c r="CH1306" s="1"/>
      <c r="CI1306" s="1"/>
      <c r="CJ1306" s="1"/>
      <c r="CK1306" s="1"/>
      <c r="CL1306" s="1"/>
      <c r="CM1306" s="1"/>
      <c r="CN1306" s="1"/>
      <c r="CO1306" s="1"/>
      <c r="CP1306" s="1"/>
      <c r="CQ1306" s="1"/>
      <c r="CR1306" s="1"/>
      <c r="CS1306" s="1"/>
      <c r="CT1306" s="1"/>
      <c r="CU1306" s="1"/>
      <c r="CV1306" s="1"/>
      <c r="CW1306" s="1"/>
      <c r="CX1306" s="1"/>
      <c r="CY1306" s="1"/>
      <c r="CZ1306" s="1"/>
      <c r="DA1306" s="1"/>
      <c r="DB1306" s="1"/>
      <c r="DC1306" s="1"/>
    </row>
    <row r="1307" spans="1:107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  <c r="BI1307" s="1"/>
      <c r="BJ1307" s="1"/>
      <c r="BK1307" s="1"/>
      <c r="BL1307" s="1"/>
      <c r="BM1307" s="1"/>
      <c r="BN1307" s="1"/>
      <c r="BO1307" s="1"/>
      <c r="BP1307" s="1"/>
      <c r="BQ1307" s="1"/>
      <c r="BR1307" s="1"/>
      <c r="BS1307" s="1"/>
      <c r="BT1307" s="1"/>
      <c r="BU1307" s="1"/>
      <c r="BV1307" s="1"/>
      <c r="BW1307" s="1"/>
      <c r="BX1307" s="1"/>
      <c r="BY1307" s="1"/>
      <c r="BZ1307" s="1"/>
      <c r="CA1307" s="1"/>
      <c r="CB1307" s="1"/>
      <c r="CC1307" s="1"/>
      <c r="CD1307" s="1"/>
      <c r="CE1307" s="1"/>
      <c r="CF1307" s="1"/>
      <c r="CG1307" s="1"/>
      <c r="CH1307" s="1"/>
      <c r="CI1307" s="1"/>
      <c r="CJ1307" s="1"/>
      <c r="CK1307" s="1"/>
      <c r="CL1307" s="1"/>
      <c r="CM1307" s="1"/>
      <c r="CN1307" s="1"/>
      <c r="CO1307" s="1"/>
      <c r="CP1307" s="1"/>
      <c r="CQ1307" s="1"/>
      <c r="CR1307" s="1"/>
      <c r="CS1307" s="1"/>
      <c r="CT1307" s="1"/>
      <c r="CU1307" s="1"/>
      <c r="CV1307" s="1"/>
      <c r="CW1307" s="1"/>
      <c r="CX1307" s="1"/>
      <c r="CY1307" s="1"/>
      <c r="CZ1307" s="1"/>
      <c r="DA1307" s="1"/>
      <c r="DB1307" s="1"/>
      <c r="DC1307" s="1"/>
    </row>
    <row r="1308" spans="1:107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  <c r="BG1308" s="1"/>
      <c r="BH1308" s="1"/>
      <c r="BI1308" s="1"/>
      <c r="BJ1308" s="1"/>
      <c r="BK1308" s="1"/>
      <c r="BL1308" s="1"/>
      <c r="BM1308" s="1"/>
      <c r="BN1308" s="1"/>
      <c r="BO1308" s="1"/>
      <c r="BP1308" s="1"/>
      <c r="BQ1308" s="1"/>
      <c r="BR1308" s="1"/>
      <c r="BS1308" s="1"/>
      <c r="BT1308" s="1"/>
      <c r="BU1308" s="1"/>
      <c r="BV1308" s="1"/>
      <c r="BW1308" s="1"/>
      <c r="BX1308" s="1"/>
      <c r="BY1308" s="1"/>
      <c r="BZ1308" s="1"/>
      <c r="CA1308" s="1"/>
      <c r="CB1308" s="1"/>
      <c r="CC1308" s="1"/>
      <c r="CD1308" s="1"/>
      <c r="CE1308" s="1"/>
      <c r="CF1308" s="1"/>
      <c r="CG1308" s="1"/>
      <c r="CH1308" s="1"/>
      <c r="CI1308" s="1"/>
      <c r="CJ1308" s="1"/>
      <c r="CK1308" s="1"/>
      <c r="CL1308" s="1"/>
      <c r="CM1308" s="1"/>
      <c r="CN1308" s="1"/>
      <c r="CO1308" s="1"/>
      <c r="CP1308" s="1"/>
      <c r="CQ1308" s="1"/>
      <c r="CR1308" s="1"/>
      <c r="CS1308" s="1"/>
      <c r="CT1308" s="1"/>
      <c r="CU1308" s="1"/>
      <c r="CV1308" s="1"/>
      <c r="CW1308" s="1"/>
      <c r="CX1308" s="1"/>
      <c r="CY1308" s="1"/>
      <c r="CZ1308" s="1"/>
      <c r="DA1308" s="1"/>
      <c r="DB1308" s="1"/>
      <c r="DC1308" s="1"/>
    </row>
    <row r="1309" spans="1:107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  <c r="BI1309" s="1"/>
      <c r="BJ1309" s="1"/>
      <c r="BK1309" s="1"/>
      <c r="BL1309" s="1"/>
      <c r="BM1309" s="1"/>
      <c r="BN1309" s="1"/>
      <c r="BO1309" s="1"/>
      <c r="BP1309" s="1"/>
      <c r="BQ1309" s="1"/>
      <c r="BR1309" s="1"/>
      <c r="BS1309" s="1"/>
      <c r="BT1309" s="1"/>
      <c r="BU1309" s="1"/>
      <c r="BV1309" s="1"/>
      <c r="BW1309" s="1"/>
      <c r="BX1309" s="1"/>
      <c r="BY1309" s="1"/>
      <c r="BZ1309" s="1"/>
      <c r="CA1309" s="1"/>
      <c r="CB1309" s="1"/>
      <c r="CC1309" s="1"/>
      <c r="CD1309" s="1"/>
      <c r="CE1309" s="1"/>
      <c r="CF1309" s="1"/>
      <c r="CG1309" s="1"/>
      <c r="CH1309" s="1"/>
      <c r="CI1309" s="1"/>
      <c r="CJ1309" s="1"/>
      <c r="CK1309" s="1"/>
      <c r="CL1309" s="1"/>
      <c r="CM1309" s="1"/>
      <c r="CN1309" s="1"/>
      <c r="CO1309" s="1"/>
      <c r="CP1309" s="1"/>
      <c r="CQ1309" s="1"/>
      <c r="CR1309" s="1"/>
      <c r="CS1309" s="1"/>
      <c r="CT1309" s="1"/>
      <c r="CU1309" s="1"/>
      <c r="CV1309" s="1"/>
      <c r="CW1309" s="1"/>
      <c r="CX1309" s="1"/>
      <c r="CY1309" s="1"/>
      <c r="CZ1309" s="1"/>
      <c r="DA1309" s="1"/>
      <c r="DB1309" s="1"/>
      <c r="DC1309" s="1"/>
    </row>
    <row r="1310" spans="1:107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  <c r="BI1310" s="1"/>
      <c r="BJ1310" s="1"/>
      <c r="BK1310" s="1"/>
      <c r="BL1310" s="1"/>
      <c r="BM1310" s="1"/>
      <c r="BN1310" s="1"/>
      <c r="BO1310" s="1"/>
      <c r="BP1310" s="1"/>
      <c r="BQ1310" s="1"/>
      <c r="BR1310" s="1"/>
      <c r="BS1310" s="1"/>
      <c r="BT1310" s="1"/>
      <c r="BU1310" s="1"/>
      <c r="BV1310" s="1"/>
      <c r="BW1310" s="1"/>
      <c r="BX1310" s="1"/>
      <c r="BY1310" s="1"/>
      <c r="BZ1310" s="1"/>
      <c r="CA1310" s="1"/>
      <c r="CB1310" s="1"/>
      <c r="CC1310" s="1"/>
      <c r="CD1310" s="1"/>
      <c r="CE1310" s="1"/>
      <c r="CF1310" s="1"/>
      <c r="CG1310" s="1"/>
      <c r="CH1310" s="1"/>
      <c r="CI1310" s="1"/>
      <c r="CJ1310" s="1"/>
      <c r="CK1310" s="1"/>
      <c r="CL1310" s="1"/>
      <c r="CM1310" s="1"/>
      <c r="CN1310" s="1"/>
      <c r="CO1310" s="1"/>
      <c r="CP1310" s="1"/>
      <c r="CQ1310" s="1"/>
      <c r="CR1310" s="1"/>
      <c r="CS1310" s="1"/>
      <c r="CT1310" s="1"/>
      <c r="CU1310" s="1"/>
      <c r="CV1310" s="1"/>
      <c r="CW1310" s="1"/>
      <c r="CX1310" s="1"/>
      <c r="CY1310" s="1"/>
      <c r="CZ1310" s="1"/>
      <c r="DA1310" s="1"/>
      <c r="DB1310" s="1"/>
      <c r="DC1310" s="1"/>
    </row>
    <row r="1311" spans="1:107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  <c r="BF1311" s="1"/>
      <c r="BG1311" s="1"/>
      <c r="BH1311" s="1"/>
      <c r="BI1311" s="1"/>
      <c r="BJ1311" s="1"/>
      <c r="BK1311" s="1"/>
      <c r="BL1311" s="1"/>
      <c r="BM1311" s="1"/>
      <c r="BN1311" s="1"/>
      <c r="BO1311" s="1"/>
      <c r="BP1311" s="1"/>
      <c r="BQ1311" s="1"/>
      <c r="BR1311" s="1"/>
      <c r="BS1311" s="1"/>
      <c r="BT1311" s="1"/>
      <c r="BU1311" s="1"/>
      <c r="BV1311" s="1"/>
      <c r="BW1311" s="1"/>
      <c r="BX1311" s="1"/>
      <c r="BY1311" s="1"/>
      <c r="BZ1311" s="1"/>
      <c r="CA1311" s="1"/>
      <c r="CB1311" s="1"/>
      <c r="CC1311" s="1"/>
      <c r="CD1311" s="1"/>
      <c r="CE1311" s="1"/>
      <c r="CF1311" s="1"/>
      <c r="CG1311" s="1"/>
      <c r="CH1311" s="1"/>
      <c r="CI1311" s="1"/>
      <c r="CJ1311" s="1"/>
      <c r="CK1311" s="1"/>
      <c r="CL1311" s="1"/>
      <c r="CM1311" s="1"/>
      <c r="CN1311" s="1"/>
      <c r="CO1311" s="1"/>
      <c r="CP1311" s="1"/>
      <c r="CQ1311" s="1"/>
      <c r="CR1311" s="1"/>
      <c r="CS1311" s="1"/>
      <c r="CT1311" s="1"/>
      <c r="CU1311" s="1"/>
      <c r="CV1311" s="1"/>
      <c r="CW1311" s="1"/>
      <c r="CX1311" s="1"/>
      <c r="CY1311" s="1"/>
      <c r="CZ1311" s="1"/>
      <c r="DA1311" s="1"/>
      <c r="DB1311" s="1"/>
      <c r="DC1311" s="1"/>
    </row>
    <row r="1312" spans="1:107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  <c r="BE1312" s="1"/>
      <c r="BF1312" s="1"/>
      <c r="BG1312" s="1"/>
      <c r="BH1312" s="1"/>
      <c r="BI1312" s="1"/>
      <c r="BJ1312" s="1"/>
      <c r="BK1312" s="1"/>
      <c r="BL1312" s="1"/>
      <c r="BM1312" s="1"/>
      <c r="BN1312" s="1"/>
      <c r="BO1312" s="1"/>
      <c r="BP1312" s="1"/>
      <c r="BQ1312" s="1"/>
      <c r="BR1312" s="1"/>
      <c r="BS1312" s="1"/>
      <c r="BT1312" s="1"/>
      <c r="BU1312" s="1"/>
      <c r="BV1312" s="1"/>
      <c r="BW1312" s="1"/>
      <c r="BX1312" s="1"/>
      <c r="BY1312" s="1"/>
      <c r="BZ1312" s="1"/>
      <c r="CA1312" s="1"/>
      <c r="CB1312" s="1"/>
      <c r="CC1312" s="1"/>
      <c r="CD1312" s="1"/>
      <c r="CE1312" s="1"/>
      <c r="CF1312" s="1"/>
      <c r="CG1312" s="1"/>
      <c r="CH1312" s="1"/>
      <c r="CI1312" s="1"/>
      <c r="CJ1312" s="1"/>
      <c r="CK1312" s="1"/>
      <c r="CL1312" s="1"/>
      <c r="CM1312" s="1"/>
      <c r="CN1312" s="1"/>
      <c r="CO1312" s="1"/>
      <c r="CP1312" s="1"/>
      <c r="CQ1312" s="1"/>
      <c r="CR1312" s="1"/>
      <c r="CS1312" s="1"/>
      <c r="CT1312" s="1"/>
      <c r="CU1312" s="1"/>
      <c r="CV1312" s="1"/>
      <c r="CW1312" s="1"/>
      <c r="CX1312" s="1"/>
      <c r="CY1312" s="1"/>
      <c r="CZ1312" s="1"/>
      <c r="DA1312" s="1"/>
      <c r="DB1312" s="1"/>
      <c r="DC1312" s="1"/>
    </row>
    <row r="1313" spans="1:107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  <c r="BF1313" s="1"/>
      <c r="BG1313" s="1"/>
      <c r="BH1313" s="1"/>
      <c r="BI1313" s="1"/>
      <c r="BJ1313" s="1"/>
      <c r="BK1313" s="1"/>
      <c r="BL1313" s="1"/>
      <c r="BM1313" s="1"/>
      <c r="BN1313" s="1"/>
      <c r="BO1313" s="1"/>
      <c r="BP1313" s="1"/>
      <c r="BQ1313" s="1"/>
      <c r="BR1313" s="1"/>
      <c r="BS1313" s="1"/>
      <c r="BT1313" s="1"/>
      <c r="BU1313" s="1"/>
      <c r="BV1313" s="1"/>
      <c r="BW1313" s="1"/>
      <c r="BX1313" s="1"/>
      <c r="BY1313" s="1"/>
      <c r="BZ1313" s="1"/>
      <c r="CA1313" s="1"/>
      <c r="CB1313" s="1"/>
      <c r="CC1313" s="1"/>
      <c r="CD1313" s="1"/>
      <c r="CE1313" s="1"/>
      <c r="CF1313" s="1"/>
      <c r="CG1313" s="1"/>
      <c r="CH1313" s="1"/>
      <c r="CI1313" s="1"/>
      <c r="CJ1313" s="1"/>
      <c r="CK1313" s="1"/>
      <c r="CL1313" s="1"/>
      <c r="CM1313" s="1"/>
      <c r="CN1313" s="1"/>
      <c r="CO1313" s="1"/>
      <c r="CP1313" s="1"/>
      <c r="CQ1313" s="1"/>
      <c r="CR1313" s="1"/>
      <c r="CS1313" s="1"/>
      <c r="CT1313" s="1"/>
      <c r="CU1313" s="1"/>
      <c r="CV1313" s="1"/>
      <c r="CW1313" s="1"/>
      <c r="CX1313" s="1"/>
      <c r="CY1313" s="1"/>
      <c r="CZ1313" s="1"/>
      <c r="DA1313" s="1"/>
      <c r="DB1313" s="1"/>
      <c r="DC1313" s="1"/>
    </row>
    <row r="1314" spans="1:107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  <c r="BI1314" s="1"/>
      <c r="BJ1314" s="1"/>
      <c r="BK1314" s="1"/>
      <c r="BL1314" s="1"/>
      <c r="BM1314" s="1"/>
      <c r="BN1314" s="1"/>
      <c r="BO1314" s="1"/>
      <c r="BP1314" s="1"/>
      <c r="BQ1314" s="1"/>
      <c r="BR1314" s="1"/>
      <c r="BS1314" s="1"/>
      <c r="BT1314" s="1"/>
      <c r="BU1314" s="1"/>
      <c r="BV1314" s="1"/>
      <c r="BW1314" s="1"/>
      <c r="BX1314" s="1"/>
      <c r="BY1314" s="1"/>
      <c r="BZ1314" s="1"/>
      <c r="CA1314" s="1"/>
      <c r="CB1314" s="1"/>
      <c r="CC1314" s="1"/>
      <c r="CD1314" s="1"/>
      <c r="CE1314" s="1"/>
      <c r="CF1314" s="1"/>
      <c r="CG1314" s="1"/>
      <c r="CH1314" s="1"/>
      <c r="CI1314" s="1"/>
      <c r="CJ1314" s="1"/>
      <c r="CK1314" s="1"/>
      <c r="CL1314" s="1"/>
      <c r="CM1314" s="1"/>
      <c r="CN1314" s="1"/>
      <c r="CO1314" s="1"/>
      <c r="CP1314" s="1"/>
      <c r="CQ1314" s="1"/>
      <c r="CR1314" s="1"/>
      <c r="CS1314" s="1"/>
      <c r="CT1314" s="1"/>
      <c r="CU1314" s="1"/>
      <c r="CV1314" s="1"/>
      <c r="CW1314" s="1"/>
      <c r="CX1314" s="1"/>
      <c r="CY1314" s="1"/>
      <c r="CZ1314" s="1"/>
      <c r="DA1314" s="1"/>
      <c r="DB1314" s="1"/>
      <c r="DC1314" s="1"/>
    </row>
    <row r="1315" spans="1:107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  <c r="BJ1315" s="1"/>
      <c r="BK1315" s="1"/>
      <c r="BL1315" s="1"/>
      <c r="BM1315" s="1"/>
      <c r="BN1315" s="1"/>
      <c r="BO1315" s="1"/>
      <c r="BP1315" s="1"/>
      <c r="BQ1315" s="1"/>
      <c r="BR1315" s="1"/>
      <c r="BS1315" s="1"/>
      <c r="BT1315" s="1"/>
      <c r="BU1315" s="1"/>
      <c r="BV1315" s="1"/>
      <c r="BW1315" s="1"/>
      <c r="BX1315" s="1"/>
      <c r="BY1315" s="1"/>
      <c r="BZ1315" s="1"/>
      <c r="CA1315" s="1"/>
      <c r="CB1315" s="1"/>
      <c r="CC1315" s="1"/>
      <c r="CD1315" s="1"/>
      <c r="CE1315" s="1"/>
      <c r="CF1315" s="1"/>
      <c r="CG1315" s="1"/>
      <c r="CH1315" s="1"/>
      <c r="CI1315" s="1"/>
      <c r="CJ1315" s="1"/>
      <c r="CK1315" s="1"/>
      <c r="CL1315" s="1"/>
      <c r="CM1315" s="1"/>
      <c r="CN1315" s="1"/>
      <c r="CO1315" s="1"/>
      <c r="CP1315" s="1"/>
      <c r="CQ1315" s="1"/>
      <c r="CR1315" s="1"/>
      <c r="CS1315" s="1"/>
      <c r="CT1315" s="1"/>
      <c r="CU1315" s="1"/>
      <c r="CV1315" s="1"/>
      <c r="CW1315" s="1"/>
      <c r="CX1315" s="1"/>
      <c r="CY1315" s="1"/>
      <c r="CZ1315" s="1"/>
      <c r="DA1315" s="1"/>
      <c r="DB1315" s="1"/>
      <c r="DC1315" s="1"/>
    </row>
    <row r="1316" spans="1:107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  <c r="BF1316" s="1"/>
      <c r="BG1316" s="1"/>
      <c r="BH1316" s="1"/>
      <c r="BI1316" s="1"/>
      <c r="BJ1316" s="1"/>
      <c r="BK1316" s="1"/>
      <c r="BL1316" s="1"/>
      <c r="BM1316" s="1"/>
      <c r="BN1316" s="1"/>
      <c r="BO1316" s="1"/>
      <c r="BP1316" s="1"/>
      <c r="BQ1316" s="1"/>
      <c r="BR1316" s="1"/>
      <c r="BS1316" s="1"/>
      <c r="BT1316" s="1"/>
      <c r="BU1316" s="1"/>
      <c r="BV1316" s="1"/>
      <c r="BW1316" s="1"/>
      <c r="BX1316" s="1"/>
      <c r="BY1316" s="1"/>
      <c r="BZ1316" s="1"/>
      <c r="CA1316" s="1"/>
      <c r="CB1316" s="1"/>
      <c r="CC1316" s="1"/>
      <c r="CD1316" s="1"/>
      <c r="CE1316" s="1"/>
      <c r="CF1316" s="1"/>
      <c r="CG1316" s="1"/>
      <c r="CH1316" s="1"/>
      <c r="CI1316" s="1"/>
      <c r="CJ1316" s="1"/>
      <c r="CK1316" s="1"/>
      <c r="CL1316" s="1"/>
      <c r="CM1316" s="1"/>
      <c r="CN1316" s="1"/>
      <c r="CO1316" s="1"/>
      <c r="CP1316" s="1"/>
      <c r="CQ1316" s="1"/>
      <c r="CR1316" s="1"/>
      <c r="CS1316" s="1"/>
      <c r="CT1316" s="1"/>
      <c r="CU1316" s="1"/>
      <c r="CV1316" s="1"/>
      <c r="CW1316" s="1"/>
      <c r="CX1316" s="1"/>
      <c r="CY1316" s="1"/>
      <c r="CZ1316" s="1"/>
      <c r="DA1316" s="1"/>
      <c r="DB1316" s="1"/>
      <c r="DC1316" s="1"/>
    </row>
    <row r="1317" spans="1:107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 s="1"/>
      <c r="BG1317" s="1"/>
      <c r="BH1317" s="1"/>
      <c r="BI1317" s="1"/>
      <c r="BJ1317" s="1"/>
      <c r="BK1317" s="1"/>
      <c r="BL1317" s="1"/>
      <c r="BM1317" s="1"/>
      <c r="BN1317" s="1"/>
      <c r="BO1317" s="1"/>
      <c r="BP1317" s="1"/>
      <c r="BQ1317" s="1"/>
      <c r="BR1317" s="1"/>
      <c r="BS1317" s="1"/>
      <c r="BT1317" s="1"/>
      <c r="BU1317" s="1"/>
      <c r="BV1317" s="1"/>
      <c r="BW1317" s="1"/>
      <c r="BX1317" s="1"/>
      <c r="BY1317" s="1"/>
      <c r="BZ1317" s="1"/>
      <c r="CA1317" s="1"/>
      <c r="CB1317" s="1"/>
      <c r="CC1317" s="1"/>
      <c r="CD1317" s="1"/>
      <c r="CE1317" s="1"/>
      <c r="CF1317" s="1"/>
      <c r="CG1317" s="1"/>
      <c r="CH1317" s="1"/>
      <c r="CI1317" s="1"/>
      <c r="CJ1317" s="1"/>
      <c r="CK1317" s="1"/>
      <c r="CL1317" s="1"/>
      <c r="CM1317" s="1"/>
      <c r="CN1317" s="1"/>
      <c r="CO1317" s="1"/>
      <c r="CP1317" s="1"/>
      <c r="CQ1317" s="1"/>
      <c r="CR1317" s="1"/>
      <c r="CS1317" s="1"/>
      <c r="CT1317" s="1"/>
      <c r="CU1317" s="1"/>
      <c r="CV1317" s="1"/>
      <c r="CW1317" s="1"/>
      <c r="CX1317" s="1"/>
      <c r="CY1317" s="1"/>
      <c r="CZ1317" s="1"/>
      <c r="DA1317" s="1"/>
      <c r="DB1317" s="1"/>
      <c r="DC1317" s="1"/>
    </row>
    <row r="1318" spans="1:107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  <c r="BI1318" s="1"/>
      <c r="BJ1318" s="1"/>
      <c r="BK1318" s="1"/>
      <c r="BL1318" s="1"/>
      <c r="BM1318" s="1"/>
      <c r="BN1318" s="1"/>
      <c r="BO1318" s="1"/>
      <c r="BP1318" s="1"/>
      <c r="BQ1318" s="1"/>
      <c r="BR1318" s="1"/>
      <c r="BS1318" s="1"/>
      <c r="BT1318" s="1"/>
      <c r="BU1318" s="1"/>
      <c r="BV1318" s="1"/>
      <c r="BW1318" s="1"/>
      <c r="BX1318" s="1"/>
      <c r="BY1318" s="1"/>
      <c r="BZ1318" s="1"/>
      <c r="CA1318" s="1"/>
      <c r="CB1318" s="1"/>
      <c r="CC1318" s="1"/>
      <c r="CD1318" s="1"/>
      <c r="CE1318" s="1"/>
      <c r="CF1318" s="1"/>
      <c r="CG1318" s="1"/>
      <c r="CH1318" s="1"/>
      <c r="CI1318" s="1"/>
      <c r="CJ1318" s="1"/>
      <c r="CK1318" s="1"/>
      <c r="CL1318" s="1"/>
      <c r="CM1318" s="1"/>
      <c r="CN1318" s="1"/>
      <c r="CO1318" s="1"/>
      <c r="CP1318" s="1"/>
      <c r="CQ1318" s="1"/>
      <c r="CR1318" s="1"/>
      <c r="CS1318" s="1"/>
      <c r="CT1318" s="1"/>
      <c r="CU1318" s="1"/>
      <c r="CV1318" s="1"/>
      <c r="CW1318" s="1"/>
      <c r="CX1318" s="1"/>
      <c r="CY1318" s="1"/>
      <c r="CZ1318" s="1"/>
      <c r="DA1318" s="1"/>
      <c r="DB1318" s="1"/>
      <c r="DC1318" s="1"/>
    </row>
    <row r="1319" spans="1:107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  <c r="BF1319" s="1"/>
      <c r="BG1319" s="1"/>
      <c r="BH1319" s="1"/>
      <c r="BI1319" s="1"/>
      <c r="BJ1319" s="1"/>
      <c r="BK1319" s="1"/>
      <c r="BL1319" s="1"/>
      <c r="BM1319" s="1"/>
      <c r="BN1319" s="1"/>
      <c r="BO1319" s="1"/>
      <c r="BP1319" s="1"/>
      <c r="BQ1319" s="1"/>
      <c r="BR1319" s="1"/>
      <c r="BS1319" s="1"/>
      <c r="BT1319" s="1"/>
      <c r="BU1319" s="1"/>
      <c r="BV1319" s="1"/>
      <c r="BW1319" s="1"/>
      <c r="BX1319" s="1"/>
      <c r="BY1319" s="1"/>
      <c r="BZ1319" s="1"/>
      <c r="CA1319" s="1"/>
      <c r="CB1319" s="1"/>
      <c r="CC1319" s="1"/>
      <c r="CD1319" s="1"/>
      <c r="CE1319" s="1"/>
      <c r="CF1319" s="1"/>
      <c r="CG1319" s="1"/>
      <c r="CH1319" s="1"/>
      <c r="CI1319" s="1"/>
      <c r="CJ1319" s="1"/>
      <c r="CK1319" s="1"/>
      <c r="CL1319" s="1"/>
      <c r="CM1319" s="1"/>
      <c r="CN1319" s="1"/>
      <c r="CO1319" s="1"/>
      <c r="CP1319" s="1"/>
      <c r="CQ1319" s="1"/>
      <c r="CR1319" s="1"/>
      <c r="CS1319" s="1"/>
      <c r="CT1319" s="1"/>
      <c r="CU1319" s="1"/>
      <c r="CV1319" s="1"/>
      <c r="CW1319" s="1"/>
      <c r="CX1319" s="1"/>
      <c r="CY1319" s="1"/>
      <c r="CZ1319" s="1"/>
      <c r="DA1319" s="1"/>
      <c r="DB1319" s="1"/>
      <c r="DC1319" s="1"/>
    </row>
    <row r="1320" spans="1:107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  <c r="BF1320" s="1"/>
      <c r="BG1320" s="1"/>
      <c r="BH1320" s="1"/>
      <c r="BI1320" s="1"/>
      <c r="BJ1320" s="1"/>
      <c r="BK1320" s="1"/>
      <c r="BL1320" s="1"/>
      <c r="BM1320" s="1"/>
      <c r="BN1320" s="1"/>
      <c r="BO1320" s="1"/>
      <c r="BP1320" s="1"/>
      <c r="BQ1320" s="1"/>
      <c r="BR1320" s="1"/>
      <c r="BS1320" s="1"/>
      <c r="BT1320" s="1"/>
      <c r="BU1320" s="1"/>
      <c r="BV1320" s="1"/>
      <c r="BW1320" s="1"/>
      <c r="BX1320" s="1"/>
      <c r="BY1320" s="1"/>
      <c r="BZ1320" s="1"/>
      <c r="CA1320" s="1"/>
      <c r="CB1320" s="1"/>
      <c r="CC1320" s="1"/>
      <c r="CD1320" s="1"/>
      <c r="CE1320" s="1"/>
      <c r="CF1320" s="1"/>
      <c r="CG1320" s="1"/>
      <c r="CH1320" s="1"/>
      <c r="CI1320" s="1"/>
      <c r="CJ1320" s="1"/>
      <c r="CK1320" s="1"/>
      <c r="CL1320" s="1"/>
      <c r="CM1320" s="1"/>
      <c r="CN1320" s="1"/>
      <c r="CO1320" s="1"/>
      <c r="CP1320" s="1"/>
      <c r="CQ1320" s="1"/>
      <c r="CR1320" s="1"/>
      <c r="CS1320" s="1"/>
      <c r="CT1320" s="1"/>
      <c r="CU1320" s="1"/>
      <c r="CV1320" s="1"/>
      <c r="CW1320" s="1"/>
      <c r="CX1320" s="1"/>
      <c r="CY1320" s="1"/>
      <c r="CZ1320" s="1"/>
      <c r="DA1320" s="1"/>
      <c r="DB1320" s="1"/>
      <c r="DC1320" s="1"/>
    </row>
    <row r="1321" spans="1:107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  <c r="BI1321" s="1"/>
      <c r="BJ1321" s="1"/>
      <c r="BK1321" s="1"/>
      <c r="BL1321" s="1"/>
      <c r="BM1321" s="1"/>
      <c r="BN1321" s="1"/>
      <c r="BO1321" s="1"/>
      <c r="BP1321" s="1"/>
      <c r="BQ1321" s="1"/>
      <c r="BR1321" s="1"/>
      <c r="BS1321" s="1"/>
      <c r="BT1321" s="1"/>
      <c r="BU1321" s="1"/>
      <c r="BV1321" s="1"/>
      <c r="BW1321" s="1"/>
      <c r="BX1321" s="1"/>
      <c r="BY1321" s="1"/>
      <c r="BZ1321" s="1"/>
      <c r="CA1321" s="1"/>
      <c r="CB1321" s="1"/>
      <c r="CC1321" s="1"/>
      <c r="CD1321" s="1"/>
      <c r="CE1321" s="1"/>
      <c r="CF1321" s="1"/>
      <c r="CG1321" s="1"/>
      <c r="CH1321" s="1"/>
      <c r="CI1321" s="1"/>
      <c r="CJ1321" s="1"/>
      <c r="CK1321" s="1"/>
      <c r="CL1321" s="1"/>
      <c r="CM1321" s="1"/>
      <c r="CN1321" s="1"/>
      <c r="CO1321" s="1"/>
      <c r="CP1321" s="1"/>
      <c r="CQ1321" s="1"/>
      <c r="CR1321" s="1"/>
      <c r="CS1321" s="1"/>
      <c r="CT1321" s="1"/>
      <c r="CU1321" s="1"/>
      <c r="CV1321" s="1"/>
      <c r="CW1321" s="1"/>
      <c r="CX1321" s="1"/>
      <c r="CY1321" s="1"/>
      <c r="CZ1321" s="1"/>
      <c r="DA1321" s="1"/>
      <c r="DB1321" s="1"/>
      <c r="DC1321" s="1"/>
    </row>
    <row r="1322" spans="1:107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  <c r="BI1322" s="1"/>
      <c r="BJ1322" s="1"/>
      <c r="BK1322" s="1"/>
      <c r="BL1322" s="1"/>
      <c r="BM1322" s="1"/>
      <c r="BN1322" s="1"/>
      <c r="BO1322" s="1"/>
      <c r="BP1322" s="1"/>
      <c r="BQ1322" s="1"/>
      <c r="BR1322" s="1"/>
      <c r="BS1322" s="1"/>
      <c r="BT1322" s="1"/>
      <c r="BU1322" s="1"/>
      <c r="BV1322" s="1"/>
      <c r="BW1322" s="1"/>
      <c r="BX1322" s="1"/>
      <c r="BY1322" s="1"/>
      <c r="BZ1322" s="1"/>
      <c r="CA1322" s="1"/>
      <c r="CB1322" s="1"/>
      <c r="CC1322" s="1"/>
      <c r="CD1322" s="1"/>
      <c r="CE1322" s="1"/>
      <c r="CF1322" s="1"/>
      <c r="CG1322" s="1"/>
      <c r="CH1322" s="1"/>
      <c r="CI1322" s="1"/>
      <c r="CJ1322" s="1"/>
      <c r="CK1322" s="1"/>
      <c r="CL1322" s="1"/>
      <c r="CM1322" s="1"/>
      <c r="CN1322" s="1"/>
      <c r="CO1322" s="1"/>
      <c r="CP1322" s="1"/>
      <c r="CQ1322" s="1"/>
      <c r="CR1322" s="1"/>
      <c r="CS1322" s="1"/>
      <c r="CT1322" s="1"/>
      <c r="CU1322" s="1"/>
      <c r="CV1322" s="1"/>
      <c r="CW1322" s="1"/>
      <c r="CX1322" s="1"/>
      <c r="CY1322" s="1"/>
      <c r="CZ1322" s="1"/>
      <c r="DA1322" s="1"/>
      <c r="DB1322" s="1"/>
      <c r="DC1322" s="1"/>
    </row>
    <row r="1323" spans="1:107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/>
      <c r="BG1323" s="1"/>
      <c r="BH1323" s="1"/>
      <c r="BI1323" s="1"/>
      <c r="BJ1323" s="1"/>
      <c r="BK1323" s="1"/>
      <c r="BL1323" s="1"/>
      <c r="BM1323" s="1"/>
      <c r="BN1323" s="1"/>
      <c r="BO1323" s="1"/>
      <c r="BP1323" s="1"/>
      <c r="BQ1323" s="1"/>
      <c r="BR1323" s="1"/>
      <c r="BS1323" s="1"/>
      <c r="BT1323" s="1"/>
      <c r="BU1323" s="1"/>
      <c r="BV1323" s="1"/>
      <c r="BW1323" s="1"/>
      <c r="BX1323" s="1"/>
      <c r="BY1323" s="1"/>
      <c r="BZ1323" s="1"/>
      <c r="CA1323" s="1"/>
      <c r="CB1323" s="1"/>
      <c r="CC1323" s="1"/>
      <c r="CD1323" s="1"/>
      <c r="CE1323" s="1"/>
      <c r="CF1323" s="1"/>
      <c r="CG1323" s="1"/>
      <c r="CH1323" s="1"/>
      <c r="CI1323" s="1"/>
      <c r="CJ1323" s="1"/>
      <c r="CK1323" s="1"/>
      <c r="CL1323" s="1"/>
      <c r="CM1323" s="1"/>
      <c r="CN1323" s="1"/>
      <c r="CO1323" s="1"/>
      <c r="CP1323" s="1"/>
      <c r="CQ1323" s="1"/>
      <c r="CR1323" s="1"/>
      <c r="CS1323" s="1"/>
      <c r="CT1323" s="1"/>
      <c r="CU1323" s="1"/>
      <c r="CV1323" s="1"/>
      <c r="CW1323" s="1"/>
      <c r="CX1323" s="1"/>
      <c r="CY1323" s="1"/>
      <c r="CZ1323" s="1"/>
      <c r="DA1323" s="1"/>
      <c r="DB1323" s="1"/>
      <c r="DC1323" s="1"/>
    </row>
    <row r="1324" spans="1:107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  <c r="BF1324" s="1"/>
      <c r="BG1324" s="1"/>
      <c r="BH1324" s="1"/>
      <c r="BI1324" s="1"/>
      <c r="BJ1324" s="1"/>
      <c r="BK1324" s="1"/>
      <c r="BL1324" s="1"/>
      <c r="BM1324" s="1"/>
      <c r="BN1324" s="1"/>
      <c r="BO1324" s="1"/>
      <c r="BP1324" s="1"/>
      <c r="BQ1324" s="1"/>
      <c r="BR1324" s="1"/>
      <c r="BS1324" s="1"/>
      <c r="BT1324" s="1"/>
      <c r="BU1324" s="1"/>
      <c r="BV1324" s="1"/>
      <c r="BW1324" s="1"/>
      <c r="BX1324" s="1"/>
      <c r="BY1324" s="1"/>
      <c r="BZ1324" s="1"/>
      <c r="CA1324" s="1"/>
      <c r="CB1324" s="1"/>
      <c r="CC1324" s="1"/>
      <c r="CD1324" s="1"/>
      <c r="CE1324" s="1"/>
      <c r="CF1324" s="1"/>
      <c r="CG1324" s="1"/>
      <c r="CH1324" s="1"/>
      <c r="CI1324" s="1"/>
      <c r="CJ1324" s="1"/>
      <c r="CK1324" s="1"/>
      <c r="CL1324" s="1"/>
      <c r="CM1324" s="1"/>
      <c r="CN1324" s="1"/>
      <c r="CO1324" s="1"/>
      <c r="CP1324" s="1"/>
      <c r="CQ1324" s="1"/>
      <c r="CR1324" s="1"/>
      <c r="CS1324" s="1"/>
      <c r="CT1324" s="1"/>
      <c r="CU1324" s="1"/>
      <c r="CV1324" s="1"/>
      <c r="CW1324" s="1"/>
      <c r="CX1324" s="1"/>
      <c r="CY1324" s="1"/>
      <c r="CZ1324" s="1"/>
      <c r="DA1324" s="1"/>
      <c r="DB1324" s="1"/>
      <c r="DC1324" s="1"/>
    </row>
    <row r="1325" spans="1:107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  <c r="BG1325" s="1"/>
      <c r="BH1325" s="1"/>
      <c r="BI1325" s="1"/>
      <c r="BJ1325" s="1"/>
      <c r="BK1325" s="1"/>
      <c r="BL1325" s="1"/>
      <c r="BM1325" s="1"/>
      <c r="BN1325" s="1"/>
      <c r="BO1325" s="1"/>
      <c r="BP1325" s="1"/>
      <c r="BQ1325" s="1"/>
      <c r="BR1325" s="1"/>
      <c r="BS1325" s="1"/>
      <c r="BT1325" s="1"/>
      <c r="BU1325" s="1"/>
      <c r="BV1325" s="1"/>
      <c r="BW1325" s="1"/>
      <c r="BX1325" s="1"/>
      <c r="BY1325" s="1"/>
      <c r="BZ1325" s="1"/>
      <c r="CA1325" s="1"/>
      <c r="CB1325" s="1"/>
      <c r="CC1325" s="1"/>
      <c r="CD1325" s="1"/>
      <c r="CE1325" s="1"/>
      <c r="CF1325" s="1"/>
      <c r="CG1325" s="1"/>
      <c r="CH1325" s="1"/>
      <c r="CI1325" s="1"/>
      <c r="CJ1325" s="1"/>
      <c r="CK1325" s="1"/>
      <c r="CL1325" s="1"/>
      <c r="CM1325" s="1"/>
      <c r="CN1325" s="1"/>
      <c r="CO1325" s="1"/>
      <c r="CP1325" s="1"/>
      <c r="CQ1325" s="1"/>
      <c r="CR1325" s="1"/>
      <c r="CS1325" s="1"/>
      <c r="CT1325" s="1"/>
      <c r="CU1325" s="1"/>
      <c r="CV1325" s="1"/>
      <c r="CW1325" s="1"/>
      <c r="CX1325" s="1"/>
      <c r="CY1325" s="1"/>
      <c r="CZ1325" s="1"/>
      <c r="DA1325" s="1"/>
      <c r="DB1325" s="1"/>
      <c r="DC1325" s="1"/>
    </row>
    <row r="1326" spans="1:107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  <c r="BF1326" s="1"/>
      <c r="BG1326" s="1"/>
      <c r="BH1326" s="1"/>
      <c r="BI1326" s="1"/>
      <c r="BJ1326" s="1"/>
      <c r="BK1326" s="1"/>
      <c r="BL1326" s="1"/>
      <c r="BM1326" s="1"/>
      <c r="BN1326" s="1"/>
      <c r="BO1326" s="1"/>
      <c r="BP1326" s="1"/>
      <c r="BQ1326" s="1"/>
      <c r="BR1326" s="1"/>
      <c r="BS1326" s="1"/>
      <c r="BT1326" s="1"/>
      <c r="BU1326" s="1"/>
      <c r="BV1326" s="1"/>
      <c r="BW1326" s="1"/>
      <c r="BX1326" s="1"/>
      <c r="BY1326" s="1"/>
      <c r="BZ1326" s="1"/>
      <c r="CA1326" s="1"/>
      <c r="CB1326" s="1"/>
      <c r="CC1326" s="1"/>
      <c r="CD1326" s="1"/>
      <c r="CE1326" s="1"/>
      <c r="CF1326" s="1"/>
      <c r="CG1326" s="1"/>
      <c r="CH1326" s="1"/>
      <c r="CI1326" s="1"/>
      <c r="CJ1326" s="1"/>
      <c r="CK1326" s="1"/>
      <c r="CL1326" s="1"/>
      <c r="CM1326" s="1"/>
      <c r="CN1326" s="1"/>
      <c r="CO1326" s="1"/>
      <c r="CP1326" s="1"/>
      <c r="CQ1326" s="1"/>
      <c r="CR1326" s="1"/>
      <c r="CS1326" s="1"/>
      <c r="CT1326" s="1"/>
      <c r="CU1326" s="1"/>
      <c r="CV1326" s="1"/>
      <c r="CW1326" s="1"/>
      <c r="CX1326" s="1"/>
      <c r="CY1326" s="1"/>
      <c r="CZ1326" s="1"/>
      <c r="DA1326" s="1"/>
      <c r="DB1326" s="1"/>
      <c r="DC1326" s="1"/>
    </row>
    <row r="1327" spans="1:107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  <c r="BG1327" s="1"/>
      <c r="BH1327" s="1"/>
      <c r="BI1327" s="1"/>
      <c r="BJ1327" s="1"/>
      <c r="BK1327" s="1"/>
      <c r="BL1327" s="1"/>
      <c r="BM1327" s="1"/>
      <c r="BN1327" s="1"/>
      <c r="BO1327" s="1"/>
      <c r="BP1327" s="1"/>
      <c r="BQ1327" s="1"/>
      <c r="BR1327" s="1"/>
      <c r="BS1327" s="1"/>
      <c r="BT1327" s="1"/>
      <c r="BU1327" s="1"/>
      <c r="BV1327" s="1"/>
      <c r="BW1327" s="1"/>
      <c r="BX1327" s="1"/>
      <c r="BY1327" s="1"/>
      <c r="BZ1327" s="1"/>
      <c r="CA1327" s="1"/>
      <c r="CB1327" s="1"/>
      <c r="CC1327" s="1"/>
      <c r="CD1327" s="1"/>
      <c r="CE1327" s="1"/>
      <c r="CF1327" s="1"/>
      <c r="CG1327" s="1"/>
      <c r="CH1327" s="1"/>
      <c r="CI1327" s="1"/>
      <c r="CJ1327" s="1"/>
      <c r="CK1327" s="1"/>
      <c r="CL1327" s="1"/>
      <c r="CM1327" s="1"/>
      <c r="CN1327" s="1"/>
      <c r="CO1327" s="1"/>
      <c r="CP1327" s="1"/>
      <c r="CQ1327" s="1"/>
      <c r="CR1327" s="1"/>
      <c r="CS1327" s="1"/>
      <c r="CT1327" s="1"/>
      <c r="CU1327" s="1"/>
      <c r="CV1327" s="1"/>
      <c r="CW1327" s="1"/>
      <c r="CX1327" s="1"/>
      <c r="CY1327" s="1"/>
      <c r="CZ1327" s="1"/>
      <c r="DA1327" s="1"/>
      <c r="DB1327" s="1"/>
      <c r="DC1327" s="1"/>
    </row>
    <row r="1328" spans="1:107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E1328" s="1"/>
      <c r="BF1328" s="1"/>
      <c r="BG1328" s="1"/>
      <c r="BH1328" s="1"/>
      <c r="BI1328" s="1"/>
      <c r="BJ1328" s="1"/>
      <c r="BK1328" s="1"/>
      <c r="BL1328" s="1"/>
      <c r="BM1328" s="1"/>
      <c r="BN1328" s="1"/>
      <c r="BO1328" s="1"/>
      <c r="BP1328" s="1"/>
      <c r="BQ1328" s="1"/>
      <c r="BR1328" s="1"/>
      <c r="BS1328" s="1"/>
      <c r="BT1328" s="1"/>
      <c r="BU1328" s="1"/>
      <c r="BV1328" s="1"/>
      <c r="BW1328" s="1"/>
      <c r="BX1328" s="1"/>
      <c r="BY1328" s="1"/>
      <c r="BZ1328" s="1"/>
      <c r="CA1328" s="1"/>
      <c r="CB1328" s="1"/>
      <c r="CC1328" s="1"/>
      <c r="CD1328" s="1"/>
      <c r="CE1328" s="1"/>
      <c r="CF1328" s="1"/>
      <c r="CG1328" s="1"/>
      <c r="CH1328" s="1"/>
      <c r="CI1328" s="1"/>
      <c r="CJ1328" s="1"/>
      <c r="CK1328" s="1"/>
      <c r="CL1328" s="1"/>
      <c r="CM1328" s="1"/>
      <c r="CN1328" s="1"/>
      <c r="CO1328" s="1"/>
      <c r="CP1328" s="1"/>
      <c r="CQ1328" s="1"/>
      <c r="CR1328" s="1"/>
      <c r="CS1328" s="1"/>
      <c r="CT1328" s="1"/>
      <c r="CU1328" s="1"/>
      <c r="CV1328" s="1"/>
      <c r="CW1328" s="1"/>
      <c r="CX1328" s="1"/>
      <c r="CY1328" s="1"/>
      <c r="CZ1328" s="1"/>
      <c r="DA1328" s="1"/>
      <c r="DB1328" s="1"/>
      <c r="DC1328" s="1"/>
    </row>
    <row r="1329" spans="1:107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1"/>
      <c r="BG1329" s="1"/>
      <c r="BH1329" s="1"/>
      <c r="BI1329" s="1"/>
      <c r="BJ1329" s="1"/>
      <c r="BK1329" s="1"/>
      <c r="BL1329" s="1"/>
      <c r="BM1329" s="1"/>
      <c r="BN1329" s="1"/>
      <c r="BO1329" s="1"/>
      <c r="BP1329" s="1"/>
      <c r="BQ1329" s="1"/>
      <c r="BR1329" s="1"/>
      <c r="BS1329" s="1"/>
      <c r="BT1329" s="1"/>
      <c r="BU1329" s="1"/>
      <c r="BV1329" s="1"/>
      <c r="BW1329" s="1"/>
      <c r="BX1329" s="1"/>
      <c r="BY1329" s="1"/>
      <c r="BZ1329" s="1"/>
      <c r="CA1329" s="1"/>
      <c r="CB1329" s="1"/>
      <c r="CC1329" s="1"/>
      <c r="CD1329" s="1"/>
      <c r="CE1329" s="1"/>
      <c r="CF1329" s="1"/>
      <c r="CG1329" s="1"/>
      <c r="CH1329" s="1"/>
      <c r="CI1329" s="1"/>
      <c r="CJ1329" s="1"/>
      <c r="CK1329" s="1"/>
      <c r="CL1329" s="1"/>
      <c r="CM1329" s="1"/>
      <c r="CN1329" s="1"/>
      <c r="CO1329" s="1"/>
      <c r="CP1329" s="1"/>
      <c r="CQ1329" s="1"/>
      <c r="CR1329" s="1"/>
      <c r="CS1329" s="1"/>
      <c r="CT1329" s="1"/>
      <c r="CU1329" s="1"/>
      <c r="CV1329" s="1"/>
      <c r="CW1329" s="1"/>
      <c r="CX1329" s="1"/>
      <c r="CY1329" s="1"/>
      <c r="CZ1329" s="1"/>
      <c r="DA1329" s="1"/>
      <c r="DB1329" s="1"/>
      <c r="DC1329" s="1"/>
    </row>
    <row r="1330" spans="1:107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  <c r="BF1330" s="1"/>
      <c r="BG1330" s="1"/>
      <c r="BH1330" s="1"/>
      <c r="BI1330" s="1"/>
      <c r="BJ1330" s="1"/>
      <c r="BK1330" s="1"/>
      <c r="BL1330" s="1"/>
      <c r="BM1330" s="1"/>
      <c r="BN1330" s="1"/>
      <c r="BO1330" s="1"/>
      <c r="BP1330" s="1"/>
      <c r="BQ1330" s="1"/>
      <c r="BR1330" s="1"/>
      <c r="BS1330" s="1"/>
      <c r="BT1330" s="1"/>
      <c r="BU1330" s="1"/>
      <c r="BV1330" s="1"/>
      <c r="BW1330" s="1"/>
      <c r="BX1330" s="1"/>
      <c r="BY1330" s="1"/>
      <c r="BZ1330" s="1"/>
      <c r="CA1330" s="1"/>
      <c r="CB1330" s="1"/>
      <c r="CC1330" s="1"/>
      <c r="CD1330" s="1"/>
      <c r="CE1330" s="1"/>
      <c r="CF1330" s="1"/>
      <c r="CG1330" s="1"/>
      <c r="CH1330" s="1"/>
      <c r="CI1330" s="1"/>
      <c r="CJ1330" s="1"/>
      <c r="CK1330" s="1"/>
      <c r="CL1330" s="1"/>
      <c r="CM1330" s="1"/>
      <c r="CN1330" s="1"/>
      <c r="CO1330" s="1"/>
      <c r="CP1330" s="1"/>
      <c r="CQ1330" s="1"/>
      <c r="CR1330" s="1"/>
      <c r="CS1330" s="1"/>
      <c r="CT1330" s="1"/>
      <c r="CU1330" s="1"/>
      <c r="CV1330" s="1"/>
      <c r="CW1330" s="1"/>
      <c r="CX1330" s="1"/>
      <c r="CY1330" s="1"/>
      <c r="CZ1330" s="1"/>
      <c r="DA1330" s="1"/>
      <c r="DB1330" s="1"/>
      <c r="DC1330" s="1"/>
    </row>
    <row r="1331" spans="1:107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  <c r="BF1331" s="1"/>
      <c r="BG1331" s="1"/>
      <c r="BH1331" s="1"/>
      <c r="BI1331" s="1"/>
      <c r="BJ1331" s="1"/>
      <c r="BK1331" s="1"/>
      <c r="BL1331" s="1"/>
      <c r="BM1331" s="1"/>
      <c r="BN1331" s="1"/>
      <c r="BO1331" s="1"/>
      <c r="BP1331" s="1"/>
      <c r="BQ1331" s="1"/>
      <c r="BR1331" s="1"/>
      <c r="BS1331" s="1"/>
      <c r="BT1331" s="1"/>
      <c r="BU1331" s="1"/>
      <c r="BV1331" s="1"/>
      <c r="BW1331" s="1"/>
      <c r="BX1331" s="1"/>
      <c r="BY1331" s="1"/>
      <c r="BZ1331" s="1"/>
      <c r="CA1331" s="1"/>
      <c r="CB1331" s="1"/>
      <c r="CC1331" s="1"/>
      <c r="CD1331" s="1"/>
      <c r="CE1331" s="1"/>
      <c r="CF1331" s="1"/>
      <c r="CG1331" s="1"/>
      <c r="CH1331" s="1"/>
      <c r="CI1331" s="1"/>
      <c r="CJ1331" s="1"/>
      <c r="CK1331" s="1"/>
      <c r="CL1331" s="1"/>
      <c r="CM1331" s="1"/>
      <c r="CN1331" s="1"/>
      <c r="CO1331" s="1"/>
      <c r="CP1331" s="1"/>
      <c r="CQ1331" s="1"/>
      <c r="CR1331" s="1"/>
      <c r="CS1331" s="1"/>
      <c r="CT1331" s="1"/>
      <c r="CU1331" s="1"/>
      <c r="CV1331" s="1"/>
      <c r="CW1331" s="1"/>
      <c r="CX1331" s="1"/>
      <c r="CY1331" s="1"/>
      <c r="CZ1331" s="1"/>
      <c r="DA1331" s="1"/>
      <c r="DB1331" s="1"/>
      <c r="DC1331" s="1"/>
    </row>
    <row r="1332" spans="1:107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  <c r="BD1332" s="1"/>
      <c r="BE1332" s="1"/>
      <c r="BF1332" s="1"/>
      <c r="BG1332" s="1"/>
      <c r="BH1332" s="1"/>
      <c r="BI1332" s="1"/>
      <c r="BJ1332" s="1"/>
      <c r="BK1332" s="1"/>
      <c r="BL1332" s="1"/>
      <c r="BM1332" s="1"/>
      <c r="BN1332" s="1"/>
      <c r="BO1332" s="1"/>
      <c r="BP1332" s="1"/>
      <c r="BQ1332" s="1"/>
      <c r="BR1332" s="1"/>
      <c r="BS1332" s="1"/>
      <c r="BT1332" s="1"/>
      <c r="BU1332" s="1"/>
      <c r="BV1332" s="1"/>
      <c r="BW1332" s="1"/>
      <c r="BX1332" s="1"/>
      <c r="BY1332" s="1"/>
      <c r="BZ1332" s="1"/>
      <c r="CA1332" s="1"/>
      <c r="CB1332" s="1"/>
      <c r="CC1332" s="1"/>
      <c r="CD1332" s="1"/>
      <c r="CE1332" s="1"/>
      <c r="CF1332" s="1"/>
      <c r="CG1332" s="1"/>
      <c r="CH1332" s="1"/>
      <c r="CI1332" s="1"/>
      <c r="CJ1332" s="1"/>
      <c r="CK1332" s="1"/>
      <c r="CL1332" s="1"/>
      <c r="CM1332" s="1"/>
      <c r="CN1332" s="1"/>
      <c r="CO1332" s="1"/>
      <c r="CP1332" s="1"/>
      <c r="CQ1332" s="1"/>
      <c r="CR1332" s="1"/>
      <c r="CS1332" s="1"/>
      <c r="CT1332" s="1"/>
      <c r="CU1332" s="1"/>
      <c r="CV1332" s="1"/>
      <c r="CW1332" s="1"/>
      <c r="CX1332" s="1"/>
      <c r="CY1332" s="1"/>
      <c r="CZ1332" s="1"/>
      <c r="DA1332" s="1"/>
      <c r="DB1332" s="1"/>
      <c r="DC1332" s="1"/>
    </row>
    <row r="1333" spans="1:107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  <c r="BE1333" s="1"/>
      <c r="BF1333" s="1"/>
      <c r="BG1333" s="1"/>
      <c r="BH1333" s="1"/>
      <c r="BI1333" s="1"/>
      <c r="BJ1333" s="1"/>
      <c r="BK1333" s="1"/>
      <c r="BL1333" s="1"/>
      <c r="BM1333" s="1"/>
      <c r="BN1333" s="1"/>
      <c r="BO1333" s="1"/>
      <c r="BP1333" s="1"/>
      <c r="BQ1333" s="1"/>
      <c r="BR1333" s="1"/>
      <c r="BS1333" s="1"/>
      <c r="BT1333" s="1"/>
      <c r="BU1333" s="1"/>
      <c r="BV1333" s="1"/>
      <c r="BW1333" s="1"/>
      <c r="BX1333" s="1"/>
      <c r="BY1333" s="1"/>
      <c r="BZ1333" s="1"/>
      <c r="CA1333" s="1"/>
      <c r="CB1333" s="1"/>
      <c r="CC1333" s="1"/>
      <c r="CD1333" s="1"/>
      <c r="CE1333" s="1"/>
      <c r="CF1333" s="1"/>
      <c r="CG1333" s="1"/>
      <c r="CH1333" s="1"/>
      <c r="CI1333" s="1"/>
      <c r="CJ1333" s="1"/>
      <c r="CK1333" s="1"/>
      <c r="CL1333" s="1"/>
      <c r="CM1333" s="1"/>
      <c r="CN1333" s="1"/>
      <c r="CO1333" s="1"/>
      <c r="CP1333" s="1"/>
      <c r="CQ1333" s="1"/>
      <c r="CR1333" s="1"/>
      <c r="CS1333" s="1"/>
      <c r="CT1333" s="1"/>
      <c r="CU1333" s="1"/>
      <c r="CV1333" s="1"/>
      <c r="CW1333" s="1"/>
      <c r="CX1333" s="1"/>
      <c r="CY1333" s="1"/>
      <c r="CZ1333" s="1"/>
      <c r="DA1333" s="1"/>
      <c r="DB1333" s="1"/>
      <c r="DC1333" s="1"/>
    </row>
    <row r="1334" spans="1:107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 s="1"/>
      <c r="BG1334" s="1"/>
      <c r="BH1334" s="1"/>
      <c r="BI1334" s="1"/>
      <c r="BJ1334" s="1"/>
      <c r="BK1334" s="1"/>
      <c r="BL1334" s="1"/>
      <c r="BM1334" s="1"/>
      <c r="BN1334" s="1"/>
      <c r="BO1334" s="1"/>
      <c r="BP1334" s="1"/>
      <c r="BQ1334" s="1"/>
      <c r="BR1334" s="1"/>
      <c r="BS1334" s="1"/>
      <c r="BT1334" s="1"/>
      <c r="BU1334" s="1"/>
      <c r="BV1334" s="1"/>
      <c r="BW1334" s="1"/>
      <c r="BX1334" s="1"/>
      <c r="BY1334" s="1"/>
      <c r="BZ1334" s="1"/>
      <c r="CA1334" s="1"/>
      <c r="CB1334" s="1"/>
      <c r="CC1334" s="1"/>
      <c r="CD1334" s="1"/>
      <c r="CE1334" s="1"/>
      <c r="CF1334" s="1"/>
      <c r="CG1334" s="1"/>
      <c r="CH1334" s="1"/>
      <c r="CI1334" s="1"/>
      <c r="CJ1334" s="1"/>
      <c r="CK1334" s="1"/>
      <c r="CL1334" s="1"/>
      <c r="CM1334" s="1"/>
      <c r="CN1334" s="1"/>
      <c r="CO1334" s="1"/>
      <c r="CP1334" s="1"/>
      <c r="CQ1334" s="1"/>
      <c r="CR1334" s="1"/>
      <c r="CS1334" s="1"/>
      <c r="CT1334" s="1"/>
      <c r="CU1334" s="1"/>
      <c r="CV1334" s="1"/>
      <c r="CW1334" s="1"/>
      <c r="CX1334" s="1"/>
      <c r="CY1334" s="1"/>
      <c r="CZ1334" s="1"/>
      <c r="DA1334" s="1"/>
      <c r="DB1334" s="1"/>
      <c r="DC1334" s="1"/>
    </row>
    <row r="1335" spans="1:107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  <c r="BF1335" s="1"/>
      <c r="BG1335" s="1"/>
      <c r="BH1335" s="1"/>
      <c r="BI1335" s="1"/>
      <c r="BJ1335" s="1"/>
      <c r="BK1335" s="1"/>
      <c r="BL1335" s="1"/>
      <c r="BM1335" s="1"/>
      <c r="BN1335" s="1"/>
      <c r="BO1335" s="1"/>
      <c r="BP1335" s="1"/>
      <c r="BQ1335" s="1"/>
      <c r="BR1335" s="1"/>
      <c r="BS1335" s="1"/>
      <c r="BT1335" s="1"/>
      <c r="BU1335" s="1"/>
      <c r="BV1335" s="1"/>
      <c r="BW1335" s="1"/>
      <c r="BX1335" s="1"/>
      <c r="BY1335" s="1"/>
      <c r="BZ1335" s="1"/>
      <c r="CA1335" s="1"/>
      <c r="CB1335" s="1"/>
      <c r="CC1335" s="1"/>
      <c r="CD1335" s="1"/>
      <c r="CE1335" s="1"/>
      <c r="CF1335" s="1"/>
      <c r="CG1335" s="1"/>
      <c r="CH1335" s="1"/>
      <c r="CI1335" s="1"/>
      <c r="CJ1335" s="1"/>
      <c r="CK1335" s="1"/>
      <c r="CL1335" s="1"/>
      <c r="CM1335" s="1"/>
      <c r="CN1335" s="1"/>
      <c r="CO1335" s="1"/>
      <c r="CP1335" s="1"/>
      <c r="CQ1335" s="1"/>
      <c r="CR1335" s="1"/>
      <c r="CS1335" s="1"/>
      <c r="CT1335" s="1"/>
      <c r="CU1335" s="1"/>
      <c r="CV1335" s="1"/>
      <c r="CW1335" s="1"/>
      <c r="CX1335" s="1"/>
      <c r="CY1335" s="1"/>
      <c r="CZ1335" s="1"/>
      <c r="DA1335" s="1"/>
      <c r="DB1335" s="1"/>
      <c r="DC1335" s="1"/>
    </row>
    <row r="1336" spans="1:107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  <c r="BG1336" s="1"/>
      <c r="BH1336" s="1"/>
      <c r="BI1336" s="1"/>
      <c r="BJ1336" s="1"/>
      <c r="BK1336" s="1"/>
      <c r="BL1336" s="1"/>
      <c r="BM1336" s="1"/>
      <c r="BN1336" s="1"/>
      <c r="BO1336" s="1"/>
      <c r="BP1336" s="1"/>
      <c r="BQ1336" s="1"/>
      <c r="BR1336" s="1"/>
      <c r="BS1336" s="1"/>
      <c r="BT1336" s="1"/>
      <c r="BU1336" s="1"/>
      <c r="BV1336" s="1"/>
      <c r="BW1336" s="1"/>
      <c r="BX1336" s="1"/>
      <c r="BY1336" s="1"/>
      <c r="BZ1336" s="1"/>
      <c r="CA1336" s="1"/>
      <c r="CB1336" s="1"/>
      <c r="CC1336" s="1"/>
      <c r="CD1336" s="1"/>
      <c r="CE1336" s="1"/>
      <c r="CF1336" s="1"/>
      <c r="CG1336" s="1"/>
      <c r="CH1336" s="1"/>
      <c r="CI1336" s="1"/>
      <c r="CJ1336" s="1"/>
      <c r="CK1336" s="1"/>
      <c r="CL1336" s="1"/>
      <c r="CM1336" s="1"/>
      <c r="CN1336" s="1"/>
      <c r="CO1336" s="1"/>
      <c r="CP1336" s="1"/>
      <c r="CQ1336" s="1"/>
      <c r="CR1336" s="1"/>
      <c r="CS1336" s="1"/>
      <c r="CT1336" s="1"/>
      <c r="CU1336" s="1"/>
      <c r="CV1336" s="1"/>
      <c r="CW1336" s="1"/>
      <c r="CX1336" s="1"/>
      <c r="CY1336" s="1"/>
      <c r="CZ1336" s="1"/>
      <c r="DA1336" s="1"/>
      <c r="DB1336" s="1"/>
      <c r="DC1336" s="1"/>
    </row>
    <row r="1337" spans="1:107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  <c r="BF1337" s="1"/>
      <c r="BG1337" s="1"/>
      <c r="BH1337" s="1"/>
      <c r="BI1337" s="1"/>
      <c r="BJ1337" s="1"/>
      <c r="BK1337" s="1"/>
      <c r="BL1337" s="1"/>
      <c r="BM1337" s="1"/>
      <c r="BN1337" s="1"/>
      <c r="BO1337" s="1"/>
      <c r="BP1337" s="1"/>
      <c r="BQ1337" s="1"/>
      <c r="BR1337" s="1"/>
      <c r="BS1337" s="1"/>
      <c r="BT1337" s="1"/>
      <c r="BU1337" s="1"/>
      <c r="BV1337" s="1"/>
      <c r="BW1337" s="1"/>
      <c r="BX1337" s="1"/>
      <c r="BY1337" s="1"/>
      <c r="BZ1337" s="1"/>
      <c r="CA1337" s="1"/>
      <c r="CB1337" s="1"/>
      <c r="CC1337" s="1"/>
      <c r="CD1337" s="1"/>
      <c r="CE1337" s="1"/>
      <c r="CF1337" s="1"/>
      <c r="CG1337" s="1"/>
      <c r="CH1337" s="1"/>
      <c r="CI1337" s="1"/>
      <c r="CJ1337" s="1"/>
      <c r="CK1337" s="1"/>
      <c r="CL1337" s="1"/>
      <c r="CM1337" s="1"/>
      <c r="CN1337" s="1"/>
      <c r="CO1337" s="1"/>
      <c r="CP1337" s="1"/>
      <c r="CQ1337" s="1"/>
      <c r="CR1337" s="1"/>
      <c r="CS1337" s="1"/>
      <c r="CT1337" s="1"/>
      <c r="CU1337" s="1"/>
      <c r="CV1337" s="1"/>
      <c r="CW1337" s="1"/>
      <c r="CX1337" s="1"/>
      <c r="CY1337" s="1"/>
      <c r="CZ1337" s="1"/>
      <c r="DA1337" s="1"/>
      <c r="DB1337" s="1"/>
      <c r="DC1337" s="1"/>
    </row>
    <row r="1338" spans="1:107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  <c r="BI1338" s="1"/>
      <c r="BJ1338" s="1"/>
      <c r="BK1338" s="1"/>
      <c r="BL1338" s="1"/>
      <c r="BM1338" s="1"/>
      <c r="BN1338" s="1"/>
      <c r="BO1338" s="1"/>
      <c r="BP1338" s="1"/>
      <c r="BQ1338" s="1"/>
      <c r="BR1338" s="1"/>
      <c r="BS1338" s="1"/>
      <c r="BT1338" s="1"/>
      <c r="BU1338" s="1"/>
      <c r="BV1338" s="1"/>
      <c r="BW1338" s="1"/>
      <c r="BX1338" s="1"/>
      <c r="BY1338" s="1"/>
      <c r="BZ1338" s="1"/>
      <c r="CA1338" s="1"/>
      <c r="CB1338" s="1"/>
      <c r="CC1338" s="1"/>
      <c r="CD1338" s="1"/>
      <c r="CE1338" s="1"/>
      <c r="CF1338" s="1"/>
      <c r="CG1338" s="1"/>
      <c r="CH1338" s="1"/>
      <c r="CI1338" s="1"/>
      <c r="CJ1338" s="1"/>
      <c r="CK1338" s="1"/>
      <c r="CL1338" s="1"/>
      <c r="CM1338" s="1"/>
      <c r="CN1338" s="1"/>
      <c r="CO1338" s="1"/>
      <c r="CP1338" s="1"/>
      <c r="CQ1338" s="1"/>
      <c r="CR1338" s="1"/>
      <c r="CS1338" s="1"/>
      <c r="CT1338" s="1"/>
      <c r="CU1338" s="1"/>
      <c r="CV1338" s="1"/>
      <c r="CW1338" s="1"/>
      <c r="CX1338" s="1"/>
      <c r="CY1338" s="1"/>
      <c r="CZ1338" s="1"/>
      <c r="DA1338" s="1"/>
      <c r="DB1338" s="1"/>
      <c r="DC1338" s="1"/>
    </row>
    <row r="1339" spans="1:107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  <c r="BI1339" s="1"/>
      <c r="BJ1339" s="1"/>
      <c r="BK1339" s="1"/>
      <c r="BL1339" s="1"/>
      <c r="BM1339" s="1"/>
      <c r="BN1339" s="1"/>
      <c r="BO1339" s="1"/>
      <c r="BP1339" s="1"/>
      <c r="BQ1339" s="1"/>
      <c r="BR1339" s="1"/>
      <c r="BS1339" s="1"/>
      <c r="BT1339" s="1"/>
      <c r="BU1339" s="1"/>
      <c r="BV1339" s="1"/>
      <c r="BW1339" s="1"/>
      <c r="BX1339" s="1"/>
      <c r="BY1339" s="1"/>
      <c r="BZ1339" s="1"/>
      <c r="CA1339" s="1"/>
      <c r="CB1339" s="1"/>
      <c r="CC1339" s="1"/>
      <c r="CD1339" s="1"/>
      <c r="CE1339" s="1"/>
      <c r="CF1339" s="1"/>
      <c r="CG1339" s="1"/>
      <c r="CH1339" s="1"/>
      <c r="CI1339" s="1"/>
      <c r="CJ1339" s="1"/>
      <c r="CK1339" s="1"/>
      <c r="CL1339" s="1"/>
      <c r="CM1339" s="1"/>
      <c r="CN1339" s="1"/>
      <c r="CO1339" s="1"/>
      <c r="CP1339" s="1"/>
      <c r="CQ1339" s="1"/>
      <c r="CR1339" s="1"/>
      <c r="CS1339" s="1"/>
      <c r="CT1339" s="1"/>
      <c r="CU1339" s="1"/>
      <c r="CV1339" s="1"/>
      <c r="CW1339" s="1"/>
      <c r="CX1339" s="1"/>
      <c r="CY1339" s="1"/>
      <c r="CZ1339" s="1"/>
      <c r="DA1339" s="1"/>
      <c r="DB1339" s="1"/>
      <c r="DC1339" s="1"/>
    </row>
    <row r="1340" spans="1:107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  <c r="BE1340" s="1"/>
      <c r="BF1340" s="1"/>
      <c r="BG1340" s="1"/>
      <c r="BH1340" s="1"/>
      <c r="BI1340" s="1"/>
      <c r="BJ1340" s="1"/>
      <c r="BK1340" s="1"/>
      <c r="BL1340" s="1"/>
      <c r="BM1340" s="1"/>
      <c r="BN1340" s="1"/>
      <c r="BO1340" s="1"/>
      <c r="BP1340" s="1"/>
      <c r="BQ1340" s="1"/>
      <c r="BR1340" s="1"/>
      <c r="BS1340" s="1"/>
      <c r="BT1340" s="1"/>
      <c r="BU1340" s="1"/>
      <c r="BV1340" s="1"/>
      <c r="BW1340" s="1"/>
      <c r="BX1340" s="1"/>
      <c r="BY1340" s="1"/>
      <c r="BZ1340" s="1"/>
      <c r="CA1340" s="1"/>
      <c r="CB1340" s="1"/>
      <c r="CC1340" s="1"/>
      <c r="CD1340" s="1"/>
      <c r="CE1340" s="1"/>
      <c r="CF1340" s="1"/>
      <c r="CG1340" s="1"/>
      <c r="CH1340" s="1"/>
      <c r="CI1340" s="1"/>
      <c r="CJ1340" s="1"/>
      <c r="CK1340" s="1"/>
      <c r="CL1340" s="1"/>
      <c r="CM1340" s="1"/>
      <c r="CN1340" s="1"/>
      <c r="CO1340" s="1"/>
      <c r="CP1340" s="1"/>
      <c r="CQ1340" s="1"/>
      <c r="CR1340" s="1"/>
      <c r="CS1340" s="1"/>
      <c r="CT1340" s="1"/>
      <c r="CU1340" s="1"/>
      <c r="CV1340" s="1"/>
      <c r="CW1340" s="1"/>
      <c r="CX1340" s="1"/>
      <c r="CY1340" s="1"/>
      <c r="CZ1340" s="1"/>
      <c r="DA1340" s="1"/>
      <c r="DB1340" s="1"/>
      <c r="DC1340" s="1"/>
    </row>
    <row r="1341" spans="1:107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  <c r="BF1341" s="1"/>
      <c r="BG1341" s="1"/>
      <c r="BH1341" s="1"/>
      <c r="BI1341" s="1"/>
      <c r="BJ1341" s="1"/>
      <c r="BK1341" s="1"/>
      <c r="BL1341" s="1"/>
      <c r="BM1341" s="1"/>
      <c r="BN1341" s="1"/>
      <c r="BO1341" s="1"/>
      <c r="BP1341" s="1"/>
      <c r="BQ1341" s="1"/>
      <c r="BR1341" s="1"/>
      <c r="BS1341" s="1"/>
      <c r="BT1341" s="1"/>
      <c r="BU1341" s="1"/>
      <c r="BV1341" s="1"/>
      <c r="BW1341" s="1"/>
      <c r="BX1341" s="1"/>
      <c r="BY1341" s="1"/>
      <c r="BZ1341" s="1"/>
      <c r="CA1341" s="1"/>
      <c r="CB1341" s="1"/>
      <c r="CC1341" s="1"/>
      <c r="CD1341" s="1"/>
      <c r="CE1341" s="1"/>
      <c r="CF1341" s="1"/>
      <c r="CG1341" s="1"/>
      <c r="CH1341" s="1"/>
      <c r="CI1341" s="1"/>
      <c r="CJ1341" s="1"/>
      <c r="CK1341" s="1"/>
      <c r="CL1341" s="1"/>
      <c r="CM1341" s="1"/>
      <c r="CN1341" s="1"/>
      <c r="CO1341" s="1"/>
      <c r="CP1341" s="1"/>
      <c r="CQ1341" s="1"/>
      <c r="CR1341" s="1"/>
      <c r="CS1341" s="1"/>
      <c r="CT1341" s="1"/>
      <c r="CU1341" s="1"/>
      <c r="CV1341" s="1"/>
      <c r="CW1341" s="1"/>
      <c r="CX1341" s="1"/>
      <c r="CY1341" s="1"/>
      <c r="CZ1341" s="1"/>
      <c r="DA1341" s="1"/>
      <c r="DB1341" s="1"/>
      <c r="DC1341" s="1"/>
    </row>
    <row r="1342" spans="1:107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  <c r="BF1342" s="1"/>
      <c r="BG1342" s="1"/>
      <c r="BH1342" s="1"/>
      <c r="BI1342" s="1"/>
      <c r="BJ1342" s="1"/>
      <c r="BK1342" s="1"/>
      <c r="BL1342" s="1"/>
      <c r="BM1342" s="1"/>
      <c r="BN1342" s="1"/>
      <c r="BO1342" s="1"/>
      <c r="BP1342" s="1"/>
      <c r="BQ1342" s="1"/>
      <c r="BR1342" s="1"/>
      <c r="BS1342" s="1"/>
      <c r="BT1342" s="1"/>
      <c r="BU1342" s="1"/>
      <c r="BV1342" s="1"/>
      <c r="BW1342" s="1"/>
      <c r="BX1342" s="1"/>
      <c r="BY1342" s="1"/>
      <c r="BZ1342" s="1"/>
      <c r="CA1342" s="1"/>
      <c r="CB1342" s="1"/>
      <c r="CC1342" s="1"/>
      <c r="CD1342" s="1"/>
      <c r="CE1342" s="1"/>
      <c r="CF1342" s="1"/>
      <c r="CG1342" s="1"/>
      <c r="CH1342" s="1"/>
      <c r="CI1342" s="1"/>
      <c r="CJ1342" s="1"/>
      <c r="CK1342" s="1"/>
      <c r="CL1342" s="1"/>
      <c r="CM1342" s="1"/>
      <c r="CN1342" s="1"/>
      <c r="CO1342" s="1"/>
      <c r="CP1342" s="1"/>
      <c r="CQ1342" s="1"/>
      <c r="CR1342" s="1"/>
      <c r="CS1342" s="1"/>
      <c r="CT1342" s="1"/>
      <c r="CU1342" s="1"/>
      <c r="CV1342" s="1"/>
      <c r="CW1342" s="1"/>
      <c r="CX1342" s="1"/>
      <c r="CY1342" s="1"/>
      <c r="CZ1342" s="1"/>
      <c r="DA1342" s="1"/>
      <c r="DB1342" s="1"/>
      <c r="DC1342" s="1"/>
    </row>
    <row r="1343" spans="1:107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  <c r="BI1343" s="1"/>
      <c r="BJ1343" s="1"/>
      <c r="BK1343" s="1"/>
      <c r="BL1343" s="1"/>
      <c r="BM1343" s="1"/>
      <c r="BN1343" s="1"/>
      <c r="BO1343" s="1"/>
      <c r="BP1343" s="1"/>
      <c r="BQ1343" s="1"/>
      <c r="BR1343" s="1"/>
      <c r="BS1343" s="1"/>
      <c r="BT1343" s="1"/>
      <c r="BU1343" s="1"/>
      <c r="BV1343" s="1"/>
      <c r="BW1343" s="1"/>
      <c r="BX1343" s="1"/>
      <c r="BY1343" s="1"/>
      <c r="BZ1343" s="1"/>
      <c r="CA1343" s="1"/>
      <c r="CB1343" s="1"/>
      <c r="CC1343" s="1"/>
      <c r="CD1343" s="1"/>
      <c r="CE1343" s="1"/>
      <c r="CF1343" s="1"/>
      <c r="CG1343" s="1"/>
      <c r="CH1343" s="1"/>
      <c r="CI1343" s="1"/>
      <c r="CJ1343" s="1"/>
      <c r="CK1343" s="1"/>
      <c r="CL1343" s="1"/>
      <c r="CM1343" s="1"/>
      <c r="CN1343" s="1"/>
      <c r="CO1343" s="1"/>
      <c r="CP1343" s="1"/>
      <c r="CQ1343" s="1"/>
      <c r="CR1343" s="1"/>
      <c r="CS1343" s="1"/>
      <c r="CT1343" s="1"/>
      <c r="CU1343" s="1"/>
      <c r="CV1343" s="1"/>
      <c r="CW1343" s="1"/>
      <c r="CX1343" s="1"/>
      <c r="CY1343" s="1"/>
      <c r="CZ1343" s="1"/>
      <c r="DA1343" s="1"/>
      <c r="DB1343" s="1"/>
      <c r="DC1343" s="1"/>
    </row>
    <row r="1344" spans="1:107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  <c r="BF1344" s="1"/>
      <c r="BG1344" s="1"/>
      <c r="BH1344" s="1"/>
      <c r="BI1344" s="1"/>
      <c r="BJ1344" s="1"/>
      <c r="BK1344" s="1"/>
      <c r="BL1344" s="1"/>
      <c r="BM1344" s="1"/>
      <c r="BN1344" s="1"/>
      <c r="BO1344" s="1"/>
      <c r="BP1344" s="1"/>
      <c r="BQ1344" s="1"/>
      <c r="BR1344" s="1"/>
      <c r="BS1344" s="1"/>
      <c r="BT1344" s="1"/>
      <c r="BU1344" s="1"/>
      <c r="BV1344" s="1"/>
      <c r="BW1344" s="1"/>
      <c r="BX1344" s="1"/>
      <c r="BY1344" s="1"/>
      <c r="BZ1344" s="1"/>
      <c r="CA1344" s="1"/>
      <c r="CB1344" s="1"/>
      <c r="CC1344" s="1"/>
      <c r="CD1344" s="1"/>
      <c r="CE1344" s="1"/>
      <c r="CF1344" s="1"/>
      <c r="CG1344" s="1"/>
      <c r="CH1344" s="1"/>
      <c r="CI1344" s="1"/>
      <c r="CJ1344" s="1"/>
      <c r="CK1344" s="1"/>
      <c r="CL1344" s="1"/>
      <c r="CM1344" s="1"/>
      <c r="CN1344" s="1"/>
      <c r="CO1344" s="1"/>
      <c r="CP1344" s="1"/>
      <c r="CQ1344" s="1"/>
      <c r="CR1344" s="1"/>
      <c r="CS1344" s="1"/>
      <c r="CT1344" s="1"/>
      <c r="CU1344" s="1"/>
      <c r="CV1344" s="1"/>
      <c r="CW1344" s="1"/>
      <c r="CX1344" s="1"/>
      <c r="CY1344" s="1"/>
      <c r="CZ1344" s="1"/>
      <c r="DA1344" s="1"/>
      <c r="DB1344" s="1"/>
      <c r="DC1344" s="1"/>
    </row>
    <row r="1345" spans="1:107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  <c r="BI1345" s="1"/>
      <c r="BJ1345" s="1"/>
      <c r="BK1345" s="1"/>
      <c r="BL1345" s="1"/>
      <c r="BM1345" s="1"/>
      <c r="BN1345" s="1"/>
      <c r="BO1345" s="1"/>
      <c r="BP1345" s="1"/>
      <c r="BQ1345" s="1"/>
      <c r="BR1345" s="1"/>
      <c r="BS1345" s="1"/>
      <c r="BT1345" s="1"/>
      <c r="BU1345" s="1"/>
      <c r="BV1345" s="1"/>
      <c r="BW1345" s="1"/>
      <c r="BX1345" s="1"/>
      <c r="BY1345" s="1"/>
      <c r="BZ1345" s="1"/>
      <c r="CA1345" s="1"/>
      <c r="CB1345" s="1"/>
      <c r="CC1345" s="1"/>
      <c r="CD1345" s="1"/>
      <c r="CE1345" s="1"/>
      <c r="CF1345" s="1"/>
      <c r="CG1345" s="1"/>
      <c r="CH1345" s="1"/>
      <c r="CI1345" s="1"/>
      <c r="CJ1345" s="1"/>
      <c r="CK1345" s="1"/>
      <c r="CL1345" s="1"/>
      <c r="CM1345" s="1"/>
      <c r="CN1345" s="1"/>
      <c r="CO1345" s="1"/>
      <c r="CP1345" s="1"/>
      <c r="CQ1345" s="1"/>
      <c r="CR1345" s="1"/>
      <c r="CS1345" s="1"/>
      <c r="CT1345" s="1"/>
      <c r="CU1345" s="1"/>
      <c r="CV1345" s="1"/>
      <c r="CW1345" s="1"/>
      <c r="CX1345" s="1"/>
      <c r="CY1345" s="1"/>
      <c r="CZ1345" s="1"/>
      <c r="DA1345" s="1"/>
      <c r="DB1345" s="1"/>
      <c r="DC1345" s="1"/>
    </row>
    <row r="1346" spans="1:107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  <c r="BG1346" s="1"/>
      <c r="BH1346" s="1"/>
      <c r="BI1346" s="1"/>
      <c r="BJ1346" s="1"/>
      <c r="BK1346" s="1"/>
      <c r="BL1346" s="1"/>
      <c r="BM1346" s="1"/>
      <c r="BN1346" s="1"/>
      <c r="BO1346" s="1"/>
      <c r="BP1346" s="1"/>
      <c r="BQ1346" s="1"/>
      <c r="BR1346" s="1"/>
      <c r="BS1346" s="1"/>
      <c r="BT1346" s="1"/>
      <c r="BU1346" s="1"/>
      <c r="BV1346" s="1"/>
      <c r="BW1346" s="1"/>
      <c r="BX1346" s="1"/>
      <c r="BY1346" s="1"/>
      <c r="BZ1346" s="1"/>
      <c r="CA1346" s="1"/>
      <c r="CB1346" s="1"/>
      <c r="CC1346" s="1"/>
      <c r="CD1346" s="1"/>
      <c r="CE1346" s="1"/>
      <c r="CF1346" s="1"/>
      <c r="CG1346" s="1"/>
      <c r="CH1346" s="1"/>
      <c r="CI1346" s="1"/>
      <c r="CJ1346" s="1"/>
      <c r="CK1346" s="1"/>
      <c r="CL1346" s="1"/>
      <c r="CM1346" s="1"/>
      <c r="CN1346" s="1"/>
      <c r="CO1346" s="1"/>
      <c r="CP1346" s="1"/>
      <c r="CQ1346" s="1"/>
      <c r="CR1346" s="1"/>
      <c r="CS1346" s="1"/>
      <c r="CT1346" s="1"/>
      <c r="CU1346" s="1"/>
      <c r="CV1346" s="1"/>
      <c r="CW1346" s="1"/>
      <c r="CX1346" s="1"/>
      <c r="CY1346" s="1"/>
      <c r="CZ1346" s="1"/>
      <c r="DA1346" s="1"/>
      <c r="DB1346" s="1"/>
      <c r="DC1346" s="1"/>
    </row>
    <row r="1347" spans="1:107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  <c r="BF1347" s="1"/>
      <c r="BG1347" s="1"/>
      <c r="BH1347" s="1"/>
      <c r="BI1347" s="1"/>
      <c r="BJ1347" s="1"/>
      <c r="BK1347" s="1"/>
      <c r="BL1347" s="1"/>
      <c r="BM1347" s="1"/>
      <c r="BN1347" s="1"/>
      <c r="BO1347" s="1"/>
      <c r="BP1347" s="1"/>
      <c r="BQ1347" s="1"/>
      <c r="BR1347" s="1"/>
      <c r="BS1347" s="1"/>
      <c r="BT1347" s="1"/>
      <c r="BU1347" s="1"/>
      <c r="BV1347" s="1"/>
      <c r="BW1347" s="1"/>
      <c r="BX1347" s="1"/>
      <c r="BY1347" s="1"/>
      <c r="BZ1347" s="1"/>
      <c r="CA1347" s="1"/>
      <c r="CB1347" s="1"/>
      <c r="CC1347" s="1"/>
      <c r="CD1347" s="1"/>
      <c r="CE1347" s="1"/>
      <c r="CF1347" s="1"/>
      <c r="CG1347" s="1"/>
      <c r="CH1347" s="1"/>
      <c r="CI1347" s="1"/>
      <c r="CJ1347" s="1"/>
      <c r="CK1347" s="1"/>
      <c r="CL1347" s="1"/>
      <c r="CM1347" s="1"/>
      <c r="CN1347" s="1"/>
      <c r="CO1347" s="1"/>
      <c r="CP1347" s="1"/>
      <c r="CQ1347" s="1"/>
      <c r="CR1347" s="1"/>
      <c r="CS1347" s="1"/>
      <c r="CT1347" s="1"/>
      <c r="CU1347" s="1"/>
      <c r="CV1347" s="1"/>
      <c r="CW1347" s="1"/>
      <c r="CX1347" s="1"/>
      <c r="CY1347" s="1"/>
      <c r="CZ1347" s="1"/>
      <c r="DA1347" s="1"/>
      <c r="DB1347" s="1"/>
      <c r="DC1347" s="1"/>
    </row>
    <row r="1348" spans="1:107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  <c r="BF1348" s="1"/>
      <c r="BG1348" s="1"/>
      <c r="BH1348" s="1"/>
      <c r="BI1348" s="1"/>
      <c r="BJ1348" s="1"/>
      <c r="BK1348" s="1"/>
      <c r="BL1348" s="1"/>
      <c r="BM1348" s="1"/>
      <c r="BN1348" s="1"/>
      <c r="BO1348" s="1"/>
      <c r="BP1348" s="1"/>
      <c r="BQ1348" s="1"/>
      <c r="BR1348" s="1"/>
      <c r="BS1348" s="1"/>
      <c r="BT1348" s="1"/>
      <c r="BU1348" s="1"/>
      <c r="BV1348" s="1"/>
      <c r="BW1348" s="1"/>
      <c r="BX1348" s="1"/>
      <c r="BY1348" s="1"/>
      <c r="BZ1348" s="1"/>
      <c r="CA1348" s="1"/>
      <c r="CB1348" s="1"/>
      <c r="CC1348" s="1"/>
      <c r="CD1348" s="1"/>
      <c r="CE1348" s="1"/>
      <c r="CF1348" s="1"/>
      <c r="CG1348" s="1"/>
      <c r="CH1348" s="1"/>
      <c r="CI1348" s="1"/>
      <c r="CJ1348" s="1"/>
      <c r="CK1348" s="1"/>
      <c r="CL1348" s="1"/>
      <c r="CM1348" s="1"/>
      <c r="CN1348" s="1"/>
      <c r="CO1348" s="1"/>
      <c r="CP1348" s="1"/>
      <c r="CQ1348" s="1"/>
      <c r="CR1348" s="1"/>
      <c r="CS1348" s="1"/>
      <c r="CT1348" s="1"/>
      <c r="CU1348" s="1"/>
      <c r="CV1348" s="1"/>
      <c r="CW1348" s="1"/>
      <c r="CX1348" s="1"/>
      <c r="CY1348" s="1"/>
      <c r="CZ1348" s="1"/>
      <c r="DA1348" s="1"/>
      <c r="DB1348" s="1"/>
      <c r="DC1348" s="1"/>
    </row>
    <row r="1349" spans="1:107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/>
      <c r="BF1349" s="1"/>
      <c r="BG1349" s="1"/>
      <c r="BH1349" s="1"/>
      <c r="BI1349" s="1"/>
      <c r="BJ1349" s="1"/>
      <c r="BK1349" s="1"/>
      <c r="BL1349" s="1"/>
      <c r="BM1349" s="1"/>
      <c r="BN1349" s="1"/>
      <c r="BO1349" s="1"/>
      <c r="BP1349" s="1"/>
      <c r="BQ1349" s="1"/>
      <c r="BR1349" s="1"/>
      <c r="BS1349" s="1"/>
      <c r="BT1349" s="1"/>
      <c r="BU1349" s="1"/>
      <c r="BV1349" s="1"/>
      <c r="BW1349" s="1"/>
      <c r="BX1349" s="1"/>
      <c r="BY1349" s="1"/>
      <c r="BZ1349" s="1"/>
      <c r="CA1349" s="1"/>
      <c r="CB1349" s="1"/>
      <c r="CC1349" s="1"/>
      <c r="CD1349" s="1"/>
      <c r="CE1349" s="1"/>
      <c r="CF1349" s="1"/>
      <c r="CG1349" s="1"/>
      <c r="CH1349" s="1"/>
      <c r="CI1349" s="1"/>
      <c r="CJ1349" s="1"/>
      <c r="CK1349" s="1"/>
      <c r="CL1349" s="1"/>
      <c r="CM1349" s="1"/>
      <c r="CN1349" s="1"/>
      <c r="CO1349" s="1"/>
      <c r="CP1349" s="1"/>
      <c r="CQ1349" s="1"/>
      <c r="CR1349" s="1"/>
      <c r="CS1349" s="1"/>
      <c r="CT1349" s="1"/>
      <c r="CU1349" s="1"/>
      <c r="CV1349" s="1"/>
      <c r="CW1349" s="1"/>
      <c r="CX1349" s="1"/>
      <c r="CY1349" s="1"/>
      <c r="CZ1349" s="1"/>
      <c r="DA1349" s="1"/>
      <c r="DB1349" s="1"/>
      <c r="DC1349" s="1"/>
    </row>
    <row r="1350" spans="1:107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  <c r="BF1350" s="1"/>
      <c r="BG1350" s="1"/>
      <c r="BH1350" s="1"/>
      <c r="BI1350" s="1"/>
      <c r="BJ1350" s="1"/>
      <c r="BK1350" s="1"/>
      <c r="BL1350" s="1"/>
      <c r="BM1350" s="1"/>
      <c r="BN1350" s="1"/>
      <c r="BO1350" s="1"/>
      <c r="BP1350" s="1"/>
      <c r="BQ1350" s="1"/>
      <c r="BR1350" s="1"/>
      <c r="BS1350" s="1"/>
      <c r="BT1350" s="1"/>
      <c r="BU1350" s="1"/>
      <c r="BV1350" s="1"/>
      <c r="BW1350" s="1"/>
      <c r="BX1350" s="1"/>
      <c r="BY1350" s="1"/>
      <c r="BZ1350" s="1"/>
      <c r="CA1350" s="1"/>
      <c r="CB1350" s="1"/>
      <c r="CC1350" s="1"/>
      <c r="CD1350" s="1"/>
      <c r="CE1350" s="1"/>
      <c r="CF1350" s="1"/>
      <c r="CG1350" s="1"/>
      <c r="CH1350" s="1"/>
      <c r="CI1350" s="1"/>
      <c r="CJ1350" s="1"/>
      <c r="CK1350" s="1"/>
      <c r="CL1350" s="1"/>
      <c r="CM1350" s="1"/>
      <c r="CN1350" s="1"/>
      <c r="CO1350" s="1"/>
      <c r="CP1350" s="1"/>
      <c r="CQ1350" s="1"/>
      <c r="CR1350" s="1"/>
      <c r="CS1350" s="1"/>
      <c r="CT1350" s="1"/>
      <c r="CU1350" s="1"/>
      <c r="CV1350" s="1"/>
      <c r="CW1350" s="1"/>
      <c r="CX1350" s="1"/>
      <c r="CY1350" s="1"/>
      <c r="CZ1350" s="1"/>
      <c r="DA1350" s="1"/>
      <c r="DB1350" s="1"/>
      <c r="DC1350" s="1"/>
    </row>
    <row r="1351" spans="1:107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  <c r="BI1351" s="1"/>
      <c r="BJ1351" s="1"/>
      <c r="BK1351" s="1"/>
      <c r="BL1351" s="1"/>
      <c r="BM1351" s="1"/>
      <c r="BN1351" s="1"/>
      <c r="BO1351" s="1"/>
      <c r="BP1351" s="1"/>
      <c r="BQ1351" s="1"/>
      <c r="BR1351" s="1"/>
      <c r="BS1351" s="1"/>
      <c r="BT1351" s="1"/>
      <c r="BU1351" s="1"/>
      <c r="BV1351" s="1"/>
      <c r="BW1351" s="1"/>
      <c r="BX1351" s="1"/>
      <c r="BY1351" s="1"/>
      <c r="BZ1351" s="1"/>
      <c r="CA1351" s="1"/>
      <c r="CB1351" s="1"/>
      <c r="CC1351" s="1"/>
      <c r="CD1351" s="1"/>
      <c r="CE1351" s="1"/>
      <c r="CF1351" s="1"/>
      <c r="CG1351" s="1"/>
      <c r="CH1351" s="1"/>
      <c r="CI1351" s="1"/>
      <c r="CJ1351" s="1"/>
      <c r="CK1351" s="1"/>
      <c r="CL1351" s="1"/>
      <c r="CM1351" s="1"/>
      <c r="CN1351" s="1"/>
      <c r="CO1351" s="1"/>
      <c r="CP1351" s="1"/>
      <c r="CQ1351" s="1"/>
      <c r="CR1351" s="1"/>
      <c r="CS1351" s="1"/>
      <c r="CT1351" s="1"/>
      <c r="CU1351" s="1"/>
      <c r="CV1351" s="1"/>
      <c r="CW1351" s="1"/>
      <c r="CX1351" s="1"/>
      <c r="CY1351" s="1"/>
      <c r="CZ1351" s="1"/>
      <c r="DA1351" s="1"/>
      <c r="DB1351" s="1"/>
      <c r="DC1351" s="1"/>
    </row>
    <row r="1352" spans="1:107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  <c r="BF1352" s="1"/>
      <c r="BG1352" s="1"/>
      <c r="BH1352" s="1"/>
      <c r="BI1352" s="1"/>
      <c r="BJ1352" s="1"/>
      <c r="BK1352" s="1"/>
      <c r="BL1352" s="1"/>
      <c r="BM1352" s="1"/>
      <c r="BN1352" s="1"/>
      <c r="BO1352" s="1"/>
      <c r="BP1352" s="1"/>
      <c r="BQ1352" s="1"/>
      <c r="BR1352" s="1"/>
      <c r="BS1352" s="1"/>
      <c r="BT1352" s="1"/>
      <c r="BU1352" s="1"/>
      <c r="BV1352" s="1"/>
      <c r="BW1352" s="1"/>
      <c r="BX1352" s="1"/>
      <c r="BY1352" s="1"/>
      <c r="BZ1352" s="1"/>
      <c r="CA1352" s="1"/>
      <c r="CB1352" s="1"/>
      <c r="CC1352" s="1"/>
      <c r="CD1352" s="1"/>
      <c r="CE1352" s="1"/>
      <c r="CF1352" s="1"/>
      <c r="CG1352" s="1"/>
      <c r="CH1352" s="1"/>
      <c r="CI1352" s="1"/>
      <c r="CJ1352" s="1"/>
      <c r="CK1352" s="1"/>
      <c r="CL1352" s="1"/>
      <c r="CM1352" s="1"/>
      <c r="CN1352" s="1"/>
      <c r="CO1352" s="1"/>
      <c r="CP1352" s="1"/>
      <c r="CQ1352" s="1"/>
      <c r="CR1352" s="1"/>
      <c r="CS1352" s="1"/>
      <c r="CT1352" s="1"/>
      <c r="CU1352" s="1"/>
      <c r="CV1352" s="1"/>
      <c r="CW1352" s="1"/>
      <c r="CX1352" s="1"/>
      <c r="CY1352" s="1"/>
      <c r="CZ1352" s="1"/>
      <c r="DA1352" s="1"/>
      <c r="DB1352" s="1"/>
      <c r="DC1352" s="1"/>
    </row>
    <row r="1353" spans="1:107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  <c r="BF1353" s="1"/>
      <c r="BG1353" s="1"/>
      <c r="BH1353" s="1"/>
      <c r="BI1353" s="1"/>
      <c r="BJ1353" s="1"/>
      <c r="BK1353" s="1"/>
      <c r="BL1353" s="1"/>
      <c r="BM1353" s="1"/>
      <c r="BN1353" s="1"/>
      <c r="BO1353" s="1"/>
      <c r="BP1353" s="1"/>
      <c r="BQ1353" s="1"/>
      <c r="BR1353" s="1"/>
      <c r="BS1353" s="1"/>
      <c r="BT1353" s="1"/>
      <c r="BU1353" s="1"/>
      <c r="BV1353" s="1"/>
      <c r="BW1353" s="1"/>
      <c r="BX1353" s="1"/>
      <c r="BY1353" s="1"/>
      <c r="BZ1353" s="1"/>
      <c r="CA1353" s="1"/>
      <c r="CB1353" s="1"/>
      <c r="CC1353" s="1"/>
      <c r="CD1353" s="1"/>
      <c r="CE1353" s="1"/>
      <c r="CF1353" s="1"/>
      <c r="CG1353" s="1"/>
      <c r="CH1353" s="1"/>
      <c r="CI1353" s="1"/>
      <c r="CJ1353" s="1"/>
      <c r="CK1353" s="1"/>
      <c r="CL1353" s="1"/>
      <c r="CM1353" s="1"/>
      <c r="CN1353" s="1"/>
      <c r="CO1353" s="1"/>
      <c r="CP1353" s="1"/>
      <c r="CQ1353" s="1"/>
      <c r="CR1353" s="1"/>
      <c r="CS1353" s="1"/>
      <c r="CT1353" s="1"/>
      <c r="CU1353" s="1"/>
      <c r="CV1353" s="1"/>
      <c r="CW1353" s="1"/>
      <c r="CX1353" s="1"/>
      <c r="CY1353" s="1"/>
      <c r="CZ1353" s="1"/>
      <c r="DA1353" s="1"/>
      <c r="DB1353" s="1"/>
      <c r="DC1353" s="1"/>
    </row>
    <row r="1354" spans="1:107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  <c r="BF1354" s="1"/>
      <c r="BG1354" s="1"/>
      <c r="BH1354" s="1"/>
      <c r="BI1354" s="1"/>
      <c r="BJ1354" s="1"/>
      <c r="BK1354" s="1"/>
      <c r="BL1354" s="1"/>
      <c r="BM1354" s="1"/>
      <c r="BN1354" s="1"/>
      <c r="BO1354" s="1"/>
      <c r="BP1354" s="1"/>
      <c r="BQ1354" s="1"/>
      <c r="BR1354" s="1"/>
      <c r="BS1354" s="1"/>
      <c r="BT1354" s="1"/>
      <c r="BU1354" s="1"/>
      <c r="BV1354" s="1"/>
      <c r="BW1354" s="1"/>
      <c r="BX1354" s="1"/>
      <c r="BY1354" s="1"/>
      <c r="BZ1354" s="1"/>
      <c r="CA1354" s="1"/>
      <c r="CB1354" s="1"/>
      <c r="CC1354" s="1"/>
      <c r="CD1354" s="1"/>
      <c r="CE1354" s="1"/>
      <c r="CF1354" s="1"/>
      <c r="CG1354" s="1"/>
      <c r="CH1354" s="1"/>
      <c r="CI1354" s="1"/>
      <c r="CJ1354" s="1"/>
      <c r="CK1354" s="1"/>
      <c r="CL1354" s="1"/>
      <c r="CM1354" s="1"/>
      <c r="CN1354" s="1"/>
      <c r="CO1354" s="1"/>
      <c r="CP1354" s="1"/>
      <c r="CQ1354" s="1"/>
      <c r="CR1354" s="1"/>
      <c r="CS1354" s="1"/>
      <c r="CT1354" s="1"/>
      <c r="CU1354" s="1"/>
      <c r="CV1354" s="1"/>
      <c r="CW1354" s="1"/>
      <c r="CX1354" s="1"/>
      <c r="CY1354" s="1"/>
      <c r="CZ1354" s="1"/>
      <c r="DA1354" s="1"/>
      <c r="DB1354" s="1"/>
      <c r="DC1354" s="1"/>
    </row>
    <row r="1355" spans="1:107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  <c r="BI1355" s="1"/>
      <c r="BJ1355" s="1"/>
      <c r="BK1355" s="1"/>
      <c r="BL1355" s="1"/>
      <c r="BM1355" s="1"/>
      <c r="BN1355" s="1"/>
      <c r="BO1355" s="1"/>
      <c r="BP1355" s="1"/>
      <c r="BQ1355" s="1"/>
      <c r="BR1355" s="1"/>
      <c r="BS1355" s="1"/>
      <c r="BT1355" s="1"/>
      <c r="BU1355" s="1"/>
      <c r="BV1355" s="1"/>
      <c r="BW1355" s="1"/>
      <c r="BX1355" s="1"/>
      <c r="BY1355" s="1"/>
      <c r="BZ1355" s="1"/>
      <c r="CA1355" s="1"/>
      <c r="CB1355" s="1"/>
      <c r="CC1355" s="1"/>
      <c r="CD1355" s="1"/>
      <c r="CE1355" s="1"/>
      <c r="CF1355" s="1"/>
      <c r="CG1355" s="1"/>
      <c r="CH1355" s="1"/>
      <c r="CI1355" s="1"/>
      <c r="CJ1355" s="1"/>
      <c r="CK1355" s="1"/>
      <c r="CL1355" s="1"/>
      <c r="CM1355" s="1"/>
      <c r="CN1355" s="1"/>
      <c r="CO1355" s="1"/>
      <c r="CP1355" s="1"/>
      <c r="CQ1355" s="1"/>
      <c r="CR1355" s="1"/>
      <c r="CS1355" s="1"/>
      <c r="CT1355" s="1"/>
      <c r="CU1355" s="1"/>
      <c r="CV1355" s="1"/>
      <c r="CW1355" s="1"/>
      <c r="CX1355" s="1"/>
      <c r="CY1355" s="1"/>
      <c r="CZ1355" s="1"/>
      <c r="DA1355" s="1"/>
      <c r="DB1355" s="1"/>
      <c r="DC1355" s="1"/>
    </row>
    <row r="1356" spans="1:107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  <c r="BF1356" s="1"/>
      <c r="BG1356" s="1"/>
      <c r="BH1356" s="1"/>
      <c r="BI1356" s="1"/>
      <c r="BJ1356" s="1"/>
      <c r="BK1356" s="1"/>
      <c r="BL1356" s="1"/>
      <c r="BM1356" s="1"/>
      <c r="BN1356" s="1"/>
      <c r="BO1356" s="1"/>
      <c r="BP1356" s="1"/>
      <c r="BQ1356" s="1"/>
      <c r="BR1356" s="1"/>
      <c r="BS1356" s="1"/>
      <c r="BT1356" s="1"/>
      <c r="BU1356" s="1"/>
      <c r="BV1356" s="1"/>
      <c r="BW1356" s="1"/>
      <c r="BX1356" s="1"/>
      <c r="BY1356" s="1"/>
      <c r="BZ1356" s="1"/>
      <c r="CA1356" s="1"/>
      <c r="CB1356" s="1"/>
      <c r="CC1356" s="1"/>
      <c r="CD1356" s="1"/>
      <c r="CE1356" s="1"/>
      <c r="CF1356" s="1"/>
      <c r="CG1356" s="1"/>
      <c r="CH1356" s="1"/>
      <c r="CI1356" s="1"/>
      <c r="CJ1356" s="1"/>
      <c r="CK1356" s="1"/>
      <c r="CL1356" s="1"/>
      <c r="CM1356" s="1"/>
      <c r="CN1356" s="1"/>
      <c r="CO1356" s="1"/>
      <c r="CP1356" s="1"/>
      <c r="CQ1356" s="1"/>
      <c r="CR1356" s="1"/>
      <c r="CS1356" s="1"/>
      <c r="CT1356" s="1"/>
      <c r="CU1356" s="1"/>
      <c r="CV1356" s="1"/>
      <c r="CW1356" s="1"/>
      <c r="CX1356" s="1"/>
      <c r="CY1356" s="1"/>
      <c r="CZ1356" s="1"/>
      <c r="DA1356" s="1"/>
      <c r="DB1356" s="1"/>
      <c r="DC1356" s="1"/>
    </row>
    <row r="1357" spans="1:107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  <c r="BF1357" s="1"/>
      <c r="BG1357" s="1"/>
      <c r="BH1357" s="1"/>
      <c r="BI1357" s="1"/>
      <c r="BJ1357" s="1"/>
      <c r="BK1357" s="1"/>
      <c r="BL1357" s="1"/>
      <c r="BM1357" s="1"/>
      <c r="BN1357" s="1"/>
      <c r="BO1357" s="1"/>
      <c r="BP1357" s="1"/>
      <c r="BQ1357" s="1"/>
      <c r="BR1357" s="1"/>
      <c r="BS1357" s="1"/>
      <c r="BT1357" s="1"/>
      <c r="BU1357" s="1"/>
      <c r="BV1357" s="1"/>
      <c r="BW1357" s="1"/>
      <c r="BX1357" s="1"/>
      <c r="BY1357" s="1"/>
      <c r="BZ1357" s="1"/>
      <c r="CA1357" s="1"/>
      <c r="CB1357" s="1"/>
      <c r="CC1357" s="1"/>
      <c r="CD1357" s="1"/>
      <c r="CE1357" s="1"/>
      <c r="CF1357" s="1"/>
      <c r="CG1357" s="1"/>
      <c r="CH1357" s="1"/>
      <c r="CI1357" s="1"/>
      <c r="CJ1357" s="1"/>
      <c r="CK1357" s="1"/>
      <c r="CL1357" s="1"/>
      <c r="CM1357" s="1"/>
      <c r="CN1357" s="1"/>
      <c r="CO1357" s="1"/>
      <c r="CP1357" s="1"/>
      <c r="CQ1357" s="1"/>
      <c r="CR1357" s="1"/>
      <c r="CS1357" s="1"/>
      <c r="CT1357" s="1"/>
      <c r="CU1357" s="1"/>
      <c r="CV1357" s="1"/>
      <c r="CW1357" s="1"/>
      <c r="CX1357" s="1"/>
      <c r="CY1357" s="1"/>
      <c r="CZ1357" s="1"/>
      <c r="DA1357" s="1"/>
      <c r="DB1357" s="1"/>
      <c r="DC1357" s="1"/>
    </row>
    <row r="1358" spans="1:107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  <c r="BF1358" s="1"/>
      <c r="BG1358" s="1"/>
      <c r="BH1358" s="1"/>
      <c r="BI1358" s="1"/>
      <c r="BJ1358" s="1"/>
      <c r="BK1358" s="1"/>
      <c r="BL1358" s="1"/>
      <c r="BM1358" s="1"/>
      <c r="BN1358" s="1"/>
      <c r="BO1358" s="1"/>
      <c r="BP1358" s="1"/>
      <c r="BQ1358" s="1"/>
      <c r="BR1358" s="1"/>
      <c r="BS1358" s="1"/>
      <c r="BT1358" s="1"/>
      <c r="BU1358" s="1"/>
      <c r="BV1358" s="1"/>
      <c r="BW1358" s="1"/>
      <c r="BX1358" s="1"/>
      <c r="BY1358" s="1"/>
      <c r="BZ1358" s="1"/>
      <c r="CA1358" s="1"/>
      <c r="CB1358" s="1"/>
      <c r="CC1358" s="1"/>
      <c r="CD1358" s="1"/>
      <c r="CE1358" s="1"/>
      <c r="CF1358" s="1"/>
      <c r="CG1358" s="1"/>
      <c r="CH1358" s="1"/>
      <c r="CI1358" s="1"/>
      <c r="CJ1358" s="1"/>
      <c r="CK1358" s="1"/>
      <c r="CL1358" s="1"/>
      <c r="CM1358" s="1"/>
      <c r="CN1358" s="1"/>
      <c r="CO1358" s="1"/>
      <c r="CP1358" s="1"/>
      <c r="CQ1358" s="1"/>
      <c r="CR1358" s="1"/>
      <c r="CS1358" s="1"/>
      <c r="CT1358" s="1"/>
      <c r="CU1358" s="1"/>
      <c r="CV1358" s="1"/>
      <c r="CW1358" s="1"/>
      <c r="CX1358" s="1"/>
      <c r="CY1358" s="1"/>
      <c r="CZ1358" s="1"/>
      <c r="DA1358" s="1"/>
      <c r="DB1358" s="1"/>
      <c r="DC1358" s="1"/>
    </row>
    <row r="1359" spans="1:107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 s="1"/>
      <c r="BG1359" s="1"/>
      <c r="BH1359" s="1"/>
      <c r="BI1359" s="1"/>
      <c r="BJ1359" s="1"/>
      <c r="BK1359" s="1"/>
      <c r="BL1359" s="1"/>
      <c r="BM1359" s="1"/>
      <c r="BN1359" s="1"/>
      <c r="BO1359" s="1"/>
      <c r="BP1359" s="1"/>
      <c r="BQ1359" s="1"/>
      <c r="BR1359" s="1"/>
      <c r="BS1359" s="1"/>
      <c r="BT1359" s="1"/>
      <c r="BU1359" s="1"/>
      <c r="BV1359" s="1"/>
      <c r="BW1359" s="1"/>
      <c r="BX1359" s="1"/>
      <c r="BY1359" s="1"/>
      <c r="BZ1359" s="1"/>
      <c r="CA1359" s="1"/>
      <c r="CB1359" s="1"/>
      <c r="CC1359" s="1"/>
      <c r="CD1359" s="1"/>
      <c r="CE1359" s="1"/>
      <c r="CF1359" s="1"/>
      <c r="CG1359" s="1"/>
      <c r="CH1359" s="1"/>
      <c r="CI1359" s="1"/>
      <c r="CJ1359" s="1"/>
      <c r="CK1359" s="1"/>
      <c r="CL1359" s="1"/>
      <c r="CM1359" s="1"/>
      <c r="CN1359" s="1"/>
      <c r="CO1359" s="1"/>
      <c r="CP1359" s="1"/>
      <c r="CQ1359" s="1"/>
      <c r="CR1359" s="1"/>
      <c r="CS1359" s="1"/>
      <c r="CT1359" s="1"/>
      <c r="CU1359" s="1"/>
      <c r="CV1359" s="1"/>
      <c r="CW1359" s="1"/>
      <c r="CX1359" s="1"/>
      <c r="CY1359" s="1"/>
      <c r="CZ1359" s="1"/>
      <c r="DA1359" s="1"/>
      <c r="DB1359" s="1"/>
      <c r="DC1359" s="1"/>
    </row>
    <row r="1360" spans="1:107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  <c r="BG1360" s="1"/>
      <c r="BH1360" s="1"/>
      <c r="BI1360" s="1"/>
      <c r="BJ1360" s="1"/>
      <c r="BK1360" s="1"/>
      <c r="BL1360" s="1"/>
      <c r="BM1360" s="1"/>
      <c r="BN1360" s="1"/>
      <c r="BO1360" s="1"/>
      <c r="BP1360" s="1"/>
      <c r="BQ1360" s="1"/>
      <c r="BR1360" s="1"/>
      <c r="BS1360" s="1"/>
      <c r="BT1360" s="1"/>
      <c r="BU1360" s="1"/>
      <c r="BV1360" s="1"/>
      <c r="BW1360" s="1"/>
      <c r="BX1360" s="1"/>
      <c r="BY1360" s="1"/>
      <c r="BZ1360" s="1"/>
      <c r="CA1360" s="1"/>
      <c r="CB1360" s="1"/>
      <c r="CC1360" s="1"/>
      <c r="CD1360" s="1"/>
      <c r="CE1360" s="1"/>
      <c r="CF1360" s="1"/>
      <c r="CG1360" s="1"/>
      <c r="CH1360" s="1"/>
      <c r="CI1360" s="1"/>
      <c r="CJ1360" s="1"/>
      <c r="CK1360" s="1"/>
      <c r="CL1360" s="1"/>
      <c r="CM1360" s="1"/>
      <c r="CN1360" s="1"/>
      <c r="CO1360" s="1"/>
      <c r="CP1360" s="1"/>
      <c r="CQ1360" s="1"/>
      <c r="CR1360" s="1"/>
      <c r="CS1360" s="1"/>
      <c r="CT1360" s="1"/>
      <c r="CU1360" s="1"/>
      <c r="CV1360" s="1"/>
      <c r="CW1360" s="1"/>
      <c r="CX1360" s="1"/>
      <c r="CY1360" s="1"/>
      <c r="CZ1360" s="1"/>
      <c r="DA1360" s="1"/>
      <c r="DB1360" s="1"/>
      <c r="DC1360" s="1"/>
    </row>
    <row r="1361" spans="1:107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  <c r="BF1361" s="1"/>
      <c r="BG1361" s="1"/>
      <c r="BH1361" s="1"/>
      <c r="BI1361" s="1"/>
      <c r="BJ1361" s="1"/>
      <c r="BK1361" s="1"/>
      <c r="BL1361" s="1"/>
      <c r="BM1361" s="1"/>
      <c r="BN1361" s="1"/>
      <c r="BO1361" s="1"/>
      <c r="BP1361" s="1"/>
      <c r="BQ1361" s="1"/>
      <c r="BR1361" s="1"/>
      <c r="BS1361" s="1"/>
      <c r="BT1361" s="1"/>
      <c r="BU1361" s="1"/>
      <c r="BV1361" s="1"/>
      <c r="BW1361" s="1"/>
      <c r="BX1361" s="1"/>
      <c r="BY1361" s="1"/>
      <c r="BZ1361" s="1"/>
      <c r="CA1361" s="1"/>
      <c r="CB1361" s="1"/>
      <c r="CC1361" s="1"/>
      <c r="CD1361" s="1"/>
      <c r="CE1361" s="1"/>
      <c r="CF1361" s="1"/>
      <c r="CG1361" s="1"/>
      <c r="CH1361" s="1"/>
      <c r="CI1361" s="1"/>
      <c r="CJ1361" s="1"/>
      <c r="CK1361" s="1"/>
      <c r="CL1361" s="1"/>
      <c r="CM1361" s="1"/>
      <c r="CN1361" s="1"/>
      <c r="CO1361" s="1"/>
      <c r="CP1361" s="1"/>
      <c r="CQ1361" s="1"/>
      <c r="CR1361" s="1"/>
      <c r="CS1361" s="1"/>
      <c r="CT1361" s="1"/>
      <c r="CU1361" s="1"/>
      <c r="CV1361" s="1"/>
      <c r="CW1361" s="1"/>
      <c r="CX1361" s="1"/>
      <c r="CY1361" s="1"/>
      <c r="CZ1361" s="1"/>
      <c r="DA1361" s="1"/>
      <c r="DB1361" s="1"/>
      <c r="DC1361" s="1"/>
    </row>
    <row r="1362" spans="1:107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  <c r="BF1362" s="1"/>
      <c r="BG1362" s="1"/>
      <c r="BH1362" s="1"/>
      <c r="BI1362" s="1"/>
      <c r="BJ1362" s="1"/>
      <c r="BK1362" s="1"/>
      <c r="BL1362" s="1"/>
      <c r="BM1362" s="1"/>
      <c r="BN1362" s="1"/>
      <c r="BO1362" s="1"/>
      <c r="BP1362" s="1"/>
      <c r="BQ1362" s="1"/>
      <c r="BR1362" s="1"/>
      <c r="BS1362" s="1"/>
      <c r="BT1362" s="1"/>
      <c r="BU1362" s="1"/>
      <c r="BV1362" s="1"/>
      <c r="BW1362" s="1"/>
      <c r="BX1362" s="1"/>
      <c r="BY1362" s="1"/>
      <c r="BZ1362" s="1"/>
      <c r="CA1362" s="1"/>
      <c r="CB1362" s="1"/>
      <c r="CC1362" s="1"/>
      <c r="CD1362" s="1"/>
      <c r="CE1362" s="1"/>
      <c r="CF1362" s="1"/>
      <c r="CG1362" s="1"/>
      <c r="CH1362" s="1"/>
      <c r="CI1362" s="1"/>
      <c r="CJ1362" s="1"/>
      <c r="CK1362" s="1"/>
      <c r="CL1362" s="1"/>
      <c r="CM1362" s="1"/>
      <c r="CN1362" s="1"/>
      <c r="CO1362" s="1"/>
      <c r="CP1362" s="1"/>
      <c r="CQ1362" s="1"/>
      <c r="CR1362" s="1"/>
      <c r="CS1362" s="1"/>
      <c r="CT1362" s="1"/>
      <c r="CU1362" s="1"/>
      <c r="CV1362" s="1"/>
      <c r="CW1362" s="1"/>
      <c r="CX1362" s="1"/>
      <c r="CY1362" s="1"/>
      <c r="CZ1362" s="1"/>
      <c r="DA1362" s="1"/>
      <c r="DB1362" s="1"/>
      <c r="DC1362" s="1"/>
    </row>
    <row r="1363" spans="1:107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/>
      <c r="BG1363" s="1"/>
      <c r="BH1363" s="1"/>
      <c r="BI1363" s="1"/>
      <c r="BJ1363" s="1"/>
      <c r="BK1363" s="1"/>
      <c r="BL1363" s="1"/>
      <c r="BM1363" s="1"/>
      <c r="BN1363" s="1"/>
      <c r="BO1363" s="1"/>
      <c r="BP1363" s="1"/>
      <c r="BQ1363" s="1"/>
      <c r="BR1363" s="1"/>
      <c r="BS1363" s="1"/>
      <c r="BT1363" s="1"/>
      <c r="BU1363" s="1"/>
      <c r="BV1363" s="1"/>
      <c r="BW1363" s="1"/>
      <c r="BX1363" s="1"/>
      <c r="BY1363" s="1"/>
      <c r="BZ1363" s="1"/>
      <c r="CA1363" s="1"/>
      <c r="CB1363" s="1"/>
      <c r="CC1363" s="1"/>
      <c r="CD1363" s="1"/>
      <c r="CE1363" s="1"/>
      <c r="CF1363" s="1"/>
      <c r="CG1363" s="1"/>
      <c r="CH1363" s="1"/>
      <c r="CI1363" s="1"/>
      <c r="CJ1363" s="1"/>
      <c r="CK1363" s="1"/>
      <c r="CL1363" s="1"/>
      <c r="CM1363" s="1"/>
      <c r="CN1363" s="1"/>
      <c r="CO1363" s="1"/>
      <c r="CP1363" s="1"/>
      <c r="CQ1363" s="1"/>
      <c r="CR1363" s="1"/>
      <c r="CS1363" s="1"/>
      <c r="CT1363" s="1"/>
      <c r="CU1363" s="1"/>
      <c r="CV1363" s="1"/>
      <c r="CW1363" s="1"/>
      <c r="CX1363" s="1"/>
      <c r="CY1363" s="1"/>
      <c r="CZ1363" s="1"/>
      <c r="DA1363" s="1"/>
      <c r="DB1363" s="1"/>
      <c r="DC1363" s="1"/>
    </row>
    <row r="1364" spans="1:107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  <c r="BF1364" s="1"/>
      <c r="BG1364" s="1"/>
      <c r="BH1364" s="1"/>
      <c r="BI1364" s="1"/>
      <c r="BJ1364" s="1"/>
      <c r="BK1364" s="1"/>
      <c r="BL1364" s="1"/>
      <c r="BM1364" s="1"/>
      <c r="BN1364" s="1"/>
      <c r="BO1364" s="1"/>
      <c r="BP1364" s="1"/>
      <c r="BQ1364" s="1"/>
      <c r="BR1364" s="1"/>
      <c r="BS1364" s="1"/>
      <c r="BT1364" s="1"/>
      <c r="BU1364" s="1"/>
      <c r="BV1364" s="1"/>
      <c r="BW1364" s="1"/>
      <c r="BX1364" s="1"/>
      <c r="BY1364" s="1"/>
      <c r="BZ1364" s="1"/>
      <c r="CA1364" s="1"/>
      <c r="CB1364" s="1"/>
      <c r="CC1364" s="1"/>
      <c r="CD1364" s="1"/>
      <c r="CE1364" s="1"/>
      <c r="CF1364" s="1"/>
      <c r="CG1364" s="1"/>
      <c r="CH1364" s="1"/>
      <c r="CI1364" s="1"/>
      <c r="CJ1364" s="1"/>
      <c r="CK1364" s="1"/>
      <c r="CL1364" s="1"/>
      <c r="CM1364" s="1"/>
      <c r="CN1364" s="1"/>
      <c r="CO1364" s="1"/>
      <c r="CP1364" s="1"/>
      <c r="CQ1364" s="1"/>
      <c r="CR1364" s="1"/>
      <c r="CS1364" s="1"/>
      <c r="CT1364" s="1"/>
      <c r="CU1364" s="1"/>
      <c r="CV1364" s="1"/>
      <c r="CW1364" s="1"/>
      <c r="CX1364" s="1"/>
      <c r="CY1364" s="1"/>
      <c r="CZ1364" s="1"/>
      <c r="DA1364" s="1"/>
      <c r="DB1364" s="1"/>
      <c r="DC1364" s="1"/>
    </row>
    <row r="1365" spans="1:107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  <c r="BF1365" s="1"/>
      <c r="BG1365" s="1"/>
      <c r="BH1365" s="1"/>
      <c r="BI1365" s="1"/>
      <c r="BJ1365" s="1"/>
      <c r="BK1365" s="1"/>
      <c r="BL1365" s="1"/>
      <c r="BM1365" s="1"/>
      <c r="BN1365" s="1"/>
      <c r="BO1365" s="1"/>
      <c r="BP1365" s="1"/>
      <c r="BQ1365" s="1"/>
      <c r="BR1365" s="1"/>
      <c r="BS1365" s="1"/>
      <c r="BT1365" s="1"/>
      <c r="BU1365" s="1"/>
      <c r="BV1365" s="1"/>
      <c r="BW1365" s="1"/>
      <c r="BX1365" s="1"/>
      <c r="BY1365" s="1"/>
      <c r="BZ1365" s="1"/>
      <c r="CA1365" s="1"/>
      <c r="CB1365" s="1"/>
      <c r="CC1365" s="1"/>
      <c r="CD1365" s="1"/>
      <c r="CE1365" s="1"/>
      <c r="CF1365" s="1"/>
      <c r="CG1365" s="1"/>
      <c r="CH1365" s="1"/>
      <c r="CI1365" s="1"/>
      <c r="CJ1365" s="1"/>
      <c r="CK1365" s="1"/>
      <c r="CL1365" s="1"/>
      <c r="CM1365" s="1"/>
      <c r="CN1365" s="1"/>
      <c r="CO1365" s="1"/>
      <c r="CP1365" s="1"/>
      <c r="CQ1365" s="1"/>
      <c r="CR1365" s="1"/>
      <c r="CS1365" s="1"/>
      <c r="CT1365" s="1"/>
      <c r="CU1365" s="1"/>
      <c r="CV1365" s="1"/>
      <c r="CW1365" s="1"/>
      <c r="CX1365" s="1"/>
      <c r="CY1365" s="1"/>
      <c r="CZ1365" s="1"/>
      <c r="DA1365" s="1"/>
      <c r="DB1365" s="1"/>
      <c r="DC1365" s="1"/>
    </row>
    <row r="1366" spans="1:107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 s="1"/>
      <c r="BG1366" s="1"/>
      <c r="BH1366" s="1"/>
      <c r="BI1366" s="1"/>
      <c r="BJ1366" s="1"/>
      <c r="BK1366" s="1"/>
      <c r="BL1366" s="1"/>
      <c r="BM1366" s="1"/>
      <c r="BN1366" s="1"/>
      <c r="BO1366" s="1"/>
      <c r="BP1366" s="1"/>
      <c r="BQ1366" s="1"/>
      <c r="BR1366" s="1"/>
      <c r="BS1366" s="1"/>
      <c r="BT1366" s="1"/>
      <c r="BU1366" s="1"/>
      <c r="BV1366" s="1"/>
      <c r="BW1366" s="1"/>
      <c r="BX1366" s="1"/>
      <c r="BY1366" s="1"/>
      <c r="BZ1366" s="1"/>
      <c r="CA1366" s="1"/>
      <c r="CB1366" s="1"/>
      <c r="CC1366" s="1"/>
      <c r="CD1366" s="1"/>
      <c r="CE1366" s="1"/>
      <c r="CF1366" s="1"/>
      <c r="CG1366" s="1"/>
      <c r="CH1366" s="1"/>
      <c r="CI1366" s="1"/>
      <c r="CJ1366" s="1"/>
      <c r="CK1366" s="1"/>
      <c r="CL1366" s="1"/>
      <c r="CM1366" s="1"/>
      <c r="CN1366" s="1"/>
      <c r="CO1366" s="1"/>
      <c r="CP1366" s="1"/>
      <c r="CQ1366" s="1"/>
      <c r="CR1366" s="1"/>
      <c r="CS1366" s="1"/>
      <c r="CT1366" s="1"/>
      <c r="CU1366" s="1"/>
      <c r="CV1366" s="1"/>
      <c r="CW1366" s="1"/>
      <c r="CX1366" s="1"/>
      <c r="CY1366" s="1"/>
      <c r="CZ1366" s="1"/>
      <c r="DA1366" s="1"/>
      <c r="DB1366" s="1"/>
      <c r="DC1366" s="1"/>
    </row>
    <row r="1367" spans="1:107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  <c r="BF1367" s="1"/>
      <c r="BG1367" s="1"/>
      <c r="BH1367" s="1"/>
      <c r="BI1367" s="1"/>
      <c r="BJ1367" s="1"/>
      <c r="BK1367" s="1"/>
      <c r="BL1367" s="1"/>
      <c r="BM1367" s="1"/>
      <c r="BN1367" s="1"/>
      <c r="BO1367" s="1"/>
      <c r="BP1367" s="1"/>
      <c r="BQ1367" s="1"/>
      <c r="BR1367" s="1"/>
      <c r="BS1367" s="1"/>
      <c r="BT1367" s="1"/>
      <c r="BU1367" s="1"/>
      <c r="BV1367" s="1"/>
      <c r="BW1367" s="1"/>
      <c r="BX1367" s="1"/>
      <c r="BY1367" s="1"/>
      <c r="BZ1367" s="1"/>
      <c r="CA1367" s="1"/>
      <c r="CB1367" s="1"/>
      <c r="CC1367" s="1"/>
      <c r="CD1367" s="1"/>
      <c r="CE1367" s="1"/>
      <c r="CF1367" s="1"/>
      <c r="CG1367" s="1"/>
      <c r="CH1367" s="1"/>
      <c r="CI1367" s="1"/>
      <c r="CJ1367" s="1"/>
      <c r="CK1367" s="1"/>
      <c r="CL1367" s="1"/>
      <c r="CM1367" s="1"/>
      <c r="CN1367" s="1"/>
      <c r="CO1367" s="1"/>
      <c r="CP1367" s="1"/>
      <c r="CQ1367" s="1"/>
      <c r="CR1367" s="1"/>
      <c r="CS1367" s="1"/>
      <c r="CT1367" s="1"/>
      <c r="CU1367" s="1"/>
      <c r="CV1367" s="1"/>
      <c r="CW1367" s="1"/>
      <c r="CX1367" s="1"/>
      <c r="CY1367" s="1"/>
      <c r="CZ1367" s="1"/>
      <c r="DA1367" s="1"/>
      <c r="DB1367" s="1"/>
      <c r="DC1367" s="1"/>
    </row>
    <row r="1368" spans="1:107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  <c r="BF1368" s="1"/>
      <c r="BG1368" s="1"/>
      <c r="BH1368" s="1"/>
      <c r="BI1368" s="1"/>
      <c r="BJ1368" s="1"/>
      <c r="BK1368" s="1"/>
      <c r="BL1368" s="1"/>
      <c r="BM1368" s="1"/>
      <c r="BN1368" s="1"/>
      <c r="BO1368" s="1"/>
      <c r="BP1368" s="1"/>
      <c r="BQ1368" s="1"/>
      <c r="BR1368" s="1"/>
      <c r="BS1368" s="1"/>
      <c r="BT1368" s="1"/>
      <c r="BU1368" s="1"/>
      <c r="BV1368" s="1"/>
      <c r="BW1368" s="1"/>
      <c r="BX1368" s="1"/>
      <c r="BY1368" s="1"/>
      <c r="BZ1368" s="1"/>
      <c r="CA1368" s="1"/>
      <c r="CB1368" s="1"/>
      <c r="CC1368" s="1"/>
      <c r="CD1368" s="1"/>
      <c r="CE1368" s="1"/>
      <c r="CF1368" s="1"/>
      <c r="CG1368" s="1"/>
      <c r="CH1368" s="1"/>
      <c r="CI1368" s="1"/>
      <c r="CJ1368" s="1"/>
      <c r="CK1368" s="1"/>
      <c r="CL1368" s="1"/>
      <c r="CM1368" s="1"/>
      <c r="CN1368" s="1"/>
      <c r="CO1368" s="1"/>
      <c r="CP1368" s="1"/>
      <c r="CQ1368" s="1"/>
      <c r="CR1368" s="1"/>
      <c r="CS1368" s="1"/>
      <c r="CT1368" s="1"/>
      <c r="CU1368" s="1"/>
      <c r="CV1368" s="1"/>
      <c r="CW1368" s="1"/>
      <c r="CX1368" s="1"/>
      <c r="CY1368" s="1"/>
      <c r="CZ1368" s="1"/>
      <c r="DA1368" s="1"/>
      <c r="DB1368" s="1"/>
      <c r="DC1368" s="1"/>
    </row>
    <row r="1369" spans="1:107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  <c r="BG1369" s="1"/>
      <c r="BH1369" s="1"/>
      <c r="BI1369" s="1"/>
      <c r="BJ1369" s="1"/>
      <c r="BK1369" s="1"/>
      <c r="BL1369" s="1"/>
      <c r="BM1369" s="1"/>
      <c r="BN1369" s="1"/>
      <c r="BO1369" s="1"/>
      <c r="BP1369" s="1"/>
      <c r="BQ1369" s="1"/>
      <c r="BR1369" s="1"/>
      <c r="BS1369" s="1"/>
      <c r="BT1369" s="1"/>
      <c r="BU1369" s="1"/>
      <c r="BV1369" s="1"/>
      <c r="BW1369" s="1"/>
      <c r="BX1369" s="1"/>
      <c r="BY1369" s="1"/>
      <c r="BZ1369" s="1"/>
      <c r="CA1369" s="1"/>
      <c r="CB1369" s="1"/>
      <c r="CC1369" s="1"/>
      <c r="CD1369" s="1"/>
      <c r="CE1369" s="1"/>
      <c r="CF1369" s="1"/>
      <c r="CG1369" s="1"/>
      <c r="CH1369" s="1"/>
      <c r="CI1369" s="1"/>
      <c r="CJ1369" s="1"/>
      <c r="CK1369" s="1"/>
      <c r="CL1369" s="1"/>
      <c r="CM1369" s="1"/>
      <c r="CN1369" s="1"/>
      <c r="CO1369" s="1"/>
      <c r="CP1369" s="1"/>
      <c r="CQ1369" s="1"/>
      <c r="CR1369" s="1"/>
      <c r="CS1369" s="1"/>
      <c r="CT1369" s="1"/>
      <c r="CU1369" s="1"/>
      <c r="CV1369" s="1"/>
      <c r="CW1369" s="1"/>
      <c r="CX1369" s="1"/>
      <c r="CY1369" s="1"/>
      <c r="CZ1369" s="1"/>
      <c r="DA1369" s="1"/>
      <c r="DB1369" s="1"/>
      <c r="DC1369" s="1"/>
    </row>
    <row r="1370" spans="1:107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  <c r="BF1370" s="1"/>
      <c r="BG1370" s="1"/>
      <c r="BH1370" s="1"/>
      <c r="BI1370" s="1"/>
      <c r="BJ1370" s="1"/>
      <c r="BK1370" s="1"/>
      <c r="BL1370" s="1"/>
      <c r="BM1370" s="1"/>
      <c r="BN1370" s="1"/>
      <c r="BO1370" s="1"/>
      <c r="BP1370" s="1"/>
      <c r="BQ1370" s="1"/>
      <c r="BR1370" s="1"/>
      <c r="BS1370" s="1"/>
      <c r="BT1370" s="1"/>
      <c r="BU1370" s="1"/>
      <c r="BV1370" s="1"/>
      <c r="BW1370" s="1"/>
      <c r="BX1370" s="1"/>
      <c r="BY1370" s="1"/>
      <c r="BZ1370" s="1"/>
      <c r="CA1370" s="1"/>
      <c r="CB1370" s="1"/>
      <c r="CC1370" s="1"/>
      <c r="CD1370" s="1"/>
      <c r="CE1370" s="1"/>
      <c r="CF1370" s="1"/>
      <c r="CG1370" s="1"/>
      <c r="CH1370" s="1"/>
      <c r="CI1370" s="1"/>
      <c r="CJ1370" s="1"/>
      <c r="CK1370" s="1"/>
      <c r="CL1370" s="1"/>
      <c r="CM1370" s="1"/>
      <c r="CN1370" s="1"/>
      <c r="CO1370" s="1"/>
      <c r="CP1370" s="1"/>
      <c r="CQ1370" s="1"/>
      <c r="CR1370" s="1"/>
      <c r="CS1370" s="1"/>
      <c r="CT1370" s="1"/>
      <c r="CU1370" s="1"/>
      <c r="CV1370" s="1"/>
      <c r="CW1370" s="1"/>
      <c r="CX1370" s="1"/>
      <c r="CY1370" s="1"/>
      <c r="CZ1370" s="1"/>
      <c r="DA1370" s="1"/>
      <c r="DB1370" s="1"/>
      <c r="DC1370" s="1"/>
    </row>
    <row r="1371" spans="1:107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  <c r="BF1371" s="1"/>
      <c r="BG1371" s="1"/>
      <c r="BH1371" s="1"/>
      <c r="BI1371" s="1"/>
      <c r="BJ1371" s="1"/>
      <c r="BK1371" s="1"/>
      <c r="BL1371" s="1"/>
      <c r="BM1371" s="1"/>
      <c r="BN1371" s="1"/>
      <c r="BO1371" s="1"/>
      <c r="BP1371" s="1"/>
      <c r="BQ1371" s="1"/>
      <c r="BR1371" s="1"/>
      <c r="BS1371" s="1"/>
      <c r="BT1371" s="1"/>
      <c r="BU1371" s="1"/>
      <c r="BV1371" s="1"/>
      <c r="BW1371" s="1"/>
      <c r="BX1371" s="1"/>
      <c r="BY1371" s="1"/>
      <c r="BZ1371" s="1"/>
      <c r="CA1371" s="1"/>
      <c r="CB1371" s="1"/>
      <c r="CC1371" s="1"/>
      <c r="CD1371" s="1"/>
      <c r="CE1371" s="1"/>
      <c r="CF1371" s="1"/>
      <c r="CG1371" s="1"/>
      <c r="CH1371" s="1"/>
      <c r="CI1371" s="1"/>
      <c r="CJ1371" s="1"/>
      <c r="CK1371" s="1"/>
      <c r="CL1371" s="1"/>
      <c r="CM1371" s="1"/>
      <c r="CN1371" s="1"/>
      <c r="CO1371" s="1"/>
      <c r="CP1371" s="1"/>
      <c r="CQ1371" s="1"/>
      <c r="CR1371" s="1"/>
      <c r="CS1371" s="1"/>
      <c r="CT1371" s="1"/>
      <c r="CU1371" s="1"/>
      <c r="CV1371" s="1"/>
      <c r="CW1371" s="1"/>
      <c r="CX1371" s="1"/>
      <c r="CY1371" s="1"/>
      <c r="CZ1371" s="1"/>
      <c r="DA1371" s="1"/>
      <c r="DB1371" s="1"/>
      <c r="DC1371" s="1"/>
    </row>
    <row r="1372" spans="1:107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  <c r="BF1372" s="1"/>
      <c r="BG1372" s="1"/>
      <c r="BH1372" s="1"/>
      <c r="BI1372" s="1"/>
      <c r="BJ1372" s="1"/>
      <c r="BK1372" s="1"/>
      <c r="BL1372" s="1"/>
      <c r="BM1372" s="1"/>
      <c r="BN1372" s="1"/>
      <c r="BO1372" s="1"/>
      <c r="BP1372" s="1"/>
      <c r="BQ1372" s="1"/>
      <c r="BR1372" s="1"/>
      <c r="BS1372" s="1"/>
      <c r="BT1372" s="1"/>
      <c r="BU1372" s="1"/>
      <c r="BV1372" s="1"/>
      <c r="BW1372" s="1"/>
      <c r="BX1372" s="1"/>
      <c r="BY1372" s="1"/>
      <c r="BZ1372" s="1"/>
      <c r="CA1372" s="1"/>
      <c r="CB1372" s="1"/>
      <c r="CC1372" s="1"/>
      <c r="CD1372" s="1"/>
      <c r="CE1372" s="1"/>
      <c r="CF1372" s="1"/>
      <c r="CG1372" s="1"/>
      <c r="CH1372" s="1"/>
      <c r="CI1372" s="1"/>
      <c r="CJ1372" s="1"/>
      <c r="CK1372" s="1"/>
      <c r="CL1372" s="1"/>
      <c r="CM1372" s="1"/>
      <c r="CN1372" s="1"/>
      <c r="CO1372" s="1"/>
      <c r="CP1372" s="1"/>
      <c r="CQ1372" s="1"/>
      <c r="CR1372" s="1"/>
      <c r="CS1372" s="1"/>
      <c r="CT1372" s="1"/>
      <c r="CU1372" s="1"/>
      <c r="CV1372" s="1"/>
      <c r="CW1372" s="1"/>
      <c r="CX1372" s="1"/>
      <c r="CY1372" s="1"/>
      <c r="CZ1372" s="1"/>
      <c r="DA1372" s="1"/>
      <c r="DB1372" s="1"/>
      <c r="DC1372" s="1"/>
    </row>
    <row r="1373" spans="1:107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  <c r="BF1373" s="1"/>
      <c r="BG1373" s="1"/>
      <c r="BH1373" s="1"/>
      <c r="BI1373" s="1"/>
      <c r="BJ1373" s="1"/>
      <c r="BK1373" s="1"/>
      <c r="BL1373" s="1"/>
      <c r="BM1373" s="1"/>
      <c r="BN1373" s="1"/>
      <c r="BO1373" s="1"/>
      <c r="BP1373" s="1"/>
      <c r="BQ1373" s="1"/>
      <c r="BR1373" s="1"/>
      <c r="BS1373" s="1"/>
      <c r="BT1373" s="1"/>
      <c r="BU1373" s="1"/>
      <c r="BV1373" s="1"/>
      <c r="BW1373" s="1"/>
      <c r="BX1373" s="1"/>
      <c r="BY1373" s="1"/>
      <c r="BZ1373" s="1"/>
      <c r="CA1373" s="1"/>
      <c r="CB1373" s="1"/>
      <c r="CC1373" s="1"/>
      <c r="CD1373" s="1"/>
      <c r="CE1373" s="1"/>
      <c r="CF1373" s="1"/>
      <c r="CG1373" s="1"/>
      <c r="CH1373" s="1"/>
      <c r="CI1373" s="1"/>
      <c r="CJ1373" s="1"/>
      <c r="CK1373" s="1"/>
      <c r="CL1373" s="1"/>
      <c r="CM1373" s="1"/>
      <c r="CN1373" s="1"/>
      <c r="CO1373" s="1"/>
      <c r="CP1373" s="1"/>
      <c r="CQ1373" s="1"/>
      <c r="CR1373" s="1"/>
      <c r="CS1373" s="1"/>
      <c r="CT1373" s="1"/>
      <c r="CU1373" s="1"/>
      <c r="CV1373" s="1"/>
      <c r="CW1373" s="1"/>
      <c r="CX1373" s="1"/>
      <c r="CY1373" s="1"/>
      <c r="CZ1373" s="1"/>
      <c r="DA1373" s="1"/>
      <c r="DB1373" s="1"/>
      <c r="DC1373" s="1"/>
    </row>
    <row r="1374" spans="1:107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E1374" s="1"/>
      <c r="BF1374" s="1"/>
      <c r="BG1374" s="1"/>
      <c r="BH1374" s="1"/>
      <c r="BI1374" s="1"/>
      <c r="BJ1374" s="1"/>
      <c r="BK1374" s="1"/>
      <c r="BL1374" s="1"/>
      <c r="BM1374" s="1"/>
      <c r="BN1374" s="1"/>
      <c r="BO1374" s="1"/>
      <c r="BP1374" s="1"/>
      <c r="BQ1374" s="1"/>
      <c r="BR1374" s="1"/>
      <c r="BS1374" s="1"/>
      <c r="BT1374" s="1"/>
      <c r="BU1374" s="1"/>
      <c r="BV1374" s="1"/>
      <c r="BW1374" s="1"/>
      <c r="BX1374" s="1"/>
      <c r="BY1374" s="1"/>
      <c r="BZ1374" s="1"/>
      <c r="CA1374" s="1"/>
      <c r="CB1374" s="1"/>
      <c r="CC1374" s="1"/>
      <c r="CD1374" s="1"/>
      <c r="CE1374" s="1"/>
      <c r="CF1374" s="1"/>
      <c r="CG1374" s="1"/>
      <c r="CH1374" s="1"/>
      <c r="CI1374" s="1"/>
      <c r="CJ1374" s="1"/>
      <c r="CK1374" s="1"/>
      <c r="CL1374" s="1"/>
      <c r="CM1374" s="1"/>
      <c r="CN1374" s="1"/>
      <c r="CO1374" s="1"/>
      <c r="CP1374" s="1"/>
      <c r="CQ1374" s="1"/>
      <c r="CR1374" s="1"/>
      <c r="CS1374" s="1"/>
      <c r="CT1374" s="1"/>
      <c r="CU1374" s="1"/>
      <c r="CV1374" s="1"/>
      <c r="CW1374" s="1"/>
      <c r="CX1374" s="1"/>
      <c r="CY1374" s="1"/>
      <c r="CZ1374" s="1"/>
      <c r="DA1374" s="1"/>
      <c r="DB1374" s="1"/>
      <c r="DC1374" s="1"/>
    </row>
    <row r="1375" spans="1:107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  <c r="BF1375" s="1"/>
      <c r="BG1375" s="1"/>
      <c r="BH1375" s="1"/>
      <c r="BI1375" s="1"/>
      <c r="BJ1375" s="1"/>
      <c r="BK1375" s="1"/>
      <c r="BL1375" s="1"/>
      <c r="BM1375" s="1"/>
      <c r="BN1375" s="1"/>
      <c r="BO1375" s="1"/>
      <c r="BP1375" s="1"/>
      <c r="BQ1375" s="1"/>
      <c r="BR1375" s="1"/>
      <c r="BS1375" s="1"/>
      <c r="BT1375" s="1"/>
      <c r="BU1375" s="1"/>
      <c r="BV1375" s="1"/>
      <c r="BW1375" s="1"/>
      <c r="BX1375" s="1"/>
      <c r="BY1375" s="1"/>
      <c r="BZ1375" s="1"/>
      <c r="CA1375" s="1"/>
      <c r="CB1375" s="1"/>
      <c r="CC1375" s="1"/>
      <c r="CD1375" s="1"/>
      <c r="CE1375" s="1"/>
      <c r="CF1375" s="1"/>
      <c r="CG1375" s="1"/>
      <c r="CH1375" s="1"/>
      <c r="CI1375" s="1"/>
      <c r="CJ1375" s="1"/>
      <c r="CK1375" s="1"/>
      <c r="CL1375" s="1"/>
      <c r="CM1375" s="1"/>
      <c r="CN1375" s="1"/>
      <c r="CO1375" s="1"/>
      <c r="CP1375" s="1"/>
      <c r="CQ1375" s="1"/>
      <c r="CR1375" s="1"/>
      <c r="CS1375" s="1"/>
      <c r="CT1375" s="1"/>
      <c r="CU1375" s="1"/>
      <c r="CV1375" s="1"/>
      <c r="CW1375" s="1"/>
      <c r="CX1375" s="1"/>
      <c r="CY1375" s="1"/>
      <c r="CZ1375" s="1"/>
      <c r="DA1375" s="1"/>
      <c r="DB1375" s="1"/>
      <c r="DC1375" s="1"/>
    </row>
    <row r="1376" spans="1:107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  <c r="BF1376" s="1"/>
      <c r="BG1376" s="1"/>
      <c r="BH1376" s="1"/>
      <c r="BI1376" s="1"/>
      <c r="BJ1376" s="1"/>
      <c r="BK1376" s="1"/>
      <c r="BL1376" s="1"/>
      <c r="BM1376" s="1"/>
      <c r="BN1376" s="1"/>
      <c r="BO1376" s="1"/>
      <c r="BP1376" s="1"/>
      <c r="BQ1376" s="1"/>
      <c r="BR1376" s="1"/>
      <c r="BS1376" s="1"/>
      <c r="BT1376" s="1"/>
      <c r="BU1376" s="1"/>
      <c r="BV1376" s="1"/>
      <c r="BW1376" s="1"/>
      <c r="BX1376" s="1"/>
      <c r="BY1376" s="1"/>
      <c r="BZ1376" s="1"/>
      <c r="CA1376" s="1"/>
      <c r="CB1376" s="1"/>
      <c r="CC1376" s="1"/>
      <c r="CD1376" s="1"/>
      <c r="CE1376" s="1"/>
      <c r="CF1376" s="1"/>
      <c r="CG1376" s="1"/>
      <c r="CH1376" s="1"/>
      <c r="CI1376" s="1"/>
      <c r="CJ1376" s="1"/>
      <c r="CK1376" s="1"/>
      <c r="CL1376" s="1"/>
      <c r="CM1376" s="1"/>
      <c r="CN1376" s="1"/>
      <c r="CO1376" s="1"/>
      <c r="CP1376" s="1"/>
      <c r="CQ1376" s="1"/>
      <c r="CR1376" s="1"/>
      <c r="CS1376" s="1"/>
      <c r="CT1376" s="1"/>
      <c r="CU1376" s="1"/>
      <c r="CV1376" s="1"/>
      <c r="CW1376" s="1"/>
      <c r="CX1376" s="1"/>
      <c r="CY1376" s="1"/>
      <c r="CZ1376" s="1"/>
      <c r="DA1376" s="1"/>
      <c r="DB1376" s="1"/>
      <c r="DC1376" s="1"/>
    </row>
    <row r="1377" spans="1:107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  <c r="BI1377" s="1"/>
      <c r="BJ1377" s="1"/>
      <c r="BK1377" s="1"/>
      <c r="BL1377" s="1"/>
      <c r="BM1377" s="1"/>
      <c r="BN1377" s="1"/>
      <c r="BO1377" s="1"/>
      <c r="BP1377" s="1"/>
      <c r="BQ1377" s="1"/>
      <c r="BR1377" s="1"/>
      <c r="BS1377" s="1"/>
      <c r="BT1377" s="1"/>
      <c r="BU1377" s="1"/>
      <c r="BV1377" s="1"/>
      <c r="BW1377" s="1"/>
      <c r="BX1377" s="1"/>
      <c r="BY1377" s="1"/>
      <c r="BZ1377" s="1"/>
      <c r="CA1377" s="1"/>
      <c r="CB1377" s="1"/>
      <c r="CC1377" s="1"/>
      <c r="CD1377" s="1"/>
      <c r="CE1377" s="1"/>
      <c r="CF1377" s="1"/>
      <c r="CG1377" s="1"/>
      <c r="CH1377" s="1"/>
      <c r="CI1377" s="1"/>
      <c r="CJ1377" s="1"/>
      <c r="CK1377" s="1"/>
      <c r="CL1377" s="1"/>
      <c r="CM1377" s="1"/>
      <c r="CN1377" s="1"/>
      <c r="CO1377" s="1"/>
      <c r="CP1377" s="1"/>
      <c r="CQ1377" s="1"/>
      <c r="CR1377" s="1"/>
      <c r="CS1377" s="1"/>
      <c r="CT1377" s="1"/>
      <c r="CU1377" s="1"/>
      <c r="CV1377" s="1"/>
      <c r="CW1377" s="1"/>
      <c r="CX1377" s="1"/>
      <c r="CY1377" s="1"/>
      <c r="CZ1377" s="1"/>
      <c r="DA1377" s="1"/>
      <c r="DB1377" s="1"/>
      <c r="DC1377" s="1"/>
    </row>
    <row r="1378" spans="1:107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1"/>
      <c r="BG1378" s="1"/>
      <c r="BH1378" s="1"/>
      <c r="BI1378" s="1"/>
      <c r="BJ1378" s="1"/>
      <c r="BK1378" s="1"/>
      <c r="BL1378" s="1"/>
      <c r="BM1378" s="1"/>
      <c r="BN1378" s="1"/>
      <c r="BO1378" s="1"/>
      <c r="BP1378" s="1"/>
      <c r="BQ1378" s="1"/>
      <c r="BR1378" s="1"/>
      <c r="BS1378" s="1"/>
      <c r="BT1378" s="1"/>
      <c r="BU1378" s="1"/>
      <c r="BV1378" s="1"/>
      <c r="BW1378" s="1"/>
      <c r="BX1378" s="1"/>
      <c r="BY1378" s="1"/>
      <c r="BZ1378" s="1"/>
      <c r="CA1378" s="1"/>
      <c r="CB1378" s="1"/>
      <c r="CC1378" s="1"/>
      <c r="CD1378" s="1"/>
      <c r="CE1378" s="1"/>
      <c r="CF1378" s="1"/>
      <c r="CG1378" s="1"/>
      <c r="CH1378" s="1"/>
      <c r="CI1378" s="1"/>
      <c r="CJ1378" s="1"/>
      <c r="CK1378" s="1"/>
      <c r="CL1378" s="1"/>
      <c r="CM1378" s="1"/>
      <c r="CN1378" s="1"/>
      <c r="CO1378" s="1"/>
      <c r="CP1378" s="1"/>
      <c r="CQ1378" s="1"/>
      <c r="CR1378" s="1"/>
      <c r="CS1378" s="1"/>
      <c r="CT1378" s="1"/>
      <c r="CU1378" s="1"/>
      <c r="CV1378" s="1"/>
      <c r="CW1378" s="1"/>
      <c r="CX1378" s="1"/>
      <c r="CY1378" s="1"/>
      <c r="CZ1378" s="1"/>
      <c r="DA1378" s="1"/>
      <c r="DB1378" s="1"/>
      <c r="DC1378" s="1"/>
    </row>
    <row r="1379" spans="1:107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  <c r="BI1379" s="1"/>
      <c r="BJ1379" s="1"/>
      <c r="BK1379" s="1"/>
      <c r="BL1379" s="1"/>
      <c r="BM1379" s="1"/>
      <c r="BN1379" s="1"/>
      <c r="BO1379" s="1"/>
      <c r="BP1379" s="1"/>
      <c r="BQ1379" s="1"/>
      <c r="BR1379" s="1"/>
      <c r="BS1379" s="1"/>
      <c r="BT1379" s="1"/>
      <c r="BU1379" s="1"/>
      <c r="BV1379" s="1"/>
      <c r="BW1379" s="1"/>
      <c r="BX1379" s="1"/>
      <c r="BY1379" s="1"/>
      <c r="BZ1379" s="1"/>
      <c r="CA1379" s="1"/>
      <c r="CB1379" s="1"/>
      <c r="CC1379" s="1"/>
      <c r="CD1379" s="1"/>
      <c r="CE1379" s="1"/>
      <c r="CF1379" s="1"/>
      <c r="CG1379" s="1"/>
      <c r="CH1379" s="1"/>
      <c r="CI1379" s="1"/>
      <c r="CJ1379" s="1"/>
      <c r="CK1379" s="1"/>
      <c r="CL1379" s="1"/>
      <c r="CM1379" s="1"/>
      <c r="CN1379" s="1"/>
      <c r="CO1379" s="1"/>
      <c r="CP1379" s="1"/>
      <c r="CQ1379" s="1"/>
      <c r="CR1379" s="1"/>
      <c r="CS1379" s="1"/>
      <c r="CT1379" s="1"/>
      <c r="CU1379" s="1"/>
      <c r="CV1379" s="1"/>
      <c r="CW1379" s="1"/>
      <c r="CX1379" s="1"/>
      <c r="CY1379" s="1"/>
      <c r="CZ1379" s="1"/>
      <c r="DA1379" s="1"/>
      <c r="DB1379" s="1"/>
      <c r="DC1379" s="1"/>
    </row>
    <row r="1380" spans="1:107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  <c r="BG1380" s="1"/>
      <c r="BH1380" s="1"/>
      <c r="BI1380" s="1"/>
      <c r="BJ1380" s="1"/>
      <c r="BK1380" s="1"/>
      <c r="BL1380" s="1"/>
      <c r="BM1380" s="1"/>
      <c r="BN1380" s="1"/>
      <c r="BO1380" s="1"/>
      <c r="BP1380" s="1"/>
      <c r="BQ1380" s="1"/>
      <c r="BR1380" s="1"/>
      <c r="BS1380" s="1"/>
      <c r="BT1380" s="1"/>
      <c r="BU1380" s="1"/>
      <c r="BV1380" s="1"/>
      <c r="BW1380" s="1"/>
      <c r="BX1380" s="1"/>
      <c r="BY1380" s="1"/>
      <c r="BZ1380" s="1"/>
      <c r="CA1380" s="1"/>
      <c r="CB1380" s="1"/>
      <c r="CC1380" s="1"/>
      <c r="CD1380" s="1"/>
      <c r="CE1380" s="1"/>
      <c r="CF1380" s="1"/>
      <c r="CG1380" s="1"/>
      <c r="CH1380" s="1"/>
      <c r="CI1380" s="1"/>
      <c r="CJ1380" s="1"/>
      <c r="CK1380" s="1"/>
      <c r="CL1380" s="1"/>
      <c r="CM1380" s="1"/>
      <c r="CN1380" s="1"/>
      <c r="CO1380" s="1"/>
      <c r="CP1380" s="1"/>
      <c r="CQ1380" s="1"/>
      <c r="CR1380" s="1"/>
      <c r="CS1380" s="1"/>
      <c r="CT1380" s="1"/>
      <c r="CU1380" s="1"/>
      <c r="CV1380" s="1"/>
      <c r="CW1380" s="1"/>
      <c r="CX1380" s="1"/>
      <c r="CY1380" s="1"/>
      <c r="CZ1380" s="1"/>
      <c r="DA1380" s="1"/>
      <c r="DB1380" s="1"/>
      <c r="DC1380" s="1"/>
    </row>
    <row r="1381" spans="1:107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  <c r="BF1381" s="1"/>
      <c r="BG1381" s="1"/>
      <c r="BH1381" s="1"/>
      <c r="BI1381" s="1"/>
      <c r="BJ1381" s="1"/>
      <c r="BK1381" s="1"/>
      <c r="BL1381" s="1"/>
      <c r="BM1381" s="1"/>
      <c r="BN1381" s="1"/>
      <c r="BO1381" s="1"/>
      <c r="BP1381" s="1"/>
      <c r="BQ1381" s="1"/>
      <c r="BR1381" s="1"/>
      <c r="BS1381" s="1"/>
      <c r="BT1381" s="1"/>
      <c r="BU1381" s="1"/>
      <c r="BV1381" s="1"/>
      <c r="BW1381" s="1"/>
      <c r="BX1381" s="1"/>
      <c r="BY1381" s="1"/>
      <c r="BZ1381" s="1"/>
      <c r="CA1381" s="1"/>
      <c r="CB1381" s="1"/>
      <c r="CC1381" s="1"/>
      <c r="CD1381" s="1"/>
      <c r="CE1381" s="1"/>
      <c r="CF1381" s="1"/>
      <c r="CG1381" s="1"/>
      <c r="CH1381" s="1"/>
      <c r="CI1381" s="1"/>
      <c r="CJ1381" s="1"/>
      <c r="CK1381" s="1"/>
      <c r="CL1381" s="1"/>
      <c r="CM1381" s="1"/>
      <c r="CN1381" s="1"/>
      <c r="CO1381" s="1"/>
      <c r="CP1381" s="1"/>
      <c r="CQ1381" s="1"/>
      <c r="CR1381" s="1"/>
      <c r="CS1381" s="1"/>
      <c r="CT1381" s="1"/>
      <c r="CU1381" s="1"/>
      <c r="CV1381" s="1"/>
      <c r="CW1381" s="1"/>
      <c r="CX1381" s="1"/>
      <c r="CY1381" s="1"/>
      <c r="CZ1381" s="1"/>
      <c r="DA1381" s="1"/>
      <c r="DB1381" s="1"/>
      <c r="DC1381" s="1"/>
    </row>
    <row r="1382" spans="1:107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  <c r="BF1382" s="1"/>
      <c r="BG1382" s="1"/>
      <c r="BH1382" s="1"/>
      <c r="BI1382" s="1"/>
      <c r="BJ1382" s="1"/>
      <c r="BK1382" s="1"/>
      <c r="BL1382" s="1"/>
      <c r="BM1382" s="1"/>
      <c r="BN1382" s="1"/>
      <c r="BO1382" s="1"/>
      <c r="BP1382" s="1"/>
      <c r="BQ1382" s="1"/>
      <c r="BR1382" s="1"/>
      <c r="BS1382" s="1"/>
      <c r="BT1382" s="1"/>
      <c r="BU1382" s="1"/>
      <c r="BV1382" s="1"/>
      <c r="BW1382" s="1"/>
      <c r="BX1382" s="1"/>
      <c r="BY1382" s="1"/>
      <c r="BZ1382" s="1"/>
      <c r="CA1382" s="1"/>
      <c r="CB1382" s="1"/>
      <c r="CC1382" s="1"/>
      <c r="CD1382" s="1"/>
      <c r="CE1382" s="1"/>
      <c r="CF1382" s="1"/>
      <c r="CG1382" s="1"/>
      <c r="CH1382" s="1"/>
      <c r="CI1382" s="1"/>
      <c r="CJ1382" s="1"/>
      <c r="CK1382" s="1"/>
      <c r="CL1382" s="1"/>
      <c r="CM1382" s="1"/>
      <c r="CN1382" s="1"/>
      <c r="CO1382" s="1"/>
      <c r="CP1382" s="1"/>
      <c r="CQ1382" s="1"/>
      <c r="CR1382" s="1"/>
      <c r="CS1382" s="1"/>
      <c r="CT1382" s="1"/>
      <c r="CU1382" s="1"/>
      <c r="CV1382" s="1"/>
      <c r="CW1382" s="1"/>
      <c r="CX1382" s="1"/>
      <c r="CY1382" s="1"/>
      <c r="CZ1382" s="1"/>
      <c r="DA1382" s="1"/>
      <c r="DB1382" s="1"/>
      <c r="DC1382" s="1"/>
    </row>
    <row r="1383" spans="1:107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  <c r="BF1383" s="1"/>
      <c r="BG1383" s="1"/>
      <c r="BH1383" s="1"/>
      <c r="BI1383" s="1"/>
      <c r="BJ1383" s="1"/>
      <c r="BK1383" s="1"/>
      <c r="BL1383" s="1"/>
      <c r="BM1383" s="1"/>
      <c r="BN1383" s="1"/>
      <c r="BO1383" s="1"/>
      <c r="BP1383" s="1"/>
      <c r="BQ1383" s="1"/>
      <c r="BR1383" s="1"/>
      <c r="BS1383" s="1"/>
      <c r="BT1383" s="1"/>
      <c r="BU1383" s="1"/>
      <c r="BV1383" s="1"/>
      <c r="BW1383" s="1"/>
      <c r="BX1383" s="1"/>
      <c r="BY1383" s="1"/>
      <c r="BZ1383" s="1"/>
      <c r="CA1383" s="1"/>
      <c r="CB1383" s="1"/>
      <c r="CC1383" s="1"/>
      <c r="CD1383" s="1"/>
      <c r="CE1383" s="1"/>
      <c r="CF1383" s="1"/>
      <c r="CG1383" s="1"/>
      <c r="CH1383" s="1"/>
      <c r="CI1383" s="1"/>
      <c r="CJ1383" s="1"/>
      <c r="CK1383" s="1"/>
      <c r="CL1383" s="1"/>
      <c r="CM1383" s="1"/>
      <c r="CN1383" s="1"/>
      <c r="CO1383" s="1"/>
      <c r="CP1383" s="1"/>
      <c r="CQ1383" s="1"/>
      <c r="CR1383" s="1"/>
      <c r="CS1383" s="1"/>
      <c r="CT1383" s="1"/>
      <c r="CU1383" s="1"/>
      <c r="CV1383" s="1"/>
      <c r="CW1383" s="1"/>
      <c r="CX1383" s="1"/>
      <c r="CY1383" s="1"/>
      <c r="CZ1383" s="1"/>
      <c r="DA1383" s="1"/>
      <c r="DB1383" s="1"/>
      <c r="DC1383" s="1"/>
    </row>
    <row r="1384" spans="1:107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  <c r="BF1384" s="1"/>
      <c r="BG1384" s="1"/>
      <c r="BH1384" s="1"/>
      <c r="BI1384" s="1"/>
      <c r="BJ1384" s="1"/>
      <c r="BK1384" s="1"/>
      <c r="BL1384" s="1"/>
      <c r="BM1384" s="1"/>
      <c r="BN1384" s="1"/>
      <c r="BO1384" s="1"/>
      <c r="BP1384" s="1"/>
      <c r="BQ1384" s="1"/>
      <c r="BR1384" s="1"/>
      <c r="BS1384" s="1"/>
      <c r="BT1384" s="1"/>
      <c r="BU1384" s="1"/>
      <c r="BV1384" s="1"/>
      <c r="BW1384" s="1"/>
      <c r="BX1384" s="1"/>
      <c r="BY1384" s="1"/>
      <c r="BZ1384" s="1"/>
      <c r="CA1384" s="1"/>
      <c r="CB1384" s="1"/>
      <c r="CC1384" s="1"/>
      <c r="CD1384" s="1"/>
      <c r="CE1384" s="1"/>
      <c r="CF1384" s="1"/>
      <c r="CG1384" s="1"/>
      <c r="CH1384" s="1"/>
      <c r="CI1384" s="1"/>
      <c r="CJ1384" s="1"/>
      <c r="CK1384" s="1"/>
      <c r="CL1384" s="1"/>
      <c r="CM1384" s="1"/>
      <c r="CN1384" s="1"/>
      <c r="CO1384" s="1"/>
      <c r="CP1384" s="1"/>
      <c r="CQ1384" s="1"/>
      <c r="CR1384" s="1"/>
      <c r="CS1384" s="1"/>
      <c r="CT1384" s="1"/>
      <c r="CU1384" s="1"/>
      <c r="CV1384" s="1"/>
      <c r="CW1384" s="1"/>
      <c r="CX1384" s="1"/>
      <c r="CY1384" s="1"/>
      <c r="CZ1384" s="1"/>
      <c r="DA1384" s="1"/>
      <c r="DB1384" s="1"/>
      <c r="DC1384" s="1"/>
    </row>
    <row r="1385" spans="1:107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  <c r="BF1385" s="1"/>
      <c r="BG1385" s="1"/>
      <c r="BH1385" s="1"/>
      <c r="BI1385" s="1"/>
      <c r="BJ1385" s="1"/>
      <c r="BK1385" s="1"/>
      <c r="BL1385" s="1"/>
      <c r="BM1385" s="1"/>
      <c r="BN1385" s="1"/>
      <c r="BO1385" s="1"/>
      <c r="BP1385" s="1"/>
      <c r="BQ1385" s="1"/>
      <c r="BR1385" s="1"/>
      <c r="BS1385" s="1"/>
      <c r="BT1385" s="1"/>
      <c r="BU1385" s="1"/>
      <c r="BV1385" s="1"/>
      <c r="BW1385" s="1"/>
      <c r="BX1385" s="1"/>
      <c r="BY1385" s="1"/>
      <c r="BZ1385" s="1"/>
      <c r="CA1385" s="1"/>
      <c r="CB1385" s="1"/>
      <c r="CC1385" s="1"/>
      <c r="CD1385" s="1"/>
      <c r="CE1385" s="1"/>
      <c r="CF1385" s="1"/>
      <c r="CG1385" s="1"/>
      <c r="CH1385" s="1"/>
      <c r="CI1385" s="1"/>
      <c r="CJ1385" s="1"/>
      <c r="CK1385" s="1"/>
      <c r="CL1385" s="1"/>
      <c r="CM1385" s="1"/>
      <c r="CN1385" s="1"/>
      <c r="CO1385" s="1"/>
      <c r="CP1385" s="1"/>
      <c r="CQ1385" s="1"/>
      <c r="CR1385" s="1"/>
      <c r="CS1385" s="1"/>
      <c r="CT1385" s="1"/>
      <c r="CU1385" s="1"/>
      <c r="CV1385" s="1"/>
      <c r="CW1385" s="1"/>
      <c r="CX1385" s="1"/>
      <c r="CY1385" s="1"/>
      <c r="CZ1385" s="1"/>
      <c r="DA1385" s="1"/>
      <c r="DB1385" s="1"/>
      <c r="DC1385" s="1"/>
    </row>
    <row r="1386" spans="1:107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  <c r="BF1386" s="1"/>
      <c r="BG1386" s="1"/>
      <c r="BH1386" s="1"/>
      <c r="BI1386" s="1"/>
      <c r="BJ1386" s="1"/>
      <c r="BK1386" s="1"/>
      <c r="BL1386" s="1"/>
      <c r="BM1386" s="1"/>
      <c r="BN1386" s="1"/>
      <c r="BO1386" s="1"/>
      <c r="BP1386" s="1"/>
      <c r="BQ1386" s="1"/>
      <c r="BR1386" s="1"/>
      <c r="BS1386" s="1"/>
      <c r="BT1386" s="1"/>
      <c r="BU1386" s="1"/>
      <c r="BV1386" s="1"/>
      <c r="BW1386" s="1"/>
      <c r="BX1386" s="1"/>
      <c r="BY1386" s="1"/>
      <c r="BZ1386" s="1"/>
      <c r="CA1386" s="1"/>
      <c r="CB1386" s="1"/>
      <c r="CC1386" s="1"/>
      <c r="CD1386" s="1"/>
      <c r="CE1386" s="1"/>
      <c r="CF1386" s="1"/>
      <c r="CG1386" s="1"/>
      <c r="CH1386" s="1"/>
      <c r="CI1386" s="1"/>
      <c r="CJ1386" s="1"/>
      <c r="CK1386" s="1"/>
      <c r="CL1386" s="1"/>
      <c r="CM1386" s="1"/>
      <c r="CN1386" s="1"/>
      <c r="CO1386" s="1"/>
      <c r="CP1386" s="1"/>
      <c r="CQ1386" s="1"/>
      <c r="CR1386" s="1"/>
      <c r="CS1386" s="1"/>
      <c r="CT1386" s="1"/>
      <c r="CU1386" s="1"/>
      <c r="CV1386" s="1"/>
      <c r="CW1386" s="1"/>
      <c r="CX1386" s="1"/>
      <c r="CY1386" s="1"/>
      <c r="CZ1386" s="1"/>
      <c r="DA1386" s="1"/>
      <c r="DB1386" s="1"/>
      <c r="DC1386" s="1"/>
    </row>
    <row r="1387" spans="1:107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  <c r="BI1387" s="1"/>
      <c r="BJ1387" s="1"/>
      <c r="BK1387" s="1"/>
      <c r="BL1387" s="1"/>
      <c r="BM1387" s="1"/>
      <c r="BN1387" s="1"/>
      <c r="BO1387" s="1"/>
      <c r="BP1387" s="1"/>
      <c r="BQ1387" s="1"/>
      <c r="BR1387" s="1"/>
      <c r="BS1387" s="1"/>
      <c r="BT1387" s="1"/>
      <c r="BU1387" s="1"/>
      <c r="BV1387" s="1"/>
      <c r="BW1387" s="1"/>
      <c r="BX1387" s="1"/>
      <c r="BY1387" s="1"/>
      <c r="BZ1387" s="1"/>
      <c r="CA1387" s="1"/>
      <c r="CB1387" s="1"/>
      <c r="CC1387" s="1"/>
      <c r="CD1387" s="1"/>
      <c r="CE1387" s="1"/>
      <c r="CF1387" s="1"/>
      <c r="CG1387" s="1"/>
      <c r="CH1387" s="1"/>
      <c r="CI1387" s="1"/>
      <c r="CJ1387" s="1"/>
      <c r="CK1387" s="1"/>
      <c r="CL1387" s="1"/>
      <c r="CM1387" s="1"/>
      <c r="CN1387" s="1"/>
      <c r="CO1387" s="1"/>
      <c r="CP1387" s="1"/>
      <c r="CQ1387" s="1"/>
      <c r="CR1387" s="1"/>
      <c r="CS1387" s="1"/>
      <c r="CT1387" s="1"/>
      <c r="CU1387" s="1"/>
      <c r="CV1387" s="1"/>
      <c r="CW1387" s="1"/>
      <c r="CX1387" s="1"/>
      <c r="CY1387" s="1"/>
      <c r="CZ1387" s="1"/>
      <c r="DA1387" s="1"/>
      <c r="DB1387" s="1"/>
      <c r="DC1387" s="1"/>
    </row>
    <row r="1388" spans="1:107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  <c r="BI1388" s="1"/>
      <c r="BJ1388" s="1"/>
      <c r="BK1388" s="1"/>
      <c r="BL1388" s="1"/>
      <c r="BM1388" s="1"/>
      <c r="BN1388" s="1"/>
      <c r="BO1388" s="1"/>
      <c r="BP1388" s="1"/>
      <c r="BQ1388" s="1"/>
      <c r="BR1388" s="1"/>
      <c r="BS1388" s="1"/>
      <c r="BT1388" s="1"/>
      <c r="BU1388" s="1"/>
      <c r="BV1388" s="1"/>
      <c r="BW1388" s="1"/>
      <c r="BX1388" s="1"/>
      <c r="BY1388" s="1"/>
      <c r="BZ1388" s="1"/>
      <c r="CA1388" s="1"/>
      <c r="CB1388" s="1"/>
      <c r="CC1388" s="1"/>
      <c r="CD1388" s="1"/>
      <c r="CE1388" s="1"/>
      <c r="CF1388" s="1"/>
      <c r="CG1388" s="1"/>
      <c r="CH1388" s="1"/>
      <c r="CI1388" s="1"/>
      <c r="CJ1388" s="1"/>
      <c r="CK1388" s="1"/>
      <c r="CL1388" s="1"/>
      <c r="CM1388" s="1"/>
      <c r="CN1388" s="1"/>
      <c r="CO1388" s="1"/>
      <c r="CP1388" s="1"/>
      <c r="CQ1388" s="1"/>
      <c r="CR1388" s="1"/>
      <c r="CS1388" s="1"/>
      <c r="CT1388" s="1"/>
      <c r="CU1388" s="1"/>
      <c r="CV1388" s="1"/>
      <c r="CW1388" s="1"/>
      <c r="CX1388" s="1"/>
      <c r="CY1388" s="1"/>
      <c r="CZ1388" s="1"/>
      <c r="DA1388" s="1"/>
      <c r="DB1388" s="1"/>
      <c r="DC1388" s="1"/>
    </row>
    <row r="1389" spans="1:107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  <c r="BG1389" s="1"/>
      <c r="BH1389" s="1"/>
      <c r="BI1389" s="1"/>
      <c r="BJ1389" s="1"/>
      <c r="BK1389" s="1"/>
      <c r="BL1389" s="1"/>
      <c r="BM1389" s="1"/>
      <c r="BN1389" s="1"/>
      <c r="BO1389" s="1"/>
      <c r="BP1389" s="1"/>
      <c r="BQ1389" s="1"/>
      <c r="BR1389" s="1"/>
      <c r="BS1389" s="1"/>
      <c r="BT1389" s="1"/>
      <c r="BU1389" s="1"/>
      <c r="BV1389" s="1"/>
      <c r="BW1389" s="1"/>
      <c r="BX1389" s="1"/>
      <c r="BY1389" s="1"/>
      <c r="BZ1389" s="1"/>
      <c r="CA1389" s="1"/>
      <c r="CB1389" s="1"/>
      <c r="CC1389" s="1"/>
      <c r="CD1389" s="1"/>
      <c r="CE1389" s="1"/>
      <c r="CF1389" s="1"/>
      <c r="CG1389" s="1"/>
      <c r="CH1389" s="1"/>
      <c r="CI1389" s="1"/>
      <c r="CJ1389" s="1"/>
      <c r="CK1389" s="1"/>
      <c r="CL1389" s="1"/>
      <c r="CM1389" s="1"/>
      <c r="CN1389" s="1"/>
      <c r="CO1389" s="1"/>
      <c r="CP1389" s="1"/>
      <c r="CQ1389" s="1"/>
      <c r="CR1389" s="1"/>
      <c r="CS1389" s="1"/>
      <c r="CT1389" s="1"/>
      <c r="CU1389" s="1"/>
      <c r="CV1389" s="1"/>
      <c r="CW1389" s="1"/>
      <c r="CX1389" s="1"/>
      <c r="CY1389" s="1"/>
      <c r="CZ1389" s="1"/>
      <c r="DA1389" s="1"/>
      <c r="DB1389" s="1"/>
      <c r="DC1389" s="1"/>
    </row>
    <row r="1390" spans="1:107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  <c r="BF1390" s="1"/>
      <c r="BG1390" s="1"/>
      <c r="BH1390" s="1"/>
      <c r="BI1390" s="1"/>
      <c r="BJ1390" s="1"/>
      <c r="BK1390" s="1"/>
      <c r="BL1390" s="1"/>
      <c r="BM1390" s="1"/>
      <c r="BN1390" s="1"/>
      <c r="BO1390" s="1"/>
      <c r="BP1390" s="1"/>
      <c r="BQ1390" s="1"/>
      <c r="BR1390" s="1"/>
      <c r="BS1390" s="1"/>
      <c r="BT1390" s="1"/>
      <c r="BU1390" s="1"/>
      <c r="BV1390" s="1"/>
      <c r="BW1390" s="1"/>
      <c r="BX1390" s="1"/>
      <c r="BY1390" s="1"/>
      <c r="BZ1390" s="1"/>
      <c r="CA1390" s="1"/>
      <c r="CB1390" s="1"/>
      <c r="CC1390" s="1"/>
      <c r="CD1390" s="1"/>
      <c r="CE1390" s="1"/>
      <c r="CF1390" s="1"/>
      <c r="CG1390" s="1"/>
      <c r="CH1390" s="1"/>
      <c r="CI1390" s="1"/>
      <c r="CJ1390" s="1"/>
      <c r="CK1390" s="1"/>
      <c r="CL1390" s="1"/>
      <c r="CM1390" s="1"/>
      <c r="CN1390" s="1"/>
      <c r="CO1390" s="1"/>
      <c r="CP1390" s="1"/>
      <c r="CQ1390" s="1"/>
      <c r="CR1390" s="1"/>
      <c r="CS1390" s="1"/>
      <c r="CT1390" s="1"/>
      <c r="CU1390" s="1"/>
      <c r="CV1390" s="1"/>
      <c r="CW1390" s="1"/>
      <c r="CX1390" s="1"/>
      <c r="CY1390" s="1"/>
      <c r="CZ1390" s="1"/>
      <c r="DA1390" s="1"/>
      <c r="DB1390" s="1"/>
      <c r="DC1390" s="1"/>
    </row>
    <row r="1391" spans="1:107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  <c r="BF1391" s="1"/>
      <c r="BG1391" s="1"/>
      <c r="BH1391" s="1"/>
      <c r="BI1391" s="1"/>
      <c r="BJ1391" s="1"/>
      <c r="BK1391" s="1"/>
      <c r="BL1391" s="1"/>
      <c r="BM1391" s="1"/>
      <c r="BN1391" s="1"/>
      <c r="BO1391" s="1"/>
      <c r="BP1391" s="1"/>
      <c r="BQ1391" s="1"/>
      <c r="BR1391" s="1"/>
      <c r="BS1391" s="1"/>
      <c r="BT1391" s="1"/>
      <c r="BU1391" s="1"/>
      <c r="BV1391" s="1"/>
      <c r="BW1391" s="1"/>
      <c r="BX1391" s="1"/>
      <c r="BY1391" s="1"/>
      <c r="BZ1391" s="1"/>
      <c r="CA1391" s="1"/>
      <c r="CB1391" s="1"/>
      <c r="CC1391" s="1"/>
      <c r="CD1391" s="1"/>
      <c r="CE1391" s="1"/>
      <c r="CF1391" s="1"/>
      <c r="CG1391" s="1"/>
      <c r="CH1391" s="1"/>
      <c r="CI1391" s="1"/>
      <c r="CJ1391" s="1"/>
      <c r="CK1391" s="1"/>
      <c r="CL1391" s="1"/>
      <c r="CM1391" s="1"/>
      <c r="CN1391" s="1"/>
      <c r="CO1391" s="1"/>
      <c r="CP1391" s="1"/>
      <c r="CQ1391" s="1"/>
      <c r="CR1391" s="1"/>
      <c r="CS1391" s="1"/>
      <c r="CT1391" s="1"/>
      <c r="CU1391" s="1"/>
      <c r="CV1391" s="1"/>
      <c r="CW1391" s="1"/>
      <c r="CX1391" s="1"/>
      <c r="CY1391" s="1"/>
      <c r="CZ1391" s="1"/>
      <c r="DA1391" s="1"/>
      <c r="DB1391" s="1"/>
      <c r="DC1391" s="1"/>
    </row>
    <row r="1392" spans="1:107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  <c r="BF1392" s="1"/>
      <c r="BG1392" s="1"/>
      <c r="BH1392" s="1"/>
      <c r="BI1392" s="1"/>
      <c r="BJ1392" s="1"/>
      <c r="BK1392" s="1"/>
      <c r="BL1392" s="1"/>
      <c r="BM1392" s="1"/>
      <c r="BN1392" s="1"/>
      <c r="BO1392" s="1"/>
      <c r="BP1392" s="1"/>
      <c r="BQ1392" s="1"/>
      <c r="BR1392" s="1"/>
      <c r="BS1392" s="1"/>
      <c r="BT1392" s="1"/>
      <c r="BU1392" s="1"/>
      <c r="BV1392" s="1"/>
      <c r="BW1392" s="1"/>
      <c r="BX1392" s="1"/>
      <c r="BY1392" s="1"/>
      <c r="BZ1392" s="1"/>
      <c r="CA1392" s="1"/>
      <c r="CB1392" s="1"/>
      <c r="CC1392" s="1"/>
      <c r="CD1392" s="1"/>
      <c r="CE1392" s="1"/>
      <c r="CF1392" s="1"/>
      <c r="CG1392" s="1"/>
      <c r="CH1392" s="1"/>
      <c r="CI1392" s="1"/>
      <c r="CJ1392" s="1"/>
      <c r="CK1392" s="1"/>
      <c r="CL1392" s="1"/>
      <c r="CM1392" s="1"/>
      <c r="CN1392" s="1"/>
      <c r="CO1392" s="1"/>
      <c r="CP1392" s="1"/>
      <c r="CQ1392" s="1"/>
      <c r="CR1392" s="1"/>
      <c r="CS1392" s="1"/>
      <c r="CT1392" s="1"/>
      <c r="CU1392" s="1"/>
      <c r="CV1392" s="1"/>
      <c r="CW1392" s="1"/>
      <c r="CX1392" s="1"/>
      <c r="CY1392" s="1"/>
      <c r="CZ1392" s="1"/>
      <c r="DA1392" s="1"/>
      <c r="DB1392" s="1"/>
      <c r="DC1392" s="1"/>
    </row>
    <row r="1393" spans="1:107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  <c r="BI1393" s="1"/>
      <c r="BJ1393" s="1"/>
      <c r="BK1393" s="1"/>
      <c r="BL1393" s="1"/>
      <c r="BM1393" s="1"/>
      <c r="BN1393" s="1"/>
      <c r="BO1393" s="1"/>
      <c r="BP1393" s="1"/>
      <c r="BQ1393" s="1"/>
      <c r="BR1393" s="1"/>
      <c r="BS1393" s="1"/>
      <c r="BT1393" s="1"/>
      <c r="BU1393" s="1"/>
      <c r="BV1393" s="1"/>
      <c r="BW1393" s="1"/>
      <c r="BX1393" s="1"/>
      <c r="BY1393" s="1"/>
      <c r="BZ1393" s="1"/>
      <c r="CA1393" s="1"/>
      <c r="CB1393" s="1"/>
      <c r="CC1393" s="1"/>
      <c r="CD1393" s="1"/>
      <c r="CE1393" s="1"/>
      <c r="CF1393" s="1"/>
      <c r="CG1393" s="1"/>
      <c r="CH1393" s="1"/>
      <c r="CI1393" s="1"/>
      <c r="CJ1393" s="1"/>
      <c r="CK1393" s="1"/>
      <c r="CL1393" s="1"/>
      <c r="CM1393" s="1"/>
      <c r="CN1393" s="1"/>
      <c r="CO1393" s="1"/>
      <c r="CP1393" s="1"/>
      <c r="CQ1393" s="1"/>
      <c r="CR1393" s="1"/>
      <c r="CS1393" s="1"/>
      <c r="CT1393" s="1"/>
      <c r="CU1393" s="1"/>
      <c r="CV1393" s="1"/>
      <c r="CW1393" s="1"/>
      <c r="CX1393" s="1"/>
      <c r="CY1393" s="1"/>
      <c r="CZ1393" s="1"/>
      <c r="DA1393" s="1"/>
      <c r="DB1393" s="1"/>
      <c r="DC1393" s="1"/>
    </row>
    <row r="1394" spans="1:107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  <c r="BF1394" s="1"/>
      <c r="BG1394" s="1"/>
      <c r="BH1394" s="1"/>
      <c r="BI1394" s="1"/>
      <c r="BJ1394" s="1"/>
      <c r="BK1394" s="1"/>
      <c r="BL1394" s="1"/>
      <c r="BM1394" s="1"/>
      <c r="BN1394" s="1"/>
      <c r="BO1394" s="1"/>
      <c r="BP1394" s="1"/>
      <c r="BQ1394" s="1"/>
      <c r="BR1394" s="1"/>
      <c r="BS1394" s="1"/>
      <c r="BT1394" s="1"/>
      <c r="BU1394" s="1"/>
      <c r="BV1394" s="1"/>
      <c r="BW1394" s="1"/>
      <c r="BX1394" s="1"/>
      <c r="BY1394" s="1"/>
      <c r="BZ1394" s="1"/>
      <c r="CA1394" s="1"/>
      <c r="CB1394" s="1"/>
      <c r="CC1394" s="1"/>
      <c r="CD1394" s="1"/>
      <c r="CE1394" s="1"/>
      <c r="CF1394" s="1"/>
      <c r="CG1394" s="1"/>
      <c r="CH1394" s="1"/>
      <c r="CI1394" s="1"/>
      <c r="CJ1394" s="1"/>
      <c r="CK1394" s="1"/>
      <c r="CL1394" s="1"/>
      <c r="CM1394" s="1"/>
      <c r="CN1394" s="1"/>
      <c r="CO1394" s="1"/>
      <c r="CP1394" s="1"/>
      <c r="CQ1394" s="1"/>
      <c r="CR1394" s="1"/>
      <c r="CS1394" s="1"/>
      <c r="CT1394" s="1"/>
      <c r="CU1394" s="1"/>
      <c r="CV1394" s="1"/>
      <c r="CW1394" s="1"/>
      <c r="CX1394" s="1"/>
      <c r="CY1394" s="1"/>
      <c r="CZ1394" s="1"/>
      <c r="DA1394" s="1"/>
      <c r="DB1394" s="1"/>
      <c r="DC1394" s="1"/>
    </row>
    <row r="1395" spans="1:107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  <c r="BF1395" s="1"/>
      <c r="BG1395" s="1"/>
      <c r="BH1395" s="1"/>
      <c r="BI1395" s="1"/>
      <c r="BJ1395" s="1"/>
      <c r="BK1395" s="1"/>
      <c r="BL1395" s="1"/>
      <c r="BM1395" s="1"/>
      <c r="BN1395" s="1"/>
      <c r="BO1395" s="1"/>
      <c r="BP1395" s="1"/>
      <c r="BQ1395" s="1"/>
      <c r="BR1395" s="1"/>
      <c r="BS1395" s="1"/>
      <c r="BT1395" s="1"/>
      <c r="BU1395" s="1"/>
      <c r="BV1395" s="1"/>
      <c r="BW1395" s="1"/>
      <c r="BX1395" s="1"/>
      <c r="BY1395" s="1"/>
      <c r="BZ1395" s="1"/>
      <c r="CA1395" s="1"/>
      <c r="CB1395" s="1"/>
      <c r="CC1395" s="1"/>
      <c r="CD1395" s="1"/>
      <c r="CE1395" s="1"/>
      <c r="CF1395" s="1"/>
      <c r="CG1395" s="1"/>
      <c r="CH1395" s="1"/>
      <c r="CI1395" s="1"/>
      <c r="CJ1395" s="1"/>
      <c r="CK1395" s="1"/>
      <c r="CL1395" s="1"/>
      <c r="CM1395" s="1"/>
      <c r="CN1395" s="1"/>
      <c r="CO1395" s="1"/>
      <c r="CP1395" s="1"/>
      <c r="CQ1395" s="1"/>
      <c r="CR1395" s="1"/>
      <c r="CS1395" s="1"/>
      <c r="CT1395" s="1"/>
      <c r="CU1395" s="1"/>
      <c r="CV1395" s="1"/>
      <c r="CW1395" s="1"/>
      <c r="CX1395" s="1"/>
      <c r="CY1395" s="1"/>
      <c r="CZ1395" s="1"/>
      <c r="DA1395" s="1"/>
      <c r="DB1395" s="1"/>
      <c r="DC1395" s="1"/>
    </row>
    <row r="1396" spans="1:107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  <c r="BF1396" s="1"/>
      <c r="BG1396" s="1"/>
      <c r="BH1396" s="1"/>
      <c r="BI1396" s="1"/>
      <c r="BJ1396" s="1"/>
      <c r="BK1396" s="1"/>
      <c r="BL1396" s="1"/>
      <c r="BM1396" s="1"/>
      <c r="BN1396" s="1"/>
      <c r="BO1396" s="1"/>
      <c r="BP1396" s="1"/>
      <c r="BQ1396" s="1"/>
      <c r="BR1396" s="1"/>
      <c r="BS1396" s="1"/>
      <c r="BT1396" s="1"/>
      <c r="BU1396" s="1"/>
      <c r="BV1396" s="1"/>
      <c r="BW1396" s="1"/>
      <c r="BX1396" s="1"/>
      <c r="BY1396" s="1"/>
      <c r="BZ1396" s="1"/>
      <c r="CA1396" s="1"/>
      <c r="CB1396" s="1"/>
      <c r="CC1396" s="1"/>
      <c r="CD1396" s="1"/>
      <c r="CE1396" s="1"/>
      <c r="CF1396" s="1"/>
      <c r="CG1396" s="1"/>
      <c r="CH1396" s="1"/>
      <c r="CI1396" s="1"/>
      <c r="CJ1396" s="1"/>
      <c r="CK1396" s="1"/>
      <c r="CL1396" s="1"/>
      <c r="CM1396" s="1"/>
      <c r="CN1396" s="1"/>
      <c r="CO1396" s="1"/>
      <c r="CP1396" s="1"/>
      <c r="CQ1396" s="1"/>
      <c r="CR1396" s="1"/>
      <c r="CS1396" s="1"/>
      <c r="CT1396" s="1"/>
      <c r="CU1396" s="1"/>
      <c r="CV1396" s="1"/>
      <c r="CW1396" s="1"/>
      <c r="CX1396" s="1"/>
      <c r="CY1396" s="1"/>
      <c r="CZ1396" s="1"/>
      <c r="DA1396" s="1"/>
      <c r="DB1396" s="1"/>
      <c r="DC1396" s="1"/>
    </row>
    <row r="1397" spans="1:107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  <c r="BF1397" s="1"/>
      <c r="BG1397" s="1"/>
      <c r="BH1397" s="1"/>
      <c r="BI1397" s="1"/>
      <c r="BJ1397" s="1"/>
      <c r="BK1397" s="1"/>
      <c r="BL1397" s="1"/>
      <c r="BM1397" s="1"/>
      <c r="BN1397" s="1"/>
      <c r="BO1397" s="1"/>
      <c r="BP1397" s="1"/>
      <c r="BQ1397" s="1"/>
      <c r="BR1397" s="1"/>
      <c r="BS1397" s="1"/>
      <c r="BT1397" s="1"/>
      <c r="BU1397" s="1"/>
      <c r="BV1397" s="1"/>
      <c r="BW1397" s="1"/>
      <c r="BX1397" s="1"/>
      <c r="BY1397" s="1"/>
      <c r="BZ1397" s="1"/>
      <c r="CA1397" s="1"/>
      <c r="CB1397" s="1"/>
      <c r="CC1397" s="1"/>
      <c r="CD1397" s="1"/>
      <c r="CE1397" s="1"/>
      <c r="CF1397" s="1"/>
      <c r="CG1397" s="1"/>
      <c r="CH1397" s="1"/>
      <c r="CI1397" s="1"/>
      <c r="CJ1397" s="1"/>
      <c r="CK1397" s="1"/>
      <c r="CL1397" s="1"/>
      <c r="CM1397" s="1"/>
      <c r="CN1397" s="1"/>
      <c r="CO1397" s="1"/>
      <c r="CP1397" s="1"/>
      <c r="CQ1397" s="1"/>
      <c r="CR1397" s="1"/>
      <c r="CS1397" s="1"/>
      <c r="CT1397" s="1"/>
      <c r="CU1397" s="1"/>
      <c r="CV1397" s="1"/>
      <c r="CW1397" s="1"/>
      <c r="CX1397" s="1"/>
      <c r="CY1397" s="1"/>
      <c r="CZ1397" s="1"/>
      <c r="DA1397" s="1"/>
      <c r="DB1397" s="1"/>
      <c r="DC1397" s="1"/>
    </row>
    <row r="1398" spans="1:107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  <c r="BF1398" s="1"/>
      <c r="BG1398" s="1"/>
      <c r="BH1398" s="1"/>
      <c r="BI1398" s="1"/>
      <c r="BJ1398" s="1"/>
      <c r="BK1398" s="1"/>
      <c r="BL1398" s="1"/>
      <c r="BM1398" s="1"/>
      <c r="BN1398" s="1"/>
      <c r="BO1398" s="1"/>
      <c r="BP1398" s="1"/>
      <c r="BQ1398" s="1"/>
      <c r="BR1398" s="1"/>
      <c r="BS1398" s="1"/>
      <c r="BT1398" s="1"/>
      <c r="BU1398" s="1"/>
      <c r="BV1398" s="1"/>
      <c r="BW1398" s="1"/>
      <c r="BX1398" s="1"/>
      <c r="BY1398" s="1"/>
      <c r="BZ1398" s="1"/>
      <c r="CA1398" s="1"/>
      <c r="CB1398" s="1"/>
      <c r="CC1398" s="1"/>
      <c r="CD1398" s="1"/>
      <c r="CE1398" s="1"/>
      <c r="CF1398" s="1"/>
      <c r="CG1398" s="1"/>
      <c r="CH1398" s="1"/>
      <c r="CI1398" s="1"/>
      <c r="CJ1398" s="1"/>
      <c r="CK1398" s="1"/>
      <c r="CL1398" s="1"/>
      <c r="CM1398" s="1"/>
      <c r="CN1398" s="1"/>
      <c r="CO1398" s="1"/>
      <c r="CP1398" s="1"/>
      <c r="CQ1398" s="1"/>
      <c r="CR1398" s="1"/>
      <c r="CS1398" s="1"/>
      <c r="CT1398" s="1"/>
      <c r="CU1398" s="1"/>
      <c r="CV1398" s="1"/>
      <c r="CW1398" s="1"/>
      <c r="CX1398" s="1"/>
      <c r="CY1398" s="1"/>
      <c r="CZ1398" s="1"/>
      <c r="DA1398" s="1"/>
      <c r="DB1398" s="1"/>
      <c r="DC1398" s="1"/>
    </row>
    <row r="1399" spans="1:107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  <c r="BI1399" s="1"/>
      <c r="BJ1399" s="1"/>
      <c r="BK1399" s="1"/>
      <c r="BL1399" s="1"/>
      <c r="BM1399" s="1"/>
      <c r="BN1399" s="1"/>
      <c r="BO1399" s="1"/>
      <c r="BP1399" s="1"/>
      <c r="BQ1399" s="1"/>
      <c r="BR1399" s="1"/>
      <c r="BS1399" s="1"/>
      <c r="BT1399" s="1"/>
      <c r="BU1399" s="1"/>
      <c r="BV1399" s="1"/>
      <c r="BW1399" s="1"/>
      <c r="BX1399" s="1"/>
      <c r="BY1399" s="1"/>
      <c r="BZ1399" s="1"/>
      <c r="CA1399" s="1"/>
      <c r="CB1399" s="1"/>
      <c r="CC1399" s="1"/>
      <c r="CD1399" s="1"/>
      <c r="CE1399" s="1"/>
      <c r="CF1399" s="1"/>
      <c r="CG1399" s="1"/>
      <c r="CH1399" s="1"/>
      <c r="CI1399" s="1"/>
      <c r="CJ1399" s="1"/>
      <c r="CK1399" s="1"/>
      <c r="CL1399" s="1"/>
      <c r="CM1399" s="1"/>
      <c r="CN1399" s="1"/>
      <c r="CO1399" s="1"/>
      <c r="CP1399" s="1"/>
      <c r="CQ1399" s="1"/>
      <c r="CR1399" s="1"/>
      <c r="CS1399" s="1"/>
      <c r="CT1399" s="1"/>
      <c r="CU1399" s="1"/>
      <c r="CV1399" s="1"/>
      <c r="CW1399" s="1"/>
      <c r="CX1399" s="1"/>
      <c r="CY1399" s="1"/>
      <c r="CZ1399" s="1"/>
      <c r="DA1399" s="1"/>
      <c r="DB1399" s="1"/>
      <c r="DC1399" s="1"/>
    </row>
    <row r="1400" spans="1:107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  <c r="BF1400" s="1"/>
      <c r="BG1400" s="1"/>
      <c r="BH1400" s="1"/>
      <c r="BI1400" s="1"/>
      <c r="BJ1400" s="1"/>
      <c r="BK1400" s="1"/>
      <c r="BL1400" s="1"/>
      <c r="BM1400" s="1"/>
      <c r="BN1400" s="1"/>
      <c r="BO1400" s="1"/>
      <c r="BP1400" s="1"/>
      <c r="BQ1400" s="1"/>
      <c r="BR1400" s="1"/>
      <c r="BS1400" s="1"/>
      <c r="BT1400" s="1"/>
      <c r="BU1400" s="1"/>
      <c r="BV1400" s="1"/>
      <c r="BW1400" s="1"/>
      <c r="BX1400" s="1"/>
      <c r="BY1400" s="1"/>
      <c r="BZ1400" s="1"/>
      <c r="CA1400" s="1"/>
      <c r="CB1400" s="1"/>
      <c r="CC1400" s="1"/>
      <c r="CD1400" s="1"/>
      <c r="CE1400" s="1"/>
      <c r="CF1400" s="1"/>
      <c r="CG1400" s="1"/>
      <c r="CH1400" s="1"/>
      <c r="CI1400" s="1"/>
      <c r="CJ1400" s="1"/>
      <c r="CK1400" s="1"/>
      <c r="CL1400" s="1"/>
      <c r="CM1400" s="1"/>
      <c r="CN1400" s="1"/>
      <c r="CO1400" s="1"/>
      <c r="CP1400" s="1"/>
      <c r="CQ1400" s="1"/>
      <c r="CR1400" s="1"/>
      <c r="CS1400" s="1"/>
      <c r="CT1400" s="1"/>
      <c r="CU1400" s="1"/>
      <c r="CV1400" s="1"/>
      <c r="CW1400" s="1"/>
      <c r="CX1400" s="1"/>
      <c r="CY1400" s="1"/>
      <c r="CZ1400" s="1"/>
      <c r="DA1400" s="1"/>
      <c r="DB1400" s="1"/>
      <c r="DC1400" s="1"/>
    </row>
    <row r="1401" spans="1:107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  <c r="BF1401" s="1"/>
      <c r="BG1401" s="1"/>
      <c r="BH1401" s="1"/>
      <c r="BI1401" s="1"/>
      <c r="BJ1401" s="1"/>
      <c r="BK1401" s="1"/>
      <c r="BL1401" s="1"/>
      <c r="BM1401" s="1"/>
      <c r="BN1401" s="1"/>
      <c r="BO1401" s="1"/>
      <c r="BP1401" s="1"/>
      <c r="BQ1401" s="1"/>
      <c r="BR1401" s="1"/>
      <c r="BS1401" s="1"/>
      <c r="BT1401" s="1"/>
      <c r="BU1401" s="1"/>
      <c r="BV1401" s="1"/>
      <c r="BW1401" s="1"/>
      <c r="BX1401" s="1"/>
      <c r="BY1401" s="1"/>
      <c r="BZ1401" s="1"/>
      <c r="CA1401" s="1"/>
      <c r="CB1401" s="1"/>
      <c r="CC1401" s="1"/>
      <c r="CD1401" s="1"/>
      <c r="CE1401" s="1"/>
      <c r="CF1401" s="1"/>
      <c r="CG1401" s="1"/>
      <c r="CH1401" s="1"/>
      <c r="CI1401" s="1"/>
      <c r="CJ1401" s="1"/>
      <c r="CK1401" s="1"/>
      <c r="CL1401" s="1"/>
      <c r="CM1401" s="1"/>
      <c r="CN1401" s="1"/>
      <c r="CO1401" s="1"/>
      <c r="CP1401" s="1"/>
      <c r="CQ1401" s="1"/>
      <c r="CR1401" s="1"/>
      <c r="CS1401" s="1"/>
      <c r="CT1401" s="1"/>
      <c r="CU1401" s="1"/>
      <c r="CV1401" s="1"/>
      <c r="CW1401" s="1"/>
      <c r="CX1401" s="1"/>
      <c r="CY1401" s="1"/>
      <c r="CZ1401" s="1"/>
      <c r="DA1401" s="1"/>
      <c r="DB1401" s="1"/>
      <c r="DC1401" s="1"/>
    </row>
    <row r="1402" spans="1:107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  <c r="BF1402" s="1"/>
      <c r="BG1402" s="1"/>
      <c r="BH1402" s="1"/>
      <c r="BI1402" s="1"/>
      <c r="BJ1402" s="1"/>
      <c r="BK1402" s="1"/>
      <c r="BL1402" s="1"/>
      <c r="BM1402" s="1"/>
      <c r="BN1402" s="1"/>
      <c r="BO1402" s="1"/>
      <c r="BP1402" s="1"/>
      <c r="BQ1402" s="1"/>
      <c r="BR1402" s="1"/>
      <c r="BS1402" s="1"/>
      <c r="BT1402" s="1"/>
      <c r="BU1402" s="1"/>
      <c r="BV1402" s="1"/>
      <c r="BW1402" s="1"/>
      <c r="BX1402" s="1"/>
      <c r="BY1402" s="1"/>
      <c r="BZ1402" s="1"/>
      <c r="CA1402" s="1"/>
      <c r="CB1402" s="1"/>
      <c r="CC1402" s="1"/>
      <c r="CD1402" s="1"/>
      <c r="CE1402" s="1"/>
      <c r="CF1402" s="1"/>
      <c r="CG1402" s="1"/>
      <c r="CH1402" s="1"/>
      <c r="CI1402" s="1"/>
      <c r="CJ1402" s="1"/>
      <c r="CK1402" s="1"/>
      <c r="CL1402" s="1"/>
      <c r="CM1402" s="1"/>
      <c r="CN1402" s="1"/>
      <c r="CO1402" s="1"/>
      <c r="CP1402" s="1"/>
      <c r="CQ1402" s="1"/>
      <c r="CR1402" s="1"/>
      <c r="CS1402" s="1"/>
      <c r="CT1402" s="1"/>
      <c r="CU1402" s="1"/>
      <c r="CV1402" s="1"/>
      <c r="CW1402" s="1"/>
      <c r="CX1402" s="1"/>
      <c r="CY1402" s="1"/>
      <c r="CZ1402" s="1"/>
      <c r="DA1402" s="1"/>
      <c r="DB1402" s="1"/>
      <c r="DC1402" s="1"/>
    </row>
    <row r="1403" spans="1:107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  <c r="BE1403" s="1"/>
      <c r="BF1403" s="1"/>
      <c r="BG1403" s="1"/>
      <c r="BH1403" s="1"/>
      <c r="BI1403" s="1"/>
      <c r="BJ1403" s="1"/>
      <c r="BK1403" s="1"/>
      <c r="BL1403" s="1"/>
      <c r="BM1403" s="1"/>
      <c r="BN1403" s="1"/>
      <c r="BO1403" s="1"/>
      <c r="BP1403" s="1"/>
      <c r="BQ1403" s="1"/>
      <c r="BR1403" s="1"/>
      <c r="BS1403" s="1"/>
      <c r="BT1403" s="1"/>
      <c r="BU1403" s="1"/>
      <c r="BV1403" s="1"/>
      <c r="BW1403" s="1"/>
      <c r="BX1403" s="1"/>
      <c r="BY1403" s="1"/>
      <c r="BZ1403" s="1"/>
      <c r="CA1403" s="1"/>
      <c r="CB1403" s="1"/>
      <c r="CC1403" s="1"/>
      <c r="CD1403" s="1"/>
      <c r="CE1403" s="1"/>
      <c r="CF1403" s="1"/>
      <c r="CG1403" s="1"/>
      <c r="CH1403" s="1"/>
      <c r="CI1403" s="1"/>
      <c r="CJ1403" s="1"/>
      <c r="CK1403" s="1"/>
      <c r="CL1403" s="1"/>
      <c r="CM1403" s="1"/>
      <c r="CN1403" s="1"/>
      <c r="CO1403" s="1"/>
      <c r="CP1403" s="1"/>
      <c r="CQ1403" s="1"/>
      <c r="CR1403" s="1"/>
      <c r="CS1403" s="1"/>
      <c r="CT1403" s="1"/>
      <c r="CU1403" s="1"/>
      <c r="CV1403" s="1"/>
      <c r="CW1403" s="1"/>
      <c r="CX1403" s="1"/>
      <c r="CY1403" s="1"/>
      <c r="CZ1403" s="1"/>
      <c r="DA1403" s="1"/>
      <c r="DB1403" s="1"/>
      <c r="DC1403" s="1"/>
    </row>
    <row r="1404" spans="1:107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  <c r="BD1404" s="1"/>
      <c r="BE1404" s="1"/>
      <c r="BF1404" s="1"/>
      <c r="BG1404" s="1"/>
      <c r="BH1404" s="1"/>
      <c r="BI1404" s="1"/>
      <c r="BJ1404" s="1"/>
      <c r="BK1404" s="1"/>
      <c r="BL1404" s="1"/>
      <c r="BM1404" s="1"/>
      <c r="BN1404" s="1"/>
      <c r="BO1404" s="1"/>
      <c r="BP1404" s="1"/>
      <c r="BQ1404" s="1"/>
      <c r="BR1404" s="1"/>
      <c r="BS1404" s="1"/>
      <c r="BT1404" s="1"/>
      <c r="BU1404" s="1"/>
      <c r="BV1404" s="1"/>
      <c r="BW1404" s="1"/>
      <c r="BX1404" s="1"/>
      <c r="BY1404" s="1"/>
      <c r="BZ1404" s="1"/>
      <c r="CA1404" s="1"/>
      <c r="CB1404" s="1"/>
      <c r="CC1404" s="1"/>
      <c r="CD1404" s="1"/>
      <c r="CE1404" s="1"/>
      <c r="CF1404" s="1"/>
      <c r="CG1404" s="1"/>
      <c r="CH1404" s="1"/>
      <c r="CI1404" s="1"/>
      <c r="CJ1404" s="1"/>
      <c r="CK1404" s="1"/>
      <c r="CL1404" s="1"/>
      <c r="CM1404" s="1"/>
      <c r="CN1404" s="1"/>
      <c r="CO1404" s="1"/>
      <c r="CP1404" s="1"/>
      <c r="CQ1404" s="1"/>
      <c r="CR1404" s="1"/>
      <c r="CS1404" s="1"/>
      <c r="CT1404" s="1"/>
      <c r="CU1404" s="1"/>
      <c r="CV1404" s="1"/>
      <c r="CW1404" s="1"/>
      <c r="CX1404" s="1"/>
      <c r="CY1404" s="1"/>
      <c r="CZ1404" s="1"/>
      <c r="DA1404" s="1"/>
      <c r="DB1404" s="1"/>
      <c r="DC1404" s="1"/>
    </row>
    <row r="1405" spans="1:107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s="1"/>
      <c r="BD1405" s="1"/>
      <c r="BE1405" s="1"/>
      <c r="BF1405" s="1"/>
      <c r="BG1405" s="1"/>
      <c r="BH1405" s="1"/>
      <c r="BI1405" s="1"/>
      <c r="BJ1405" s="1"/>
      <c r="BK1405" s="1"/>
      <c r="BL1405" s="1"/>
      <c r="BM1405" s="1"/>
      <c r="BN1405" s="1"/>
      <c r="BO1405" s="1"/>
      <c r="BP1405" s="1"/>
      <c r="BQ1405" s="1"/>
      <c r="BR1405" s="1"/>
      <c r="BS1405" s="1"/>
      <c r="BT1405" s="1"/>
      <c r="BU1405" s="1"/>
      <c r="BV1405" s="1"/>
      <c r="BW1405" s="1"/>
      <c r="BX1405" s="1"/>
      <c r="BY1405" s="1"/>
      <c r="BZ1405" s="1"/>
      <c r="CA1405" s="1"/>
      <c r="CB1405" s="1"/>
      <c r="CC1405" s="1"/>
      <c r="CD1405" s="1"/>
      <c r="CE1405" s="1"/>
      <c r="CF1405" s="1"/>
      <c r="CG1405" s="1"/>
      <c r="CH1405" s="1"/>
      <c r="CI1405" s="1"/>
      <c r="CJ1405" s="1"/>
      <c r="CK1405" s="1"/>
      <c r="CL1405" s="1"/>
      <c r="CM1405" s="1"/>
      <c r="CN1405" s="1"/>
      <c r="CO1405" s="1"/>
      <c r="CP1405" s="1"/>
      <c r="CQ1405" s="1"/>
      <c r="CR1405" s="1"/>
      <c r="CS1405" s="1"/>
      <c r="CT1405" s="1"/>
      <c r="CU1405" s="1"/>
      <c r="CV1405" s="1"/>
      <c r="CW1405" s="1"/>
      <c r="CX1405" s="1"/>
      <c r="CY1405" s="1"/>
      <c r="CZ1405" s="1"/>
      <c r="DA1405" s="1"/>
      <c r="DB1405" s="1"/>
      <c r="DC1405" s="1"/>
    </row>
    <row r="1406" spans="1:107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B1406" s="1"/>
      <c r="BC1406" s="1"/>
      <c r="BD1406" s="1"/>
      <c r="BE1406" s="1"/>
      <c r="BF1406" s="1"/>
      <c r="BG1406" s="1"/>
      <c r="BH1406" s="1"/>
      <c r="BI1406" s="1"/>
      <c r="BJ1406" s="1"/>
      <c r="BK1406" s="1"/>
      <c r="BL1406" s="1"/>
      <c r="BM1406" s="1"/>
      <c r="BN1406" s="1"/>
      <c r="BO1406" s="1"/>
      <c r="BP1406" s="1"/>
      <c r="BQ1406" s="1"/>
      <c r="BR1406" s="1"/>
      <c r="BS1406" s="1"/>
      <c r="BT1406" s="1"/>
      <c r="BU1406" s="1"/>
      <c r="BV1406" s="1"/>
      <c r="BW1406" s="1"/>
      <c r="BX1406" s="1"/>
      <c r="BY1406" s="1"/>
      <c r="BZ1406" s="1"/>
      <c r="CA1406" s="1"/>
      <c r="CB1406" s="1"/>
      <c r="CC1406" s="1"/>
      <c r="CD1406" s="1"/>
      <c r="CE1406" s="1"/>
      <c r="CF1406" s="1"/>
      <c r="CG1406" s="1"/>
      <c r="CH1406" s="1"/>
      <c r="CI1406" s="1"/>
      <c r="CJ1406" s="1"/>
      <c r="CK1406" s="1"/>
      <c r="CL1406" s="1"/>
      <c r="CM1406" s="1"/>
      <c r="CN1406" s="1"/>
      <c r="CO1406" s="1"/>
      <c r="CP1406" s="1"/>
      <c r="CQ1406" s="1"/>
      <c r="CR1406" s="1"/>
      <c r="CS1406" s="1"/>
      <c r="CT1406" s="1"/>
      <c r="CU1406" s="1"/>
      <c r="CV1406" s="1"/>
      <c r="CW1406" s="1"/>
      <c r="CX1406" s="1"/>
      <c r="CY1406" s="1"/>
      <c r="CZ1406" s="1"/>
      <c r="DA1406" s="1"/>
      <c r="DB1406" s="1"/>
      <c r="DC1406" s="1"/>
    </row>
    <row r="1407" spans="1:107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  <c r="BB1407" s="1"/>
      <c r="BC1407" s="1"/>
      <c r="BD1407" s="1"/>
      <c r="BE1407" s="1"/>
      <c r="BF1407" s="1"/>
      <c r="BG1407" s="1"/>
      <c r="BH1407" s="1"/>
      <c r="BI1407" s="1"/>
      <c r="BJ1407" s="1"/>
      <c r="BK1407" s="1"/>
      <c r="BL1407" s="1"/>
      <c r="BM1407" s="1"/>
      <c r="BN1407" s="1"/>
      <c r="BO1407" s="1"/>
      <c r="BP1407" s="1"/>
      <c r="BQ1407" s="1"/>
      <c r="BR1407" s="1"/>
      <c r="BS1407" s="1"/>
      <c r="BT1407" s="1"/>
      <c r="BU1407" s="1"/>
      <c r="BV1407" s="1"/>
      <c r="BW1407" s="1"/>
      <c r="BX1407" s="1"/>
      <c r="BY1407" s="1"/>
      <c r="BZ1407" s="1"/>
      <c r="CA1407" s="1"/>
      <c r="CB1407" s="1"/>
      <c r="CC1407" s="1"/>
      <c r="CD1407" s="1"/>
      <c r="CE1407" s="1"/>
      <c r="CF1407" s="1"/>
      <c r="CG1407" s="1"/>
      <c r="CH1407" s="1"/>
      <c r="CI1407" s="1"/>
      <c r="CJ1407" s="1"/>
      <c r="CK1407" s="1"/>
      <c r="CL1407" s="1"/>
      <c r="CM1407" s="1"/>
      <c r="CN1407" s="1"/>
      <c r="CO1407" s="1"/>
      <c r="CP1407" s="1"/>
      <c r="CQ1407" s="1"/>
      <c r="CR1407" s="1"/>
      <c r="CS1407" s="1"/>
      <c r="CT1407" s="1"/>
      <c r="CU1407" s="1"/>
      <c r="CV1407" s="1"/>
      <c r="CW1407" s="1"/>
      <c r="CX1407" s="1"/>
      <c r="CY1407" s="1"/>
      <c r="CZ1407" s="1"/>
      <c r="DA1407" s="1"/>
      <c r="DB1407" s="1"/>
      <c r="DC1407" s="1"/>
    </row>
    <row r="1408" spans="1:107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1"/>
      <c r="BF1408" s="1"/>
      <c r="BG1408" s="1"/>
      <c r="BH1408" s="1"/>
      <c r="BI1408" s="1"/>
      <c r="BJ1408" s="1"/>
      <c r="BK1408" s="1"/>
      <c r="BL1408" s="1"/>
      <c r="BM1408" s="1"/>
      <c r="BN1408" s="1"/>
      <c r="BO1408" s="1"/>
      <c r="BP1408" s="1"/>
      <c r="BQ1408" s="1"/>
      <c r="BR1408" s="1"/>
      <c r="BS1408" s="1"/>
      <c r="BT1408" s="1"/>
      <c r="BU1408" s="1"/>
      <c r="BV1408" s="1"/>
      <c r="BW1408" s="1"/>
      <c r="BX1408" s="1"/>
      <c r="BY1408" s="1"/>
      <c r="BZ1408" s="1"/>
      <c r="CA1408" s="1"/>
      <c r="CB1408" s="1"/>
      <c r="CC1408" s="1"/>
      <c r="CD1408" s="1"/>
      <c r="CE1408" s="1"/>
      <c r="CF1408" s="1"/>
      <c r="CG1408" s="1"/>
      <c r="CH1408" s="1"/>
      <c r="CI1408" s="1"/>
      <c r="CJ1408" s="1"/>
      <c r="CK1408" s="1"/>
      <c r="CL1408" s="1"/>
      <c r="CM1408" s="1"/>
      <c r="CN1408" s="1"/>
      <c r="CO1408" s="1"/>
      <c r="CP1408" s="1"/>
      <c r="CQ1408" s="1"/>
      <c r="CR1408" s="1"/>
      <c r="CS1408" s="1"/>
      <c r="CT1408" s="1"/>
      <c r="CU1408" s="1"/>
      <c r="CV1408" s="1"/>
      <c r="CW1408" s="1"/>
      <c r="CX1408" s="1"/>
      <c r="CY1408" s="1"/>
      <c r="CZ1408" s="1"/>
      <c r="DA1408" s="1"/>
      <c r="DB1408" s="1"/>
      <c r="DC1408" s="1"/>
    </row>
    <row r="1409" spans="1:107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  <c r="BD1409" s="1"/>
      <c r="BE1409" s="1"/>
      <c r="BF1409" s="1"/>
      <c r="BG1409" s="1"/>
      <c r="BH1409" s="1"/>
      <c r="BI1409" s="1"/>
      <c r="BJ1409" s="1"/>
      <c r="BK1409" s="1"/>
      <c r="BL1409" s="1"/>
      <c r="BM1409" s="1"/>
      <c r="BN1409" s="1"/>
      <c r="BO1409" s="1"/>
      <c r="BP1409" s="1"/>
      <c r="BQ1409" s="1"/>
      <c r="BR1409" s="1"/>
      <c r="BS1409" s="1"/>
      <c r="BT1409" s="1"/>
      <c r="BU1409" s="1"/>
      <c r="BV1409" s="1"/>
      <c r="BW1409" s="1"/>
      <c r="BX1409" s="1"/>
      <c r="BY1409" s="1"/>
      <c r="BZ1409" s="1"/>
      <c r="CA1409" s="1"/>
      <c r="CB1409" s="1"/>
      <c r="CC1409" s="1"/>
      <c r="CD1409" s="1"/>
      <c r="CE1409" s="1"/>
      <c r="CF1409" s="1"/>
      <c r="CG1409" s="1"/>
      <c r="CH1409" s="1"/>
      <c r="CI1409" s="1"/>
      <c r="CJ1409" s="1"/>
      <c r="CK1409" s="1"/>
      <c r="CL1409" s="1"/>
      <c r="CM1409" s="1"/>
      <c r="CN1409" s="1"/>
      <c r="CO1409" s="1"/>
      <c r="CP1409" s="1"/>
      <c r="CQ1409" s="1"/>
      <c r="CR1409" s="1"/>
      <c r="CS1409" s="1"/>
      <c r="CT1409" s="1"/>
      <c r="CU1409" s="1"/>
      <c r="CV1409" s="1"/>
      <c r="CW1409" s="1"/>
      <c r="CX1409" s="1"/>
      <c r="CY1409" s="1"/>
      <c r="CZ1409" s="1"/>
      <c r="DA1409" s="1"/>
      <c r="DB1409" s="1"/>
      <c r="DC1409" s="1"/>
    </row>
    <row r="1410" spans="1:107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  <c r="BD1410" s="1"/>
      <c r="BE1410" s="1"/>
      <c r="BF1410" s="1"/>
      <c r="BG1410" s="1"/>
      <c r="BH1410" s="1"/>
      <c r="BI1410" s="1"/>
      <c r="BJ1410" s="1"/>
      <c r="BK1410" s="1"/>
      <c r="BL1410" s="1"/>
      <c r="BM1410" s="1"/>
      <c r="BN1410" s="1"/>
      <c r="BO1410" s="1"/>
      <c r="BP1410" s="1"/>
      <c r="BQ1410" s="1"/>
      <c r="BR1410" s="1"/>
      <c r="BS1410" s="1"/>
      <c r="BT1410" s="1"/>
      <c r="BU1410" s="1"/>
      <c r="BV1410" s="1"/>
      <c r="BW1410" s="1"/>
      <c r="BX1410" s="1"/>
      <c r="BY1410" s="1"/>
      <c r="BZ1410" s="1"/>
      <c r="CA1410" s="1"/>
      <c r="CB1410" s="1"/>
      <c r="CC1410" s="1"/>
      <c r="CD1410" s="1"/>
      <c r="CE1410" s="1"/>
      <c r="CF1410" s="1"/>
      <c r="CG1410" s="1"/>
      <c r="CH1410" s="1"/>
      <c r="CI1410" s="1"/>
      <c r="CJ1410" s="1"/>
      <c r="CK1410" s="1"/>
      <c r="CL1410" s="1"/>
      <c r="CM1410" s="1"/>
      <c r="CN1410" s="1"/>
      <c r="CO1410" s="1"/>
      <c r="CP1410" s="1"/>
      <c r="CQ1410" s="1"/>
      <c r="CR1410" s="1"/>
      <c r="CS1410" s="1"/>
      <c r="CT1410" s="1"/>
      <c r="CU1410" s="1"/>
      <c r="CV1410" s="1"/>
      <c r="CW1410" s="1"/>
      <c r="CX1410" s="1"/>
      <c r="CY1410" s="1"/>
      <c r="CZ1410" s="1"/>
      <c r="DA1410" s="1"/>
      <c r="DB1410" s="1"/>
      <c r="DC1410" s="1"/>
    </row>
    <row r="1411" spans="1:107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s="1"/>
      <c r="BD1411" s="1"/>
      <c r="BE1411" s="1"/>
      <c r="BF1411" s="1"/>
      <c r="BG1411" s="1"/>
      <c r="BH1411" s="1"/>
      <c r="BI1411" s="1"/>
      <c r="BJ1411" s="1"/>
      <c r="BK1411" s="1"/>
      <c r="BL1411" s="1"/>
      <c r="BM1411" s="1"/>
      <c r="BN1411" s="1"/>
      <c r="BO1411" s="1"/>
      <c r="BP1411" s="1"/>
      <c r="BQ1411" s="1"/>
      <c r="BR1411" s="1"/>
      <c r="BS1411" s="1"/>
      <c r="BT1411" s="1"/>
      <c r="BU1411" s="1"/>
      <c r="BV1411" s="1"/>
      <c r="BW1411" s="1"/>
      <c r="BX1411" s="1"/>
      <c r="BY1411" s="1"/>
      <c r="BZ1411" s="1"/>
      <c r="CA1411" s="1"/>
      <c r="CB1411" s="1"/>
      <c r="CC1411" s="1"/>
      <c r="CD1411" s="1"/>
      <c r="CE1411" s="1"/>
      <c r="CF1411" s="1"/>
      <c r="CG1411" s="1"/>
      <c r="CH1411" s="1"/>
      <c r="CI1411" s="1"/>
      <c r="CJ1411" s="1"/>
      <c r="CK1411" s="1"/>
      <c r="CL1411" s="1"/>
      <c r="CM1411" s="1"/>
      <c r="CN1411" s="1"/>
      <c r="CO1411" s="1"/>
      <c r="CP1411" s="1"/>
      <c r="CQ1411" s="1"/>
      <c r="CR1411" s="1"/>
      <c r="CS1411" s="1"/>
      <c r="CT1411" s="1"/>
      <c r="CU1411" s="1"/>
      <c r="CV1411" s="1"/>
      <c r="CW1411" s="1"/>
      <c r="CX1411" s="1"/>
      <c r="CY1411" s="1"/>
      <c r="CZ1411" s="1"/>
      <c r="DA1411" s="1"/>
      <c r="DB1411" s="1"/>
      <c r="DC1411" s="1"/>
    </row>
    <row r="1412" spans="1:107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  <c r="BD1412" s="1"/>
      <c r="BE1412" s="1"/>
      <c r="BF1412" s="1"/>
      <c r="BG1412" s="1"/>
      <c r="BH1412" s="1"/>
      <c r="BI1412" s="1"/>
      <c r="BJ1412" s="1"/>
      <c r="BK1412" s="1"/>
      <c r="BL1412" s="1"/>
      <c r="BM1412" s="1"/>
      <c r="BN1412" s="1"/>
      <c r="BO1412" s="1"/>
      <c r="BP1412" s="1"/>
      <c r="BQ1412" s="1"/>
      <c r="BR1412" s="1"/>
      <c r="BS1412" s="1"/>
      <c r="BT1412" s="1"/>
      <c r="BU1412" s="1"/>
      <c r="BV1412" s="1"/>
      <c r="BW1412" s="1"/>
      <c r="BX1412" s="1"/>
      <c r="BY1412" s="1"/>
      <c r="BZ1412" s="1"/>
      <c r="CA1412" s="1"/>
      <c r="CB1412" s="1"/>
      <c r="CC1412" s="1"/>
      <c r="CD1412" s="1"/>
      <c r="CE1412" s="1"/>
      <c r="CF1412" s="1"/>
      <c r="CG1412" s="1"/>
      <c r="CH1412" s="1"/>
      <c r="CI1412" s="1"/>
      <c r="CJ1412" s="1"/>
      <c r="CK1412" s="1"/>
      <c r="CL1412" s="1"/>
      <c r="CM1412" s="1"/>
      <c r="CN1412" s="1"/>
      <c r="CO1412" s="1"/>
      <c r="CP1412" s="1"/>
      <c r="CQ1412" s="1"/>
      <c r="CR1412" s="1"/>
      <c r="CS1412" s="1"/>
      <c r="CT1412" s="1"/>
      <c r="CU1412" s="1"/>
      <c r="CV1412" s="1"/>
      <c r="CW1412" s="1"/>
      <c r="CX1412" s="1"/>
      <c r="CY1412" s="1"/>
      <c r="CZ1412" s="1"/>
      <c r="DA1412" s="1"/>
      <c r="DB1412" s="1"/>
      <c r="DC1412" s="1"/>
    </row>
    <row r="1413" spans="1:107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  <c r="BD1413" s="1"/>
      <c r="BE1413" s="1"/>
      <c r="BF1413" s="1"/>
      <c r="BG1413" s="1"/>
      <c r="BH1413" s="1"/>
      <c r="BI1413" s="1"/>
      <c r="BJ1413" s="1"/>
      <c r="BK1413" s="1"/>
      <c r="BL1413" s="1"/>
      <c r="BM1413" s="1"/>
      <c r="BN1413" s="1"/>
      <c r="BO1413" s="1"/>
      <c r="BP1413" s="1"/>
      <c r="BQ1413" s="1"/>
      <c r="BR1413" s="1"/>
      <c r="BS1413" s="1"/>
      <c r="BT1413" s="1"/>
      <c r="BU1413" s="1"/>
      <c r="BV1413" s="1"/>
      <c r="BW1413" s="1"/>
      <c r="BX1413" s="1"/>
      <c r="BY1413" s="1"/>
      <c r="BZ1413" s="1"/>
      <c r="CA1413" s="1"/>
      <c r="CB1413" s="1"/>
      <c r="CC1413" s="1"/>
      <c r="CD1413" s="1"/>
      <c r="CE1413" s="1"/>
      <c r="CF1413" s="1"/>
      <c r="CG1413" s="1"/>
      <c r="CH1413" s="1"/>
      <c r="CI1413" s="1"/>
      <c r="CJ1413" s="1"/>
      <c r="CK1413" s="1"/>
      <c r="CL1413" s="1"/>
      <c r="CM1413" s="1"/>
      <c r="CN1413" s="1"/>
      <c r="CO1413" s="1"/>
      <c r="CP1413" s="1"/>
      <c r="CQ1413" s="1"/>
      <c r="CR1413" s="1"/>
      <c r="CS1413" s="1"/>
      <c r="CT1413" s="1"/>
      <c r="CU1413" s="1"/>
      <c r="CV1413" s="1"/>
      <c r="CW1413" s="1"/>
      <c r="CX1413" s="1"/>
      <c r="CY1413" s="1"/>
      <c r="CZ1413" s="1"/>
      <c r="DA1413" s="1"/>
      <c r="DB1413" s="1"/>
      <c r="DC1413" s="1"/>
    </row>
    <row r="1414" spans="1:107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1"/>
      <c r="AZ1414" s="1"/>
      <c r="BA1414" s="1"/>
      <c r="BB1414" s="1"/>
      <c r="BC1414" s="1"/>
      <c r="BD1414" s="1"/>
      <c r="BE1414" s="1"/>
      <c r="BF1414" s="1"/>
      <c r="BG1414" s="1"/>
      <c r="BH1414" s="1"/>
      <c r="BI1414" s="1"/>
      <c r="BJ1414" s="1"/>
      <c r="BK1414" s="1"/>
      <c r="BL1414" s="1"/>
      <c r="BM1414" s="1"/>
      <c r="BN1414" s="1"/>
      <c r="BO1414" s="1"/>
      <c r="BP1414" s="1"/>
      <c r="BQ1414" s="1"/>
      <c r="BR1414" s="1"/>
      <c r="BS1414" s="1"/>
      <c r="BT1414" s="1"/>
      <c r="BU1414" s="1"/>
      <c r="BV1414" s="1"/>
      <c r="BW1414" s="1"/>
      <c r="BX1414" s="1"/>
      <c r="BY1414" s="1"/>
      <c r="BZ1414" s="1"/>
      <c r="CA1414" s="1"/>
      <c r="CB1414" s="1"/>
      <c r="CC1414" s="1"/>
      <c r="CD1414" s="1"/>
      <c r="CE1414" s="1"/>
      <c r="CF1414" s="1"/>
      <c r="CG1414" s="1"/>
      <c r="CH1414" s="1"/>
      <c r="CI1414" s="1"/>
      <c r="CJ1414" s="1"/>
      <c r="CK1414" s="1"/>
      <c r="CL1414" s="1"/>
      <c r="CM1414" s="1"/>
      <c r="CN1414" s="1"/>
      <c r="CO1414" s="1"/>
      <c r="CP1414" s="1"/>
      <c r="CQ1414" s="1"/>
      <c r="CR1414" s="1"/>
      <c r="CS1414" s="1"/>
      <c r="CT1414" s="1"/>
      <c r="CU1414" s="1"/>
      <c r="CV1414" s="1"/>
      <c r="CW1414" s="1"/>
      <c r="CX1414" s="1"/>
      <c r="CY1414" s="1"/>
      <c r="CZ1414" s="1"/>
      <c r="DA1414" s="1"/>
      <c r="DB1414" s="1"/>
      <c r="DC1414" s="1"/>
    </row>
    <row r="1415" spans="1:107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/>
      <c r="AY1415" s="1"/>
      <c r="AZ1415" s="1"/>
      <c r="BA1415" s="1"/>
      <c r="BB1415" s="1"/>
      <c r="BC1415" s="1"/>
      <c r="BD1415" s="1"/>
      <c r="BE1415" s="1"/>
      <c r="BF1415" s="1"/>
      <c r="BG1415" s="1"/>
      <c r="BH1415" s="1"/>
      <c r="BI1415" s="1"/>
      <c r="BJ1415" s="1"/>
      <c r="BK1415" s="1"/>
      <c r="BL1415" s="1"/>
      <c r="BM1415" s="1"/>
      <c r="BN1415" s="1"/>
      <c r="BO1415" s="1"/>
      <c r="BP1415" s="1"/>
      <c r="BQ1415" s="1"/>
      <c r="BR1415" s="1"/>
      <c r="BS1415" s="1"/>
      <c r="BT1415" s="1"/>
      <c r="BU1415" s="1"/>
      <c r="BV1415" s="1"/>
      <c r="BW1415" s="1"/>
      <c r="BX1415" s="1"/>
      <c r="BY1415" s="1"/>
      <c r="BZ1415" s="1"/>
      <c r="CA1415" s="1"/>
      <c r="CB1415" s="1"/>
      <c r="CC1415" s="1"/>
      <c r="CD1415" s="1"/>
      <c r="CE1415" s="1"/>
      <c r="CF1415" s="1"/>
      <c r="CG1415" s="1"/>
      <c r="CH1415" s="1"/>
      <c r="CI1415" s="1"/>
      <c r="CJ1415" s="1"/>
      <c r="CK1415" s="1"/>
      <c r="CL1415" s="1"/>
      <c r="CM1415" s="1"/>
      <c r="CN1415" s="1"/>
      <c r="CO1415" s="1"/>
      <c r="CP1415" s="1"/>
      <c r="CQ1415" s="1"/>
      <c r="CR1415" s="1"/>
      <c r="CS1415" s="1"/>
      <c r="CT1415" s="1"/>
      <c r="CU1415" s="1"/>
      <c r="CV1415" s="1"/>
      <c r="CW1415" s="1"/>
      <c r="CX1415" s="1"/>
      <c r="CY1415" s="1"/>
      <c r="CZ1415" s="1"/>
      <c r="DA1415" s="1"/>
      <c r="DB1415" s="1"/>
      <c r="DC1415" s="1"/>
    </row>
    <row r="1416" spans="1:107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  <c r="AZ1416" s="1"/>
      <c r="BA1416" s="1"/>
      <c r="BB1416" s="1"/>
      <c r="BC1416" s="1"/>
      <c r="BD1416" s="1"/>
      <c r="BE1416" s="1"/>
      <c r="BF1416" s="1"/>
      <c r="BG1416" s="1"/>
      <c r="BH1416" s="1"/>
      <c r="BI1416" s="1"/>
      <c r="BJ1416" s="1"/>
      <c r="BK1416" s="1"/>
      <c r="BL1416" s="1"/>
      <c r="BM1416" s="1"/>
      <c r="BN1416" s="1"/>
      <c r="BO1416" s="1"/>
      <c r="BP1416" s="1"/>
      <c r="BQ1416" s="1"/>
      <c r="BR1416" s="1"/>
      <c r="BS1416" s="1"/>
      <c r="BT1416" s="1"/>
      <c r="BU1416" s="1"/>
      <c r="BV1416" s="1"/>
      <c r="BW1416" s="1"/>
      <c r="BX1416" s="1"/>
      <c r="BY1416" s="1"/>
      <c r="BZ1416" s="1"/>
      <c r="CA1416" s="1"/>
      <c r="CB1416" s="1"/>
      <c r="CC1416" s="1"/>
      <c r="CD1416" s="1"/>
      <c r="CE1416" s="1"/>
      <c r="CF1416" s="1"/>
      <c r="CG1416" s="1"/>
      <c r="CH1416" s="1"/>
      <c r="CI1416" s="1"/>
      <c r="CJ1416" s="1"/>
      <c r="CK1416" s="1"/>
      <c r="CL1416" s="1"/>
      <c r="CM1416" s="1"/>
      <c r="CN1416" s="1"/>
      <c r="CO1416" s="1"/>
      <c r="CP1416" s="1"/>
      <c r="CQ1416" s="1"/>
      <c r="CR1416" s="1"/>
      <c r="CS1416" s="1"/>
      <c r="CT1416" s="1"/>
      <c r="CU1416" s="1"/>
      <c r="CV1416" s="1"/>
      <c r="CW1416" s="1"/>
      <c r="CX1416" s="1"/>
      <c r="CY1416" s="1"/>
      <c r="CZ1416" s="1"/>
      <c r="DA1416" s="1"/>
      <c r="DB1416" s="1"/>
      <c r="DC1416" s="1"/>
    </row>
    <row r="1417" spans="1:107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/>
      <c r="AY1417" s="1"/>
      <c r="AZ1417" s="1"/>
      <c r="BA1417" s="1"/>
      <c r="BB1417" s="1"/>
      <c r="BC1417" s="1"/>
      <c r="BD1417" s="1"/>
      <c r="BE1417" s="1"/>
      <c r="BF1417" s="1"/>
      <c r="BG1417" s="1"/>
      <c r="BH1417" s="1"/>
      <c r="BI1417" s="1"/>
      <c r="BJ1417" s="1"/>
      <c r="BK1417" s="1"/>
      <c r="BL1417" s="1"/>
      <c r="BM1417" s="1"/>
      <c r="BN1417" s="1"/>
      <c r="BO1417" s="1"/>
      <c r="BP1417" s="1"/>
      <c r="BQ1417" s="1"/>
      <c r="BR1417" s="1"/>
      <c r="BS1417" s="1"/>
      <c r="BT1417" s="1"/>
      <c r="BU1417" s="1"/>
      <c r="BV1417" s="1"/>
      <c r="BW1417" s="1"/>
      <c r="BX1417" s="1"/>
      <c r="BY1417" s="1"/>
      <c r="BZ1417" s="1"/>
      <c r="CA1417" s="1"/>
      <c r="CB1417" s="1"/>
      <c r="CC1417" s="1"/>
      <c r="CD1417" s="1"/>
      <c r="CE1417" s="1"/>
      <c r="CF1417" s="1"/>
      <c r="CG1417" s="1"/>
      <c r="CH1417" s="1"/>
      <c r="CI1417" s="1"/>
      <c r="CJ1417" s="1"/>
      <c r="CK1417" s="1"/>
      <c r="CL1417" s="1"/>
      <c r="CM1417" s="1"/>
      <c r="CN1417" s="1"/>
      <c r="CO1417" s="1"/>
      <c r="CP1417" s="1"/>
      <c r="CQ1417" s="1"/>
      <c r="CR1417" s="1"/>
      <c r="CS1417" s="1"/>
      <c r="CT1417" s="1"/>
      <c r="CU1417" s="1"/>
      <c r="CV1417" s="1"/>
      <c r="CW1417" s="1"/>
      <c r="CX1417" s="1"/>
      <c r="CY1417" s="1"/>
      <c r="CZ1417" s="1"/>
      <c r="DA1417" s="1"/>
      <c r="DB1417" s="1"/>
      <c r="DC1417" s="1"/>
    </row>
    <row r="1418" spans="1:107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/>
      <c r="BC1418" s="1"/>
      <c r="BD1418" s="1"/>
      <c r="BE1418" s="1"/>
      <c r="BF1418" s="1"/>
      <c r="BG1418" s="1"/>
      <c r="BH1418" s="1"/>
      <c r="BI1418" s="1"/>
      <c r="BJ1418" s="1"/>
      <c r="BK1418" s="1"/>
      <c r="BL1418" s="1"/>
      <c r="BM1418" s="1"/>
      <c r="BN1418" s="1"/>
      <c r="BO1418" s="1"/>
      <c r="BP1418" s="1"/>
      <c r="BQ1418" s="1"/>
      <c r="BR1418" s="1"/>
      <c r="BS1418" s="1"/>
      <c r="BT1418" s="1"/>
      <c r="BU1418" s="1"/>
      <c r="BV1418" s="1"/>
      <c r="BW1418" s="1"/>
      <c r="BX1418" s="1"/>
      <c r="BY1418" s="1"/>
      <c r="BZ1418" s="1"/>
      <c r="CA1418" s="1"/>
      <c r="CB1418" s="1"/>
      <c r="CC1418" s="1"/>
      <c r="CD1418" s="1"/>
      <c r="CE1418" s="1"/>
      <c r="CF1418" s="1"/>
      <c r="CG1418" s="1"/>
      <c r="CH1418" s="1"/>
      <c r="CI1418" s="1"/>
      <c r="CJ1418" s="1"/>
      <c r="CK1418" s="1"/>
      <c r="CL1418" s="1"/>
      <c r="CM1418" s="1"/>
      <c r="CN1418" s="1"/>
      <c r="CO1418" s="1"/>
      <c r="CP1418" s="1"/>
      <c r="CQ1418" s="1"/>
      <c r="CR1418" s="1"/>
      <c r="CS1418" s="1"/>
      <c r="CT1418" s="1"/>
      <c r="CU1418" s="1"/>
      <c r="CV1418" s="1"/>
      <c r="CW1418" s="1"/>
      <c r="CX1418" s="1"/>
      <c r="CY1418" s="1"/>
      <c r="CZ1418" s="1"/>
      <c r="DA1418" s="1"/>
      <c r="DB1418" s="1"/>
      <c r="DC1418" s="1"/>
    </row>
    <row r="1419" spans="1:107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  <c r="BF1419" s="1"/>
      <c r="BG1419" s="1"/>
      <c r="BH1419" s="1"/>
      <c r="BI1419" s="1"/>
      <c r="BJ1419" s="1"/>
      <c r="BK1419" s="1"/>
      <c r="BL1419" s="1"/>
      <c r="BM1419" s="1"/>
      <c r="BN1419" s="1"/>
      <c r="BO1419" s="1"/>
      <c r="BP1419" s="1"/>
      <c r="BQ1419" s="1"/>
      <c r="BR1419" s="1"/>
      <c r="BS1419" s="1"/>
      <c r="BT1419" s="1"/>
      <c r="BU1419" s="1"/>
      <c r="BV1419" s="1"/>
      <c r="BW1419" s="1"/>
      <c r="BX1419" s="1"/>
      <c r="BY1419" s="1"/>
      <c r="BZ1419" s="1"/>
      <c r="CA1419" s="1"/>
      <c r="CB1419" s="1"/>
      <c r="CC1419" s="1"/>
      <c r="CD1419" s="1"/>
      <c r="CE1419" s="1"/>
      <c r="CF1419" s="1"/>
      <c r="CG1419" s="1"/>
      <c r="CH1419" s="1"/>
      <c r="CI1419" s="1"/>
      <c r="CJ1419" s="1"/>
      <c r="CK1419" s="1"/>
      <c r="CL1419" s="1"/>
      <c r="CM1419" s="1"/>
      <c r="CN1419" s="1"/>
      <c r="CO1419" s="1"/>
      <c r="CP1419" s="1"/>
      <c r="CQ1419" s="1"/>
      <c r="CR1419" s="1"/>
      <c r="CS1419" s="1"/>
      <c r="CT1419" s="1"/>
      <c r="CU1419" s="1"/>
      <c r="CV1419" s="1"/>
      <c r="CW1419" s="1"/>
      <c r="CX1419" s="1"/>
      <c r="CY1419" s="1"/>
      <c r="CZ1419" s="1"/>
      <c r="DA1419" s="1"/>
      <c r="DB1419" s="1"/>
      <c r="DC1419" s="1"/>
    </row>
    <row r="1420" spans="1:107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  <c r="BD1420" s="1"/>
      <c r="BE1420" s="1"/>
      <c r="BF1420" s="1"/>
      <c r="BG1420" s="1"/>
      <c r="BH1420" s="1"/>
      <c r="BI1420" s="1"/>
      <c r="BJ1420" s="1"/>
      <c r="BK1420" s="1"/>
      <c r="BL1420" s="1"/>
      <c r="BM1420" s="1"/>
      <c r="BN1420" s="1"/>
      <c r="BO1420" s="1"/>
      <c r="BP1420" s="1"/>
      <c r="BQ1420" s="1"/>
      <c r="BR1420" s="1"/>
      <c r="BS1420" s="1"/>
      <c r="BT1420" s="1"/>
      <c r="BU1420" s="1"/>
      <c r="BV1420" s="1"/>
      <c r="BW1420" s="1"/>
      <c r="BX1420" s="1"/>
      <c r="BY1420" s="1"/>
      <c r="BZ1420" s="1"/>
      <c r="CA1420" s="1"/>
      <c r="CB1420" s="1"/>
      <c r="CC1420" s="1"/>
      <c r="CD1420" s="1"/>
      <c r="CE1420" s="1"/>
      <c r="CF1420" s="1"/>
      <c r="CG1420" s="1"/>
      <c r="CH1420" s="1"/>
      <c r="CI1420" s="1"/>
      <c r="CJ1420" s="1"/>
      <c r="CK1420" s="1"/>
      <c r="CL1420" s="1"/>
      <c r="CM1420" s="1"/>
      <c r="CN1420" s="1"/>
      <c r="CO1420" s="1"/>
      <c r="CP1420" s="1"/>
      <c r="CQ1420" s="1"/>
      <c r="CR1420" s="1"/>
      <c r="CS1420" s="1"/>
      <c r="CT1420" s="1"/>
      <c r="CU1420" s="1"/>
      <c r="CV1420" s="1"/>
      <c r="CW1420" s="1"/>
      <c r="CX1420" s="1"/>
      <c r="CY1420" s="1"/>
      <c r="CZ1420" s="1"/>
      <c r="DA1420" s="1"/>
      <c r="DB1420" s="1"/>
      <c r="DC1420" s="1"/>
    </row>
    <row r="1421" spans="1:107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/>
      <c r="BE1421" s="1"/>
      <c r="BF1421" s="1"/>
      <c r="BG1421" s="1"/>
      <c r="BH1421" s="1"/>
      <c r="BI1421" s="1"/>
      <c r="BJ1421" s="1"/>
      <c r="BK1421" s="1"/>
      <c r="BL1421" s="1"/>
      <c r="BM1421" s="1"/>
      <c r="BN1421" s="1"/>
      <c r="BO1421" s="1"/>
      <c r="BP1421" s="1"/>
      <c r="BQ1421" s="1"/>
      <c r="BR1421" s="1"/>
      <c r="BS1421" s="1"/>
      <c r="BT1421" s="1"/>
      <c r="BU1421" s="1"/>
      <c r="BV1421" s="1"/>
      <c r="BW1421" s="1"/>
      <c r="BX1421" s="1"/>
      <c r="BY1421" s="1"/>
      <c r="BZ1421" s="1"/>
      <c r="CA1421" s="1"/>
      <c r="CB1421" s="1"/>
      <c r="CC1421" s="1"/>
      <c r="CD1421" s="1"/>
      <c r="CE1421" s="1"/>
      <c r="CF1421" s="1"/>
      <c r="CG1421" s="1"/>
      <c r="CH1421" s="1"/>
      <c r="CI1421" s="1"/>
      <c r="CJ1421" s="1"/>
      <c r="CK1421" s="1"/>
      <c r="CL1421" s="1"/>
      <c r="CM1421" s="1"/>
      <c r="CN1421" s="1"/>
      <c r="CO1421" s="1"/>
      <c r="CP1421" s="1"/>
      <c r="CQ1421" s="1"/>
      <c r="CR1421" s="1"/>
      <c r="CS1421" s="1"/>
      <c r="CT1421" s="1"/>
      <c r="CU1421" s="1"/>
      <c r="CV1421" s="1"/>
      <c r="CW1421" s="1"/>
      <c r="CX1421" s="1"/>
      <c r="CY1421" s="1"/>
      <c r="CZ1421" s="1"/>
      <c r="DA1421" s="1"/>
      <c r="DB1421" s="1"/>
      <c r="DC1421" s="1"/>
    </row>
    <row r="1422" spans="1:107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  <c r="AZ1422" s="1"/>
      <c r="BA1422" s="1"/>
      <c r="BB1422" s="1"/>
      <c r="BC1422" s="1"/>
      <c r="BD1422" s="1"/>
      <c r="BE1422" s="1"/>
      <c r="BF1422" s="1"/>
      <c r="BG1422" s="1"/>
      <c r="BH1422" s="1"/>
      <c r="BI1422" s="1"/>
      <c r="BJ1422" s="1"/>
      <c r="BK1422" s="1"/>
      <c r="BL1422" s="1"/>
      <c r="BM1422" s="1"/>
      <c r="BN1422" s="1"/>
      <c r="BO1422" s="1"/>
      <c r="BP1422" s="1"/>
      <c r="BQ1422" s="1"/>
      <c r="BR1422" s="1"/>
      <c r="BS1422" s="1"/>
      <c r="BT1422" s="1"/>
      <c r="BU1422" s="1"/>
      <c r="BV1422" s="1"/>
      <c r="BW1422" s="1"/>
      <c r="BX1422" s="1"/>
      <c r="BY1422" s="1"/>
      <c r="BZ1422" s="1"/>
      <c r="CA1422" s="1"/>
      <c r="CB1422" s="1"/>
      <c r="CC1422" s="1"/>
      <c r="CD1422" s="1"/>
      <c r="CE1422" s="1"/>
      <c r="CF1422" s="1"/>
      <c r="CG1422" s="1"/>
      <c r="CH1422" s="1"/>
      <c r="CI1422" s="1"/>
      <c r="CJ1422" s="1"/>
      <c r="CK1422" s="1"/>
      <c r="CL1422" s="1"/>
      <c r="CM1422" s="1"/>
      <c r="CN1422" s="1"/>
      <c r="CO1422" s="1"/>
      <c r="CP1422" s="1"/>
      <c r="CQ1422" s="1"/>
      <c r="CR1422" s="1"/>
      <c r="CS1422" s="1"/>
      <c r="CT1422" s="1"/>
      <c r="CU1422" s="1"/>
      <c r="CV1422" s="1"/>
      <c r="CW1422" s="1"/>
      <c r="CX1422" s="1"/>
      <c r="CY1422" s="1"/>
      <c r="CZ1422" s="1"/>
      <c r="DA1422" s="1"/>
      <c r="DB1422" s="1"/>
      <c r="DC1422" s="1"/>
    </row>
    <row r="1423" spans="1:107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  <c r="BD1423" s="1"/>
      <c r="BE1423" s="1"/>
      <c r="BF1423" s="1"/>
      <c r="BG1423" s="1"/>
      <c r="BH1423" s="1"/>
      <c r="BI1423" s="1"/>
      <c r="BJ1423" s="1"/>
      <c r="BK1423" s="1"/>
      <c r="BL1423" s="1"/>
      <c r="BM1423" s="1"/>
      <c r="BN1423" s="1"/>
      <c r="BO1423" s="1"/>
      <c r="BP1423" s="1"/>
      <c r="BQ1423" s="1"/>
      <c r="BR1423" s="1"/>
      <c r="BS1423" s="1"/>
      <c r="BT1423" s="1"/>
      <c r="BU1423" s="1"/>
      <c r="BV1423" s="1"/>
      <c r="BW1423" s="1"/>
      <c r="BX1423" s="1"/>
      <c r="BY1423" s="1"/>
      <c r="BZ1423" s="1"/>
      <c r="CA1423" s="1"/>
      <c r="CB1423" s="1"/>
      <c r="CC1423" s="1"/>
      <c r="CD1423" s="1"/>
      <c r="CE1423" s="1"/>
      <c r="CF1423" s="1"/>
      <c r="CG1423" s="1"/>
      <c r="CH1423" s="1"/>
      <c r="CI1423" s="1"/>
      <c r="CJ1423" s="1"/>
      <c r="CK1423" s="1"/>
      <c r="CL1423" s="1"/>
      <c r="CM1423" s="1"/>
      <c r="CN1423" s="1"/>
      <c r="CO1423" s="1"/>
      <c r="CP1423" s="1"/>
      <c r="CQ1423" s="1"/>
      <c r="CR1423" s="1"/>
      <c r="CS1423" s="1"/>
      <c r="CT1423" s="1"/>
      <c r="CU1423" s="1"/>
      <c r="CV1423" s="1"/>
      <c r="CW1423" s="1"/>
      <c r="CX1423" s="1"/>
      <c r="CY1423" s="1"/>
      <c r="CZ1423" s="1"/>
      <c r="DA1423" s="1"/>
      <c r="DB1423" s="1"/>
      <c r="DC1423" s="1"/>
    </row>
    <row r="1424" spans="1:107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/>
      <c r="BB1424" s="1"/>
      <c r="BC1424" s="1"/>
      <c r="BD1424" s="1"/>
      <c r="BE1424" s="1"/>
      <c r="BF1424" s="1"/>
      <c r="BG1424" s="1"/>
      <c r="BH1424" s="1"/>
      <c r="BI1424" s="1"/>
      <c r="BJ1424" s="1"/>
      <c r="BK1424" s="1"/>
      <c r="BL1424" s="1"/>
      <c r="BM1424" s="1"/>
      <c r="BN1424" s="1"/>
      <c r="BO1424" s="1"/>
      <c r="BP1424" s="1"/>
      <c r="BQ1424" s="1"/>
      <c r="BR1424" s="1"/>
      <c r="BS1424" s="1"/>
      <c r="BT1424" s="1"/>
      <c r="BU1424" s="1"/>
      <c r="BV1424" s="1"/>
      <c r="BW1424" s="1"/>
      <c r="BX1424" s="1"/>
      <c r="BY1424" s="1"/>
      <c r="BZ1424" s="1"/>
      <c r="CA1424" s="1"/>
      <c r="CB1424" s="1"/>
      <c r="CC1424" s="1"/>
      <c r="CD1424" s="1"/>
      <c r="CE1424" s="1"/>
      <c r="CF1424" s="1"/>
      <c r="CG1424" s="1"/>
      <c r="CH1424" s="1"/>
      <c r="CI1424" s="1"/>
      <c r="CJ1424" s="1"/>
      <c r="CK1424" s="1"/>
      <c r="CL1424" s="1"/>
      <c r="CM1424" s="1"/>
      <c r="CN1424" s="1"/>
      <c r="CO1424" s="1"/>
      <c r="CP1424" s="1"/>
      <c r="CQ1424" s="1"/>
      <c r="CR1424" s="1"/>
      <c r="CS1424" s="1"/>
      <c r="CT1424" s="1"/>
      <c r="CU1424" s="1"/>
      <c r="CV1424" s="1"/>
      <c r="CW1424" s="1"/>
      <c r="CX1424" s="1"/>
      <c r="CY1424" s="1"/>
      <c r="CZ1424" s="1"/>
      <c r="DA1424" s="1"/>
      <c r="DB1424" s="1"/>
      <c r="DC1424" s="1"/>
    </row>
    <row r="1425" spans="1:107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  <c r="BD1425" s="1"/>
      <c r="BE1425" s="1"/>
      <c r="BF1425" s="1"/>
      <c r="BG1425" s="1"/>
      <c r="BH1425" s="1"/>
      <c r="BI1425" s="1"/>
      <c r="BJ1425" s="1"/>
      <c r="BK1425" s="1"/>
      <c r="BL1425" s="1"/>
      <c r="BM1425" s="1"/>
      <c r="BN1425" s="1"/>
      <c r="BO1425" s="1"/>
      <c r="BP1425" s="1"/>
      <c r="BQ1425" s="1"/>
      <c r="BR1425" s="1"/>
      <c r="BS1425" s="1"/>
      <c r="BT1425" s="1"/>
      <c r="BU1425" s="1"/>
      <c r="BV1425" s="1"/>
      <c r="BW1425" s="1"/>
      <c r="BX1425" s="1"/>
      <c r="BY1425" s="1"/>
      <c r="BZ1425" s="1"/>
      <c r="CA1425" s="1"/>
      <c r="CB1425" s="1"/>
      <c r="CC1425" s="1"/>
      <c r="CD1425" s="1"/>
      <c r="CE1425" s="1"/>
      <c r="CF1425" s="1"/>
      <c r="CG1425" s="1"/>
      <c r="CH1425" s="1"/>
      <c r="CI1425" s="1"/>
      <c r="CJ1425" s="1"/>
      <c r="CK1425" s="1"/>
      <c r="CL1425" s="1"/>
      <c r="CM1425" s="1"/>
      <c r="CN1425" s="1"/>
      <c r="CO1425" s="1"/>
      <c r="CP1425" s="1"/>
      <c r="CQ1425" s="1"/>
      <c r="CR1425" s="1"/>
      <c r="CS1425" s="1"/>
      <c r="CT1425" s="1"/>
      <c r="CU1425" s="1"/>
      <c r="CV1425" s="1"/>
      <c r="CW1425" s="1"/>
      <c r="CX1425" s="1"/>
      <c r="CY1425" s="1"/>
      <c r="CZ1425" s="1"/>
      <c r="DA1425" s="1"/>
      <c r="DB1425" s="1"/>
      <c r="DC1425" s="1"/>
    </row>
    <row r="1426" spans="1:107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s="1"/>
      <c r="BD1426" s="1"/>
      <c r="BE1426" s="1"/>
      <c r="BF1426" s="1"/>
      <c r="BG1426" s="1"/>
      <c r="BH1426" s="1"/>
      <c r="BI1426" s="1"/>
      <c r="BJ1426" s="1"/>
      <c r="BK1426" s="1"/>
      <c r="BL1426" s="1"/>
      <c r="BM1426" s="1"/>
      <c r="BN1426" s="1"/>
      <c r="BO1426" s="1"/>
      <c r="BP1426" s="1"/>
      <c r="BQ1426" s="1"/>
      <c r="BR1426" s="1"/>
      <c r="BS1426" s="1"/>
      <c r="BT1426" s="1"/>
      <c r="BU1426" s="1"/>
      <c r="BV1426" s="1"/>
      <c r="BW1426" s="1"/>
      <c r="BX1426" s="1"/>
      <c r="BY1426" s="1"/>
      <c r="BZ1426" s="1"/>
      <c r="CA1426" s="1"/>
      <c r="CB1426" s="1"/>
      <c r="CC1426" s="1"/>
      <c r="CD1426" s="1"/>
      <c r="CE1426" s="1"/>
      <c r="CF1426" s="1"/>
      <c r="CG1426" s="1"/>
      <c r="CH1426" s="1"/>
      <c r="CI1426" s="1"/>
      <c r="CJ1426" s="1"/>
      <c r="CK1426" s="1"/>
      <c r="CL1426" s="1"/>
      <c r="CM1426" s="1"/>
      <c r="CN1426" s="1"/>
      <c r="CO1426" s="1"/>
      <c r="CP1426" s="1"/>
      <c r="CQ1426" s="1"/>
      <c r="CR1426" s="1"/>
      <c r="CS1426" s="1"/>
      <c r="CT1426" s="1"/>
      <c r="CU1426" s="1"/>
      <c r="CV1426" s="1"/>
      <c r="CW1426" s="1"/>
      <c r="CX1426" s="1"/>
      <c r="CY1426" s="1"/>
      <c r="CZ1426" s="1"/>
      <c r="DA1426" s="1"/>
      <c r="DB1426" s="1"/>
      <c r="DC1426" s="1"/>
    </row>
    <row r="1427" spans="1:107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  <c r="BD1427" s="1"/>
      <c r="BE1427" s="1"/>
      <c r="BF1427" s="1"/>
      <c r="BG1427" s="1"/>
      <c r="BH1427" s="1"/>
      <c r="BI1427" s="1"/>
      <c r="BJ1427" s="1"/>
      <c r="BK1427" s="1"/>
      <c r="BL1427" s="1"/>
      <c r="BM1427" s="1"/>
      <c r="BN1427" s="1"/>
      <c r="BO1427" s="1"/>
      <c r="BP1427" s="1"/>
      <c r="BQ1427" s="1"/>
      <c r="BR1427" s="1"/>
      <c r="BS1427" s="1"/>
      <c r="BT1427" s="1"/>
      <c r="BU1427" s="1"/>
      <c r="BV1427" s="1"/>
      <c r="BW1427" s="1"/>
      <c r="BX1427" s="1"/>
      <c r="BY1427" s="1"/>
      <c r="BZ1427" s="1"/>
      <c r="CA1427" s="1"/>
      <c r="CB1427" s="1"/>
      <c r="CC1427" s="1"/>
      <c r="CD1427" s="1"/>
      <c r="CE1427" s="1"/>
      <c r="CF1427" s="1"/>
      <c r="CG1427" s="1"/>
      <c r="CH1427" s="1"/>
      <c r="CI1427" s="1"/>
      <c r="CJ1427" s="1"/>
      <c r="CK1427" s="1"/>
      <c r="CL1427" s="1"/>
      <c r="CM1427" s="1"/>
      <c r="CN1427" s="1"/>
      <c r="CO1427" s="1"/>
      <c r="CP1427" s="1"/>
      <c r="CQ1427" s="1"/>
      <c r="CR1427" s="1"/>
      <c r="CS1427" s="1"/>
      <c r="CT1427" s="1"/>
      <c r="CU1427" s="1"/>
      <c r="CV1427" s="1"/>
      <c r="CW1427" s="1"/>
      <c r="CX1427" s="1"/>
      <c r="CY1427" s="1"/>
      <c r="CZ1427" s="1"/>
      <c r="DA1427" s="1"/>
      <c r="DB1427" s="1"/>
      <c r="DC1427" s="1"/>
    </row>
    <row r="1428" spans="1:107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  <c r="BD1428" s="1"/>
      <c r="BE1428" s="1"/>
      <c r="BF1428" s="1"/>
      <c r="BG1428" s="1"/>
      <c r="BH1428" s="1"/>
      <c r="BI1428" s="1"/>
      <c r="BJ1428" s="1"/>
      <c r="BK1428" s="1"/>
      <c r="BL1428" s="1"/>
      <c r="BM1428" s="1"/>
      <c r="BN1428" s="1"/>
      <c r="BO1428" s="1"/>
      <c r="BP1428" s="1"/>
      <c r="BQ1428" s="1"/>
      <c r="BR1428" s="1"/>
      <c r="BS1428" s="1"/>
      <c r="BT1428" s="1"/>
      <c r="BU1428" s="1"/>
      <c r="BV1428" s="1"/>
      <c r="BW1428" s="1"/>
      <c r="BX1428" s="1"/>
      <c r="BY1428" s="1"/>
      <c r="BZ1428" s="1"/>
      <c r="CA1428" s="1"/>
      <c r="CB1428" s="1"/>
      <c r="CC1428" s="1"/>
      <c r="CD1428" s="1"/>
      <c r="CE1428" s="1"/>
      <c r="CF1428" s="1"/>
      <c r="CG1428" s="1"/>
      <c r="CH1428" s="1"/>
      <c r="CI1428" s="1"/>
      <c r="CJ1428" s="1"/>
      <c r="CK1428" s="1"/>
      <c r="CL1428" s="1"/>
      <c r="CM1428" s="1"/>
      <c r="CN1428" s="1"/>
      <c r="CO1428" s="1"/>
      <c r="CP1428" s="1"/>
      <c r="CQ1428" s="1"/>
      <c r="CR1428" s="1"/>
      <c r="CS1428" s="1"/>
      <c r="CT1428" s="1"/>
      <c r="CU1428" s="1"/>
      <c r="CV1428" s="1"/>
      <c r="CW1428" s="1"/>
      <c r="CX1428" s="1"/>
      <c r="CY1428" s="1"/>
      <c r="CZ1428" s="1"/>
      <c r="DA1428" s="1"/>
      <c r="DB1428" s="1"/>
      <c r="DC1428" s="1"/>
    </row>
    <row r="1429" spans="1:107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  <c r="BD1429" s="1"/>
      <c r="BE1429" s="1"/>
      <c r="BF1429" s="1"/>
      <c r="BG1429" s="1"/>
      <c r="BH1429" s="1"/>
      <c r="BI1429" s="1"/>
      <c r="BJ1429" s="1"/>
      <c r="BK1429" s="1"/>
      <c r="BL1429" s="1"/>
      <c r="BM1429" s="1"/>
      <c r="BN1429" s="1"/>
      <c r="BO1429" s="1"/>
      <c r="BP1429" s="1"/>
      <c r="BQ1429" s="1"/>
      <c r="BR1429" s="1"/>
      <c r="BS1429" s="1"/>
      <c r="BT1429" s="1"/>
      <c r="BU1429" s="1"/>
      <c r="BV1429" s="1"/>
      <c r="BW1429" s="1"/>
      <c r="BX1429" s="1"/>
      <c r="BY1429" s="1"/>
      <c r="BZ1429" s="1"/>
      <c r="CA1429" s="1"/>
      <c r="CB1429" s="1"/>
      <c r="CC1429" s="1"/>
      <c r="CD1429" s="1"/>
      <c r="CE1429" s="1"/>
      <c r="CF1429" s="1"/>
      <c r="CG1429" s="1"/>
      <c r="CH1429" s="1"/>
      <c r="CI1429" s="1"/>
      <c r="CJ1429" s="1"/>
      <c r="CK1429" s="1"/>
      <c r="CL1429" s="1"/>
      <c r="CM1429" s="1"/>
      <c r="CN1429" s="1"/>
      <c r="CO1429" s="1"/>
      <c r="CP1429" s="1"/>
      <c r="CQ1429" s="1"/>
      <c r="CR1429" s="1"/>
      <c r="CS1429" s="1"/>
      <c r="CT1429" s="1"/>
      <c r="CU1429" s="1"/>
      <c r="CV1429" s="1"/>
      <c r="CW1429" s="1"/>
      <c r="CX1429" s="1"/>
      <c r="CY1429" s="1"/>
      <c r="CZ1429" s="1"/>
      <c r="DA1429" s="1"/>
      <c r="DB1429" s="1"/>
      <c r="DC1429" s="1"/>
    </row>
    <row r="1430" spans="1:107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  <c r="BD1430" s="1"/>
      <c r="BE1430" s="1"/>
      <c r="BF1430" s="1"/>
      <c r="BG1430" s="1"/>
      <c r="BH1430" s="1"/>
      <c r="BI1430" s="1"/>
      <c r="BJ1430" s="1"/>
      <c r="BK1430" s="1"/>
      <c r="BL1430" s="1"/>
      <c r="BM1430" s="1"/>
      <c r="BN1430" s="1"/>
      <c r="BO1430" s="1"/>
      <c r="BP1430" s="1"/>
      <c r="BQ1430" s="1"/>
      <c r="BR1430" s="1"/>
      <c r="BS1430" s="1"/>
      <c r="BT1430" s="1"/>
      <c r="BU1430" s="1"/>
      <c r="BV1430" s="1"/>
      <c r="BW1430" s="1"/>
      <c r="BX1430" s="1"/>
      <c r="BY1430" s="1"/>
      <c r="BZ1430" s="1"/>
      <c r="CA1430" s="1"/>
      <c r="CB1430" s="1"/>
      <c r="CC1430" s="1"/>
      <c r="CD1430" s="1"/>
      <c r="CE1430" s="1"/>
      <c r="CF1430" s="1"/>
      <c r="CG1430" s="1"/>
      <c r="CH1430" s="1"/>
      <c r="CI1430" s="1"/>
      <c r="CJ1430" s="1"/>
      <c r="CK1430" s="1"/>
      <c r="CL1430" s="1"/>
      <c r="CM1430" s="1"/>
      <c r="CN1430" s="1"/>
      <c r="CO1430" s="1"/>
      <c r="CP1430" s="1"/>
      <c r="CQ1430" s="1"/>
      <c r="CR1430" s="1"/>
      <c r="CS1430" s="1"/>
      <c r="CT1430" s="1"/>
      <c r="CU1430" s="1"/>
      <c r="CV1430" s="1"/>
      <c r="CW1430" s="1"/>
      <c r="CX1430" s="1"/>
      <c r="CY1430" s="1"/>
      <c r="CZ1430" s="1"/>
      <c r="DA1430" s="1"/>
      <c r="DB1430" s="1"/>
      <c r="DC1430" s="1"/>
    </row>
    <row r="1431" spans="1:107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  <c r="BD1431" s="1"/>
      <c r="BE1431" s="1"/>
      <c r="BF1431" s="1"/>
      <c r="BG1431" s="1"/>
      <c r="BH1431" s="1"/>
      <c r="BI1431" s="1"/>
      <c r="BJ1431" s="1"/>
      <c r="BK1431" s="1"/>
      <c r="BL1431" s="1"/>
      <c r="BM1431" s="1"/>
      <c r="BN1431" s="1"/>
      <c r="BO1431" s="1"/>
      <c r="BP1431" s="1"/>
      <c r="BQ1431" s="1"/>
      <c r="BR1431" s="1"/>
      <c r="BS1431" s="1"/>
      <c r="BT1431" s="1"/>
      <c r="BU1431" s="1"/>
      <c r="BV1431" s="1"/>
      <c r="BW1431" s="1"/>
      <c r="BX1431" s="1"/>
      <c r="BY1431" s="1"/>
      <c r="BZ1431" s="1"/>
      <c r="CA1431" s="1"/>
      <c r="CB1431" s="1"/>
      <c r="CC1431" s="1"/>
      <c r="CD1431" s="1"/>
      <c r="CE1431" s="1"/>
      <c r="CF1431" s="1"/>
      <c r="CG1431" s="1"/>
      <c r="CH1431" s="1"/>
      <c r="CI1431" s="1"/>
      <c r="CJ1431" s="1"/>
      <c r="CK1431" s="1"/>
      <c r="CL1431" s="1"/>
      <c r="CM1431" s="1"/>
      <c r="CN1431" s="1"/>
      <c r="CO1431" s="1"/>
      <c r="CP1431" s="1"/>
      <c r="CQ1431" s="1"/>
      <c r="CR1431" s="1"/>
      <c r="CS1431" s="1"/>
      <c r="CT1431" s="1"/>
      <c r="CU1431" s="1"/>
      <c r="CV1431" s="1"/>
      <c r="CW1431" s="1"/>
      <c r="CX1431" s="1"/>
      <c r="CY1431" s="1"/>
      <c r="CZ1431" s="1"/>
      <c r="DA1431" s="1"/>
      <c r="DB1431" s="1"/>
      <c r="DC1431" s="1"/>
    </row>
    <row r="1432" spans="1:107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/>
      <c r="BB1432" s="1"/>
      <c r="BC1432" s="1"/>
      <c r="BD1432" s="1"/>
      <c r="BE1432" s="1"/>
      <c r="BF1432" s="1"/>
      <c r="BG1432" s="1"/>
      <c r="BH1432" s="1"/>
      <c r="BI1432" s="1"/>
      <c r="BJ1432" s="1"/>
      <c r="BK1432" s="1"/>
      <c r="BL1432" s="1"/>
      <c r="BM1432" s="1"/>
      <c r="BN1432" s="1"/>
      <c r="BO1432" s="1"/>
      <c r="BP1432" s="1"/>
      <c r="BQ1432" s="1"/>
      <c r="BR1432" s="1"/>
      <c r="BS1432" s="1"/>
      <c r="BT1432" s="1"/>
      <c r="BU1432" s="1"/>
      <c r="BV1432" s="1"/>
      <c r="BW1432" s="1"/>
      <c r="BX1432" s="1"/>
      <c r="BY1432" s="1"/>
      <c r="BZ1432" s="1"/>
      <c r="CA1432" s="1"/>
      <c r="CB1432" s="1"/>
      <c r="CC1432" s="1"/>
      <c r="CD1432" s="1"/>
      <c r="CE1432" s="1"/>
      <c r="CF1432" s="1"/>
      <c r="CG1432" s="1"/>
      <c r="CH1432" s="1"/>
      <c r="CI1432" s="1"/>
      <c r="CJ1432" s="1"/>
      <c r="CK1432" s="1"/>
      <c r="CL1432" s="1"/>
      <c r="CM1432" s="1"/>
      <c r="CN1432" s="1"/>
      <c r="CO1432" s="1"/>
      <c r="CP1432" s="1"/>
      <c r="CQ1432" s="1"/>
      <c r="CR1432" s="1"/>
      <c r="CS1432" s="1"/>
      <c r="CT1432" s="1"/>
      <c r="CU1432" s="1"/>
      <c r="CV1432" s="1"/>
      <c r="CW1432" s="1"/>
      <c r="CX1432" s="1"/>
      <c r="CY1432" s="1"/>
      <c r="CZ1432" s="1"/>
      <c r="DA1432" s="1"/>
      <c r="DB1432" s="1"/>
      <c r="DC1432" s="1"/>
    </row>
    <row r="1433" spans="1:107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  <c r="BB1433" s="1"/>
      <c r="BC1433" s="1"/>
      <c r="BD1433" s="1"/>
      <c r="BE1433" s="1"/>
      <c r="BF1433" s="1"/>
      <c r="BG1433" s="1"/>
      <c r="BH1433" s="1"/>
      <c r="BI1433" s="1"/>
      <c r="BJ1433" s="1"/>
      <c r="BK1433" s="1"/>
      <c r="BL1433" s="1"/>
      <c r="BM1433" s="1"/>
      <c r="BN1433" s="1"/>
      <c r="BO1433" s="1"/>
      <c r="BP1433" s="1"/>
      <c r="BQ1433" s="1"/>
      <c r="BR1433" s="1"/>
      <c r="BS1433" s="1"/>
      <c r="BT1433" s="1"/>
      <c r="BU1433" s="1"/>
      <c r="BV1433" s="1"/>
      <c r="BW1433" s="1"/>
      <c r="BX1433" s="1"/>
      <c r="BY1433" s="1"/>
      <c r="BZ1433" s="1"/>
      <c r="CA1433" s="1"/>
      <c r="CB1433" s="1"/>
      <c r="CC1433" s="1"/>
      <c r="CD1433" s="1"/>
      <c r="CE1433" s="1"/>
      <c r="CF1433" s="1"/>
      <c r="CG1433" s="1"/>
      <c r="CH1433" s="1"/>
      <c r="CI1433" s="1"/>
      <c r="CJ1433" s="1"/>
      <c r="CK1433" s="1"/>
      <c r="CL1433" s="1"/>
      <c r="CM1433" s="1"/>
      <c r="CN1433" s="1"/>
      <c r="CO1433" s="1"/>
      <c r="CP1433" s="1"/>
      <c r="CQ1433" s="1"/>
      <c r="CR1433" s="1"/>
      <c r="CS1433" s="1"/>
      <c r="CT1433" s="1"/>
      <c r="CU1433" s="1"/>
      <c r="CV1433" s="1"/>
      <c r="CW1433" s="1"/>
      <c r="CX1433" s="1"/>
      <c r="CY1433" s="1"/>
      <c r="CZ1433" s="1"/>
      <c r="DA1433" s="1"/>
      <c r="DB1433" s="1"/>
      <c r="DC1433" s="1"/>
    </row>
    <row r="1434" spans="1:107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/>
      <c r="BC1434" s="1"/>
      <c r="BD1434" s="1"/>
      <c r="BE1434" s="1"/>
      <c r="BF1434" s="1"/>
      <c r="BG1434" s="1"/>
      <c r="BH1434" s="1"/>
      <c r="BI1434" s="1"/>
      <c r="BJ1434" s="1"/>
      <c r="BK1434" s="1"/>
      <c r="BL1434" s="1"/>
      <c r="BM1434" s="1"/>
      <c r="BN1434" s="1"/>
      <c r="BO1434" s="1"/>
      <c r="BP1434" s="1"/>
      <c r="BQ1434" s="1"/>
      <c r="BR1434" s="1"/>
      <c r="BS1434" s="1"/>
      <c r="BT1434" s="1"/>
      <c r="BU1434" s="1"/>
      <c r="BV1434" s="1"/>
      <c r="BW1434" s="1"/>
      <c r="BX1434" s="1"/>
      <c r="BY1434" s="1"/>
      <c r="BZ1434" s="1"/>
      <c r="CA1434" s="1"/>
      <c r="CB1434" s="1"/>
      <c r="CC1434" s="1"/>
      <c r="CD1434" s="1"/>
      <c r="CE1434" s="1"/>
      <c r="CF1434" s="1"/>
      <c r="CG1434" s="1"/>
      <c r="CH1434" s="1"/>
      <c r="CI1434" s="1"/>
      <c r="CJ1434" s="1"/>
      <c r="CK1434" s="1"/>
      <c r="CL1434" s="1"/>
      <c r="CM1434" s="1"/>
      <c r="CN1434" s="1"/>
      <c r="CO1434" s="1"/>
      <c r="CP1434" s="1"/>
      <c r="CQ1434" s="1"/>
      <c r="CR1434" s="1"/>
      <c r="CS1434" s="1"/>
      <c r="CT1434" s="1"/>
      <c r="CU1434" s="1"/>
      <c r="CV1434" s="1"/>
      <c r="CW1434" s="1"/>
      <c r="CX1434" s="1"/>
      <c r="CY1434" s="1"/>
      <c r="CZ1434" s="1"/>
      <c r="DA1434" s="1"/>
      <c r="DB1434" s="1"/>
      <c r="DC1434" s="1"/>
    </row>
    <row r="1435" spans="1:107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  <c r="BB1435" s="1"/>
      <c r="BC1435" s="1"/>
      <c r="BD1435" s="1"/>
      <c r="BE1435" s="1"/>
      <c r="BF1435" s="1"/>
      <c r="BG1435" s="1"/>
      <c r="BH1435" s="1"/>
      <c r="BI1435" s="1"/>
      <c r="BJ1435" s="1"/>
      <c r="BK1435" s="1"/>
      <c r="BL1435" s="1"/>
      <c r="BM1435" s="1"/>
      <c r="BN1435" s="1"/>
      <c r="BO1435" s="1"/>
      <c r="BP1435" s="1"/>
      <c r="BQ1435" s="1"/>
      <c r="BR1435" s="1"/>
      <c r="BS1435" s="1"/>
      <c r="BT1435" s="1"/>
      <c r="BU1435" s="1"/>
      <c r="BV1435" s="1"/>
      <c r="BW1435" s="1"/>
      <c r="BX1435" s="1"/>
      <c r="BY1435" s="1"/>
      <c r="BZ1435" s="1"/>
      <c r="CA1435" s="1"/>
      <c r="CB1435" s="1"/>
      <c r="CC1435" s="1"/>
      <c r="CD1435" s="1"/>
      <c r="CE1435" s="1"/>
      <c r="CF1435" s="1"/>
      <c r="CG1435" s="1"/>
      <c r="CH1435" s="1"/>
      <c r="CI1435" s="1"/>
      <c r="CJ1435" s="1"/>
      <c r="CK1435" s="1"/>
      <c r="CL1435" s="1"/>
      <c r="CM1435" s="1"/>
      <c r="CN1435" s="1"/>
      <c r="CO1435" s="1"/>
      <c r="CP1435" s="1"/>
      <c r="CQ1435" s="1"/>
      <c r="CR1435" s="1"/>
      <c r="CS1435" s="1"/>
      <c r="CT1435" s="1"/>
      <c r="CU1435" s="1"/>
      <c r="CV1435" s="1"/>
      <c r="CW1435" s="1"/>
      <c r="CX1435" s="1"/>
      <c r="CY1435" s="1"/>
      <c r="CZ1435" s="1"/>
      <c r="DA1435" s="1"/>
      <c r="DB1435" s="1"/>
      <c r="DC1435" s="1"/>
    </row>
    <row r="1436" spans="1:107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/>
      <c r="AZ1436" s="1"/>
      <c r="BA1436" s="1"/>
      <c r="BB1436" s="1"/>
      <c r="BC1436" s="1"/>
      <c r="BD1436" s="1"/>
      <c r="BE1436" s="1"/>
      <c r="BF1436" s="1"/>
      <c r="BG1436" s="1"/>
      <c r="BH1436" s="1"/>
      <c r="BI1436" s="1"/>
      <c r="BJ1436" s="1"/>
      <c r="BK1436" s="1"/>
      <c r="BL1436" s="1"/>
      <c r="BM1436" s="1"/>
      <c r="BN1436" s="1"/>
      <c r="BO1436" s="1"/>
      <c r="BP1436" s="1"/>
      <c r="BQ1436" s="1"/>
      <c r="BR1436" s="1"/>
      <c r="BS1436" s="1"/>
      <c r="BT1436" s="1"/>
      <c r="BU1436" s="1"/>
      <c r="BV1436" s="1"/>
      <c r="BW1436" s="1"/>
      <c r="BX1436" s="1"/>
      <c r="BY1436" s="1"/>
      <c r="BZ1436" s="1"/>
      <c r="CA1436" s="1"/>
      <c r="CB1436" s="1"/>
      <c r="CC1436" s="1"/>
      <c r="CD1436" s="1"/>
      <c r="CE1436" s="1"/>
      <c r="CF1436" s="1"/>
      <c r="CG1436" s="1"/>
      <c r="CH1436" s="1"/>
      <c r="CI1436" s="1"/>
      <c r="CJ1436" s="1"/>
      <c r="CK1436" s="1"/>
      <c r="CL1436" s="1"/>
      <c r="CM1436" s="1"/>
      <c r="CN1436" s="1"/>
      <c r="CO1436" s="1"/>
      <c r="CP1436" s="1"/>
      <c r="CQ1436" s="1"/>
      <c r="CR1436" s="1"/>
      <c r="CS1436" s="1"/>
      <c r="CT1436" s="1"/>
      <c r="CU1436" s="1"/>
      <c r="CV1436" s="1"/>
      <c r="CW1436" s="1"/>
      <c r="CX1436" s="1"/>
      <c r="CY1436" s="1"/>
      <c r="CZ1436" s="1"/>
      <c r="DA1436" s="1"/>
      <c r="DB1436" s="1"/>
      <c r="DC1436" s="1"/>
    </row>
    <row r="1437" spans="1:107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/>
      <c r="BC1437" s="1"/>
      <c r="BD1437" s="1"/>
      <c r="BE1437" s="1"/>
      <c r="BF1437" s="1"/>
      <c r="BG1437" s="1"/>
      <c r="BH1437" s="1"/>
      <c r="BI1437" s="1"/>
      <c r="BJ1437" s="1"/>
      <c r="BK1437" s="1"/>
      <c r="BL1437" s="1"/>
      <c r="BM1437" s="1"/>
      <c r="BN1437" s="1"/>
      <c r="BO1437" s="1"/>
      <c r="BP1437" s="1"/>
      <c r="BQ1437" s="1"/>
      <c r="BR1437" s="1"/>
      <c r="BS1437" s="1"/>
      <c r="BT1437" s="1"/>
      <c r="BU1437" s="1"/>
      <c r="BV1437" s="1"/>
      <c r="BW1437" s="1"/>
      <c r="BX1437" s="1"/>
      <c r="BY1437" s="1"/>
      <c r="BZ1437" s="1"/>
      <c r="CA1437" s="1"/>
      <c r="CB1437" s="1"/>
      <c r="CC1437" s="1"/>
      <c r="CD1437" s="1"/>
      <c r="CE1437" s="1"/>
      <c r="CF1437" s="1"/>
      <c r="CG1437" s="1"/>
      <c r="CH1437" s="1"/>
      <c r="CI1437" s="1"/>
      <c r="CJ1437" s="1"/>
      <c r="CK1437" s="1"/>
      <c r="CL1437" s="1"/>
      <c r="CM1437" s="1"/>
      <c r="CN1437" s="1"/>
      <c r="CO1437" s="1"/>
      <c r="CP1437" s="1"/>
      <c r="CQ1437" s="1"/>
      <c r="CR1437" s="1"/>
      <c r="CS1437" s="1"/>
      <c r="CT1437" s="1"/>
      <c r="CU1437" s="1"/>
      <c r="CV1437" s="1"/>
      <c r="CW1437" s="1"/>
      <c r="CX1437" s="1"/>
      <c r="CY1437" s="1"/>
      <c r="CZ1437" s="1"/>
      <c r="DA1437" s="1"/>
      <c r="DB1437" s="1"/>
      <c r="DC1437" s="1"/>
    </row>
    <row r="1438" spans="1:107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1"/>
      <c r="BC1438" s="1"/>
      <c r="BD1438" s="1"/>
      <c r="BE1438" s="1"/>
      <c r="BF1438" s="1"/>
      <c r="BG1438" s="1"/>
      <c r="BH1438" s="1"/>
      <c r="BI1438" s="1"/>
      <c r="BJ1438" s="1"/>
      <c r="BK1438" s="1"/>
      <c r="BL1438" s="1"/>
      <c r="BM1438" s="1"/>
      <c r="BN1438" s="1"/>
      <c r="BO1438" s="1"/>
      <c r="BP1438" s="1"/>
      <c r="BQ1438" s="1"/>
      <c r="BR1438" s="1"/>
      <c r="BS1438" s="1"/>
      <c r="BT1438" s="1"/>
      <c r="BU1438" s="1"/>
      <c r="BV1438" s="1"/>
      <c r="BW1438" s="1"/>
      <c r="BX1438" s="1"/>
      <c r="BY1438" s="1"/>
      <c r="BZ1438" s="1"/>
      <c r="CA1438" s="1"/>
      <c r="CB1438" s="1"/>
      <c r="CC1438" s="1"/>
      <c r="CD1438" s="1"/>
      <c r="CE1438" s="1"/>
      <c r="CF1438" s="1"/>
      <c r="CG1438" s="1"/>
      <c r="CH1438" s="1"/>
      <c r="CI1438" s="1"/>
      <c r="CJ1438" s="1"/>
      <c r="CK1438" s="1"/>
      <c r="CL1438" s="1"/>
      <c r="CM1438" s="1"/>
      <c r="CN1438" s="1"/>
      <c r="CO1438" s="1"/>
      <c r="CP1438" s="1"/>
      <c r="CQ1438" s="1"/>
      <c r="CR1438" s="1"/>
      <c r="CS1438" s="1"/>
      <c r="CT1438" s="1"/>
      <c r="CU1438" s="1"/>
      <c r="CV1438" s="1"/>
      <c r="CW1438" s="1"/>
      <c r="CX1438" s="1"/>
      <c r="CY1438" s="1"/>
      <c r="CZ1438" s="1"/>
      <c r="DA1438" s="1"/>
      <c r="DB1438" s="1"/>
      <c r="DC1438" s="1"/>
    </row>
    <row r="1439" spans="1:107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  <c r="BB1439" s="1"/>
      <c r="BC1439" s="1"/>
      <c r="BD1439" s="1"/>
      <c r="BE1439" s="1"/>
      <c r="BF1439" s="1"/>
      <c r="BG1439" s="1"/>
      <c r="BH1439" s="1"/>
      <c r="BI1439" s="1"/>
      <c r="BJ1439" s="1"/>
      <c r="BK1439" s="1"/>
      <c r="BL1439" s="1"/>
      <c r="BM1439" s="1"/>
      <c r="BN1439" s="1"/>
      <c r="BO1439" s="1"/>
      <c r="BP1439" s="1"/>
      <c r="BQ1439" s="1"/>
      <c r="BR1439" s="1"/>
      <c r="BS1439" s="1"/>
      <c r="BT1439" s="1"/>
      <c r="BU1439" s="1"/>
      <c r="BV1439" s="1"/>
      <c r="BW1439" s="1"/>
      <c r="BX1439" s="1"/>
      <c r="BY1439" s="1"/>
      <c r="BZ1439" s="1"/>
      <c r="CA1439" s="1"/>
      <c r="CB1439" s="1"/>
      <c r="CC1439" s="1"/>
      <c r="CD1439" s="1"/>
      <c r="CE1439" s="1"/>
      <c r="CF1439" s="1"/>
      <c r="CG1439" s="1"/>
      <c r="CH1439" s="1"/>
      <c r="CI1439" s="1"/>
      <c r="CJ1439" s="1"/>
      <c r="CK1439" s="1"/>
      <c r="CL1439" s="1"/>
      <c r="CM1439" s="1"/>
      <c r="CN1439" s="1"/>
      <c r="CO1439" s="1"/>
      <c r="CP1439" s="1"/>
      <c r="CQ1439" s="1"/>
      <c r="CR1439" s="1"/>
      <c r="CS1439" s="1"/>
      <c r="CT1439" s="1"/>
      <c r="CU1439" s="1"/>
      <c r="CV1439" s="1"/>
      <c r="CW1439" s="1"/>
      <c r="CX1439" s="1"/>
      <c r="CY1439" s="1"/>
      <c r="CZ1439" s="1"/>
      <c r="DA1439" s="1"/>
      <c r="DB1439" s="1"/>
      <c r="DC1439" s="1"/>
    </row>
    <row r="1440" spans="1:107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/>
      <c r="AY1440" s="1"/>
      <c r="AZ1440" s="1"/>
      <c r="BA1440" s="1"/>
      <c r="BB1440" s="1"/>
      <c r="BC1440" s="1"/>
      <c r="BD1440" s="1"/>
      <c r="BE1440" s="1"/>
      <c r="BF1440" s="1"/>
      <c r="BG1440" s="1"/>
      <c r="BH1440" s="1"/>
      <c r="BI1440" s="1"/>
      <c r="BJ1440" s="1"/>
      <c r="BK1440" s="1"/>
      <c r="BL1440" s="1"/>
      <c r="BM1440" s="1"/>
      <c r="BN1440" s="1"/>
      <c r="BO1440" s="1"/>
      <c r="BP1440" s="1"/>
      <c r="BQ1440" s="1"/>
      <c r="BR1440" s="1"/>
      <c r="BS1440" s="1"/>
      <c r="BT1440" s="1"/>
      <c r="BU1440" s="1"/>
      <c r="BV1440" s="1"/>
      <c r="BW1440" s="1"/>
      <c r="BX1440" s="1"/>
      <c r="BY1440" s="1"/>
      <c r="BZ1440" s="1"/>
      <c r="CA1440" s="1"/>
      <c r="CB1440" s="1"/>
      <c r="CC1440" s="1"/>
      <c r="CD1440" s="1"/>
      <c r="CE1440" s="1"/>
      <c r="CF1440" s="1"/>
      <c r="CG1440" s="1"/>
      <c r="CH1440" s="1"/>
      <c r="CI1440" s="1"/>
      <c r="CJ1440" s="1"/>
      <c r="CK1440" s="1"/>
      <c r="CL1440" s="1"/>
      <c r="CM1440" s="1"/>
      <c r="CN1440" s="1"/>
      <c r="CO1440" s="1"/>
      <c r="CP1440" s="1"/>
      <c r="CQ1440" s="1"/>
      <c r="CR1440" s="1"/>
      <c r="CS1440" s="1"/>
      <c r="CT1440" s="1"/>
      <c r="CU1440" s="1"/>
      <c r="CV1440" s="1"/>
      <c r="CW1440" s="1"/>
      <c r="CX1440" s="1"/>
      <c r="CY1440" s="1"/>
      <c r="CZ1440" s="1"/>
      <c r="DA1440" s="1"/>
      <c r="DB1440" s="1"/>
      <c r="DC1440" s="1"/>
    </row>
    <row r="1441" spans="1:107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  <c r="BE1441" s="1"/>
      <c r="BF1441" s="1"/>
      <c r="BG1441" s="1"/>
      <c r="BH1441" s="1"/>
      <c r="BI1441" s="1"/>
      <c r="BJ1441" s="1"/>
      <c r="BK1441" s="1"/>
      <c r="BL1441" s="1"/>
      <c r="BM1441" s="1"/>
      <c r="BN1441" s="1"/>
      <c r="BO1441" s="1"/>
      <c r="BP1441" s="1"/>
      <c r="BQ1441" s="1"/>
      <c r="BR1441" s="1"/>
      <c r="BS1441" s="1"/>
      <c r="BT1441" s="1"/>
      <c r="BU1441" s="1"/>
      <c r="BV1441" s="1"/>
      <c r="BW1441" s="1"/>
      <c r="BX1441" s="1"/>
      <c r="BY1441" s="1"/>
      <c r="BZ1441" s="1"/>
      <c r="CA1441" s="1"/>
      <c r="CB1441" s="1"/>
      <c r="CC1441" s="1"/>
      <c r="CD1441" s="1"/>
      <c r="CE1441" s="1"/>
      <c r="CF1441" s="1"/>
      <c r="CG1441" s="1"/>
      <c r="CH1441" s="1"/>
      <c r="CI1441" s="1"/>
      <c r="CJ1441" s="1"/>
      <c r="CK1441" s="1"/>
      <c r="CL1441" s="1"/>
      <c r="CM1441" s="1"/>
      <c r="CN1441" s="1"/>
      <c r="CO1441" s="1"/>
      <c r="CP1441" s="1"/>
      <c r="CQ1441" s="1"/>
      <c r="CR1441" s="1"/>
      <c r="CS1441" s="1"/>
      <c r="CT1441" s="1"/>
      <c r="CU1441" s="1"/>
      <c r="CV1441" s="1"/>
      <c r="CW1441" s="1"/>
      <c r="CX1441" s="1"/>
      <c r="CY1441" s="1"/>
      <c r="CZ1441" s="1"/>
      <c r="DA1441" s="1"/>
      <c r="DB1441" s="1"/>
      <c r="DC1441" s="1"/>
    </row>
    <row r="1442" spans="1:107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  <c r="AY1442" s="1"/>
      <c r="AZ1442" s="1"/>
      <c r="BA1442" s="1"/>
      <c r="BB1442" s="1"/>
      <c r="BC1442" s="1"/>
      <c r="BD1442" s="1"/>
      <c r="BE1442" s="1"/>
      <c r="BF1442" s="1"/>
      <c r="BG1442" s="1"/>
      <c r="BH1442" s="1"/>
      <c r="BI1442" s="1"/>
      <c r="BJ1442" s="1"/>
      <c r="BK1442" s="1"/>
      <c r="BL1442" s="1"/>
      <c r="BM1442" s="1"/>
      <c r="BN1442" s="1"/>
      <c r="BO1442" s="1"/>
      <c r="BP1442" s="1"/>
      <c r="BQ1442" s="1"/>
      <c r="BR1442" s="1"/>
      <c r="BS1442" s="1"/>
      <c r="BT1442" s="1"/>
      <c r="BU1442" s="1"/>
      <c r="BV1442" s="1"/>
      <c r="BW1442" s="1"/>
      <c r="BX1442" s="1"/>
      <c r="BY1442" s="1"/>
      <c r="BZ1442" s="1"/>
      <c r="CA1442" s="1"/>
      <c r="CB1442" s="1"/>
      <c r="CC1442" s="1"/>
      <c r="CD1442" s="1"/>
      <c r="CE1442" s="1"/>
      <c r="CF1442" s="1"/>
      <c r="CG1442" s="1"/>
      <c r="CH1442" s="1"/>
      <c r="CI1442" s="1"/>
      <c r="CJ1442" s="1"/>
      <c r="CK1442" s="1"/>
      <c r="CL1442" s="1"/>
      <c r="CM1442" s="1"/>
      <c r="CN1442" s="1"/>
      <c r="CO1442" s="1"/>
      <c r="CP1442" s="1"/>
      <c r="CQ1442" s="1"/>
      <c r="CR1442" s="1"/>
      <c r="CS1442" s="1"/>
      <c r="CT1442" s="1"/>
      <c r="CU1442" s="1"/>
      <c r="CV1442" s="1"/>
      <c r="CW1442" s="1"/>
      <c r="CX1442" s="1"/>
      <c r="CY1442" s="1"/>
      <c r="CZ1442" s="1"/>
      <c r="DA1442" s="1"/>
      <c r="DB1442" s="1"/>
      <c r="DC1442" s="1"/>
    </row>
    <row r="1443" spans="1:107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  <c r="BD1443" s="1"/>
      <c r="BE1443" s="1"/>
      <c r="BF1443" s="1"/>
      <c r="BG1443" s="1"/>
      <c r="BH1443" s="1"/>
      <c r="BI1443" s="1"/>
      <c r="BJ1443" s="1"/>
      <c r="BK1443" s="1"/>
      <c r="BL1443" s="1"/>
      <c r="BM1443" s="1"/>
      <c r="BN1443" s="1"/>
      <c r="BO1443" s="1"/>
      <c r="BP1443" s="1"/>
      <c r="BQ1443" s="1"/>
      <c r="BR1443" s="1"/>
      <c r="BS1443" s="1"/>
      <c r="BT1443" s="1"/>
      <c r="BU1443" s="1"/>
      <c r="BV1443" s="1"/>
      <c r="BW1443" s="1"/>
      <c r="BX1443" s="1"/>
      <c r="BY1443" s="1"/>
      <c r="BZ1443" s="1"/>
      <c r="CA1443" s="1"/>
      <c r="CB1443" s="1"/>
      <c r="CC1443" s="1"/>
      <c r="CD1443" s="1"/>
      <c r="CE1443" s="1"/>
      <c r="CF1443" s="1"/>
      <c r="CG1443" s="1"/>
      <c r="CH1443" s="1"/>
      <c r="CI1443" s="1"/>
      <c r="CJ1443" s="1"/>
      <c r="CK1443" s="1"/>
      <c r="CL1443" s="1"/>
      <c r="CM1443" s="1"/>
      <c r="CN1443" s="1"/>
      <c r="CO1443" s="1"/>
      <c r="CP1443" s="1"/>
      <c r="CQ1443" s="1"/>
      <c r="CR1443" s="1"/>
      <c r="CS1443" s="1"/>
      <c r="CT1443" s="1"/>
      <c r="CU1443" s="1"/>
      <c r="CV1443" s="1"/>
      <c r="CW1443" s="1"/>
      <c r="CX1443" s="1"/>
      <c r="CY1443" s="1"/>
      <c r="CZ1443" s="1"/>
      <c r="DA1443" s="1"/>
      <c r="DB1443" s="1"/>
      <c r="DC1443" s="1"/>
    </row>
    <row r="1444" spans="1:107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  <c r="BD1444" s="1"/>
      <c r="BE1444" s="1"/>
      <c r="BF1444" s="1"/>
      <c r="BG1444" s="1"/>
      <c r="BH1444" s="1"/>
      <c r="BI1444" s="1"/>
      <c r="BJ1444" s="1"/>
      <c r="BK1444" s="1"/>
      <c r="BL1444" s="1"/>
      <c r="BM1444" s="1"/>
      <c r="BN1444" s="1"/>
      <c r="BO1444" s="1"/>
      <c r="BP1444" s="1"/>
      <c r="BQ1444" s="1"/>
      <c r="BR1444" s="1"/>
      <c r="BS1444" s="1"/>
      <c r="BT1444" s="1"/>
      <c r="BU1444" s="1"/>
      <c r="BV1444" s="1"/>
      <c r="BW1444" s="1"/>
      <c r="BX1444" s="1"/>
      <c r="BY1444" s="1"/>
      <c r="BZ1444" s="1"/>
      <c r="CA1444" s="1"/>
      <c r="CB1444" s="1"/>
      <c r="CC1444" s="1"/>
      <c r="CD1444" s="1"/>
      <c r="CE1444" s="1"/>
      <c r="CF1444" s="1"/>
      <c r="CG1444" s="1"/>
      <c r="CH1444" s="1"/>
      <c r="CI1444" s="1"/>
      <c r="CJ1444" s="1"/>
      <c r="CK1444" s="1"/>
      <c r="CL1444" s="1"/>
      <c r="CM1444" s="1"/>
      <c r="CN1444" s="1"/>
      <c r="CO1444" s="1"/>
      <c r="CP1444" s="1"/>
      <c r="CQ1444" s="1"/>
      <c r="CR1444" s="1"/>
      <c r="CS1444" s="1"/>
      <c r="CT1444" s="1"/>
      <c r="CU1444" s="1"/>
      <c r="CV1444" s="1"/>
      <c r="CW1444" s="1"/>
      <c r="CX1444" s="1"/>
      <c r="CY1444" s="1"/>
      <c r="CZ1444" s="1"/>
      <c r="DA1444" s="1"/>
      <c r="DB1444" s="1"/>
      <c r="DC1444" s="1"/>
    </row>
    <row r="1445" spans="1:107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  <c r="BD1445" s="1"/>
      <c r="BE1445" s="1"/>
      <c r="BF1445" s="1"/>
      <c r="BG1445" s="1"/>
      <c r="BH1445" s="1"/>
      <c r="BI1445" s="1"/>
      <c r="BJ1445" s="1"/>
      <c r="BK1445" s="1"/>
      <c r="BL1445" s="1"/>
      <c r="BM1445" s="1"/>
      <c r="BN1445" s="1"/>
      <c r="BO1445" s="1"/>
      <c r="BP1445" s="1"/>
      <c r="BQ1445" s="1"/>
      <c r="BR1445" s="1"/>
      <c r="BS1445" s="1"/>
      <c r="BT1445" s="1"/>
      <c r="BU1445" s="1"/>
      <c r="BV1445" s="1"/>
      <c r="BW1445" s="1"/>
      <c r="BX1445" s="1"/>
      <c r="BY1445" s="1"/>
      <c r="BZ1445" s="1"/>
      <c r="CA1445" s="1"/>
      <c r="CB1445" s="1"/>
      <c r="CC1445" s="1"/>
      <c r="CD1445" s="1"/>
      <c r="CE1445" s="1"/>
      <c r="CF1445" s="1"/>
      <c r="CG1445" s="1"/>
      <c r="CH1445" s="1"/>
      <c r="CI1445" s="1"/>
      <c r="CJ1445" s="1"/>
      <c r="CK1445" s="1"/>
      <c r="CL1445" s="1"/>
      <c r="CM1445" s="1"/>
      <c r="CN1445" s="1"/>
      <c r="CO1445" s="1"/>
      <c r="CP1445" s="1"/>
      <c r="CQ1445" s="1"/>
      <c r="CR1445" s="1"/>
      <c r="CS1445" s="1"/>
      <c r="CT1445" s="1"/>
      <c r="CU1445" s="1"/>
      <c r="CV1445" s="1"/>
      <c r="CW1445" s="1"/>
      <c r="CX1445" s="1"/>
      <c r="CY1445" s="1"/>
      <c r="CZ1445" s="1"/>
      <c r="DA1445" s="1"/>
      <c r="DB1445" s="1"/>
      <c r="DC1445" s="1"/>
    </row>
    <row r="1446" spans="1:107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  <c r="BD1446" s="1"/>
      <c r="BE1446" s="1"/>
      <c r="BF1446" s="1"/>
      <c r="BG1446" s="1"/>
      <c r="BH1446" s="1"/>
      <c r="BI1446" s="1"/>
      <c r="BJ1446" s="1"/>
      <c r="BK1446" s="1"/>
      <c r="BL1446" s="1"/>
      <c r="BM1446" s="1"/>
      <c r="BN1446" s="1"/>
      <c r="BO1446" s="1"/>
      <c r="BP1446" s="1"/>
      <c r="BQ1446" s="1"/>
      <c r="BR1446" s="1"/>
      <c r="BS1446" s="1"/>
      <c r="BT1446" s="1"/>
      <c r="BU1446" s="1"/>
      <c r="BV1446" s="1"/>
      <c r="BW1446" s="1"/>
      <c r="BX1446" s="1"/>
      <c r="BY1446" s="1"/>
      <c r="BZ1446" s="1"/>
      <c r="CA1446" s="1"/>
      <c r="CB1446" s="1"/>
      <c r="CC1446" s="1"/>
      <c r="CD1446" s="1"/>
      <c r="CE1446" s="1"/>
      <c r="CF1446" s="1"/>
      <c r="CG1446" s="1"/>
      <c r="CH1446" s="1"/>
      <c r="CI1446" s="1"/>
      <c r="CJ1446" s="1"/>
      <c r="CK1446" s="1"/>
      <c r="CL1446" s="1"/>
      <c r="CM1446" s="1"/>
      <c r="CN1446" s="1"/>
      <c r="CO1446" s="1"/>
      <c r="CP1446" s="1"/>
      <c r="CQ1446" s="1"/>
      <c r="CR1446" s="1"/>
      <c r="CS1446" s="1"/>
      <c r="CT1446" s="1"/>
      <c r="CU1446" s="1"/>
      <c r="CV1446" s="1"/>
      <c r="CW1446" s="1"/>
      <c r="CX1446" s="1"/>
      <c r="CY1446" s="1"/>
      <c r="CZ1446" s="1"/>
      <c r="DA1446" s="1"/>
      <c r="DB1446" s="1"/>
      <c r="DC1446" s="1"/>
    </row>
    <row r="1447" spans="1:107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  <c r="BD1447" s="1"/>
      <c r="BE1447" s="1"/>
      <c r="BF1447" s="1"/>
      <c r="BG1447" s="1"/>
      <c r="BH1447" s="1"/>
      <c r="BI1447" s="1"/>
      <c r="BJ1447" s="1"/>
      <c r="BK1447" s="1"/>
      <c r="BL1447" s="1"/>
      <c r="BM1447" s="1"/>
      <c r="BN1447" s="1"/>
      <c r="BO1447" s="1"/>
      <c r="BP1447" s="1"/>
      <c r="BQ1447" s="1"/>
      <c r="BR1447" s="1"/>
      <c r="BS1447" s="1"/>
      <c r="BT1447" s="1"/>
      <c r="BU1447" s="1"/>
      <c r="BV1447" s="1"/>
      <c r="BW1447" s="1"/>
      <c r="BX1447" s="1"/>
      <c r="BY1447" s="1"/>
      <c r="BZ1447" s="1"/>
      <c r="CA1447" s="1"/>
      <c r="CB1447" s="1"/>
      <c r="CC1447" s="1"/>
      <c r="CD1447" s="1"/>
      <c r="CE1447" s="1"/>
      <c r="CF1447" s="1"/>
      <c r="CG1447" s="1"/>
      <c r="CH1447" s="1"/>
      <c r="CI1447" s="1"/>
      <c r="CJ1447" s="1"/>
      <c r="CK1447" s="1"/>
      <c r="CL1447" s="1"/>
      <c r="CM1447" s="1"/>
      <c r="CN1447" s="1"/>
      <c r="CO1447" s="1"/>
      <c r="CP1447" s="1"/>
      <c r="CQ1447" s="1"/>
      <c r="CR1447" s="1"/>
      <c r="CS1447" s="1"/>
      <c r="CT1447" s="1"/>
      <c r="CU1447" s="1"/>
      <c r="CV1447" s="1"/>
      <c r="CW1447" s="1"/>
      <c r="CX1447" s="1"/>
      <c r="CY1447" s="1"/>
      <c r="CZ1447" s="1"/>
      <c r="DA1447" s="1"/>
      <c r="DB1447" s="1"/>
      <c r="DC1447" s="1"/>
    </row>
    <row r="1448" spans="1:107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1"/>
      <c r="BD1448" s="1"/>
      <c r="BE1448" s="1"/>
      <c r="BF1448" s="1"/>
      <c r="BG1448" s="1"/>
      <c r="BH1448" s="1"/>
      <c r="BI1448" s="1"/>
      <c r="BJ1448" s="1"/>
      <c r="BK1448" s="1"/>
      <c r="BL1448" s="1"/>
      <c r="BM1448" s="1"/>
      <c r="BN1448" s="1"/>
      <c r="BO1448" s="1"/>
      <c r="BP1448" s="1"/>
      <c r="BQ1448" s="1"/>
      <c r="BR1448" s="1"/>
      <c r="BS1448" s="1"/>
      <c r="BT1448" s="1"/>
      <c r="BU1448" s="1"/>
      <c r="BV1448" s="1"/>
      <c r="BW1448" s="1"/>
      <c r="BX1448" s="1"/>
      <c r="BY1448" s="1"/>
      <c r="BZ1448" s="1"/>
      <c r="CA1448" s="1"/>
      <c r="CB1448" s="1"/>
      <c r="CC1448" s="1"/>
      <c r="CD1448" s="1"/>
      <c r="CE1448" s="1"/>
      <c r="CF1448" s="1"/>
      <c r="CG1448" s="1"/>
      <c r="CH1448" s="1"/>
      <c r="CI1448" s="1"/>
      <c r="CJ1448" s="1"/>
      <c r="CK1448" s="1"/>
      <c r="CL1448" s="1"/>
      <c r="CM1448" s="1"/>
      <c r="CN1448" s="1"/>
      <c r="CO1448" s="1"/>
      <c r="CP1448" s="1"/>
      <c r="CQ1448" s="1"/>
      <c r="CR1448" s="1"/>
      <c r="CS1448" s="1"/>
      <c r="CT1448" s="1"/>
      <c r="CU1448" s="1"/>
      <c r="CV1448" s="1"/>
      <c r="CW1448" s="1"/>
      <c r="CX1448" s="1"/>
      <c r="CY1448" s="1"/>
      <c r="CZ1448" s="1"/>
      <c r="DA1448" s="1"/>
      <c r="DB1448" s="1"/>
      <c r="DC1448" s="1"/>
    </row>
    <row r="1449" spans="1:107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  <c r="BE1449" s="1"/>
      <c r="BF1449" s="1"/>
      <c r="BG1449" s="1"/>
      <c r="BH1449" s="1"/>
      <c r="BI1449" s="1"/>
      <c r="BJ1449" s="1"/>
      <c r="BK1449" s="1"/>
      <c r="BL1449" s="1"/>
      <c r="BM1449" s="1"/>
      <c r="BN1449" s="1"/>
      <c r="BO1449" s="1"/>
      <c r="BP1449" s="1"/>
      <c r="BQ1449" s="1"/>
      <c r="BR1449" s="1"/>
      <c r="BS1449" s="1"/>
      <c r="BT1449" s="1"/>
      <c r="BU1449" s="1"/>
      <c r="BV1449" s="1"/>
      <c r="BW1449" s="1"/>
      <c r="BX1449" s="1"/>
      <c r="BY1449" s="1"/>
      <c r="BZ1449" s="1"/>
      <c r="CA1449" s="1"/>
      <c r="CB1449" s="1"/>
      <c r="CC1449" s="1"/>
      <c r="CD1449" s="1"/>
      <c r="CE1449" s="1"/>
      <c r="CF1449" s="1"/>
      <c r="CG1449" s="1"/>
      <c r="CH1449" s="1"/>
      <c r="CI1449" s="1"/>
      <c r="CJ1449" s="1"/>
      <c r="CK1449" s="1"/>
      <c r="CL1449" s="1"/>
      <c r="CM1449" s="1"/>
      <c r="CN1449" s="1"/>
      <c r="CO1449" s="1"/>
      <c r="CP1449" s="1"/>
      <c r="CQ1449" s="1"/>
      <c r="CR1449" s="1"/>
      <c r="CS1449" s="1"/>
      <c r="CT1449" s="1"/>
      <c r="CU1449" s="1"/>
      <c r="CV1449" s="1"/>
      <c r="CW1449" s="1"/>
      <c r="CX1449" s="1"/>
      <c r="CY1449" s="1"/>
      <c r="CZ1449" s="1"/>
      <c r="DA1449" s="1"/>
      <c r="DB1449" s="1"/>
      <c r="DC1449" s="1"/>
    </row>
    <row r="1450" spans="1:107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/>
      <c r="BC1450" s="1"/>
      <c r="BD1450" s="1"/>
      <c r="BE1450" s="1"/>
      <c r="BF1450" s="1"/>
      <c r="BG1450" s="1"/>
      <c r="BH1450" s="1"/>
      <c r="BI1450" s="1"/>
      <c r="BJ1450" s="1"/>
      <c r="BK1450" s="1"/>
      <c r="BL1450" s="1"/>
      <c r="BM1450" s="1"/>
      <c r="BN1450" s="1"/>
      <c r="BO1450" s="1"/>
      <c r="BP1450" s="1"/>
      <c r="BQ1450" s="1"/>
      <c r="BR1450" s="1"/>
      <c r="BS1450" s="1"/>
      <c r="BT1450" s="1"/>
      <c r="BU1450" s="1"/>
      <c r="BV1450" s="1"/>
      <c r="BW1450" s="1"/>
      <c r="BX1450" s="1"/>
      <c r="BY1450" s="1"/>
      <c r="BZ1450" s="1"/>
      <c r="CA1450" s="1"/>
      <c r="CB1450" s="1"/>
      <c r="CC1450" s="1"/>
      <c r="CD1450" s="1"/>
      <c r="CE1450" s="1"/>
      <c r="CF1450" s="1"/>
      <c r="CG1450" s="1"/>
      <c r="CH1450" s="1"/>
      <c r="CI1450" s="1"/>
      <c r="CJ1450" s="1"/>
      <c r="CK1450" s="1"/>
      <c r="CL1450" s="1"/>
      <c r="CM1450" s="1"/>
      <c r="CN1450" s="1"/>
      <c r="CO1450" s="1"/>
      <c r="CP1450" s="1"/>
      <c r="CQ1450" s="1"/>
      <c r="CR1450" s="1"/>
      <c r="CS1450" s="1"/>
      <c r="CT1450" s="1"/>
      <c r="CU1450" s="1"/>
      <c r="CV1450" s="1"/>
      <c r="CW1450" s="1"/>
      <c r="CX1450" s="1"/>
      <c r="CY1450" s="1"/>
      <c r="CZ1450" s="1"/>
      <c r="DA1450" s="1"/>
      <c r="DB1450" s="1"/>
      <c r="DC1450" s="1"/>
    </row>
    <row r="1451" spans="1:107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  <c r="BD1451" s="1"/>
      <c r="BE1451" s="1"/>
      <c r="BF1451" s="1"/>
      <c r="BG1451" s="1"/>
      <c r="BH1451" s="1"/>
      <c r="BI1451" s="1"/>
      <c r="BJ1451" s="1"/>
      <c r="BK1451" s="1"/>
      <c r="BL1451" s="1"/>
      <c r="BM1451" s="1"/>
      <c r="BN1451" s="1"/>
      <c r="BO1451" s="1"/>
      <c r="BP1451" s="1"/>
      <c r="BQ1451" s="1"/>
      <c r="BR1451" s="1"/>
      <c r="BS1451" s="1"/>
      <c r="BT1451" s="1"/>
      <c r="BU1451" s="1"/>
      <c r="BV1451" s="1"/>
      <c r="BW1451" s="1"/>
      <c r="BX1451" s="1"/>
      <c r="BY1451" s="1"/>
      <c r="BZ1451" s="1"/>
      <c r="CA1451" s="1"/>
      <c r="CB1451" s="1"/>
      <c r="CC1451" s="1"/>
      <c r="CD1451" s="1"/>
      <c r="CE1451" s="1"/>
      <c r="CF1451" s="1"/>
      <c r="CG1451" s="1"/>
      <c r="CH1451" s="1"/>
      <c r="CI1451" s="1"/>
      <c r="CJ1451" s="1"/>
      <c r="CK1451" s="1"/>
      <c r="CL1451" s="1"/>
      <c r="CM1451" s="1"/>
      <c r="CN1451" s="1"/>
      <c r="CO1451" s="1"/>
      <c r="CP1451" s="1"/>
      <c r="CQ1451" s="1"/>
      <c r="CR1451" s="1"/>
      <c r="CS1451" s="1"/>
      <c r="CT1451" s="1"/>
      <c r="CU1451" s="1"/>
      <c r="CV1451" s="1"/>
      <c r="CW1451" s="1"/>
      <c r="CX1451" s="1"/>
      <c r="CY1451" s="1"/>
      <c r="CZ1451" s="1"/>
      <c r="DA1451" s="1"/>
      <c r="DB1451" s="1"/>
      <c r="DC1451" s="1"/>
    </row>
    <row r="1452" spans="1:107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  <c r="BD1452" s="1"/>
      <c r="BE1452" s="1"/>
      <c r="BF1452" s="1"/>
      <c r="BG1452" s="1"/>
      <c r="BH1452" s="1"/>
      <c r="BI1452" s="1"/>
      <c r="BJ1452" s="1"/>
      <c r="BK1452" s="1"/>
      <c r="BL1452" s="1"/>
      <c r="BM1452" s="1"/>
      <c r="BN1452" s="1"/>
      <c r="BO1452" s="1"/>
      <c r="BP1452" s="1"/>
      <c r="BQ1452" s="1"/>
      <c r="BR1452" s="1"/>
      <c r="BS1452" s="1"/>
      <c r="BT1452" s="1"/>
      <c r="BU1452" s="1"/>
      <c r="BV1452" s="1"/>
      <c r="BW1452" s="1"/>
      <c r="BX1452" s="1"/>
      <c r="BY1452" s="1"/>
      <c r="BZ1452" s="1"/>
      <c r="CA1452" s="1"/>
      <c r="CB1452" s="1"/>
      <c r="CC1452" s="1"/>
      <c r="CD1452" s="1"/>
      <c r="CE1452" s="1"/>
      <c r="CF1452" s="1"/>
      <c r="CG1452" s="1"/>
      <c r="CH1452" s="1"/>
      <c r="CI1452" s="1"/>
      <c r="CJ1452" s="1"/>
      <c r="CK1452" s="1"/>
      <c r="CL1452" s="1"/>
      <c r="CM1452" s="1"/>
      <c r="CN1452" s="1"/>
      <c r="CO1452" s="1"/>
      <c r="CP1452" s="1"/>
      <c r="CQ1452" s="1"/>
      <c r="CR1452" s="1"/>
      <c r="CS1452" s="1"/>
      <c r="CT1452" s="1"/>
      <c r="CU1452" s="1"/>
      <c r="CV1452" s="1"/>
      <c r="CW1452" s="1"/>
      <c r="CX1452" s="1"/>
      <c r="CY1452" s="1"/>
      <c r="CZ1452" s="1"/>
      <c r="DA1452" s="1"/>
      <c r="DB1452" s="1"/>
      <c r="DC1452" s="1"/>
    </row>
    <row r="1453" spans="1:107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  <c r="BF1453" s="1"/>
      <c r="BG1453" s="1"/>
      <c r="BH1453" s="1"/>
      <c r="BI1453" s="1"/>
      <c r="BJ1453" s="1"/>
      <c r="BK1453" s="1"/>
      <c r="BL1453" s="1"/>
      <c r="BM1453" s="1"/>
      <c r="BN1453" s="1"/>
      <c r="BO1453" s="1"/>
      <c r="BP1453" s="1"/>
      <c r="BQ1453" s="1"/>
      <c r="BR1453" s="1"/>
      <c r="BS1453" s="1"/>
      <c r="BT1453" s="1"/>
      <c r="BU1453" s="1"/>
      <c r="BV1453" s="1"/>
      <c r="BW1453" s="1"/>
      <c r="BX1453" s="1"/>
      <c r="BY1453" s="1"/>
      <c r="BZ1453" s="1"/>
      <c r="CA1453" s="1"/>
      <c r="CB1453" s="1"/>
      <c r="CC1453" s="1"/>
      <c r="CD1453" s="1"/>
      <c r="CE1453" s="1"/>
      <c r="CF1453" s="1"/>
      <c r="CG1453" s="1"/>
      <c r="CH1453" s="1"/>
      <c r="CI1453" s="1"/>
      <c r="CJ1453" s="1"/>
      <c r="CK1453" s="1"/>
      <c r="CL1453" s="1"/>
      <c r="CM1453" s="1"/>
      <c r="CN1453" s="1"/>
      <c r="CO1453" s="1"/>
      <c r="CP1453" s="1"/>
      <c r="CQ1453" s="1"/>
      <c r="CR1453" s="1"/>
      <c r="CS1453" s="1"/>
      <c r="CT1453" s="1"/>
      <c r="CU1453" s="1"/>
      <c r="CV1453" s="1"/>
      <c r="CW1453" s="1"/>
      <c r="CX1453" s="1"/>
      <c r="CY1453" s="1"/>
      <c r="CZ1453" s="1"/>
      <c r="DA1453" s="1"/>
      <c r="DB1453" s="1"/>
      <c r="DC1453" s="1"/>
    </row>
    <row r="1454" spans="1:107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  <c r="BB1454" s="1"/>
      <c r="BC1454" s="1"/>
      <c r="BD1454" s="1"/>
      <c r="BE1454" s="1"/>
      <c r="BF1454" s="1"/>
      <c r="BG1454" s="1"/>
      <c r="BH1454" s="1"/>
      <c r="BI1454" s="1"/>
      <c r="BJ1454" s="1"/>
      <c r="BK1454" s="1"/>
      <c r="BL1454" s="1"/>
      <c r="BM1454" s="1"/>
      <c r="BN1454" s="1"/>
      <c r="BO1454" s="1"/>
      <c r="BP1454" s="1"/>
      <c r="BQ1454" s="1"/>
      <c r="BR1454" s="1"/>
      <c r="BS1454" s="1"/>
      <c r="BT1454" s="1"/>
      <c r="BU1454" s="1"/>
      <c r="BV1454" s="1"/>
      <c r="BW1454" s="1"/>
      <c r="BX1454" s="1"/>
      <c r="BY1454" s="1"/>
      <c r="BZ1454" s="1"/>
      <c r="CA1454" s="1"/>
      <c r="CB1454" s="1"/>
      <c r="CC1454" s="1"/>
      <c r="CD1454" s="1"/>
      <c r="CE1454" s="1"/>
      <c r="CF1454" s="1"/>
      <c r="CG1454" s="1"/>
      <c r="CH1454" s="1"/>
      <c r="CI1454" s="1"/>
      <c r="CJ1454" s="1"/>
      <c r="CK1454" s="1"/>
      <c r="CL1454" s="1"/>
      <c r="CM1454" s="1"/>
      <c r="CN1454" s="1"/>
      <c r="CO1454" s="1"/>
      <c r="CP1454" s="1"/>
      <c r="CQ1454" s="1"/>
      <c r="CR1454" s="1"/>
      <c r="CS1454" s="1"/>
      <c r="CT1454" s="1"/>
      <c r="CU1454" s="1"/>
      <c r="CV1454" s="1"/>
      <c r="CW1454" s="1"/>
      <c r="CX1454" s="1"/>
      <c r="CY1454" s="1"/>
      <c r="CZ1454" s="1"/>
      <c r="DA1454" s="1"/>
      <c r="DB1454" s="1"/>
      <c r="DC1454" s="1"/>
    </row>
    <row r="1455" spans="1:107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  <c r="BE1455" s="1"/>
      <c r="BF1455" s="1"/>
      <c r="BG1455" s="1"/>
      <c r="BH1455" s="1"/>
      <c r="BI1455" s="1"/>
      <c r="BJ1455" s="1"/>
      <c r="BK1455" s="1"/>
      <c r="BL1455" s="1"/>
      <c r="BM1455" s="1"/>
      <c r="BN1455" s="1"/>
      <c r="BO1455" s="1"/>
      <c r="BP1455" s="1"/>
      <c r="BQ1455" s="1"/>
      <c r="BR1455" s="1"/>
      <c r="BS1455" s="1"/>
      <c r="BT1455" s="1"/>
      <c r="BU1455" s="1"/>
      <c r="BV1455" s="1"/>
      <c r="BW1455" s="1"/>
      <c r="BX1455" s="1"/>
      <c r="BY1455" s="1"/>
      <c r="BZ1455" s="1"/>
      <c r="CA1455" s="1"/>
      <c r="CB1455" s="1"/>
      <c r="CC1455" s="1"/>
      <c r="CD1455" s="1"/>
      <c r="CE1455" s="1"/>
      <c r="CF1455" s="1"/>
      <c r="CG1455" s="1"/>
      <c r="CH1455" s="1"/>
      <c r="CI1455" s="1"/>
      <c r="CJ1455" s="1"/>
      <c r="CK1455" s="1"/>
      <c r="CL1455" s="1"/>
      <c r="CM1455" s="1"/>
      <c r="CN1455" s="1"/>
      <c r="CO1455" s="1"/>
      <c r="CP1455" s="1"/>
      <c r="CQ1455" s="1"/>
      <c r="CR1455" s="1"/>
      <c r="CS1455" s="1"/>
      <c r="CT1455" s="1"/>
      <c r="CU1455" s="1"/>
      <c r="CV1455" s="1"/>
      <c r="CW1455" s="1"/>
      <c r="CX1455" s="1"/>
      <c r="CY1455" s="1"/>
      <c r="CZ1455" s="1"/>
      <c r="DA1455" s="1"/>
      <c r="DB1455" s="1"/>
      <c r="DC1455" s="1"/>
    </row>
    <row r="1456" spans="1:107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  <c r="BB1456" s="1"/>
      <c r="BC1456" s="1"/>
      <c r="BD1456" s="1"/>
      <c r="BE1456" s="1"/>
      <c r="BF1456" s="1"/>
      <c r="BG1456" s="1"/>
      <c r="BH1456" s="1"/>
      <c r="BI1456" s="1"/>
      <c r="BJ1456" s="1"/>
      <c r="BK1456" s="1"/>
      <c r="BL1456" s="1"/>
      <c r="BM1456" s="1"/>
      <c r="BN1456" s="1"/>
      <c r="BO1456" s="1"/>
      <c r="BP1456" s="1"/>
      <c r="BQ1456" s="1"/>
      <c r="BR1456" s="1"/>
      <c r="BS1456" s="1"/>
      <c r="BT1456" s="1"/>
      <c r="BU1456" s="1"/>
      <c r="BV1456" s="1"/>
      <c r="BW1456" s="1"/>
      <c r="BX1456" s="1"/>
      <c r="BY1456" s="1"/>
      <c r="BZ1456" s="1"/>
      <c r="CA1456" s="1"/>
      <c r="CB1456" s="1"/>
      <c r="CC1456" s="1"/>
      <c r="CD1456" s="1"/>
      <c r="CE1456" s="1"/>
      <c r="CF1456" s="1"/>
      <c r="CG1456" s="1"/>
      <c r="CH1456" s="1"/>
      <c r="CI1456" s="1"/>
      <c r="CJ1456" s="1"/>
      <c r="CK1456" s="1"/>
      <c r="CL1456" s="1"/>
      <c r="CM1456" s="1"/>
      <c r="CN1456" s="1"/>
      <c r="CO1456" s="1"/>
      <c r="CP1456" s="1"/>
      <c r="CQ1456" s="1"/>
      <c r="CR1456" s="1"/>
      <c r="CS1456" s="1"/>
      <c r="CT1456" s="1"/>
      <c r="CU1456" s="1"/>
      <c r="CV1456" s="1"/>
      <c r="CW1456" s="1"/>
      <c r="CX1456" s="1"/>
      <c r="CY1456" s="1"/>
      <c r="CZ1456" s="1"/>
      <c r="DA1456" s="1"/>
      <c r="DB1456" s="1"/>
      <c r="DC1456" s="1"/>
    </row>
    <row r="1457" spans="1:107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/>
      <c r="BC1457" s="1"/>
      <c r="BD1457" s="1"/>
      <c r="BE1457" s="1"/>
      <c r="BF1457" s="1"/>
      <c r="BG1457" s="1"/>
      <c r="BH1457" s="1"/>
      <c r="BI1457" s="1"/>
      <c r="BJ1457" s="1"/>
      <c r="BK1457" s="1"/>
      <c r="BL1457" s="1"/>
      <c r="BM1457" s="1"/>
      <c r="BN1457" s="1"/>
      <c r="BO1457" s="1"/>
      <c r="BP1457" s="1"/>
      <c r="BQ1457" s="1"/>
      <c r="BR1457" s="1"/>
      <c r="BS1457" s="1"/>
      <c r="BT1457" s="1"/>
      <c r="BU1457" s="1"/>
      <c r="BV1457" s="1"/>
      <c r="BW1457" s="1"/>
      <c r="BX1457" s="1"/>
      <c r="BY1457" s="1"/>
      <c r="BZ1457" s="1"/>
      <c r="CA1457" s="1"/>
      <c r="CB1457" s="1"/>
      <c r="CC1457" s="1"/>
      <c r="CD1457" s="1"/>
      <c r="CE1457" s="1"/>
      <c r="CF1457" s="1"/>
      <c r="CG1457" s="1"/>
      <c r="CH1457" s="1"/>
      <c r="CI1457" s="1"/>
      <c r="CJ1457" s="1"/>
      <c r="CK1457" s="1"/>
      <c r="CL1457" s="1"/>
      <c r="CM1457" s="1"/>
      <c r="CN1457" s="1"/>
      <c r="CO1457" s="1"/>
      <c r="CP1457" s="1"/>
      <c r="CQ1457" s="1"/>
      <c r="CR1457" s="1"/>
      <c r="CS1457" s="1"/>
      <c r="CT1457" s="1"/>
      <c r="CU1457" s="1"/>
      <c r="CV1457" s="1"/>
      <c r="CW1457" s="1"/>
      <c r="CX1457" s="1"/>
      <c r="CY1457" s="1"/>
      <c r="CZ1457" s="1"/>
      <c r="DA1457" s="1"/>
      <c r="DB1457" s="1"/>
      <c r="DC1457" s="1"/>
    </row>
    <row r="1458" spans="1:107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  <c r="BD1458" s="1"/>
      <c r="BE1458" s="1"/>
      <c r="BF1458" s="1"/>
      <c r="BG1458" s="1"/>
      <c r="BH1458" s="1"/>
      <c r="BI1458" s="1"/>
      <c r="BJ1458" s="1"/>
      <c r="BK1458" s="1"/>
      <c r="BL1458" s="1"/>
      <c r="BM1458" s="1"/>
      <c r="BN1458" s="1"/>
      <c r="BO1458" s="1"/>
      <c r="BP1458" s="1"/>
      <c r="BQ1458" s="1"/>
      <c r="BR1458" s="1"/>
      <c r="BS1458" s="1"/>
      <c r="BT1458" s="1"/>
      <c r="BU1458" s="1"/>
      <c r="BV1458" s="1"/>
      <c r="BW1458" s="1"/>
      <c r="BX1458" s="1"/>
      <c r="BY1458" s="1"/>
      <c r="BZ1458" s="1"/>
      <c r="CA1458" s="1"/>
      <c r="CB1458" s="1"/>
      <c r="CC1458" s="1"/>
      <c r="CD1458" s="1"/>
      <c r="CE1458" s="1"/>
      <c r="CF1458" s="1"/>
      <c r="CG1458" s="1"/>
      <c r="CH1458" s="1"/>
      <c r="CI1458" s="1"/>
      <c r="CJ1458" s="1"/>
      <c r="CK1458" s="1"/>
      <c r="CL1458" s="1"/>
      <c r="CM1458" s="1"/>
      <c r="CN1458" s="1"/>
      <c r="CO1458" s="1"/>
      <c r="CP1458" s="1"/>
      <c r="CQ1458" s="1"/>
      <c r="CR1458" s="1"/>
      <c r="CS1458" s="1"/>
      <c r="CT1458" s="1"/>
      <c r="CU1458" s="1"/>
      <c r="CV1458" s="1"/>
      <c r="CW1458" s="1"/>
      <c r="CX1458" s="1"/>
      <c r="CY1458" s="1"/>
      <c r="CZ1458" s="1"/>
      <c r="DA1458" s="1"/>
      <c r="DB1458" s="1"/>
      <c r="DC1458" s="1"/>
    </row>
    <row r="1459" spans="1:107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  <c r="BB1459" s="1"/>
      <c r="BC1459" s="1"/>
      <c r="BD1459" s="1"/>
      <c r="BE1459" s="1"/>
      <c r="BF1459" s="1"/>
      <c r="BG1459" s="1"/>
      <c r="BH1459" s="1"/>
      <c r="BI1459" s="1"/>
      <c r="BJ1459" s="1"/>
      <c r="BK1459" s="1"/>
      <c r="BL1459" s="1"/>
      <c r="BM1459" s="1"/>
      <c r="BN1459" s="1"/>
      <c r="BO1459" s="1"/>
      <c r="BP1459" s="1"/>
      <c r="BQ1459" s="1"/>
      <c r="BR1459" s="1"/>
      <c r="BS1459" s="1"/>
      <c r="BT1459" s="1"/>
      <c r="BU1459" s="1"/>
      <c r="BV1459" s="1"/>
      <c r="BW1459" s="1"/>
      <c r="BX1459" s="1"/>
      <c r="BY1459" s="1"/>
      <c r="BZ1459" s="1"/>
      <c r="CA1459" s="1"/>
      <c r="CB1459" s="1"/>
      <c r="CC1459" s="1"/>
      <c r="CD1459" s="1"/>
      <c r="CE1459" s="1"/>
      <c r="CF1459" s="1"/>
      <c r="CG1459" s="1"/>
      <c r="CH1459" s="1"/>
      <c r="CI1459" s="1"/>
      <c r="CJ1459" s="1"/>
      <c r="CK1459" s="1"/>
      <c r="CL1459" s="1"/>
      <c r="CM1459" s="1"/>
      <c r="CN1459" s="1"/>
      <c r="CO1459" s="1"/>
      <c r="CP1459" s="1"/>
      <c r="CQ1459" s="1"/>
      <c r="CR1459" s="1"/>
      <c r="CS1459" s="1"/>
      <c r="CT1459" s="1"/>
      <c r="CU1459" s="1"/>
      <c r="CV1459" s="1"/>
      <c r="CW1459" s="1"/>
      <c r="CX1459" s="1"/>
      <c r="CY1459" s="1"/>
      <c r="CZ1459" s="1"/>
      <c r="DA1459" s="1"/>
      <c r="DB1459" s="1"/>
      <c r="DC1459" s="1"/>
    </row>
    <row r="1460" spans="1:107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  <c r="BB1460" s="1"/>
      <c r="BC1460" s="1"/>
      <c r="BD1460" s="1"/>
      <c r="BE1460" s="1"/>
      <c r="BF1460" s="1"/>
      <c r="BG1460" s="1"/>
      <c r="BH1460" s="1"/>
      <c r="BI1460" s="1"/>
      <c r="BJ1460" s="1"/>
      <c r="BK1460" s="1"/>
      <c r="BL1460" s="1"/>
      <c r="BM1460" s="1"/>
      <c r="BN1460" s="1"/>
      <c r="BO1460" s="1"/>
      <c r="BP1460" s="1"/>
      <c r="BQ1460" s="1"/>
      <c r="BR1460" s="1"/>
      <c r="BS1460" s="1"/>
      <c r="BT1460" s="1"/>
      <c r="BU1460" s="1"/>
      <c r="BV1460" s="1"/>
      <c r="BW1460" s="1"/>
      <c r="BX1460" s="1"/>
      <c r="BY1460" s="1"/>
      <c r="BZ1460" s="1"/>
      <c r="CA1460" s="1"/>
      <c r="CB1460" s="1"/>
      <c r="CC1460" s="1"/>
      <c r="CD1460" s="1"/>
      <c r="CE1460" s="1"/>
      <c r="CF1460" s="1"/>
      <c r="CG1460" s="1"/>
      <c r="CH1460" s="1"/>
      <c r="CI1460" s="1"/>
      <c r="CJ1460" s="1"/>
      <c r="CK1460" s="1"/>
      <c r="CL1460" s="1"/>
      <c r="CM1460" s="1"/>
      <c r="CN1460" s="1"/>
      <c r="CO1460" s="1"/>
      <c r="CP1460" s="1"/>
      <c r="CQ1460" s="1"/>
      <c r="CR1460" s="1"/>
      <c r="CS1460" s="1"/>
      <c r="CT1460" s="1"/>
      <c r="CU1460" s="1"/>
      <c r="CV1460" s="1"/>
      <c r="CW1460" s="1"/>
      <c r="CX1460" s="1"/>
      <c r="CY1460" s="1"/>
      <c r="CZ1460" s="1"/>
      <c r="DA1460" s="1"/>
      <c r="DB1460" s="1"/>
      <c r="DC1460" s="1"/>
    </row>
    <row r="1461" spans="1:107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/>
      <c r="BC1461" s="1"/>
      <c r="BD1461" s="1"/>
      <c r="BE1461" s="1"/>
      <c r="BF1461" s="1"/>
      <c r="BG1461" s="1"/>
      <c r="BH1461" s="1"/>
      <c r="BI1461" s="1"/>
      <c r="BJ1461" s="1"/>
      <c r="BK1461" s="1"/>
      <c r="BL1461" s="1"/>
      <c r="BM1461" s="1"/>
      <c r="BN1461" s="1"/>
      <c r="BO1461" s="1"/>
      <c r="BP1461" s="1"/>
      <c r="BQ1461" s="1"/>
      <c r="BR1461" s="1"/>
      <c r="BS1461" s="1"/>
      <c r="BT1461" s="1"/>
      <c r="BU1461" s="1"/>
      <c r="BV1461" s="1"/>
      <c r="BW1461" s="1"/>
      <c r="BX1461" s="1"/>
      <c r="BY1461" s="1"/>
      <c r="BZ1461" s="1"/>
      <c r="CA1461" s="1"/>
      <c r="CB1461" s="1"/>
      <c r="CC1461" s="1"/>
      <c r="CD1461" s="1"/>
      <c r="CE1461" s="1"/>
      <c r="CF1461" s="1"/>
      <c r="CG1461" s="1"/>
      <c r="CH1461" s="1"/>
      <c r="CI1461" s="1"/>
      <c r="CJ1461" s="1"/>
      <c r="CK1461" s="1"/>
      <c r="CL1461" s="1"/>
      <c r="CM1461" s="1"/>
      <c r="CN1461" s="1"/>
      <c r="CO1461" s="1"/>
      <c r="CP1461" s="1"/>
      <c r="CQ1461" s="1"/>
      <c r="CR1461" s="1"/>
      <c r="CS1461" s="1"/>
      <c r="CT1461" s="1"/>
      <c r="CU1461" s="1"/>
      <c r="CV1461" s="1"/>
      <c r="CW1461" s="1"/>
      <c r="CX1461" s="1"/>
      <c r="CY1461" s="1"/>
      <c r="CZ1461" s="1"/>
      <c r="DA1461" s="1"/>
      <c r="DB1461" s="1"/>
      <c r="DC1461" s="1"/>
    </row>
    <row r="1462" spans="1:107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  <c r="BB1462" s="1"/>
      <c r="BC1462" s="1"/>
      <c r="BD1462" s="1"/>
      <c r="BE1462" s="1"/>
      <c r="BF1462" s="1"/>
      <c r="BG1462" s="1"/>
      <c r="BH1462" s="1"/>
      <c r="BI1462" s="1"/>
      <c r="BJ1462" s="1"/>
      <c r="BK1462" s="1"/>
      <c r="BL1462" s="1"/>
      <c r="BM1462" s="1"/>
      <c r="BN1462" s="1"/>
      <c r="BO1462" s="1"/>
      <c r="BP1462" s="1"/>
      <c r="BQ1462" s="1"/>
      <c r="BR1462" s="1"/>
      <c r="BS1462" s="1"/>
      <c r="BT1462" s="1"/>
      <c r="BU1462" s="1"/>
      <c r="BV1462" s="1"/>
      <c r="BW1462" s="1"/>
      <c r="BX1462" s="1"/>
      <c r="BY1462" s="1"/>
      <c r="BZ1462" s="1"/>
      <c r="CA1462" s="1"/>
      <c r="CB1462" s="1"/>
      <c r="CC1462" s="1"/>
      <c r="CD1462" s="1"/>
      <c r="CE1462" s="1"/>
      <c r="CF1462" s="1"/>
      <c r="CG1462" s="1"/>
      <c r="CH1462" s="1"/>
      <c r="CI1462" s="1"/>
      <c r="CJ1462" s="1"/>
      <c r="CK1462" s="1"/>
      <c r="CL1462" s="1"/>
      <c r="CM1462" s="1"/>
      <c r="CN1462" s="1"/>
      <c r="CO1462" s="1"/>
      <c r="CP1462" s="1"/>
      <c r="CQ1462" s="1"/>
      <c r="CR1462" s="1"/>
      <c r="CS1462" s="1"/>
      <c r="CT1462" s="1"/>
      <c r="CU1462" s="1"/>
      <c r="CV1462" s="1"/>
      <c r="CW1462" s="1"/>
      <c r="CX1462" s="1"/>
      <c r="CY1462" s="1"/>
      <c r="CZ1462" s="1"/>
      <c r="DA1462" s="1"/>
      <c r="DB1462" s="1"/>
      <c r="DC1462" s="1"/>
    </row>
    <row r="1463" spans="1:107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s="1"/>
      <c r="BD1463" s="1"/>
      <c r="BE1463" s="1"/>
      <c r="BF1463" s="1"/>
      <c r="BG1463" s="1"/>
      <c r="BH1463" s="1"/>
      <c r="BI1463" s="1"/>
      <c r="BJ1463" s="1"/>
      <c r="BK1463" s="1"/>
      <c r="BL1463" s="1"/>
      <c r="BM1463" s="1"/>
      <c r="BN1463" s="1"/>
      <c r="BO1463" s="1"/>
      <c r="BP1463" s="1"/>
      <c r="BQ1463" s="1"/>
      <c r="BR1463" s="1"/>
      <c r="BS1463" s="1"/>
      <c r="BT1463" s="1"/>
      <c r="BU1463" s="1"/>
      <c r="BV1463" s="1"/>
      <c r="BW1463" s="1"/>
      <c r="BX1463" s="1"/>
      <c r="BY1463" s="1"/>
      <c r="BZ1463" s="1"/>
      <c r="CA1463" s="1"/>
      <c r="CB1463" s="1"/>
      <c r="CC1463" s="1"/>
      <c r="CD1463" s="1"/>
      <c r="CE1463" s="1"/>
      <c r="CF1463" s="1"/>
      <c r="CG1463" s="1"/>
      <c r="CH1463" s="1"/>
      <c r="CI1463" s="1"/>
      <c r="CJ1463" s="1"/>
      <c r="CK1463" s="1"/>
      <c r="CL1463" s="1"/>
      <c r="CM1463" s="1"/>
      <c r="CN1463" s="1"/>
      <c r="CO1463" s="1"/>
      <c r="CP1463" s="1"/>
      <c r="CQ1463" s="1"/>
      <c r="CR1463" s="1"/>
      <c r="CS1463" s="1"/>
      <c r="CT1463" s="1"/>
      <c r="CU1463" s="1"/>
      <c r="CV1463" s="1"/>
      <c r="CW1463" s="1"/>
      <c r="CX1463" s="1"/>
      <c r="CY1463" s="1"/>
      <c r="CZ1463" s="1"/>
      <c r="DA1463" s="1"/>
      <c r="DB1463" s="1"/>
      <c r="DC1463" s="1"/>
    </row>
    <row r="1464" spans="1:107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  <c r="BA1464" s="1"/>
      <c r="BB1464" s="1"/>
      <c r="BC1464" s="1"/>
      <c r="BD1464" s="1"/>
      <c r="BE1464" s="1"/>
      <c r="BF1464" s="1"/>
      <c r="BG1464" s="1"/>
      <c r="BH1464" s="1"/>
      <c r="BI1464" s="1"/>
      <c r="BJ1464" s="1"/>
      <c r="BK1464" s="1"/>
      <c r="BL1464" s="1"/>
      <c r="BM1464" s="1"/>
      <c r="BN1464" s="1"/>
      <c r="BO1464" s="1"/>
      <c r="BP1464" s="1"/>
      <c r="BQ1464" s="1"/>
      <c r="BR1464" s="1"/>
      <c r="BS1464" s="1"/>
      <c r="BT1464" s="1"/>
      <c r="BU1464" s="1"/>
      <c r="BV1464" s="1"/>
      <c r="BW1464" s="1"/>
      <c r="BX1464" s="1"/>
      <c r="BY1464" s="1"/>
      <c r="BZ1464" s="1"/>
      <c r="CA1464" s="1"/>
      <c r="CB1464" s="1"/>
      <c r="CC1464" s="1"/>
      <c r="CD1464" s="1"/>
      <c r="CE1464" s="1"/>
      <c r="CF1464" s="1"/>
      <c r="CG1464" s="1"/>
      <c r="CH1464" s="1"/>
      <c r="CI1464" s="1"/>
      <c r="CJ1464" s="1"/>
      <c r="CK1464" s="1"/>
      <c r="CL1464" s="1"/>
      <c r="CM1464" s="1"/>
      <c r="CN1464" s="1"/>
      <c r="CO1464" s="1"/>
      <c r="CP1464" s="1"/>
      <c r="CQ1464" s="1"/>
      <c r="CR1464" s="1"/>
      <c r="CS1464" s="1"/>
      <c r="CT1464" s="1"/>
      <c r="CU1464" s="1"/>
      <c r="CV1464" s="1"/>
      <c r="CW1464" s="1"/>
      <c r="CX1464" s="1"/>
      <c r="CY1464" s="1"/>
      <c r="CZ1464" s="1"/>
      <c r="DA1464" s="1"/>
      <c r="DB1464" s="1"/>
      <c r="DC1464" s="1"/>
    </row>
    <row r="1465" spans="1:107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/>
      <c r="AY1465" s="1"/>
      <c r="AZ1465" s="1"/>
      <c r="BA1465" s="1"/>
      <c r="BB1465" s="1"/>
      <c r="BC1465" s="1"/>
      <c r="BD1465" s="1"/>
      <c r="BE1465" s="1"/>
      <c r="BF1465" s="1"/>
      <c r="BG1465" s="1"/>
      <c r="BH1465" s="1"/>
      <c r="BI1465" s="1"/>
      <c r="BJ1465" s="1"/>
      <c r="BK1465" s="1"/>
      <c r="BL1465" s="1"/>
      <c r="BM1465" s="1"/>
      <c r="BN1465" s="1"/>
      <c r="BO1465" s="1"/>
      <c r="BP1465" s="1"/>
      <c r="BQ1465" s="1"/>
      <c r="BR1465" s="1"/>
      <c r="BS1465" s="1"/>
      <c r="BT1465" s="1"/>
      <c r="BU1465" s="1"/>
      <c r="BV1465" s="1"/>
      <c r="BW1465" s="1"/>
      <c r="BX1465" s="1"/>
      <c r="BY1465" s="1"/>
      <c r="BZ1465" s="1"/>
      <c r="CA1465" s="1"/>
      <c r="CB1465" s="1"/>
      <c r="CC1465" s="1"/>
      <c r="CD1465" s="1"/>
      <c r="CE1465" s="1"/>
      <c r="CF1465" s="1"/>
      <c r="CG1465" s="1"/>
      <c r="CH1465" s="1"/>
      <c r="CI1465" s="1"/>
      <c r="CJ1465" s="1"/>
      <c r="CK1465" s="1"/>
      <c r="CL1465" s="1"/>
      <c r="CM1465" s="1"/>
      <c r="CN1465" s="1"/>
      <c r="CO1465" s="1"/>
      <c r="CP1465" s="1"/>
      <c r="CQ1465" s="1"/>
      <c r="CR1465" s="1"/>
      <c r="CS1465" s="1"/>
      <c r="CT1465" s="1"/>
      <c r="CU1465" s="1"/>
      <c r="CV1465" s="1"/>
      <c r="CW1465" s="1"/>
      <c r="CX1465" s="1"/>
      <c r="CY1465" s="1"/>
      <c r="CZ1465" s="1"/>
      <c r="DA1465" s="1"/>
      <c r="DB1465" s="1"/>
      <c r="DC1465" s="1"/>
    </row>
    <row r="1466" spans="1:107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  <c r="AY1466" s="1"/>
      <c r="AZ1466" s="1"/>
      <c r="BA1466" s="1"/>
      <c r="BB1466" s="1"/>
      <c r="BC1466" s="1"/>
      <c r="BD1466" s="1"/>
      <c r="BE1466" s="1"/>
      <c r="BF1466" s="1"/>
      <c r="BG1466" s="1"/>
      <c r="BH1466" s="1"/>
      <c r="BI1466" s="1"/>
      <c r="BJ1466" s="1"/>
      <c r="BK1466" s="1"/>
      <c r="BL1466" s="1"/>
      <c r="BM1466" s="1"/>
      <c r="BN1466" s="1"/>
      <c r="BO1466" s="1"/>
      <c r="BP1466" s="1"/>
      <c r="BQ1466" s="1"/>
      <c r="BR1466" s="1"/>
      <c r="BS1466" s="1"/>
      <c r="BT1466" s="1"/>
      <c r="BU1466" s="1"/>
      <c r="BV1466" s="1"/>
      <c r="BW1466" s="1"/>
      <c r="BX1466" s="1"/>
      <c r="BY1466" s="1"/>
      <c r="BZ1466" s="1"/>
      <c r="CA1466" s="1"/>
      <c r="CB1466" s="1"/>
      <c r="CC1466" s="1"/>
      <c r="CD1466" s="1"/>
      <c r="CE1466" s="1"/>
      <c r="CF1466" s="1"/>
      <c r="CG1466" s="1"/>
      <c r="CH1466" s="1"/>
      <c r="CI1466" s="1"/>
      <c r="CJ1466" s="1"/>
      <c r="CK1466" s="1"/>
      <c r="CL1466" s="1"/>
      <c r="CM1466" s="1"/>
      <c r="CN1466" s="1"/>
      <c r="CO1466" s="1"/>
      <c r="CP1466" s="1"/>
      <c r="CQ1466" s="1"/>
      <c r="CR1466" s="1"/>
      <c r="CS1466" s="1"/>
      <c r="CT1466" s="1"/>
      <c r="CU1466" s="1"/>
      <c r="CV1466" s="1"/>
      <c r="CW1466" s="1"/>
      <c r="CX1466" s="1"/>
      <c r="CY1466" s="1"/>
      <c r="CZ1466" s="1"/>
      <c r="DA1466" s="1"/>
      <c r="DB1466" s="1"/>
      <c r="DC1466" s="1"/>
    </row>
    <row r="1467" spans="1:107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1"/>
      <c r="BC1467" s="1"/>
      <c r="BD1467" s="1"/>
      <c r="BE1467" s="1"/>
      <c r="BF1467" s="1"/>
      <c r="BG1467" s="1"/>
      <c r="BH1467" s="1"/>
      <c r="BI1467" s="1"/>
      <c r="BJ1467" s="1"/>
      <c r="BK1467" s="1"/>
      <c r="BL1467" s="1"/>
      <c r="BM1467" s="1"/>
      <c r="BN1467" s="1"/>
      <c r="BO1467" s="1"/>
      <c r="BP1467" s="1"/>
      <c r="BQ1467" s="1"/>
      <c r="BR1467" s="1"/>
      <c r="BS1467" s="1"/>
      <c r="BT1467" s="1"/>
      <c r="BU1467" s="1"/>
      <c r="BV1467" s="1"/>
      <c r="BW1467" s="1"/>
      <c r="BX1467" s="1"/>
      <c r="BY1467" s="1"/>
      <c r="BZ1467" s="1"/>
      <c r="CA1467" s="1"/>
      <c r="CB1467" s="1"/>
      <c r="CC1467" s="1"/>
      <c r="CD1467" s="1"/>
      <c r="CE1467" s="1"/>
      <c r="CF1467" s="1"/>
      <c r="CG1467" s="1"/>
      <c r="CH1467" s="1"/>
      <c r="CI1467" s="1"/>
      <c r="CJ1467" s="1"/>
      <c r="CK1467" s="1"/>
      <c r="CL1467" s="1"/>
      <c r="CM1467" s="1"/>
      <c r="CN1467" s="1"/>
      <c r="CO1467" s="1"/>
      <c r="CP1467" s="1"/>
      <c r="CQ1467" s="1"/>
      <c r="CR1467" s="1"/>
      <c r="CS1467" s="1"/>
      <c r="CT1467" s="1"/>
      <c r="CU1467" s="1"/>
      <c r="CV1467" s="1"/>
      <c r="CW1467" s="1"/>
      <c r="CX1467" s="1"/>
      <c r="CY1467" s="1"/>
      <c r="CZ1467" s="1"/>
      <c r="DA1467" s="1"/>
      <c r="DB1467" s="1"/>
      <c r="DC1467" s="1"/>
    </row>
    <row r="1468" spans="1:107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A1468" s="1"/>
      <c r="BB1468" s="1"/>
      <c r="BC1468" s="1"/>
      <c r="BD1468" s="1"/>
      <c r="BE1468" s="1"/>
      <c r="BF1468" s="1"/>
      <c r="BG1468" s="1"/>
      <c r="BH1468" s="1"/>
      <c r="BI1468" s="1"/>
      <c r="BJ1468" s="1"/>
      <c r="BK1468" s="1"/>
      <c r="BL1468" s="1"/>
      <c r="BM1468" s="1"/>
      <c r="BN1468" s="1"/>
      <c r="BO1468" s="1"/>
      <c r="BP1468" s="1"/>
      <c r="BQ1468" s="1"/>
      <c r="BR1468" s="1"/>
      <c r="BS1468" s="1"/>
      <c r="BT1468" s="1"/>
      <c r="BU1468" s="1"/>
      <c r="BV1468" s="1"/>
      <c r="BW1468" s="1"/>
      <c r="BX1468" s="1"/>
      <c r="BY1468" s="1"/>
      <c r="BZ1468" s="1"/>
      <c r="CA1468" s="1"/>
      <c r="CB1468" s="1"/>
      <c r="CC1468" s="1"/>
      <c r="CD1468" s="1"/>
      <c r="CE1468" s="1"/>
      <c r="CF1468" s="1"/>
      <c r="CG1468" s="1"/>
      <c r="CH1468" s="1"/>
      <c r="CI1468" s="1"/>
      <c r="CJ1468" s="1"/>
      <c r="CK1468" s="1"/>
      <c r="CL1468" s="1"/>
      <c r="CM1468" s="1"/>
      <c r="CN1468" s="1"/>
      <c r="CO1468" s="1"/>
      <c r="CP1468" s="1"/>
      <c r="CQ1468" s="1"/>
      <c r="CR1468" s="1"/>
      <c r="CS1468" s="1"/>
      <c r="CT1468" s="1"/>
      <c r="CU1468" s="1"/>
      <c r="CV1468" s="1"/>
      <c r="CW1468" s="1"/>
      <c r="CX1468" s="1"/>
      <c r="CY1468" s="1"/>
      <c r="CZ1468" s="1"/>
      <c r="DA1468" s="1"/>
      <c r="DB1468" s="1"/>
      <c r="DC1468" s="1"/>
    </row>
    <row r="1469" spans="1:107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  <c r="BD1469" s="1"/>
      <c r="BE1469" s="1"/>
      <c r="BF1469" s="1"/>
      <c r="BG1469" s="1"/>
      <c r="BH1469" s="1"/>
      <c r="BI1469" s="1"/>
      <c r="BJ1469" s="1"/>
      <c r="BK1469" s="1"/>
      <c r="BL1469" s="1"/>
      <c r="BM1469" s="1"/>
      <c r="BN1469" s="1"/>
      <c r="BO1469" s="1"/>
      <c r="BP1469" s="1"/>
      <c r="BQ1469" s="1"/>
      <c r="BR1469" s="1"/>
      <c r="BS1469" s="1"/>
      <c r="BT1469" s="1"/>
      <c r="BU1469" s="1"/>
      <c r="BV1469" s="1"/>
      <c r="BW1469" s="1"/>
      <c r="BX1469" s="1"/>
      <c r="BY1469" s="1"/>
      <c r="BZ1469" s="1"/>
      <c r="CA1469" s="1"/>
      <c r="CB1469" s="1"/>
      <c r="CC1469" s="1"/>
      <c r="CD1469" s="1"/>
      <c r="CE1469" s="1"/>
      <c r="CF1469" s="1"/>
      <c r="CG1469" s="1"/>
      <c r="CH1469" s="1"/>
      <c r="CI1469" s="1"/>
      <c r="CJ1469" s="1"/>
      <c r="CK1469" s="1"/>
      <c r="CL1469" s="1"/>
      <c r="CM1469" s="1"/>
      <c r="CN1469" s="1"/>
      <c r="CO1469" s="1"/>
      <c r="CP1469" s="1"/>
      <c r="CQ1469" s="1"/>
      <c r="CR1469" s="1"/>
      <c r="CS1469" s="1"/>
      <c r="CT1469" s="1"/>
      <c r="CU1469" s="1"/>
      <c r="CV1469" s="1"/>
      <c r="CW1469" s="1"/>
      <c r="CX1469" s="1"/>
      <c r="CY1469" s="1"/>
      <c r="CZ1469" s="1"/>
      <c r="DA1469" s="1"/>
      <c r="DB1469" s="1"/>
      <c r="DC1469" s="1"/>
    </row>
    <row r="1470" spans="1:107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  <c r="BA1470" s="1"/>
      <c r="BB1470" s="1"/>
      <c r="BC1470" s="1"/>
      <c r="BD1470" s="1"/>
      <c r="BE1470" s="1"/>
      <c r="BF1470" s="1"/>
      <c r="BG1470" s="1"/>
      <c r="BH1470" s="1"/>
      <c r="BI1470" s="1"/>
      <c r="BJ1470" s="1"/>
      <c r="BK1470" s="1"/>
      <c r="BL1470" s="1"/>
      <c r="BM1470" s="1"/>
      <c r="BN1470" s="1"/>
      <c r="BO1470" s="1"/>
      <c r="BP1470" s="1"/>
      <c r="BQ1470" s="1"/>
      <c r="BR1470" s="1"/>
      <c r="BS1470" s="1"/>
      <c r="BT1470" s="1"/>
      <c r="BU1470" s="1"/>
      <c r="BV1470" s="1"/>
      <c r="BW1470" s="1"/>
      <c r="BX1470" s="1"/>
      <c r="BY1470" s="1"/>
      <c r="BZ1470" s="1"/>
      <c r="CA1470" s="1"/>
      <c r="CB1470" s="1"/>
      <c r="CC1470" s="1"/>
      <c r="CD1470" s="1"/>
      <c r="CE1470" s="1"/>
      <c r="CF1470" s="1"/>
      <c r="CG1470" s="1"/>
      <c r="CH1470" s="1"/>
      <c r="CI1470" s="1"/>
      <c r="CJ1470" s="1"/>
      <c r="CK1470" s="1"/>
      <c r="CL1470" s="1"/>
      <c r="CM1470" s="1"/>
      <c r="CN1470" s="1"/>
      <c r="CO1470" s="1"/>
      <c r="CP1470" s="1"/>
      <c r="CQ1470" s="1"/>
      <c r="CR1470" s="1"/>
      <c r="CS1470" s="1"/>
      <c r="CT1470" s="1"/>
      <c r="CU1470" s="1"/>
      <c r="CV1470" s="1"/>
      <c r="CW1470" s="1"/>
      <c r="CX1470" s="1"/>
      <c r="CY1470" s="1"/>
      <c r="CZ1470" s="1"/>
      <c r="DA1470" s="1"/>
      <c r="DB1470" s="1"/>
      <c r="DC1470" s="1"/>
    </row>
    <row r="1471" spans="1:107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  <c r="BD1471" s="1"/>
      <c r="BE1471" s="1"/>
      <c r="BF1471" s="1"/>
      <c r="BG1471" s="1"/>
      <c r="BH1471" s="1"/>
      <c r="BI1471" s="1"/>
      <c r="BJ1471" s="1"/>
      <c r="BK1471" s="1"/>
      <c r="BL1471" s="1"/>
      <c r="BM1471" s="1"/>
      <c r="BN1471" s="1"/>
      <c r="BO1471" s="1"/>
      <c r="BP1471" s="1"/>
      <c r="BQ1471" s="1"/>
      <c r="BR1471" s="1"/>
      <c r="BS1471" s="1"/>
      <c r="BT1471" s="1"/>
      <c r="BU1471" s="1"/>
      <c r="BV1471" s="1"/>
      <c r="BW1471" s="1"/>
      <c r="BX1471" s="1"/>
      <c r="BY1471" s="1"/>
      <c r="BZ1471" s="1"/>
      <c r="CA1471" s="1"/>
      <c r="CB1471" s="1"/>
      <c r="CC1471" s="1"/>
      <c r="CD1471" s="1"/>
      <c r="CE1471" s="1"/>
      <c r="CF1471" s="1"/>
      <c r="CG1471" s="1"/>
      <c r="CH1471" s="1"/>
      <c r="CI1471" s="1"/>
      <c r="CJ1471" s="1"/>
      <c r="CK1471" s="1"/>
      <c r="CL1471" s="1"/>
      <c r="CM1471" s="1"/>
      <c r="CN1471" s="1"/>
      <c r="CO1471" s="1"/>
      <c r="CP1471" s="1"/>
      <c r="CQ1471" s="1"/>
      <c r="CR1471" s="1"/>
      <c r="CS1471" s="1"/>
      <c r="CT1471" s="1"/>
      <c r="CU1471" s="1"/>
      <c r="CV1471" s="1"/>
      <c r="CW1471" s="1"/>
      <c r="CX1471" s="1"/>
      <c r="CY1471" s="1"/>
      <c r="CZ1471" s="1"/>
      <c r="DA1471" s="1"/>
      <c r="DB1471" s="1"/>
      <c r="DC1471" s="1"/>
    </row>
    <row r="1472" spans="1:107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  <c r="BD1472" s="1"/>
      <c r="BE1472" s="1"/>
      <c r="BF1472" s="1"/>
      <c r="BG1472" s="1"/>
      <c r="BH1472" s="1"/>
      <c r="BI1472" s="1"/>
      <c r="BJ1472" s="1"/>
      <c r="BK1472" s="1"/>
      <c r="BL1472" s="1"/>
      <c r="BM1472" s="1"/>
      <c r="BN1472" s="1"/>
      <c r="BO1472" s="1"/>
      <c r="BP1472" s="1"/>
      <c r="BQ1472" s="1"/>
      <c r="BR1472" s="1"/>
      <c r="BS1472" s="1"/>
      <c r="BT1472" s="1"/>
      <c r="BU1472" s="1"/>
      <c r="BV1472" s="1"/>
      <c r="BW1472" s="1"/>
      <c r="BX1472" s="1"/>
      <c r="BY1472" s="1"/>
      <c r="BZ1472" s="1"/>
      <c r="CA1472" s="1"/>
      <c r="CB1472" s="1"/>
      <c r="CC1472" s="1"/>
      <c r="CD1472" s="1"/>
      <c r="CE1472" s="1"/>
      <c r="CF1472" s="1"/>
      <c r="CG1472" s="1"/>
      <c r="CH1472" s="1"/>
      <c r="CI1472" s="1"/>
      <c r="CJ1472" s="1"/>
      <c r="CK1472" s="1"/>
      <c r="CL1472" s="1"/>
      <c r="CM1472" s="1"/>
      <c r="CN1472" s="1"/>
      <c r="CO1472" s="1"/>
      <c r="CP1472" s="1"/>
      <c r="CQ1472" s="1"/>
      <c r="CR1472" s="1"/>
      <c r="CS1472" s="1"/>
      <c r="CT1472" s="1"/>
      <c r="CU1472" s="1"/>
      <c r="CV1472" s="1"/>
      <c r="CW1472" s="1"/>
      <c r="CX1472" s="1"/>
      <c r="CY1472" s="1"/>
      <c r="CZ1472" s="1"/>
      <c r="DA1472" s="1"/>
      <c r="DB1472" s="1"/>
      <c r="DC1472" s="1"/>
    </row>
    <row r="1473" spans="1:107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  <c r="BD1473" s="1"/>
      <c r="BE1473" s="1"/>
      <c r="BF1473" s="1"/>
      <c r="BG1473" s="1"/>
      <c r="BH1473" s="1"/>
      <c r="BI1473" s="1"/>
      <c r="BJ1473" s="1"/>
      <c r="BK1473" s="1"/>
      <c r="BL1473" s="1"/>
      <c r="BM1473" s="1"/>
      <c r="BN1473" s="1"/>
      <c r="BO1473" s="1"/>
      <c r="BP1473" s="1"/>
      <c r="BQ1473" s="1"/>
      <c r="BR1473" s="1"/>
      <c r="BS1473" s="1"/>
      <c r="BT1473" s="1"/>
      <c r="BU1473" s="1"/>
      <c r="BV1473" s="1"/>
      <c r="BW1473" s="1"/>
      <c r="BX1473" s="1"/>
      <c r="BY1473" s="1"/>
      <c r="BZ1473" s="1"/>
      <c r="CA1473" s="1"/>
      <c r="CB1473" s="1"/>
      <c r="CC1473" s="1"/>
      <c r="CD1473" s="1"/>
      <c r="CE1473" s="1"/>
      <c r="CF1473" s="1"/>
      <c r="CG1473" s="1"/>
      <c r="CH1473" s="1"/>
      <c r="CI1473" s="1"/>
      <c r="CJ1473" s="1"/>
      <c r="CK1473" s="1"/>
      <c r="CL1473" s="1"/>
      <c r="CM1473" s="1"/>
      <c r="CN1473" s="1"/>
      <c r="CO1473" s="1"/>
      <c r="CP1473" s="1"/>
      <c r="CQ1473" s="1"/>
      <c r="CR1473" s="1"/>
      <c r="CS1473" s="1"/>
      <c r="CT1473" s="1"/>
      <c r="CU1473" s="1"/>
      <c r="CV1473" s="1"/>
      <c r="CW1473" s="1"/>
      <c r="CX1473" s="1"/>
      <c r="CY1473" s="1"/>
      <c r="CZ1473" s="1"/>
      <c r="DA1473" s="1"/>
      <c r="DB1473" s="1"/>
      <c r="DC1473" s="1"/>
    </row>
    <row r="1474" spans="1:107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  <c r="AY1474" s="1"/>
      <c r="AZ1474" s="1"/>
      <c r="BA1474" s="1"/>
      <c r="BB1474" s="1"/>
      <c r="BC1474" s="1"/>
      <c r="BD1474" s="1"/>
      <c r="BE1474" s="1"/>
      <c r="BF1474" s="1"/>
      <c r="BG1474" s="1"/>
      <c r="BH1474" s="1"/>
      <c r="BI1474" s="1"/>
      <c r="BJ1474" s="1"/>
      <c r="BK1474" s="1"/>
      <c r="BL1474" s="1"/>
      <c r="BM1474" s="1"/>
      <c r="BN1474" s="1"/>
      <c r="BO1474" s="1"/>
      <c r="BP1474" s="1"/>
      <c r="BQ1474" s="1"/>
      <c r="BR1474" s="1"/>
      <c r="BS1474" s="1"/>
      <c r="BT1474" s="1"/>
      <c r="BU1474" s="1"/>
      <c r="BV1474" s="1"/>
      <c r="BW1474" s="1"/>
      <c r="BX1474" s="1"/>
      <c r="BY1474" s="1"/>
      <c r="BZ1474" s="1"/>
      <c r="CA1474" s="1"/>
      <c r="CB1474" s="1"/>
      <c r="CC1474" s="1"/>
      <c r="CD1474" s="1"/>
      <c r="CE1474" s="1"/>
      <c r="CF1474" s="1"/>
      <c r="CG1474" s="1"/>
      <c r="CH1474" s="1"/>
      <c r="CI1474" s="1"/>
      <c r="CJ1474" s="1"/>
      <c r="CK1474" s="1"/>
      <c r="CL1474" s="1"/>
      <c r="CM1474" s="1"/>
      <c r="CN1474" s="1"/>
      <c r="CO1474" s="1"/>
      <c r="CP1474" s="1"/>
      <c r="CQ1474" s="1"/>
      <c r="CR1474" s="1"/>
      <c r="CS1474" s="1"/>
      <c r="CT1474" s="1"/>
      <c r="CU1474" s="1"/>
      <c r="CV1474" s="1"/>
      <c r="CW1474" s="1"/>
      <c r="CX1474" s="1"/>
      <c r="CY1474" s="1"/>
      <c r="CZ1474" s="1"/>
      <c r="DA1474" s="1"/>
      <c r="DB1474" s="1"/>
      <c r="DC1474" s="1"/>
    </row>
    <row r="1475" spans="1:107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  <c r="BD1475" s="1"/>
      <c r="BE1475" s="1"/>
      <c r="BF1475" s="1"/>
      <c r="BG1475" s="1"/>
      <c r="BH1475" s="1"/>
      <c r="BI1475" s="1"/>
      <c r="BJ1475" s="1"/>
      <c r="BK1475" s="1"/>
      <c r="BL1475" s="1"/>
      <c r="BM1475" s="1"/>
      <c r="BN1475" s="1"/>
      <c r="BO1475" s="1"/>
      <c r="BP1475" s="1"/>
      <c r="BQ1475" s="1"/>
      <c r="BR1475" s="1"/>
      <c r="BS1475" s="1"/>
      <c r="BT1475" s="1"/>
      <c r="BU1475" s="1"/>
      <c r="BV1475" s="1"/>
      <c r="BW1475" s="1"/>
      <c r="BX1475" s="1"/>
      <c r="BY1475" s="1"/>
      <c r="BZ1475" s="1"/>
      <c r="CA1475" s="1"/>
      <c r="CB1475" s="1"/>
      <c r="CC1475" s="1"/>
      <c r="CD1475" s="1"/>
      <c r="CE1475" s="1"/>
      <c r="CF1475" s="1"/>
      <c r="CG1475" s="1"/>
      <c r="CH1475" s="1"/>
      <c r="CI1475" s="1"/>
      <c r="CJ1475" s="1"/>
      <c r="CK1475" s="1"/>
      <c r="CL1475" s="1"/>
      <c r="CM1475" s="1"/>
      <c r="CN1475" s="1"/>
      <c r="CO1475" s="1"/>
      <c r="CP1475" s="1"/>
      <c r="CQ1475" s="1"/>
      <c r="CR1475" s="1"/>
      <c r="CS1475" s="1"/>
      <c r="CT1475" s="1"/>
      <c r="CU1475" s="1"/>
      <c r="CV1475" s="1"/>
      <c r="CW1475" s="1"/>
      <c r="CX1475" s="1"/>
      <c r="CY1475" s="1"/>
      <c r="CZ1475" s="1"/>
      <c r="DA1475" s="1"/>
      <c r="DB1475" s="1"/>
      <c r="DC1475" s="1"/>
    </row>
    <row r="1476" spans="1:107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  <c r="BD1476" s="1"/>
      <c r="BE1476" s="1"/>
      <c r="BF1476" s="1"/>
      <c r="BG1476" s="1"/>
      <c r="BH1476" s="1"/>
      <c r="BI1476" s="1"/>
      <c r="BJ1476" s="1"/>
      <c r="BK1476" s="1"/>
      <c r="BL1476" s="1"/>
      <c r="BM1476" s="1"/>
      <c r="BN1476" s="1"/>
      <c r="BO1476" s="1"/>
      <c r="BP1476" s="1"/>
      <c r="BQ1476" s="1"/>
      <c r="BR1476" s="1"/>
      <c r="BS1476" s="1"/>
      <c r="BT1476" s="1"/>
      <c r="BU1476" s="1"/>
      <c r="BV1476" s="1"/>
      <c r="BW1476" s="1"/>
      <c r="BX1476" s="1"/>
      <c r="BY1476" s="1"/>
      <c r="BZ1476" s="1"/>
      <c r="CA1476" s="1"/>
      <c r="CB1476" s="1"/>
      <c r="CC1476" s="1"/>
      <c r="CD1476" s="1"/>
      <c r="CE1476" s="1"/>
      <c r="CF1476" s="1"/>
      <c r="CG1476" s="1"/>
      <c r="CH1476" s="1"/>
      <c r="CI1476" s="1"/>
      <c r="CJ1476" s="1"/>
      <c r="CK1476" s="1"/>
      <c r="CL1476" s="1"/>
      <c r="CM1476" s="1"/>
      <c r="CN1476" s="1"/>
      <c r="CO1476" s="1"/>
      <c r="CP1476" s="1"/>
      <c r="CQ1476" s="1"/>
      <c r="CR1476" s="1"/>
      <c r="CS1476" s="1"/>
      <c r="CT1476" s="1"/>
      <c r="CU1476" s="1"/>
      <c r="CV1476" s="1"/>
      <c r="CW1476" s="1"/>
      <c r="CX1476" s="1"/>
      <c r="CY1476" s="1"/>
      <c r="CZ1476" s="1"/>
      <c r="DA1476" s="1"/>
      <c r="DB1476" s="1"/>
      <c r="DC1476" s="1"/>
    </row>
    <row r="1477" spans="1:107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  <c r="BD1477" s="1"/>
      <c r="BE1477" s="1"/>
      <c r="BF1477" s="1"/>
      <c r="BG1477" s="1"/>
      <c r="BH1477" s="1"/>
      <c r="BI1477" s="1"/>
      <c r="BJ1477" s="1"/>
      <c r="BK1477" s="1"/>
      <c r="BL1477" s="1"/>
      <c r="BM1477" s="1"/>
      <c r="BN1477" s="1"/>
      <c r="BO1477" s="1"/>
      <c r="BP1477" s="1"/>
      <c r="BQ1477" s="1"/>
      <c r="BR1477" s="1"/>
      <c r="BS1477" s="1"/>
      <c r="BT1477" s="1"/>
      <c r="BU1477" s="1"/>
      <c r="BV1477" s="1"/>
      <c r="BW1477" s="1"/>
      <c r="BX1477" s="1"/>
      <c r="BY1477" s="1"/>
      <c r="BZ1477" s="1"/>
      <c r="CA1477" s="1"/>
      <c r="CB1477" s="1"/>
      <c r="CC1477" s="1"/>
      <c r="CD1477" s="1"/>
      <c r="CE1477" s="1"/>
      <c r="CF1477" s="1"/>
      <c r="CG1477" s="1"/>
      <c r="CH1477" s="1"/>
      <c r="CI1477" s="1"/>
      <c r="CJ1477" s="1"/>
      <c r="CK1477" s="1"/>
      <c r="CL1477" s="1"/>
      <c r="CM1477" s="1"/>
      <c r="CN1477" s="1"/>
      <c r="CO1477" s="1"/>
      <c r="CP1477" s="1"/>
      <c r="CQ1477" s="1"/>
      <c r="CR1477" s="1"/>
      <c r="CS1477" s="1"/>
      <c r="CT1477" s="1"/>
      <c r="CU1477" s="1"/>
      <c r="CV1477" s="1"/>
      <c r="CW1477" s="1"/>
      <c r="CX1477" s="1"/>
      <c r="CY1477" s="1"/>
      <c r="CZ1477" s="1"/>
      <c r="DA1477" s="1"/>
      <c r="DB1477" s="1"/>
      <c r="DC1477" s="1"/>
    </row>
    <row r="1478" spans="1:107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  <c r="AY1478" s="1"/>
      <c r="AZ1478" s="1"/>
      <c r="BA1478" s="1"/>
      <c r="BB1478" s="1"/>
      <c r="BC1478" s="1"/>
      <c r="BD1478" s="1"/>
      <c r="BE1478" s="1"/>
      <c r="BF1478" s="1"/>
      <c r="BG1478" s="1"/>
      <c r="BH1478" s="1"/>
      <c r="BI1478" s="1"/>
      <c r="BJ1478" s="1"/>
      <c r="BK1478" s="1"/>
      <c r="BL1478" s="1"/>
      <c r="BM1478" s="1"/>
      <c r="BN1478" s="1"/>
      <c r="BO1478" s="1"/>
      <c r="BP1478" s="1"/>
      <c r="BQ1478" s="1"/>
      <c r="BR1478" s="1"/>
      <c r="BS1478" s="1"/>
      <c r="BT1478" s="1"/>
      <c r="BU1478" s="1"/>
      <c r="BV1478" s="1"/>
      <c r="BW1478" s="1"/>
      <c r="BX1478" s="1"/>
      <c r="BY1478" s="1"/>
      <c r="BZ1478" s="1"/>
      <c r="CA1478" s="1"/>
      <c r="CB1478" s="1"/>
      <c r="CC1478" s="1"/>
      <c r="CD1478" s="1"/>
      <c r="CE1478" s="1"/>
      <c r="CF1478" s="1"/>
      <c r="CG1478" s="1"/>
      <c r="CH1478" s="1"/>
      <c r="CI1478" s="1"/>
      <c r="CJ1478" s="1"/>
      <c r="CK1478" s="1"/>
      <c r="CL1478" s="1"/>
      <c r="CM1478" s="1"/>
      <c r="CN1478" s="1"/>
      <c r="CO1478" s="1"/>
      <c r="CP1478" s="1"/>
      <c r="CQ1478" s="1"/>
      <c r="CR1478" s="1"/>
      <c r="CS1478" s="1"/>
      <c r="CT1478" s="1"/>
      <c r="CU1478" s="1"/>
      <c r="CV1478" s="1"/>
      <c r="CW1478" s="1"/>
      <c r="CX1478" s="1"/>
      <c r="CY1478" s="1"/>
      <c r="CZ1478" s="1"/>
      <c r="DA1478" s="1"/>
      <c r="DB1478" s="1"/>
      <c r="DC1478" s="1"/>
    </row>
    <row r="1479" spans="1:107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  <c r="AY1479" s="1"/>
      <c r="AZ1479" s="1"/>
      <c r="BA1479" s="1"/>
      <c r="BB1479" s="1"/>
      <c r="BC1479" s="1"/>
      <c r="BD1479" s="1"/>
      <c r="BE1479" s="1"/>
      <c r="BF1479" s="1"/>
      <c r="BG1479" s="1"/>
      <c r="BH1479" s="1"/>
      <c r="BI1479" s="1"/>
      <c r="BJ1479" s="1"/>
      <c r="BK1479" s="1"/>
      <c r="BL1479" s="1"/>
      <c r="BM1479" s="1"/>
      <c r="BN1479" s="1"/>
      <c r="BO1479" s="1"/>
      <c r="BP1479" s="1"/>
      <c r="BQ1479" s="1"/>
      <c r="BR1479" s="1"/>
      <c r="BS1479" s="1"/>
      <c r="BT1479" s="1"/>
      <c r="BU1479" s="1"/>
      <c r="BV1479" s="1"/>
      <c r="BW1479" s="1"/>
      <c r="BX1479" s="1"/>
      <c r="BY1479" s="1"/>
      <c r="BZ1479" s="1"/>
      <c r="CA1479" s="1"/>
      <c r="CB1479" s="1"/>
      <c r="CC1479" s="1"/>
      <c r="CD1479" s="1"/>
      <c r="CE1479" s="1"/>
      <c r="CF1479" s="1"/>
      <c r="CG1479" s="1"/>
      <c r="CH1479" s="1"/>
      <c r="CI1479" s="1"/>
      <c r="CJ1479" s="1"/>
      <c r="CK1479" s="1"/>
      <c r="CL1479" s="1"/>
      <c r="CM1479" s="1"/>
      <c r="CN1479" s="1"/>
      <c r="CO1479" s="1"/>
      <c r="CP1479" s="1"/>
      <c r="CQ1479" s="1"/>
      <c r="CR1479" s="1"/>
      <c r="CS1479" s="1"/>
      <c r="CT1479" s="1"/>
      <c r="CU1479" s="1"/>
      <c r="CV1479" s="1"/>
      <c r="CW1479" s="1"/>
      <c r="CX1479" s="1"/>
      <c r="CY1479" s="1"/>
      <c r="CZ1479" s="1"/>
      <c r="DA1479" s="1"/>
      <c r="DB1479" s="1"/>
      <c r="DC1479" s="1"/>
    </row>
    <row r="1480" spans="1:107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  <c r="AY1480" s="1"/>
      <c r="AZ1480" s="1"/>
      <c r="BA1480" s="1"/>
      <c r="BB1480" s="1"/>
      <c r="BC1480" s="1"/>
      <c r="BD1480" s="1"/>
      <c r="BE1480" s="1"/>
      <c r="BF1480" s="1"/>
      <c r="BG1480" s="1"/>
      <c r="BH1480" s="1"/>
      <c r="BI1480" s="1"/>
      <c r="BJ1480" s="1"/>
      <c r="BK1480" s="1"/>
      <c r="BL1480" s="1"/>
      <c r="BM1480" s="1"/>
      <c r="BN1480" s="1"/>
      <c r="BO1480" s="1"/>
      <c r="BP1480" s="1"/>
      <c r="BQ1480" s="1"/>
      <c r="BR1480" s="1"/>
      <c r="BS1480" s="1"/>
      <c r="BT1480" s="1"/>
      <c r="BU1480" s="1"/>
      <c r="BV1480" s="1"/>
      <c r="BW1480" s="1"/>
      <c r="BX1480" s="1"/>
      <c r="BY1480" s="1"/>
      <c r="BZ1480" s="1"/>
      <c r="CA1480" s="1"/>
      <c r="CB1480" s="1"/>
      <c r="CC1480" s="1"/>
      <c r="CD1480" s="1"/>
      <c r="CE1480" s="1"/>
      <c r="CF1480" s="1"/>
      <c r="CG1480" s="1"/>
      <c r="CH1480" s="1"/>
      <c r="CI1480" s="1"/>
      <c r="CJ1480" s="1"/>
      <c r="CK1480" s="1"/>
      <c r="CL1480" s="1"/>
      <c r="CM1480" s="1"/>
      <c r="CN1480" s="1"/>
      <c r="CO1480" s="1"/>
      <c r="CP1480" s="1"/>
      <c r="CQ1480" s="1"/>
      <c r="CR1480" s="1"/>
      <c r="CS1480" s="1"/>
      <c r="CT1480" s="1"/>
      <c r="CU1480" s="1"/>
      <c r="CV1480" s="1"/>
      <c r="CW1480" s="1"/>
      <c r="CX1480" s="1"/>
      <c r="CY1480" s="1"/>
      <c r="CZ1480" s="1"/>
      <c r="DA1480" s="1"/>
      <c r="DB1480" s="1"/>
      <c r="DC1480" s="1"/>
    </row>
    <row r="1481" spans="1:107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  <c r="BA1481" s="1"/>
      <c r="BB1481" s="1"/>
      <c r="BC1481" s="1"/>
      <c r="BD1481" s="1"/>
      <c r="BE1481" s="1"/>
      <c r="BF1481" s="1"/>
      <c r="BG1481" s="1"/>
      <c r="BH1481" s="1"/>
      <c r="BI1481" s="1"/>
      <c r="BJ1481" s="1"/>
      <c r="BK1481" s="1"/>
      <c r="BL1481" s="1"/>
      <c r="BM1481" s="1"/>
      <c r="BN1481" s="1"/>
      <c r="BO1481" s="1"/>
      <c r="BP1481" s="1"/>
      <c r="BQ1481" s="1"/>
      <c r="BR1481" s="1"/>
      <c r="BS1481" s="1"/>
      <c r="BT1481" s="1"/>
      <c r="BU1481" s="1"/>
      <c r="BV1481" s="1"/>
      <c r="BW1481" s="1"/>
      <c r="BX1481" s="1"/>
      <c r="BY1481" s="1"/>
      <c r="BZ1481" s="1"/>
      <c r="CA1481" s="1"/>
      <c r="CB1481" s="1"/>
      <c r="CC1481" s="1"/>
      <c r="CD1481" s="1"/>
      <c r="CE1481" s="1"/>
      <c r="CF1481" s="1"/>
      <c r="CG1481" s="1"/>
      <c r="CH1481" s="1"/>
      <c r="CI1481" s="1"/>
      <c r="CJ1481" s="1"/>
      <c r="CK1481" s="1"/>
      <c r="CL1481" s="1"/>
      <c r="CM1481" s="1"/>
      <c r="CN1481" s="1"/>
      <c r="CO1481" s="1"/>
      <c r="CP1481" s="1"/>
      <c r="CQ1481" s="1"/>
      <c r="CR1481" s="1"/>
      <c r="CS1481" s="1"/>
      <c r="CT1481" s="1"/>
      <c r="CU1481" s="1"/>
      <c r="CV1481" s="1"/>
      <c r="CW1481" s="1"/>
      <c r="CX1481" s="1"/>
      <c r="CY1481" s="1"/>
      <c r="CZ1481" s="1"/>
      <c r="DA1481" s="1"/>
      <c r="DB1481" s="1"/>
      <c r="DC1481" s="1"/>
    </row>
    <row r="1482" spans="1:107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  <c r="BD1482" s="1"/>
      <c r="BE1482" s="1"/>
      <c r="BF1482" s="1"/>
      <c r="BG1482" s="1"/>
      <c r="BH1482" s="1"/>
      <c r="BI1482" s="1"/>
      <c r="BJ1482" s="1"/>
      <c r="BK1482" s="1"/>
      <c r="BL1482" s="1"/>
      <c r="BM1482" s="1"/>
      <c r="BN1482" s="1"/>
      <c r="BO1482" s="1"/>
      <c r="BP1482" s="1"/>
      <c r="BQ1482" s="1"/>
      <c r="BR1482" s="1"/>
      <c r="BS1482" s="1"/>
      <c r="BT1482" s="1"/>
      <c r="BU1482" s="1"/>
      <c r="BV1482" s="1"/>
      <c r="BW1482" s="1"/>
      <c r="BX1482" s="1"/>
      <c r="BY1482" s="1"/>
      <c r="BZ1482" s="1"/>
      <c r="CA1482" s="1"/>
      <c r="CB1482" s="1"/>
      <c r="CC1482" s="1"/>
      <c r="CD1482" s="1"/>
      <c r="CE1482" s="1"/>
      <c r="CF1482" s="1"/>
      <c r="CG1482" s="1"/>
      <c r="CH1482" s="1"/>
      <c r="CI1482" s="1"/>
      <c r="CJ1482" s="1"/>
      <c r="CK1482" s="1"/>
      <c r="CL1482" s="1"/>
      <c r="CM1482" s="1"/>
      <c r="CN1482" s="1"/>
      <c r="CO1482" s="1"/>
      <c r="CP1482" s="1"/>
      <c r="CQ1482" s="1"/>
      <c r="CR1482" s="1"/>
      <c r="CS1482" s="1"/>
      <c r="CT1482" s="1"/>
      <c r="CU1482" s="1"/>
      <c r="CV1482" s="1"/>
      <c r="CW1482" s="1"/>
      <c r="CX1482" s="1"/>
      <c r="CY1482" s="1"/>
      <c r="CZ1482" s="1"/>
      <c r="DA1482" s="1"/>
      <c r="DB1482" s="1"/>
      <c r="DC1482" s="1"/>
    </row>
    <row r="1483" spans="1:107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1"/>
      <c r="BC1483" s="1"/>
      <c r="BD1483" s="1"/>
      <c r="BE1483" s="1"/>
      <c r="BF1483" s="1"/>
      <c r="BG1483" s="1"/>
      <c r="BH1483" s="1"/>
      <c r="BI1483" s="1"/>
      <c r="BJ1483" s="1"/>
      <c r="BK1483" s="1"/>
      <c r="BL1483" s="1"/>
      <c r="BM1483" s="1"/>
      <c r="BN1483" s="1"/>
      <c r="BO1483" s="1"/>
      <c r="BP1483" s="1"/>
      <c r="BQ1483" s="1"/>
      <c r="BR1483" s="1"/>
      <c r="BS1483" s="1"/>
      <c r="BT1483" s="1"/>
      <c r="BU1483" s="1"/>
      <c r="BV1483" s="1"/>
      <c r="BW1483" s="1"/>
      <c r="BX1483" s="1"/>
      <c r="BY1483" s="1"/>
      <c r="BZ1483" s="1"/>
      <c r="CA1483" s="1"/>
      <c r="CB1483" s="1"/>
      <c r="CC1483" s="1"/>
      <c r="CD1483" s="1"/>
      <c r="CE1483" s="1"/>
      <c r="CF1483" s="1"/>
      <c r="CG1483" s="1"/>
      <c r="CH1483" s="1"/>
      <c r="CI1483" s="1"/>
      <c r="CJ1483" s="1"/>
      <c r="CK1483" s="1"/>
      <c r="CL1483" s="1"/>
      <c r="CM1483" s="1"/>
      <c r="CN1483" s="1"/>
      <c r="CO1483" s="1"/>
      <c r="CP1483" s="1"/>
      <c r="CQ1483" s="1"/>
      <c r="CR1483" s="1"/>
      <c r="CS1483" s="1"/>
      <c r="CT1483" s="1"/>
      <c r="CU1483" s="1"/>
      <c r="CV1483" s="1"/>
      <c r="CW1483" s="1"/>
      <c r="CX1483" s="1"/>
      <c r="CY1483" s="1"/>
      <c r="CZ1483" s="1"/>
      <c r="DA1483" s="1"/>
      <c r="DB1483" s="1"/>
      <c r="DC1483" s="1"/>
    </row>
    <row r="1484" spans="1:107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  <c r="AY1484" s="1"/>
      <c r="AZ1484" s="1"/>
      <c r="BA1484" s="1"/>
      <c r="BB1484" s="1"/>
      <c r="BC1484" s="1"/>
      <c r="BD1484" s="1"/>
      <c r="BE1484" s="1"/>
      <c r="BF1484" s="1"/>
      <c r="BG1484" s="1"/>
      <c r="BH1484" s="1"/>
      <c r="BI1484" s="1"/>
      <c r="BJ1484" s="1"/>
      <c r="BK1484" s="1"/>
      <c r="BL1484" s="1"/>
      <c r="BM1484" s="1"/>
      <c r="BN1484" s="1"/>
      <c r="BO1484" s="1"/>
      <c r="BP1484" s="1"/>
      <c r="BQ1484" s="1"/>
      <c r="BR1484" s="1"/>
      <c r="BS1484" s="1"/>
      <c r="BT1484" s="1"/>
      <c r="BU1484" s="1"/>
      <c r="BV1484" s="1"/>
      <c r="BW1484" s="1"/>
      <c r="BX1484" s="1"/>
      <c r="BY1484" s="1"/>
      <c r="BZ1484" s="1"/>
      <c r="CA1484" s="1"/>
      <c r="CB1484" s="1"/>
      <c r="CC1484" s="1"/>
      <c r="CD1484" s="1"/>
      <c r="CE1484" s="1"/>
      <c r="CF1484" s="1"/>
      <c r="CG1484" s="1"/>
      <c r="CH1484" s="1"/>
      <c r="CI1484" s="1"/>
      <c r="CJ1484" s="1"/>
      <c r="CK1484" s="1"/>
      <c r="CL1484" s="1"/>
      <c r="CM1484" s="1"/>
      <c r="CN1484" s="1"/>
      <c r="CO1484" s="1"/>
      <c r="CP1484" s="1"/>
      <c r="CQ1484" s="1"/>
      <c r="CR1484" s="1"/>
      <c r="CS1484" s="1"/>
      <c r="CT1484" s="1"/>
      <c r="CU1484" s="1"/>
      <c r="CV1484" s="1"/>
      <c r="CW1484" s="1"/>
      <c r="CX1484" s="1"/>
      <c r="CY1484" s="1"/>
      <c r="CZ1484" s="1"/>
      <c r="DA1484" s="1"/>
      <c r="DB1484" s="1"/>
      <c r="DC1484" s="1"/>
    </row>
    <row r="1485" spans="1:107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  <c r="BD1485" s="1"/>
      <c r="BE1485" s="1"/>
      <c r="BF1485" s="1"/>
      <c r="BG1485" s="1"/>
      <c r="BH1485" s="1"/>
      <c r="BI1485" s="1"/>
      <c r="BJ1485" s="1"/>
      <c r="BK1485" s="1"/>
      <c r="BL1485" s="1"/>
      <c r="BM1485" s="1"/>
      <c r="BN1485" s="1"/>
      <c r="BO1485" s="1"/>
      <c r="BP1485" s="1"/>
      <c r="BQ1485" s="1"/>
      <c r="BR1485" s="1"/>
      <c r="BS1485" s="1"/>
      <c r="BT1485" s="1"/>
      <c r="BU1485" s="1"/>
      <c r="BV1485" s="1"/>
      <c r="BW1485" s="1"/>
      <c r="BX1485" s="1"/>
      <c r="BY1485" s="1"/>
      <c r="BZ1485" s="1"/>
      <c r="CA1485" s="1"/>
      <c r="CB1485" s="1"/>
      <c r="CC1485" s="1"/>
      <c r="CD1485" s="1"/>
      <c r="CE1485" s="1"/>
      <c r="CF1485" s="1"/>
      <c r="CG1485" s="1"/>
      <c r="CH1485" s="1"/>
      <c r="CI1485" s="1"/>
      <c r="CJ1485" s="1"/>
      <c r="CK1485" s="1"/>
      <c r="CL1485" s="1"/>
      <c r="CM1485" s="1"/>
      <c r="CN1485" s="1"/>
      <c r="CO1485" s="1"/>
      <c r="CP1485" s="1"/>
      <c r="CQ1485" s="1"/>
      <c r="CR1485" s="1"/>
      <c r="CS1485" s="1"/>
      <c r="CT1485" s="1"/>
      <c r="CU1485" s="1"/>
      <c r="CV1485" s="1"/>
      <c r="CW1485" s="1"/>
      <c r="CX1485" s="1"/>
      <c r="CY1485" s="1"/>
      <c r="CZ1485" s="1"/>
      <c r="DA1485" s="1"/>
      <c r="DB1485" s="1"/>
      <c r="DC1485" s="1"/>
    </row>
    <row r="1486" spans="1:107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  <c r="BD1486" s="1"/>
      <c r="BE1486" s="1"/>
      <c r="BF1486" s="1"/>
      <c r="BG1486" s="1"/>
      <c r="BH1486" s="1"/>
      <c r="BI1486" s="1"/>
      <c r="BJ1486" s="1"/>
      <c r="BK1486" s="1"/>
      <c r="BL1486" s="1"/>
      <c r="BM1486" s="1"/>
      <c r="BN1486" s="1"/>
      <c r="BO1486" s="1"/>
      <c r="BP1486" s="1"/>
      <c r="BQ1486" s="1"/>
      <c r="BR1486" s="1"/>
      <c r="BS1486" s="1"/>
      <c r="BT1486" s="1"/>
      <c r="BU1486" s="1"/>
      <c r="BV1486" s="1"/>
      <c r="BW1486" s="1"/>
      <c r="BX1486" s="1"/>
      <c r="BY1486" s="1"/>
      <c r="BZ1486" s="1"/>
      <c r="CA1486" s="1"/>
      <c r="CB1486" s="1"/>
      <c r="CC1486" s="1"/>
      <c r="CD1486" s="1"/>
      <c r="CE1486" s="1"/>
      <c r="CF1486" s="1"/>
      <c r="CG1486" s="1"/>
      <c r="CH1486" s="1"/>
      <c r="CI1486" s="1"/>
      <c r="CJ1486" s="1"/>
      <c r="CK1486" s="1"/>
      <c r="CL1486" s="1"/>
      <c r="CM1486" s="1"/>
      <c r="CN1486" s="1"/>
      <c r="CO1486" s="1"/>
      <c r="CP1486" s="1"/>
      <c r="CQ1486" s="1"/>
      <c r="CR1486" s="1"/>
      <c r="CS1486" s="1"/>
      <c r="CT1486" s="1"/>
      <c r="CU1486" s="1"/>
      <c r="CV1486" s="1"/>
      <c r="CW1486" s="1"/>
      <c r="CX1486" s="1"/>
      <c r="CY1486" s="1"/>
      <c r="CZ1486" s="1"/>
      <c r="DA1486" s="1"/>
      <c r="DB1486" s="1"/>
      <c r="DC1486" s="1"/>
    </row>
    <row r="1487" spans="1:107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  <c r="BD1487" s="1"/>
      <c r="BE1487" s="1"/>
      <c r="BF1487" s="1"/>
      <c r="BG1487" s="1"/>
      <c r="BH1487" s="1"/>
      <c r="BI1487" s="1"/>
      <c r="BJ1487" s="1"/>
      <c r="BK1487" s="1"/>
      <c r="BL1487" s="1"/>
      <c r="BM1487" s="1"/>
      <c r="BN1487" s="1"/>
      <c r="BO1487" s="1"/>
      <c r="BP1487" s="1"/>
      <c r="BQ1487" s="1"/>
      <c r="BR1487" s="1"/>
      <c r="BS1487" s="1"/>
      <c r="BT1487" s="1"/>
      <c r="BU1487" s="1"/>
      <c r="BV1487" s="1"/>
      <c r="BW1487" s="1"/>
      <c r="BX1487" s="1"/>
      <c r="BY1487" s="1"/>
      <c r="BZ1487" s="1"/>
      <c r="CA1487" s="1"/>
      <c r="CB1487" s="1"/>
      <c r="CC1487" s="1"/>
      <c r="CD1487" s="1"/>
      <c r="CE1487" s="1"/>
      <c r="CF1487" s="1"/>
      <c r="CG1487" s="1"/>
      <c r="CH1487" s="1"/>
      <c r="CI1487" s="1"/>
      <c r="CJ1487" s="1"/>
      <c r="CK1487" s="1"/>
      <c r="CL1487" s="1"/>
      <c r="CM1487" s="1"/>
      <c r="CN1487" s="1"/>
      <c r="CO1487" s="1"/>
      <c r="CP1487" s="1"/>
      <c r="CQ1487" s="1"/>
      <c r="CR1487" s="1"/>
      <c r="CS1487" s="1"/>
      <c r="CT1487" s="1"/>
      <c r="CU1487" s="1"/>
      <c r="CV1487" s="1"/>
      <c r="CW1487" s="1"/>
      <c r="CX1487" s="1"/>
      <c r="CY1487" s="1"/>
      <c r="CZ1487" s="1"/>
      <c r="DA1487" s="1"/>
      <c r="DB1487" s="1"/>
      <c r="DC1487" s="1"/>
    </row>
    <row r="1488" spans="1:107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  <c r="AZ1488" s="1"/>
      <c r="BA1488" s="1"/>
      <c r="BB1488" s="1"/>
      <c r="BC1488" s="1"/>
      <c r="BD1488" s="1"/>
      <c r="BE1488" s="1"/>
      <c r="BF1488" s="1"/>
      <c r="BG1488" s="1"/>
      <c r="BH1488" s="1"/>
      <c r="BI1488" s="1"/>
      <c r="BJ1488" s="1"/>
      <c r="BK1488" s="1"/>
      <c r="BL1488" s="1"/>
      <c r="BM1488" s="1"/>
      <c r="BN1488" s="1"/>
      <c r="BO1488" s="1"/>
      <c r="BP1488" s="1"/>
      <c r="BQ1488" s="1"/>
      <c r="BR1488" s="1"/>
      <c r="BS1488" s="1"/>
      <c r="BT1488" s="1"/>
      <c r="BU1488" s="1"/>
      <c r="BV1488" s="1"/>
      <c r="BW1488" s="1"/>
      <c r="BX1488" s="1"/>
      <c r="BY1488" s="1"/>
      <c r="BZ1488" s="1"/>
      <c r="CA1488" s="1"/>
      <c r="CB1488" s="1"/>
      <c r="CC1488" s="1"/>
      <c r="CD1488" s="1"/>
      <c r="CE1488" s="1"/>
      <c r="CF1488" s="1"/>
      <c r="CG1488" s="1"/>
      <c r="CH1488" s="1"/>
      <c r="CI1488" s="1"/>
      <c r="CJ1488" s="1"/>
      <c r="CK1488" s="1"/>
      <c r="CL1488" s="1"/>
      <c r="CM1488" s="1"/>
      <c r="CN1488" s="1"/>
      <c r="CO1488" s="1"/>
      <c r="CP1488" s="1"/>
      <c r="CQ1488" s="1"/>
      <c r="CR1488" s="1"/>
      <c r="CS1488" s="1"/>
      <c r="CT1488" s="1"/>
      <c r="CU1488" s="1"/>
      <c r="CV1488" s="1"/>
      <c r="CW1488" s="1"/>
      <c r="CX1488" s="1"/>
      <c r="CY1488" s="1"/>
      <c r="CZ1488" s="1"/>
      <c r="DA1488" s="1"/>
      <c r="DB1488" s="1"/>
      <c r="DC1488" s="1"/>
    </row>
    <row r="1489" spans="1:107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  <c r="AY1489" s="1"/>
      <c r="AZ1489" s="1"/>
      <c r="BA1489" s="1"/>
      <c r="BB1489" s="1"/>
      <c r="BC1489" s="1"/>
      <c r="BD1489" s="1"/>
      <c r="BE1489" s="1"/>
      <c r="BF1489" s="1"/>
      <c r="BG1489" s="1"/>
      <c r="BH1489" s="1"/>
      <c r="BI1489" s="1"/>
      <c r="BJ1489" s="1"/>
      <c r="BK1489" s="1"/>
      <c r="BL1489" s="1"/>
      <c r="BM1489" s="1"/>
      <c r="BN1489" s="1"/>
      <c r="BO1489" s="1"/>
      <c r="BP1489" s="1"/>
      <c r="BQ1489" s="1"/>
      <c r="BR1489" s="1"/>
      <c r="BS1489" s="1"/>
      <c r="BT1489" s="1"/>
      <c r="BU1489" s="1"/>
      <c r="BV1489" s="1"/>
      <c r="BW1489" s="1"/>
      <c r="BX1489" s="1"/>
      <c r="BY1489" s="1"/>
      <c r="BZ1489" s="1"/>
      <c r="CA1489" s="1"/>
      <c r="CB1489" s="1"/>
      <c r="CC1489" s="1"/>
      <c r="CD1489" s="1"/>
      <c r="CE1489" s="1"/>
      <c r="CF1489" s="1"/>
      <c r="CG1489" s="1"/>
      <c r="CH1489" s="1"/>
      <c r="CI1489" s="1"/>
      <c r="CJ1489" s="1"/>
      <c r="CK1489" s="1"/>
      <c r="CL1489" s="1"/>
      <c r="CM1489" s="1"/>
      <c r="CN1489" s="1"/>
      <c r="CO1489" s="1"/>
      <c r="CP1489" s="1"/>
      <c r="CQ1489" s="1"/>
      <c r="CR1489" s="1"/>
      <c r="CS1489" s="1"/>
      <c r="CT1489" s="1"/>
      <c r="CU1489" s="1"/>
      <c r="CV1489" s="1"/>
      <c r="CW1489" s="1"/>
      <c r="CX1489" s="1"/>
      <c r="CY1489" s="1"/>
      <c r="CZ1489" s="1"/>
      <c r="DA1489" s="1"/>
      <c r="DB1489" s="1"/>
      <c r="DC1489" s="1"/>
    </row>
    <row r="1490" spans="1:107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s="1"/>
      <c r="AZ1490" s="1"/>
      <c r="BA1490" s="1"/>
      <c r="BB1490" s="1"/>
      <c r="BC1490" s="1"/>
      <c r="BD1490" s="1"/>
      <c r="BE1490" s="1"/>
      <c r="BF1490" s="1"/>
      <c r="BG1490" s="1"/>
      <c r="BH1490" s="1"/>
      <c r="BI1490" s="1"/>
      <c r="BJ1490" s="1"/>
      <c r="BK1490" s="1"/>
      <c r="BL1490" s="1"/>
      <c r="BM1490" s="1"/>
      <c r="BN1490" s="1"/>
      <c r="BO1490" s="1"/>
      <c r="BP1490" s="1"/>
      <c r="BQ1490" s="1"/>
      <c r="BR1490" s="1"/>
      <c r="BS1490" s="1"/>
      <c r="BT1490" s="1"/>
      <c r="BU1490" s="1"/>
      <c r="BV1490" s="1"/>
      <c r="BW1490" s="1"/>
      <c r="BX1490" s="1"/>
      <c r="BY1490" s="1"/>
      <c r="BZ1490" s="1"/>
      <c r="CA1490" s="1"/>
      <c r="CB1490" s="1"/>
      <c r="CC1490" s="1"/>
      <c r="CD1490" s="1"/>
      <c r="CE1490" s="1"/>
      <c r="CF1490" s="1"/>
      <c r="CG1490" s="1"/>
      <c r="CH1490" s="1"/>
      <c r="CI1490" s="1"/>
      <c r="CJ1490" s="1"/>
      <c r="CK1490" s="1"/>
      <c r="CL1490" s="1"/>
      <c r="CM1490" s="1"/>
      <c r="CN1490" s="1"/>
      <c r="CO1490" s="1"/>
      <c r="CP1490" s="1"/>
      <c r="CQ1490" s="1"/>
      <c r="CR1490" s="1"/>
      <c r="CS1490" s="1"/>
      <c r="CT1490" s="1"/>
      <c r="CU1490" s="1"/>
      <c r="CV1490" s="1"/>
      <c r="CW1490" s="1"/>
      <c r="CX1490" s="1"/>
      <c r="CY1490" s="1"/>
      <c r="CZ1490" s="1"/>
      <c r="DA1490" s="1"/>
      <c r="DB1490" s="1"/>
      <c r="DC1490" s="1"/>
    </row>
    <row r="1491" spans="1:107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  <c r="AY1491" s="1"/>
      <c r="AZ1491" s="1"/>
      <c r="BA1491" s="1"/>
      <c r="BB1491" s="1"/>
      <c r="BC1491" s="1"/>
      <c r="BD1491" s="1"/>
      <c r="BE1491" s="1"/>
      <c r="BF1491" s="1"/>
      <c r="BG1491" s="1"/>
      <c r="BH1491" s="1"/>
      <c r="BI1491" s="1"/>
      <c r="BJ1491" s="1"/>
      <c r="BK1491" s="1"/>
      <c r="BL1491" s="1"/>
      <c r="BM1491" s="1"/>
      <c r="BN1491" s="1"/>
      <c r="BO1491" s="1"/>
      <c r="BP1491" s="1"/>
      <c r="BQ1491" s="1"/>
      <c r="BR1491" s="1"/>
      <c r="BS1491" s="1"/>
      <c r="BT1491" s="1"/>
      <c r="BU1491" s="1"/>
      <c r="BV1491" s="1"/>
      <c r="BW1491" s="1"/>
      <c r="BX1491" s="1"/>
      <c r="BY1491" s="1"/>
      <c r="BZ1491" s="1"/>
      <c r="CA1491" s="1"/>
      <c r="CB1491" s="1"/>
      <c r="CC1491" s="1"/>
      <c r="CD1491" s="1"/>
      <c r="CE1491" s="1"/>
      <c r="CF1491" s="1"/>
      <c r="CG1491" s="1"/>
      <c r="CH1491" s="1"/>
      <c r="CI1491" s="1"/>
      <c r="CJ1491" s="1"/>
      <c r="CK1491" s="1"/>
      <c r="CL1491" s="1"/>
      <c r="CM1491" s="1"/>
      <c r="CN1491" s="1"/>
      <c r="CO1491" s="1"/>
      <c r="CP1491" s="1"/>
      <c r="CQ1491" s="1"/>
      <c r="CR1491" s="1"/>
      <c r="CS1491" s="1"/>
      <c r="CT1491" s="1"/>
      <c r="CU1491" s="1"/>
      <c r="CV1491" s="1"/>
      <c r="CW1491" s="1"/>
      <c r="CX1491" s="1"/>
      <c r="CY1491" s="1"/>
      <c r="CZ1491" s="1"/>
      <c r="DA1491" s="1"/>
      <c r="DB1491" s="1"/>
      <c r="DC1491" s="1"/>
    </row>
    <row r="1492" spans="1:107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  <c r="BD1492" s="1"/>
      <c r="BE1492" s="1"/>
      <c r="BF1492" s="1"/>
      <c r="BG1492" s="1"/>
      <c r="BH1492" s="1"/>
      <c r="BI1492" s="1"/>
      <c r="BJ1492" s="1"/>
      <c r="BK1492" s="1"/>
      <c r="BL1492" s="1"/>
      <c r="BM1492" s="1"/>
      <c r="BN1492" s="1"/>
      <c r="BO1492" s="1"/>
      <c r="BP1492" s="1"/>
      <c r="BQ1492" s="1"/>
      <c r="BR1492" s="1"/>
      <c r="BS1492" s="1"/>
      <c r="BT1492" s="1"/>
      <c r="BU1492" s="1"/>
      <c r="BV1492" s="1"/>
      <c r="BW1492" s="1"/>
      <c r="BX1492" s="1"/>
      <c r="BY1492" s="1"/>
      <c r="BZ1492" s="1"/>
      <c r="CA1492" s="1"/>
      <c r="CB1492" s="1"/>
      <c r="CC1492" s="1"/>
      <c r="CD1492" s="1"/>
      <c r="CE1492" s="1"/>
      <c r="CF1492" s="1"/>
      <c r="CG1492" s="1"/>
      <c r="CH1492" s="1"/>
      <c r="CI1492" s="1"/>
      <c r="CJ1492" s="1"/>
      <c r="CK1492" s="1"/>
      <c r="CL1492" s="1"/>
      <c r="CM1492" s="1"/>
      <c r="CN1492" s="1"/>
      <c r="CO1492" s="1"/>
      <c r="CP1492" s="1"/>
      <c r="CQ1492" s="1"/>
      <c r="CR1492" s="1"/>
      <c r="CS1492" s="1"/>
      <c r="CT1492" s="1"/>
      <c r="CU1492" s="1"/>
      <c r="CV1492" s="1"/>
      <c r="CW1492" s="1"/>
      <c r="CX1492" s="1"/>
      <c r="CY1492" s="1"/>
      <c r="CZ1492" s="1"/>
      <c r="DA1492" s="1"/>
      <c r="DB1492" s="1"/>
      <c r="DC1492" s="1"/>
    </row>
    <row r="1493" spans="1:107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  <c r="BD1493" s="1"/>
      <c r="BE1493" s="1"/>
      <c r="BF1493" s="1"/>
      <c r="BG1493" s="1"/>
      <c r="BH1493" s="1"/>
      <c r="BI1493" s="1"/>
      <c r="BJ1493" s="1"/>
      <c r="BK1493" s="1"/>
      <c r="BL1493" s="1"/>
      <c r="BM1493" s="1"/>
      <c r="BN1493" s="1"/>
      <c r="BO1493" s="1"/>
      <c r="BP1493" s="1"/>
      <c r="BQ1493" s="1"/>
      <c r="BR1493" s="1"/>
      <c r="BS1493" s="1"/>
      <c r="BT1493" s="1"/>
      <c r="BU1493" s="1"/>
      <c r="BV1493" s="1"/>
      <c r="BW1493" s="1"/>
      <c r="BX1493" s="1"/>
      <c r="BY1493" s="1"/>
      <c r="BZ1493" s="1"/>
      <c r="CA1493" s="1"/>
      <c r="CB1493" s="1"/>
      <c r="CC1493" s="1"/>
      <c r="CD1493" s="1"/>
      <c r="CE1493" s="1"/>
      <c r="CF1493" s="1"/>
      <c r="CG1493" s="1"/>
      <c r="CH1493" s="1"/>
      <c r="CI1493" s="1"/>
      <c r="CJ1493" s="1"/>
      <c r="CK1493" s="1"/>
      <c r="CL1493" s="1"/>
      <c r="CM1493" s="1"/>
      <c r="CN1493" s="1"/>
      <c r="CO1493" s="1"/>
      <c r="CP1493" s="1"/>
      <c r="CQ1493" s="1"/>
      <c r="CR1493" s="1"/>
      <c r="CS1493" s="1"/>
      <c r="CT1493" s="1"/>
      <c r="CU1493" s="1"/>
      <c r="CV1493" s="1"/>
      <c r="CW1493" s="1"/>
      <c r="CX1493" s="1"/>
      <c r="CY1493" s="1"/>
      <c r="CZ1493" s="1"/>
      <c r="DA1493" s="1"/>
      <c r="DB1493" s="1"/>
      <c r="DC1493" s="1"/>
    </row>
    <row r="1494" spans="1:107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  <c r="AY1494" s="1"/>
      <c r="AZ1494" s="1"/>
      <c r="BA1494" s="1"/>
      <c r="BB1494" s="1"/>
      <c r="BC1494" s="1"/>
      <c r="BD1494" s="1"/>
      <c r="BE1494" s="1"/>
      <c r="BF1494" s="1"/>
      <c r="BG1494" s="1"/>
      <c r="BH1494" s="1"/>
      <c r="BI1494" s="1"/>
      <c r="BJ1494" s="1"/>
      <c r="BK1494" s="1"/>
      <c r="BL1494" s="1"/>
      <c r="BM1494" s="1"/>
      <c r="BN1494" s="1"/>
      <c r="BO1494" s="1"/>
      <c r="BP1494" s="1"/>
      <c r="BQ1494" s="1"/>
      <c r="BR1494" s="1"/>
      <c r="BS1494" s="1"/>
      <c r="BT1494" s="1"/>
      <c r="BU1494" s="1"/>
      <c r="BV1494" s="1"/>
      <c r="BW1494" s="1"/>
      <c r="BX1494" s="1"/>
      <c r="BY1494" s="1"/>
      <c r="BZ1494" s="1"/>
      <c r="CA1494" s="1"/>
      <c r="CB1494" s="1"/>
      <c r="CC1494" s="1"/>
      <c r="CD1494" s="1"/>
      <c r="CE1494" s="1"/>
      <c r="CF1494" s="1"/>
      <c r="CG1494" s="1"/>
      <c r="CH1494" s="1"/>
      <c r="CI1494" s="1"/>
      <c r="CJ1494" s="1"/>
      <c r="CK1494" s="1"/>
      <c r="CL1494" s="1"/>
      <c r="CM1494" s="1"/>
      <c r="CN1494" s="1"/>
      <c r="CO1494" s="1"/>
      <c r="CP1494" s="1"/>
      <c r="CQ1494" s="1"/>
      <c r="CR1494" s="1"/>
      <c r="CS1494" s="1"/>
      <c r="CT1494" s="1"/>
      <c r="CU1494" s="1"/>
      <c r="CV1494" s="1"/>
      <c r="CW1494" s="1"/>
      <c r="CX1494" s="1"/>
      <c r="CY1494" s="1"/>
      <c r="CZ1494" s="1"/>
      <c r="DA1494" s="1"/>
      <c r="DB1494" s="1"/>
      <c r="DC1494" s="1"/>
    </row>
    <row r="1495" spans="1:107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1"/>
      <c r="AY1495" s="1"/>
      <c r="AZ1495" s="1"/>
      <c r="BA1495" s="1"/>
      <c r="BB1495" s="1"/>
      <c r="BC1495" s="1"/>
      <c r="BD1495" s="1"/>
      <c r="BE1495" s="1"/>
      <c r="BF1495" s="1"/>
      <c r="BG1495" s="1"/>
      <c r="BH1495" s="1"/>
      <c r="BI1495" s="1"/>
      <c r="BJ1495" s="1"/>
      <c r="BK1495" s="1"/>
      <c r="BL1495" s="1"/>
      <c r="BM1495" s="1"/>
      <c r="BN1495" s="1"/>
      <c r="BO1495" s="1"/>
      <c r="BP1495" s="1"/>
      <c r="BQ1495" s="1"/>
      <c r="BR1495" s="1"/>
      <c r="BS1495" s="1"/>
      <c r="BT1495" s="1"/>
      <c r="BU1495" s="1"/>
      <c r="BV1495" s="1"/>
      <c r="BW1495" s="1"/>
      <c r="BX1495" s="1"/>
      <c r="BY1495" s="1"/>
      <c r="BZ1495" s="1"/>
      <c r="CA1495" s="1"/>
      <c r="CB1495" s="1"/>
      <c r="CC1495" s="1"/>
      <c r="CD1495" s="1"/>
      <c r="CE1495" s="1"/>
      <c r="CF1495" s="1"/>
      <c r="CG1495" s="1"/>
      <c r="CH1495" s="1"/>
      <c r="CI1495" s="1"/>
      <c r="CJ1495" s="1"/>
      <c r="CK1495" s="1"/>
      <c r="CL1495" s="1"/>
      <c r="CM1495" s="1"/>
      <c r="CN1495" s="1"/>
      <c r="CO1495" s="1"/>
      <c r="CP1495" s="1"/>
      <c r="CQ1495" s="1"/>
      <c r="CR1495" s="1"/>
      <c r="CS1495" s="1"/>
      <c r="CT1495" s="1"/>
      <c r="CU1495" s="1"/>
      <c r="CV1495" s="1"/>
      <c r="CW1495" s="1"/>
      <c r="CX1495" s="1"/>
      <c r="CY1495" s="1"/>
      <c r="CZ1495" s="1"/>
      <c r="DA1495" s="1"/>
      <c r="DB1495" s="1"/>
      <c r="DC1495" s="1"/>
    </row>
    <row r="1496" spans="1:107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  <c r="AY1496" s="1"/>
      <c r="AZ1496" s="1"/>
      <c r="BA1496" s="1"/>
      <c r="BB1496" s="1"/>
      <c r="BC1496" s="1"/>
      <c r="BD1496" s="1"/>
      <c r="BE1496" s="1"/>
      <c r="BF1496" s="1"/>
      <c r="BG1496" s="1"/>
      <c r="BH1496" s="1"/>
      <c r="BI1496" s="1"/>
      <c r="BJ1496" s="1"/>
      <c r="BK1496" s="1"/>
      <c r="BL1496" s="1"/>
      <c r="BM1496" s="1"/>
      <c r="BN1496" s="1"/>
      <c r="BO1496" s="1"/>
      <c r="BP1496" s="1"/>
      <c r="BQ1496" s="1"/>
      <c r="BR1496" s="1"/>
      <c r="BS1496" s="1"/>
      <c r="BT1496" s="1"/>
      <c r="BU1496" s="1"/>
      <c r="BV1496" s="1"/>
      <c r="BW1496" s="1"/>
      <c r="BX1496" s="1"/>
      <c r="BY1496" s="1"/>
      <c r="BZ1496" s="1"/>
      <c r="CA1496" s="1"/>
      <c r="CB1496" s="1"/>
      <c r="CC1496" s="1"/>
      <c r="CD1496" s="1"/>
      <c r="CE1496" s="1"/>
      <c r="CF1496" s="1"/>
      <c r="CG1496" s="1"/>
      <c r="CH1496" s="1"/>
      <c r="CI1496" s="1"/>
      <c r="CJ1496" s="1"/>
      <c r="CK1496" s="1"/>
      <c r="CL1496" s="1"/>
      <c r="CM1496" s="1"/>
      <c r="CN1496" s="1"/>
      <c r="CO1496" s="1"/>
      <c r="CP1496" s="1"/>
      <c r="CQ1496" s="1"/>
      <c r="CR1496" s="1"/>
      <c r="CS1496" s="1"/>
      <c r="CT1496" s="1"/>
      <c r="CU1496" s="1"/>
      <c r="CV1496" s="1"/>
      <c r="CW1496" s="1"/>
      <c r="CX1496" s="1"/>
      <c r="CY1496" s="1"/>
      <c r="CZ1496" s="1"/>
      <c r="DA1496" s="1"/>
      <c r="DB1496" s="1"/>
      <c r="DC1496" s="1"/>
    </row>
    <row r="1497" spans="1:107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/>
      <c r="BC1497" s="1"/>
      <c r="BD1497" s="1"/>
      <c r="BE1497" s="1"/>
      <c r="BF1497" s="1"/>
      <c r="BG1497" s="1"/>
      <c r="BH1497" s="1"/>
      <c r="BI1497" s="1"/>
      <c r="BJ1497" s="1"/>
      <c r="BK1497" s="1"/>
      <c r="BL1497" s="1"/>
      <c r="BM1497" s="1"/>
      <c r="BN1497" s="1"/>
      <c r="BO1497" s="1"/>
      <c r="BP1497" s="1"/>
      <c r="BQ1497" s="1"/>
      <c r="BR1497" s="1"/>
      <c r="BS1497" s="1"/>
      <c r="BT1497" s="1"/>
      <c r="BU1497" s="1"/>
      <c r="BV1497" s="1"/>
      <c r="BW1497" s="1"/>
      <c r="BX1497" s="1"/>
      <c r="BY1497" s="1"/>
      <c r="BZ1497" s="1"/>
      <c r="CA1497" s="1"/>
      <c r="CB1497" s="1"/>
      <c r="CC1497" s="1"/>
      <c r="CD1497" s="1"/>
      <c r="CE1497" s="1"/>
      <c r="CF1497" s="1"/>
      <c r="CG1497" s="1"/>
      <c r="CH1497" s="1"/>
      <c r="CI1497" s="1"/>
      <c r="CJ1497" s="1"/>
      <c r="CK1497" s="1"/>
      <c r="CL1497" s="1"/>
      <c r="CM1497" s="1"/>
      <c r="CN1497" s="1"/>
      <c r="CO1497" s="1"/>
      <c r="CP1497" s="1"/>
      <c r="CQ1497" s="1"/>
      <c r="CR1497" s="1"/>
      <c r="CS1497" s="1"/>
      <c r="CT1497" s="1"/>
      <c r="CU1497" s="1"/>
      <c r="CV1497" s="1"/>
      <c r="CW1497" s="1"/>
      <c r="CX1497" s="1"/>
      <c r="CY1497" s="1"/>
      <c r="CZ1497" s="1"/>
      <c r="DA1497" s="1"/>
      <c r="DB1497" s="1"/>
      <c r="DC1497" s="1"/>
    </row>
    <row r="1498" spans="1:107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  <c r="AY1498" s="1"/>
      <c r="AZ1498" s="1"/>
      <c r="BA1498" s="1"/>
      <c r="BB1498" s="1"/>
      <c r="BC1498" s="1"/>
      <c r="BD1498" s="1"/>
      <c r="BE1498" s="1"/>
      <c r="BF1498" s="1"/>
      <c r="BG1498" s="1"/>
      <c r="BH1498" s="1"/>
      <c r="BI1498" s="1"/>
      <c r="BJ1498" s="1"/>
      <c r="BK1498" s="1"/>
      <c r="BL1498" s="1"/>
      <c r="BM1498" s="1"/>
      <c r="BN1498" s="1"/>
      <c r="BO1498" s="1"/>
      <c r="BP1498" s="1"/>
      <c r="BQ1498" s="1"/>
      <c r="BR1498" s="1"/>
      <c r="BS1498" s="1"/>
      <c r="BT1498" s="1"/>
      <c r="BU1498" s="1"/>
      <c r="BV1498" s="1"/>
      <c r="BW1498" s="1"/>
      <c r="BX1498" s="1"/>
      <c r="BY1498" s="1"/>
      <c r="BZ1498" s="1"/>
      <c r="CA1498" s="1"/>
      <c r="CB1498" s="1"/>
      <c r="CC1498" s="1"/>
      <c r="CD1498" s="1"/>
      <c r="CE1498" s="1"/>
      <c r="CF1498" s="1"/>
      <c r="CG1498" s="1"/>
      <c r="CH1498" s="1"/>
      <c r="CI1498" s="1"/>
      <c r="CJ1498" s="1"/>
      <c r="CK1498" s="1"/>
      <c r="CL1498" s="1"/>
      <c r="CM1498" s="1"/>
      <c r="CN1498" s="1"/>
      <c r="CO1498" s="1"/>
      <c r="CP1498" s="1"/>
      <c r="CQ1498" s="1"/>
      <c r="CR1498" s="1"/>
      <c r="CS1498" s="1"/>
      <c r="CT1498" s="1"/>
      <c r="CU1498" s="1"/>
      <c r="CV1498" s="1"/>
      <c r="CW1498" s="1"/>
      <c r="CX1498" s="1"/>
      <c r="CY1498" s="1"/>
      <c r="CZ1498" s="1"/>
      <c r="DA1498" s="1"/>
      <c r="DB1498" s="1"/>
      <c r="DC1498" s="1"/>
    </row>
    <row r="1499" spans="1:107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  <c r="AY1499" s="1"/>
      <c r="AZ1499" s="1"/>
      <c r="BA1499" s="1"/>
      <c r="BB1499" s="1"/>
      <c r="BC1499" s="1"/>
      <c r="BD1499" s="1"/>
      <c r="BE1499" s="1"/>
      <c r="BF1499" s="1"/>
      <c r="BG1499" s="1"/>
      <c r="BH1499" s="1"/>
      <c r="BI1499" s="1"/>
      <c r="BJ1499" s="1"/>
      <c r="BK1499" s="1"/>
      <c r="BL1499" s="1"/>
      <c r="BM1499" s="1"/>
      <c r="BN1499" s="1"/>
      <c r="BO1499" s="1"/>
      <c r="BP1499" s="1"/>
      <c r="BQ1499" s="1"/>
      <c r="BR1499" s="1"/>
      <c r="BS1499" s="1"/>
      <c r="BT1499" s="1"/>
      <c r="BU1499" s="1"/>
      <c r="BV1499" s="1"/>
      <c r="BW1499" s="1"/>
      <c r="BX1499" s="1"/>
      <c r="BY1499" s="1"/>
      <c r="BZ1499" s="1"/>
      <c r="CA1499" s="1"/>
      <c r="CB1499" s="1"/>
      <c r="CC1499" s="1"/>
      <c r="CD1499" s="1"/>
      <c r="CE1499" s="1"/>
      <c r="CF1499" s="1"/>
      <c r="CG1499" s="1"/>
      <c r="CH1499" s="1"/>
      <c r="CI1499" s="1"/>
      <c r="CJ1499" s="1"/>
      <c r="CK1499" s="1"/>
      <c r="CL1499" s="1"/>
      <c r="CM1499" s="1"/>
      <c r="CN1499" s="1"/>
      <c r="CO1499" s="1"/>
      <c r="CP1499" s="1"/>
      <c r="CQ1499" s="1"/>
      <c r="CR1499" s="1"/>
      <c r="CS1499" s="1"/>
      <c r="CT1499" s="1"/>
      <c r="CU1499" s="1"/>
      <c r="CV1499" s="1"/>
      <c r="CW1499" s="1"/>
      <c r="CX1499" s="1"/>
      <c r="CY1499" s="1"/>
      <c r="CZ1499" s="1"/>
      <c r="DA1499" s="1"/>
      <c r="DB1499" s="1"/>
      <c r="DC1499" s="1"/>
    </row>
    <row r="1500" spans="1:107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  <c r="AZ1500" s="1"/>
      <c r="BA1500" s="1"/>
      <c r="BB1500" s="1"/>
      <c r="BC1500" s="1"/>
      <c r="BD1500" s="1"/>
      <c r="BE1500" s="1"/>
      <c r="BF1500" s="1"/>
      <c r="BG1500" s="1"/>
      <c r="BH1500" s="1"/>
      <c r="BI1500" s="1"/>
      <c r="BJ1500" s="1"/>
      <c r="BK1500" s="1"/>
      <c r="BL1500" s="1"/>
      <c r="BM1500" s="1"/>
      <c r="BN1500" s="1"/>
      <c r="BO1500" s="1"/>
      <c r="BP1500" s="1"/>
      <c r="BQ1500" s="1"/>
      <c r="BR1500" s="1"/>
      <c r="BS1500" s="1"/>
      <c r="BT1500" s="1"/>
      <c r="BU1500" s="1"/>
      <c r="BV1500" s="1"/>
      <c r="BW1500" s="1"/>
      <c r="BX1500" s="1"/>
      <c r="BY1500" s="1"/>
      <c r="BZ1500" s="1"/>
      <c r="CA1500" s="1"/>
      <c r="CB1500" s="1"/>
      <c r="CC1500" s="1"/>
      <c r="CD1500" s="1"/>
      <c r="CE1500" s="1"/>
      <c r="CF1500" s="1"/>
      <c r="CG1500" s="1"/>
      <c r="CH1500" s="1"/>
      <c r="CI1500" s="1"/>
      <c r="CJ1500" s="1"/>
      <c r="CK1500" s="1"/>
      <c r="CL1500" s="1"/>
      <c r="CM1500" s="1"/>
      <c r="CN1500" s="1"/>
      <c r="CO1500" s="1"/>
      <c r="CP1500" s="1"/>
      <c r="CQ1500" s="1"/>
      <c r="CR1500" s="1"/>
      <c r="CS1500" s="1"/>
      <c r="CT1500" s="1"/>
      <c r="CU1500" s="1"/>
      <c r="CV1500" s="1"/>
      <c r="CW1500" s="1"/>
      <c r="CX1500" s="1"/>
      <c r="CY1500" s="1"/>
      <c r="CZ1500" s="1"/>
      <c r="DA1500" s="1"/>
      <c r="DB1500" s="1"/>
      <c r="DC1500" s="1"/>
    </row>
    <row r="1501" spans="1:107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s="1"/>
      <c r="BD1501" s="1"/>
      <c r="BE1501" s="1"/>
      <c r="BF1501" s="1"/>
      <c r="BG1501" s="1"/>
      <c r="BH1501" s="1"/>
      <c r="BI1501" s="1"/>
      <c r="BJ1501" s="1"/>
      <c r="BK1501" s="1"/>
      <c r="BL1501" s="1"/>
      <c r="BM1501" s="1"/>
      <c r="BN1501" s="1"/>
      <c r="BO1501" s="1"/>
      <c r="BP1501" s="1"/>
      <c r="BQ1501" s="1"/>
      <c r="BR1501" s="1"/>
      <c r="BS1501" s="1"/>
      <c r="BT1501" s="1"/>
      <c r="BU1501" s="1"/>
      <c r="BV1501" s="1"/>
      <c r="BW1501" s="1"/>
      <c r="BX1501" s="1"/>
      <c r="BY1501" s="1"/>
      <c r="BZ1501" s="1"/>
      <c r="CA1501" s="1"/>
      <c r="CB1501" s="1"/>
      <c r="CC1501" s="1"/>
      <c r="CD1501" s="1"/>
      <c r="CE1501" s="1"/>
      <c r="CF1501" s="1"/>
      <c r="CG1501" s="1"/>
      <c r="CH1501" s="1"/>
      <c r="CI1501" s="1"/>
      <c r="CJ1501" s="1"/>
      <c r="CK1501" s="1"/>
      <c r="CL1501" s="1"/>
      <c r="CM1501" s="1"/>
      <c r="CN1501" s="1"/>
      <c r="CO1501" s="1"/>
      <c r="CP1501" s="1"/>
      <c r="CQ1501" s="1"/>
      <c r="CR1501" s="1"/>
      <c r="CS1501" s="1"/>
      <c r="CT1501" s="1"/>
      <c r="CU1501" s="1"/>
      <c r="CV1501" s="1"/>
      <c r="CW1501" s="1"/>
      <c r="CX1501" s="1"/>
      <c r="CY1501" s="1"/>
      <c r="CZ1501" s="1"/>
      <c r="DA1501" s="1"/>
      <c r="DB1501" s="1"/>
      <c r="DC1501" s="1"/>
    </row>
    <row r="1502" spans="1:107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  <c r="AY1502" s="1"/>
      <c r="AZ1502" s="1"/>
      <c r="BA1502" s="1"/>
      <c r="BB1502" s="1"/>
      <c r="BC1502" s="1"/>
      <c r="BD1502" s="1"/>
      <c r="BE1502" s="1"/>
      <c r="BF1502" s="1"/>
      <c r="BG1502" s="1"/>
      <c r="BH1502" s="1"/>
      <c r="BI1502" s="1"/>
      <c r="BJ1502" s="1"/>
      <c r="BK1502" s="1"/>
      <c r="BL1502" s="1"/>
      <c r="BM1502" s="1"/>
      <c r="BN1502" s="1"/>
      <c r="BO1502" s="1"/>
      <c r="BP1502" s="1"/>
      <c r="BQ1502" s="1"/>
      <c r="BR1502" s="1"/>
      <c r="BS1502" s="1"/>
      <c r="BT1502" s="1"/>
      <c r="BU1502" s="1"/>
      <c r="BV1502" s="1"/>
      <c r="BW1502" s="1"/>
      <c r="BX1502" s="1"/>
      <c r="BY1502" s="1"/>
      <c r="BZ1502" s="1"/>
      <c r="CA1502" s="1"/>
      <c r="CB1502" s="1"/>
      <c r="CC1502" s="1"/>
      <c r="CD1502" s="1"/>
      <c r="CE1502" s="1"/>
      <c r="CF1502" s="1"/>
      <c r="CG1502" s="1"/>
      <c r="CH1502" s="1"/>
      <c r="CI1502" s="1"/>
      <c r="CJ1502" s="1"/>
      <c r="CK1502" s="1"/>
      <c r="CL1502" s="1"/>
      <c r="CM1502" s="1"/>
      <c r="CN1502" s="1"/>
      <c r="CO1502" s="1"/>
      <c r="CP1502" s="1"/>
      <c r="CQ1502" s="1"/>
      <c r="CR1502" s="1"/>
      <c r="CS1502" s="1"/>
      <c r="CT1502" s="1"/>
      <c r="CU1502" s="1"/>
      <c r="CV1502" s="1"/>
      <c r="CW1502" s="1"/>
      <c r="CX1502" s="1"/>
      <c r="CY1502" s="1"/>
      <c r="CZ1502" s="1"/>
      <c r="DA1502" s="1"/>
      <c r="DB1502" s="1"/>
      <c r="DC1502" s="1"/>
    </row>
    <row r="1503" spans="1:107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  <c r="BA1503" s="1"/>
      <c r="BB1503" s="1"/>
      <c r="BC1503" s="1"/>
      <c r="BD1503" s="1"/>
      <c r="BE1503" s="1"/>
      <c r="BF1503" s="1"/>
      <c r="BG1503" s="1"/>
      <c r="BH1503" s="1"/>
      <c r="BI1503" s="1"/>
      <c r="BJ1503" s="1"/>
      <c r="BK1503" s="1"/>
      <c r="BL1503" s="1"/>
      <c r="BM1503" s="1"/>
      <c r="BN1503" s="1"/>
      <c r="BO1503" s="1"/>
      <c r="BP1503" s="1"/>
      <c r="BQ1503" s="1"/>
      <c r="BR1503" s="1"/>
      <c r="BS1503" s="1"/>
      <c r="BT1503" s="1"/>
      <c r="BU1503" s="1"/>
      <c r="BV1503" s="1"/>
      <c r="BW1503" s="1"/>
      <c r="BX1503" s="1"/>
      <c r="BY1503" s="1"/>
      <c r="BZ1503" s="1"/>
      <c r="CA1503" s="1"/>
      <c r="CB1503" s="1"/>
      <c r="CC1503" s="1"/>
      <c r="CD1503" s="1"/>
      <c r="CE1503" s="1"/>
      <c r="CF1503" s="1"/>
      <c r="CG1503" s="1"/>
      <c r="CH1503" s="1"/>
      <c r="CI1503" s="1"/>
      <c r="CJ1503" s="1"/>
      <c r="CK1503" s="1"/>
      <c r="CL1503" s="1"/>
      <c r="CM1503" s="1"/>
      <c r="CN1503" s="1"/>
      <c r="CO1503" s="1"/>
      <c r="CP1503" s="1"/>
      <c r="CQ1503" s="1"/>
      <c r="CR1503" s="1"/>
      <c r="CS1503" s="1"/>
      <c r="CT1503" s="1"/>
      <c r="CU1503" s="1"/>
      <c r="CV1503" s="1"/>
      <c r="CW1503" s="1"/>
      <c r="CX1503" s="1"/>
      <c r="CY1503" s="1"/>
      <c r="CZ1503" s="1"/>
      <c r="DA1503" s="1"/>
      <c r="DB1503" s="1"/>
      <c r="DC1503" s="1"/>
    </row>
    <row r="1504" spans="1:107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  <c r="AY1504" s="1"/>
      <c r="AZ1504" s="1"/>
      <c r="BA1504" s="1"/>
      <c r="BB1504" s="1"/>
      <c r="BC1504" s="1"/>
      <c r="BD1504" s="1"/>
      <c r="BE1504" s="1"/>
      <c r="BF1504" s="1"/>
      <c r="BG1504" s="1"/>
      <c r="BH1504" s="1"/>
      <c r="BI1504" s="1"/>
      <c r="BJ1504" s="1"/>
      <c r="BK1504" s="1"/>
      <c r="BL1504" s="1"/>
      <c r="BM1504" s="1"/>
      <c r="BN1504" s="1"/>
      <c r="BO1504" s="1"/>
      <c r="BP1504" s="1"/>
      <c r="BQ1504" s="1"/>
      <c r="BR1504" s="1"/>
      <c r="BS1504" s="1"/>
      <c r="BT1504" s="1"/>
      <c r="BU1504" s="1"/>
      <c r="BV1504" s="1"/>
      <c r="BW1504" s="1"/>
      <c r="BX1504" s="1"/>
      <c r="BY1504" s="1"/>
      <c r="BZ1504" s="1"/>
      <c r="CA1504" s="1"/>
      <c r="CB1504" s="1"/>
      <c r="CC1504" s="1"/>
      <c r="CD1504" s="1"/>
      <c r="CE1504" s="1"/>
      <c r="CF1504" s="1"/>
      <c r="CG1504" s="1"/>
      <c r="CH1504" s="1"/>
      <c r="CI1504" s="1"/>
      <c r="CJ1504" s="1"/>
      <c r="CK1504" s="1"/>
      <c r="CL1504" s="1"/>
      <c r="CM1504" s="1"/>
      <c r="CN1504" s="1"/>
      <c r="CO1504" s="1"/>
      <c r="CP1504" s="1"/>
      <c r="CQ1504" s="1"/>
      <c r="CR1504" s="1"/>
      <c r="CS1504" s="1"/>
      <c r="CT1504" s="1"/>
      <c r="CU1504" s="1"/>
      <c r="CV1504" s="1"/>
      <c r="CW1504" s="1"/>
      <c r="CX1504" s="1"/>
      <c r="CY1504" s="1"/>
      <c r="CZ1504" s="1"/>
      <c r="DA1504" s="1"/>
      <c r="DB1504" s="1"/>
      <c r="DC1504" s="1"/>
    </row>
    <row r="1505" spans="1:107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/>
      <c r="AZ1505" s="1"/>
      <c r="BA1505" s="1"/>
      <c r="BB1505" s="1"/>
      <c r="BC1505" s="1"/>
      <c r="BD1505" s="1"/>
      <c r="BE1505" s="1"/>
      <c r="BF1505" s="1"/>
      <c r="BG1505" s="1"/>
      <c r="BH1505" s="1"/>
      <c r="BI1505" s="1"/>
      <c r="BJ1505" s="1"/>
      <c r="BK1505" s="1"/>
      <c r="BL1505" s="1"/>
      <c r="BM1505" s="1"/>
      <c r="BN1505" s="1"/>
      <c r="BO1505" s="1"/>
      <c r="BP1505" s="1"/>
      <c r="BQ1505" s="1"/>
      <c r="BR1505" s="1"/>
      <c r="BS1505" s="1"/>
      <c r="BT1505" s="1"/>
      <c r="BU1505" s="1"/>
      <c r="BV1505" s="1"/>
      <c r="BW1505" s="1"/>
      <c r="BX1505" s="1"/>
      <c r="BY1505" s="1"/>
      <c r="BZ1505" s="1"/>
      <c r="CA1505" s="1"/>
      <c r="CB1505" s="1"/>
      <c r="CC1505" s="1"/>
      <c r="CD1505" s="1"/>
      <c r="CE1505" s="1"/>
      <c r="CF1505" s="1"/>
      <c r="CG1505" s="1"/>
      <c r="CH1505" s="1"/>
      <c r="CI1505" s="1"/>
      <c r="CJ1505" s="1"/>
      <c r="CK1505" s="1"/>
      <c r="CL1505" s="1"/>
      <c r="CM1505" s="1"/>
      <c r="CN1505" s="1"/>
      <c r="CO1505" s="1"/>
      <c r="CP1505" s="1"/>
      <c r="CQ1505" s="1"/>
      <c r="CR1505" s="1"/>
      <c r="CS1505" s="1"/>
      <c r="CT1505" s="1"/>
      <c r="CU1505" s="1"/>
      <c r="CV1505" s="1"/>
      <c r="CW1505" s="1"/>
      <c r="CX1505" s="1"/>
      <c r="CY1505" s="1"/>
      <c r="CZ1505" s="1"/>
      <c r="DA1505" s="1"/>
      <c r="DB1505" s="1"/>
      <c r="DC1505" s="1"/>
    </row>
    <row r="1506" spans="1:107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  <c r="BA1506" s="1"/>
      <c r="BB1506" s="1"/>
      <c r="BC1506" s="1"/>
      <c r="BD1506" s="1"/>
      <c r="BE1506" s="1"/>
      <c r="BF1506" s="1"/>
      <c r="BG1506" s="1"/>
      <c r="BH1506" s="1"/>
      <c r="BI1506" s="1"/>
      <c r="BJ1506" s="1"/>
      <c r="BK1506" s="1"/>
      <c r="BL1506" s="1"/>
      <c r="BM1506" s="1"/>
      <c r="BN1506" s="1"/>
      <c r="BO1506" s="1"/>
      <c r="BP1506" s="1"/>
      <c r="BQ1506" s="1"/>
      <c r="BR1506" s="1"/>
      <c r="BS1506" s="1"/>
      <c r="BT1506" s="1"/>
      <c r="BU1506" s="1"/>
      <c r="BV1506" s="1"/>
      <c r="BW1506" s="1"/>
      <c r="BX1506" s="1"/>
      <c r="BY1506" s="1"/>
      <c r="BZ1506" s="1"/>
      <c r="CA1506" s="1"/>
      <c r="CB1506" s="1"/>
      <c r="CC1506" s="1"/>
      <c r="CD1506" s="1"/>
      <c r="CE1506" s="1"/>
      <c r="CF1506" s="1"/>
      <c r="CG1506" s="1"/>
      <c r="CH1506" s="1"/>
      <c r="CI1506" s="1"/>
      <c r="CJ1506" s="1"/>
      <c r="CK1506" s="1"/>
      <c r="CL1506" s="1"/>
      <c r="CM1506" s="1"/>
      <c r="CN1506" s="1"/>
      <c r="CO1506" s="1"/>
      <c r="CP1506" s="1"/>
      <c r="CQ1506" s="1"/>
      <c r="CR1506" s="1"/>
      <c r="CS1506" s="1"/>
      <c r="CT1506" s="1"/>
      <c r="CU1506" s="1"/>
      <c r="CV1506" s="1"/>
      <c r="CW1506" s="1"/>
      <c r="CX1506" s="1"/>
      <c r="CY1506" s="1"/>
      <c r="CZ1506" s="1"/>
      <c r="DA1506" s="1"/>
      <c r="DB1506" s="1"/>
      <c r="DC1506" s="1"/>
    </row>
    <row r="1507" spans="1:107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s="1"/>
      <c r="BD1507" s="1"/>
      <c r="BE1507" s="1"/>
      <c r="BF1507" s="1"/>
      <c r="BG1507" s="1"/>
      <c r="BH1507" s="1"/>
      <c r="BI1507" s="1"/>
      <c r="BJ1507" s="1"/>
      <c r="BK1507" s="1"/>
      <c r="BL1507" s="1"/>
      <c r="BM1507" s="1"/>
      <c r="BN1507" s="1"/>
      <c r="BO1507" s="1"/>
      <c r="BP1507" s="1"/>
      <c r="BQ1507" s="1"/>
      <c r="BR1507" s="1"/>
      <c r="BS1507" s="1"/>
      <c r="BT1507" s="1"/>
      <c r="BU1507" s="1"/>
      <c r="BV1507" s="1"/>
      <c r="BW1507" s="1"/>
      <c r="BX1507" s="1"/>
      <c r="BY1507" s="1"/>
      <c r="BZ1507" s="1"/>
      <c r="CA1507" s="1"/>
      <c r="CB1507" s="1"/>
      <c r="CC1507" s="1"/>
      <c r="CD1507" s="1"/>
      <c r="CE1507" s="1"/>
      <c r="CF1507" s="1"/>
      <c r="CG1507" s="1"/>
      <c r="CH1507" s="1"/>
      <c r="CI1507" s="1"/>
      <c r="CJ1507" s="1"/>
      <c r="CK1507" s="1"/>
      <c r="CL1507" s="1"/>
      <c r="CM1507" s="1"/>
      <c r="CN1507" s="1"/>
      <c r="CO1507" s="1"/>
      <c r="CP1507" s="1"/>
      <c r="CQ1507" s="1"/>
      <c r="CR1507" s="1"/>
      <c r="CS1507" s="1"/>
      <c r="CT1507" s="1"/>
      <c r="CU1507" s="1"/>
      <c r="CV1507" s="1"/>
      <c r="CW1507" s="1"/>
      <c r="CX1507" s="1"/>
      <c r="CY1507" s="1"/>
      <c r="CZ1507" s="1"/>
      <c r="DA1507" s="1"/>
      <c r="DB1507" s="1"/>
      <c r="DC1507" s="1"/>
    </row>
    <row r="1508" spans="1:107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  <c r="AY1508" s="1"/>
      <c r="AZ1508" s="1"/>
      <c r="BA1508" s="1"/>
      <c r="BB1508" s="1"/>
      <c r="BC1508" s="1"/>
      <c r="BD1508" s="1"/>
      <c r="BE1508" s="1"/>
      <c r="BF1508" s="1"/>
      <c r="BG1508" s="1"/>
      <c r="BH1508" s="1"/>
      <c r="BI1508" s="1"/>
      <c r="BJ1508" s="1"/>
      <c r="BK1508" s="1"/>
      <c r="BL1508" s="1"/>
      <c r="BM1508" s="1"/>
      <c r="BN1508" s="1"/>
      <c r="BO1508" s="1"/>
      <c r="BP1508" s="1"/>
      <c r="BQ1508" s="1"/>
      <c r="BR1508" s="1"/>
      <c r="BS1508" s="1"/>
      <c r="BT1508" s="1"/>
      <c r="BU1508" s="1"/>
      <c r="BV1508" s="1"/>
      <c r="BW1508" s="1"/>
      <c r="BX1508" s="1"/>
      <c r="BY1508" s="1"/>
      <c r="BZ1508" s="1"/>
      <c r="CA1508" s="1"/>
      <c r="CB1508" s="1"/>
      <c r="CC1508" s="1"/>
      <c r="CD1508" s="1"/>
      <c r="CE1508" s="1"/>
      <c r="CF1508" s="1"/>
      <c r="CG1508" s="1"/>
      <c r="CH1508" s="1"/>
      <c r="CI1508" s="1"/>
      <c r="CJ1508" s="1"/>
      <c r="CK1508" s="1"/>
      <c r="CL1508" s="1"/>
      <c r="CM1508" s="1"/>
      <c r="CN1508" s="1"/>
      <c r="CO1508" s="1"/>
      <c r="CP1508" s="1"/>
      <c r="CQ1508" s="1"/>
      <c r="CR1508" s="1"/>
      <c r="CS1508" s="1"/>
      <c r="CT1508" s="1"/>
      <c r="CU1508" s="1"/>
      <c r="CV1508" s="1"/>
      <c r="CW1508" s="1"/>
      <c r="CX1508" s="1"/>
      <c r="CY1508" s="1"/>
      <c r="CZ1508" s="1"/>
      <c r="DA1508" s="1"/>
      <c r="DB1508" s="1"/>
      <c r="DC1508" s="1"/>
    </row>
    <row r="1509" spans="1:107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X1509" s="1"/>
      <c r="AY1509" s="1"/>
      <c r="AZ1509" s="1"/>
      <c r="BA1509" s="1"/>
      <c r="BB1509" s="1"/>
      <c r="BC1509" s="1"/>
      <c r="BD1509" s="1"/>
      <c r="BE1509" s="1"/>
      <c r="BF1509" s="1"/>
      <c r="BG1509" s="1"/>
      <c r="BH1509" s="1"/>
      <c r="BI1509" s="1"/>
      <c r="BJ1509" s="1"/>
      <c r="BK1509" s="1"/>
      <c r="BL1509" s="1"/>
      <c r="BM1509" s="1"/>
      <c r="BN1509" s="1"/>
      <c r="BO1509" s="1"/>
      <c r="BP1509" s="1"/>
      <c r="BQ1509" s="1"/>
      <c r="BR1509" s="1"/>
      <c r="BS1509" s="1"/>
      <c r="BT1509" s="1"/>
      <c r="BU1509" s="1"/>
      <c r="BV1509" s="1"/>
      <c r="BW1509" s="1"/>
      <c r="BX1509" s="1"/>
      <c r="BY1509" s="1"/>
      <c r="BZ1509" s="1"/>
      <c r="CA1509" s="1"/>
      <c r="CB1509" s="1"/>
      <c r="CC1509" s="1"/>
      <c r="CD1509" s="1"/>
      <c r="CE1509" s="1"/>
      <c r="CF1509" s="1"/>
      <c r="CG1509" s="1"/>
      <c r="CH1509" s="1"/>
      <c r="CI1509" s="1"/>
      <c r="CJ1509" s="1"/>
      <c r="CK1509" s="1"/>
      <c r="CL1509" s="1"/>
      <c r="CM1509" s="1"/>
      <c r="CN1509" s="1"/>
      <c r="CO1509" s="1"/>
      <c r="CP1509" s="1"/>
      <c r="CQ1509" s="1"/>
      <c r="CR1509" s="1"/>
      <c r="CS1509" s="1"/>
      <c r="CT1509" s="1"/>
      <c r="CU1509" s="1"/>
      <c r="CV1509" s="1"/>
      <c r="CW1509" s="1"/>
      <c r="CX1509" s="1"/>
      <c r="CY1509" s="1"/>
      <c r="CZ1509" s="1"/>
      <c r="DA1509" s="1"/>
      <c r="DB1509" s="1"/>
      <c r="DC1509" s="1"/>
    </row>
    <row r="1510" spans="1:107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  <c r="AY1510" s="1"/>
      <c r="AZ1510" s="1"/>
      <c r="BA1510" s="1"/>
      <c r="BB1510" s="1"/>
      <c r="BC1510" s="1"/>
      <c r="BD1510" s="1"/>
      <c r="BE1510" s="1"/>
      <c r="BF1510" s="1"/>
      <c r="BG1510" s="1"/>
      <c r="BH1510" s="1"/>
      <c r="BI1510" s="1"/>
      <c r="BJ1510" s="1"/>
      <c r="BK1510" s="1"/>
      <c r="BL1510" s="1"/>
      <c r="BM1510" s="1"/>
      <c r="BN1510" s="1"/>
      <c r="BO1510" s="1"/>
      <c r="BP1510" s="1"/>
      <c r="BQ1510" s="1"/>
      <c r="BR1510" s="1"/>
      <c r="BS1510" s="1"/>
      <c r="BT1510" s="1"/>
      <c r="BU1510" s="1"/>
      <c r="BV1510" s="1"/>
      <c r="BW1510" s="1"/>
      <c r="BX1510" s="1"/>
      <c r="BY1510" s="1"/>
      <c r="BZ1510" s="1"/>
      <c r="CA1510" s="1"/>
      <c r="CB1510" s="1"/>
      <c r="CC1510" s="1"/>
      <c r="CD1510" s="1"/>
      <c r="CE1510" s="1"/>
      <c r="CF1510" s="1"/>
      <c r="CG1510" s="1"/>
      <c r="CH1510" s="1"/>
      <c r="CI1510" s="1"/>
      <c r="CJ1510" s="1"/>
      <c r="CK1510" s="1"/>
      <c r="CL1510" s="1"/>
      <c r="CM1510" s="1"/>
      <c r="CN1510" s="1"/>
      <c r="CO1510" s="1"/>
      <c r="CP1510" s="1"/>
      <c r="CQ1510" s="1"/>
      <c r="CR1510" s="1"/>
      <c r="CS1510" s="1"/>
      <c r="CT1510" s="1"/>
      <c r="CU1510" s="1"/>
      <c r="CV1510" s="1"/>
      <c r="CW1510" s="1"/>
      <c r="CX1510" s="1"/>
      <c r="CY1510" s="1"/>
      <c r="CZ1510" s="1"/>
      <c r="DA1510" s="1"/>
      <c r="DB1510" s="1"/>
      <c r="DC1510" s="1"/>
    </row>
    <row r="1511" spans="1:107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  <c r="AY1511" s="1"/>
      <c r="AZ1511" s="1"/>
      <c r="BA1511" s="1"/>
      <c r="BB1511" s="1"/>
      <c r="BC1511" s="1"/>
      <c r="BD1511" s="1"/>
      <c r="BE1511" s="1"/>
      <c r="BF1511" s="1"/>
      <c r="BG1511" s="1"/>
      <c r="BH1511" s="1"/>
      <c r="BI1511" s="1"/>
      <c r="BJ1511" s="1"/>
      <c r="BK1511" s="1"/>
      <c r="BL1511" s="1"/>
      <c r="BM1511" s="1"/>
      <c r="BN1511" s="1"/>
      <c r="BO1511" s="1"/>
      <c r="BP1511" s="1"/>
      <c r="BQ1511" s="1"/>
      <c r="BR1511" s="1"/>
      <c r="BS1511" s="1"/>
      <c r="BT1511" s="1"/>
      <c r="BU1511" s="1"/>
      <c r="BV1511" s="1"/>
      <c r="BW1511" s="1"/>
      <c r="BX1511" s="1"/>
      <c r="BY1511" s="1"/>
      <c r="BZ1511" s="1"/>
      <c r="CA1511" s="1"/>
      <c r="CB1511" s="1"/>
      <c r="CC1511" s="1"/>
      <c r="CD1511" s="1"/>
      <c r="CE1511" s="1"/>
      <c r="CF1511" s="1"/>
      <c r="CG1511" s="1"/>
      <c r="CH1511" s="1"/>
      <c r="CI1511" s="1"/>
      <c r="CJ1511" s="1"/>
      <c r="CK1511" s="1"/>
      <c r="CL1511" s="1"/>
      <c r="CM1511" s="1"/>
      <c r="CN1511" s="1"/>
      <c r="CO1511" s="1"/>
      <c r="CP1511" s="1"/>
      <c r="CQ1511" s="1"/>
      <c r="CR1511" s="1"/>
      <c r="CS1511" s="1"/>
      <c r="CT1511" s="1"/>
      <c r="CU1511" s="1"/>
      <c r="CV1511" s="1"/>
      <c r="CW1511" s="1"/>
      <c r="CX1511" s="1"/>
      <c r="CY1511" s="1"/>
      <c r="CZ1511" s="1"/>
      <c r="DA1511" s="1"/>
      <c r="DB1511" s="1"/>
      <c r="DC1511" s="1"/>
    </row>
    <row r="1512" spans="1:107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1"/>
      <c r="AZ1512" s="1"/>
      <c r="BA1512" s="1"/>
      <c r="BB1512" s="1"/>
      <c r="BC1512" s="1"/>
      <c r="BD1512" s="1"/>
      <c r="BE1512" s="1"/>
      <c r="BF1512" s="1"/>
      <c r="BG1512" s="1"/>
      <c r="BH1512" s="1"/>
      <c r="BI1512" s="1"/>
      <c r="BJ1512" s="1"/>
      <c r="BK1512" s="1"/>
      <c r="BL1512" s="1"/>
      <c r="BM1512" s="1"/>
      <c r="BN1512" s="1"/>
      <c r="BO1512" s="1"/>
      <c r="BP1512" s="1"/>
      <c r="BQ1512" s="1"/>
      <c r="BR1512" s="1"/>
      <c r="BS1512" s="1"/>
      <c r="BT1512" s="1"/>
      <c r="BU1512" s="1"/>
      <c r="BV1512" s="1"/>
      <c r="BW1512" s="1"/>
      <c r="BX1512" s="1"/>
      <c r="BY1512" s="1"/>
      <c r="BZ1512" s="1"/>
      <c r="CA1512" s="1"/>
      <c r="CB1512" s="1"/>
      <c r="CC1512" s="1"/>
      <c r="CD1512" s="1"/>
      <c r="CE1512" s="1"/>
      <c r="CF1512" s="1"/>
      <c r="CG1512" s="1"/>
      <c r="CH1512" s="1"/>
      <c r="CI1512" s="1"/>
      <c r="CJ1512" s="1"/>
      <c r="CK1512" s="1"/>
      <c r="CL1512" s="1"/>
      <c r="CM1512" s="1"/>
      <c r="CN1512" s="1"/>
      <c r="CO1512" s="1"/>
      <c r="CP1512" s="1"/>
      <c r="CQ1512" s="1"/>
      <c r="CR1512" s="1"/>
      <c r="CS1512" s="1"/>
      <c r="CT1512" s="1"/>
      <c r="CU1512" s="1"/>
      <c r="CV1512" s="1"/>
      <c r="CW1512" s="1"/>
      <c r="CX1512" s="1"/>
      <c r="CY1512" s="1"/>
      <c r="CZ1512" s="1"/>
      <c r="DA1512" s="1"/>
      <c r="DB1512" s="1"/>
      <c r="DC1512" s="1"/>
    </row>
    <row r="1513" spans="1:107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  <c r="AY1513" s="1"/>
      <c r="AZ1513" s="1"/>
      <c r="BA1513" s="1"/>
      <c r="BB1513" s="1"/>
      <c r="BC1513" s="1"/>
      <c r="BD1513" s="1"/>
      <c r="BE1513" s="1"/>
      <c r="BF1513" s="1"/>
      <c r="BG1513" s="1"/>
      <c r="BH1513" s="1"/>
      <c r="BI1513" s="1"/>
      <c r="BJ1513" s="1"/>
      <c r="BK1513" s="1"/>
      <c r="BL1513" s="1"/>
      <c r="BM1513" s="1"/>
      <c r="BN1513" s="1"/>
      <c r="BO1513" s="1"/>
      <c r="BP1513" s="1"/>
      <c r="BQ1513" s="1"/>
      <c r="BR1513" s="1"/>
      <c r="BS1513" s="1"/>
      <c r="BT1513" s="1"/>
      <c r="BU1513" s="1"/>
      <c r="BV1513" s="1"/>
      <c r="BW1513" s="1"/>
      <c r="BX1513" s="1"/>
      <c r="BY1513" s="1"/>
      <c r="BZ1513" s="1"/>
      <c r="CA1513" s="1"/>
      <c r="CB1513" s="1"/>
      <c r="CC1513" s="1"/>
      <c r="CD1513" s="1"/>
      <c r="CE1513" s="1"/>
      <c r="CF1513" s="1"/>
      <c r="CG1513" s="1"/>
      <c r="CH1513" s="1"/>
      <c r="CI1513" s="1"/>
      <c r="CJ1513" s="1"/>
      <c r="CK1513" s="1"/>
      <c r="CL1513" s="1"/>
      <c r="CM1513" s="1"/>
      <c r="CN1513" s="1"/>
      <c r="CO1513" s="1"/>
      <c r="CP1513" s="1"/>
      <c r="CQ1513" s="1"/>
      <c r="CR1513" s="1"/>
      <c r="CS1513" s="1"/>
      <c r="CT1513" s="1"/>
      <c r="CU1513" s="1"/>
      <c r="CV1513" s="1"/>
      <c r="CW1513" s="1"/>
      <c r="CX1513" s="1"/>
      <c r="CY1513" s="1"/>
      <c r="CZ1513" s="1"/>
      <c r="DA1513" s="1"/>
      <c r="DB1513" s="1"/>
      <c r="DC1513" s="1"/>
    </row>
    <row r="1514" spans="1:107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  <c r="AX1514" s="1"/>
      <c r="AY1514" s="1"/>
      <c r="AZ1514" s="1"/>
      <c r="BA1514" s="1"/>
      <c r="BB1514" s="1"/>
      <c r="BC1514" s="1"/>
      <c r="BD1514" s="1"/>
      <c r="BE1514" s="1"/>
      <c r="BF1514" s="1"/>
      <c r="BG1514" s="1"/>
      <c r="BH1514" s="1"/>
      <c r="BI1514" s="1"/>
      <c r="BJ1514" s="1"/>
      <c r="BK1514" s="1"/>
      <c r="BL1514" s="1"/>
      <c r="BM1514" s="1"/>
      <c r="BN1514" s="1"/>
      <c r="BO1514" s="1"/>
      <c r="BP1514" s="1"/>
      <c r="BQ1514" s="1"/>
      <c r="BR1514" s="1"/>
      <c r="BS1514" s="1"/>
      <c r="BT1514" s="1"/>
      <c r="BU1514" s="1"/>
      <c r="BV1514" s="1"/>
      <c r="BW1514" s="1"/>
      <c r="BX1514" s="1"/>
      <c r="BY1514" s="1"/>
      <c r="BZ1514" s="1"/>
      <c r="CA1514" s="1"/>
      <c r="CB1514" s="1"/>
      <c r="CC1514" s="1"/>
      <c r="CD1514" s="1"/>
      <c r="CE1514" s="1"/>
      <c r="CF1514" s="1"/>
      <c r="CG1514" s="1"/>
      <c r="CH1514" s="1"/>
      <c r="CI1514" s="1"/>
      <c r="CJ1514" s="1"/>
      <c r="CK1514" s="1"/>
      <c r="CL1514" s="1"/>
      <c r="CM1514" s="1"/>
      <c r="CN1514" s="1"/>
      <c r="CO1514" s="1"/>
      <c r="CP1514" s="1"/>
      <c r="CQ1514" s="1"/>
      <c r="CR1514" s="1"/>
      <c r="CS1514" s="1"/>
      <c r="CT1514" s="1"/>
      <c r="CU1514" s="1"/>
      <c r="CV1514" s="1"/>
      <c r="CW1514" s="1"/>
      <c r="CX1514" s="1"/>
      <c r="CY1514" s="1"/>
      <c r="CZ1514" s="1"/>
      <c r="DA1514" s="1"/>
      <c r="DB1514" s="1"/>
      <c r="DC1514" s="1"/>
    </row>
    <row r="1515" spans="1:107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/>
      <c r="AY1515" s="1"/>
      <c r="AZ1515" s="1"/>
      <c r="BA1515" s="1"/>
      <c r="BB1515" s="1"/>
      <c r="BC1515" s="1"/>
      <c r="BD1515" s="1"/>
      <c r="BE1515" s="1"/>
      <c r="BF1515" s="1"/>
      <c r="BG1515" s="1"/>
      <c r="BH1515" s="1"/>
      <c r="BI1515" s="1"/>
      <c r="BJ1515" s="1"/>
      <c r="BK1515" s="1"/>
      <c r="BL1515" s="1"/>
      <c r="BM1515" s="1"/>
      <c r="BN1515" s="1"/>
      <c r="BO1515" s="1"/>
      <c r="BP1515" s="1"/>
      <c r="BQ1515" s="1"/>
      <c r="BR1515" s="1"/>
      <c r="BS1515" s="1"/>
      <c r="BT1515" s="1"/>
      <c r="BU1515" s="1"/>
      <c r="BV1515" s="1"/>
      <c r="BW1515" s="1"/>
      <c r="BX1515" s="1"/>
      <c r="BY1515" s="1"/>
      <c r="BZ1515" s="1"/>
      <c r="CA1515" s="1"/>
      <c r="CB1515" s="1"/>
      <c r="CC1515" s="1"/>
      <c r="CD1515" s="1"/>
      <c r="CE1515" s="1"/>
      <c r="CF1515" s="1"/>
      <c r="CG1515" s="1"/>
      <c r="CH1515" s="1"/>
      <c r="CI1515" s="1"/>
      <c r="CJ1515" s="1"/>
      <c r="CK1515" s="1"/>
      <c r="CL1515" s="1"/>
      <c r="CM1515" s="1"/>
      <c r="CN1515" s="1"/>
      <c r="CO1515" s="1"/>
      <c r="CP1515" s="1"/>
      <c r="CQ1515" s="1"/>
      <c r="CR1515" s="1"/>
      <c r="CS1515" s="1"/>
      <c r="CT1515" s="1"/>
      <c r="CU1515" s="1"/>
      <c r="CV1515" s="1"/>
      <c r="CW1515" s="1"/>
      <c r="CX1515" s="1"/>
      <c r="CY1515" s="1"/>
      <c r="CZ1515" s="1"/>
      <c r="DA1515" s="1"/>
      <c r="DB1515" s="1"/>
      <c r="DC1515" s="1"/>
    </row>
    <row r="1516" spans="1:107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  <c r="AX1516" s="1"/>
      <c r="AY1516" s="1"/>
      <c r="AZ1516" s="1"/>
      <c r="BA1516" s="1"/>
      <c r="BB1516" s="1"/>
      <c r="BC1516" s="1"/>
      <c r="BD1516" s="1"/>
      <c r="BE1516" s="1"/>
      <c r="BF1516" s="1"/>
      <c r="BG1516" s="1"/>
      <c r="BH1516" s="1"/>
      <c r="BI1516" s="1"/>
      <c r="BJ1516" s="1"/>
      <c r="BK1516" s="1"/>
      <c r="BL1516" s="1"/>
      <c r="BM1516" s="1"/>
      <c r="BN1516" s="1"/>
      <c r="BO1516" s="1"/>
      <c r="BP1516" s="1"/>
      <c r="BQ1516" s="1"/>
      <c r="BR1516" s="1"/>
      <c r="BS1516" s="1"/>
      <c r="BT1516" s="1"/>
      <c r="BU1516" s="1"/>
      <c r="BV1516" s="1"/>
      <c r="BW1516" s="1"/>
      <c r="BX1516" s="1"/>
      <c r="BY1516" s="1"/>
      <c r="BZ1516" s="1"/>
      <c r="CA1516" s="1"/>
      <c r="CB1516" s="1"/>
      <c r="CC1516" s="1"/>
      <c r="CD1516" s="1"/>
      <c r="CE1516" s="1"/>
      <c r="CF1516" s="1"/>
      <c r="CG1516" s="1"/>
      <c r="CH1516" s="1"/>
      <c r="CI1516" s="1"/>
      <c r="CJ1516" s="1"/>
      <c r="CK1516" s="1"/>
      <c r="CL1516" s="1"/>
      <c r="CM1516" s="1"/>
      <c r="CN1516" s="1"/>
      <c r="CO1516" s="1"/>
      <c r="CP1516" s="1"/>
      <c r="CQ1516" s="1"/>
      <c r="CR1516" s="1"/>
      <c r="CS1516" s="1"/>
      <c r="CT1516" s="1"/>
      <c r="CU1516" s="1"/>
      <c r="CV1516" s="1"/>
      <c r="CW1516" s="1"/>
      <c r="CX1516" s="1"/>
      <c r="CY1516" s="1"/>
      <c r="CZ1516" s="1"/>
      <c r="DA1516" s="1"/>
      <c r="DB1516" s="1"/>
      <c r="DC1516" s="1"/>
    </row>
    <row r="1517" spans="1:107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/>
      <c r="AY1517" s="1"/>
      <c r="AZ1517" s="1"/>
      <c r="BA1517" s="1"/>
      <c r="BB1517" s="1"/>
      <c r="BC1517" s="1"/>
      <c r="BD1517" s="1"/>
      <c r="BE1517" s="1"/>
      <c r="BF1517" s="1"/>
      <c r="BG1517" s="1"/>
      <c r="BH1517" s="1"/>
      <c r="BI1517" s="1"/>
      <c r="BJ1517" s="1"/>
      <c r="BK1517" s="1"/>
      <c r="BL1517" s="1"/>
      <c r="BM1517" s="1"/>
      <c r="BN1517" s="1"/>
      <c r="BO1517" s="1"/>
      <c r="BP1517" s="1"/>
      <c r="BQ1517" s="1"/>
      <c r="BR1517" s="1"/>
      <c r="BS1517" s="1"/>
      <c r="BT1517" s="1"/>
      <c r="BU1517" s="1"/>
      <c r="BV1517" s="1"/>
      <c r="BW1517" s="1"/>
      <c r="BX1517" s="1"/>
      <c r="BY1517" s="1"/>
      <c r="BZ1517" s="1"/>
      <c r="CA1517" s="1"/>
      <c r="CB1517" s="1"/>
      <c r="CC1517" s="1"/>
      <c r="CD1517" s="1"/>
      <c r="CE1517" s="1"/>
      <c r="CF1517" s="1"/>
      <c r="CG1517" s="1"/>
      <c r="CH1517" s="1"/>
      <c r="CI1517" s="1"/>
      <c r="CJ1517" s="1"/>
      <c r="CK1517" s="1"/>
      <c r="CL1517" s="1"/>
      <c r="CM1517" s="1"/>
      <c r="CN1517" s="1"/>
      <c r="CO1517" s="1"/>
      <c r="CP1517" s="1"/>
      <c r="CQ1517" s="1"/>
      <c r="CR1517" s="1"/>
      <c r="CS1517" s="1"/>
      <c r="CT1517" s="1"/>
      <c r="CU1517" s="1"/>
      <c r="CV1517" s="1"/>
      <c r="CW1517" s="1"/>
      <c r="CX1517" s="1"/>
      <c r="CY1517" s="1"/>
      <c r="CZ1517" s="1"/>
      <c r="DA1517" s="1"/>
      <c r="DB1517" s="1"/>
      <c r="DC1517" s="1"/>
    </row>
    <row r="1518" spans="1:107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/>
      <c r="AY1518" s="1"/>
      <c r="AZ1518" s="1"/>
      <c r="BA1518" s="1"/>
      <c r="BB1518" s="1"/>
      <c r="BC1518" s="1"/>
      <c r="BD1518" s="1"/>
      <c r="BE1518" s="1"/>
      <c r="BF1518" s="1"/>
      <c r="BG1518" s="1"/>
      <c r="BH1518" s="1"/>
      <c r="BI1518" s="1"/>
      <c r="BJ1518" s="1"/>
      <c r="BK1518" s="1"/>
      <c r="BL1518" s="1"/>
      <c r="BM1518" s="1"/>
      <c r="BN1518" s="1"/>
      <c r="BO1518" s="1"/>
      <c r="BP1518" s="1"/>
      <c r="BQ1518" s="1"/>
      <c r="BR1518" s="1"/>
      <c r="BS1518" s="1"/>
      <c r="BT1518" s="1"/>
      <c r="BU1518" s="1"/>
      <c r="BV1518" s="1"/>
      <c r="BW1518" s="1"/>
      <c r="BX1518" s="1"/>
      <c r="BY1518" s="1"/>
      <c r="BZ1518" s="1"/>
      <c r="CA1518" s="1"/>
      <c r="CB1518" s="1"/>
      <c r="CC1518" s="1"/>
      <c r="CD1518" s="1"/>
      <c r="CE1518" s="1"/>
      <c r="CF1518" s="1"/>
      <c r="CG1518" s="1"/>
      <c r="CH1518" s="1"/>
      <c r="CI1518" s="1"/>
      <c r="CJ1518" s="1"/>
      <c r="CK1518" s="1"/>
      <c r="CL1518" s="1"/>
      <c r="CM1518" s="1"/>
      <c r="CN1518" s="1"/>
      <c r="CO1518" s="1"/>
      <c r="CP1518" s="1"/>
      <c r="CQ1518" s="1"/>
      <c r="CR1518" s="1"/>
      <c r="CS1518" s="1"/>
      <c r="CT1518" s="1"/>
      <c r="CU1518" s="1"/>
      <c r="CV1518" s="1"/>
      <c r="CW1518" s="1"/>
      <c r="CX1518" s="1"/>
      <c r="CY1518" s="1"/>
      <c r="CZ1518" s="1"/>
      <c r="DA1518" s="1"/>
      <c r="DB1518" s="1"/>
      <c r="DC1518" s="1"/>
    </row>
    <row r="1519" spans="1:107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/>
      <c r="AY1519" s="1"/>
      <c r="AZ1519" s="1"/>
      <c r="BA1519" s="1"/>
      <c r="BB1519" s="1"/>
      <c r="BC1519" s="1"/>
      <c r="BD1519" s="1"/>
      <c r="BE1519" s="1"/>
      <c r="BF1519" s="1"/>
      <c r="BG1519" s="1"/>
      <c r="BH1519" s="1"/>
      <c r="BI1519" s="1"/>
      <c r="BJ1519" s="1"/>
      <c r="BK1519" s="1"/>
      <c r="BL1519" s="1"/>
      <c r="BM1519" s="1"/>
      <c r="BN1519" s="1"/>
      <c r="BO1519" s="1"/>
      <c r="BP1519" s="1"/>
      <c r="BQ1519" s="1"/>
      <c r="BR1519" s="1"/>
      <c r="BS1519" s="1"/>
      <c r="BT1519" s="1"/>
      <c r="BU1519" s="1"/>
      <c r="BV1519" s="1"/>
      <c r="BW1519" s="1"/>
      <c r="BX1519" s="1"/>
      <c r="BY1519" s="1"/>
      <c r="BZ1519" s="1"/>
      <c r="CA1519" s="1"/>
      <c r="CB1519" s="1"/>
      <c r="CC1519" s="1"/>
      <c r="CD1519" s="1"/>
      <c r="CE1519" s="1"/>
      <c r="CF1519" s="1"/>
      <c r="CG1519" s="1"/>
      <c r="CH1519" s="1"/>
      <c r="CI1519" s="1"/>
      <c r="CJ1519" s="1"/>
      <c r="CK1519" s="1"/>
      <c r="CL1519" s="1"/>
      <c r="CM1519" s="1"/>
      <c r="CN1519" s="1"/>
      <c r="CO1519" s="1"/>
      <c r="CP1519" s="1"/>
      <c r="CQ1519" s="1"/>
      <c r="CR1519" s="1"/>
      <c r="CS1519" s="1"/>
      <c r="CT1519" s="1"/>
      <c r="CU1519" s="1"/>
      <c r="CV1519" s="1"/>
      <c r="CW1519" s="1"/>
      <c r="CX1519" s="1"/>
      <c r="CY1519" s="1"/>
      <c r="CZ1519" s="1"/>
      <c r="DA1519" s="1"/>
      <c r="DB1519" s="1"/>
      <c r="DC1519" s="1"/>
    </row>
    <row r="1520" spans="1:107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  <c r="AX1520" s="1"/>
      <c r="AY1520" s="1"/>
      <c r="AZ1520" s="1"/>
      <c r="BA1520" s="1"/>
      <c r="BB1520" s="1"/>
      <c r="BC1520" s="1"/>
      <c r="BD1520" s="1"/>
      <c r="BE1520" s="1"/>
      <c r="BF1520" s="1"/>
      <c r="BG1520" s="1"/>
      <c r="BH1520" s="1"/>
      <c r="BI1520" s="1"/>
      <c r="BJ1520" s="1"/>
      <c r="BK1520" s="1"/>
      <c r="BL1520" s="1"/>
      <c r="BM1520" s="1"/>
      <c r="BN1520" s="1"/>
      <c r="BO1520" s="1"/>
      <c r="BP1520" s="1"/>
      <c r="BQ1520" s="1"/>
      <c r="BR1520" s="1"/>
      <c r="BS1520" s="1"/>
      <c r="BT1520" s="1"/>
      <c r="BU1520" s="1"/>
      <c r="BV1520" s="1"/>
      <c r="BW1520" s="1"/>
      <c r="BX1520" s="1"/>
      <c r="BY1520" s="1"/>
      <c r="BZ1520" s="1"/>
      <c r="CA1520" s="1"/>
      <c r="CB1520" s="1"/>
      <c r="CC1520" s="1"/>
      <c r="CD1520" s="1"/>
      <c r="CE1520" s="1"/>
      <c r="CF1520" s="1"/>
      <c r="CG1520" s="1"/>
      <c r="CH1520" s="1"/>
      <c r="CI1520" s="1"/>
      <c r="CJ1520" s="1"/>
      <c r="CK1520" s="1"/>
      <c r="CL1520" s="1"/>
      <c r="CM1520" s="1"/>
      <c r="CN1520" s="1"/>
      <c r="CO1520" s="1"/>
      <c r="CP1520" s="1"/>
      <c r="CQ1520" s="1"/>
      <c r="CR1520" s="1"/>
      <c r="CS1520" s="1"/>
      <c r="CT1520" s="1"/>
      <c r="CU1520" s="1"/>
      <c r="CV1520" s="1"/>
      <c r="CW1520" s="1"/>
      <c r="CX1520" s="1"/>
      <c r="CY1520" s="1"/>
      <c r="CZ1520" s="1"/>
      <c r="DA1520" s="1"/>
      <c r="DB1520" s="1"/>
      <c r="DC1520" s="1"/>
    </row>
    <row r="1521" spans="1:107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1"/>
      <c r="AY1521" s="1"/>
      <c r="AZ1521" s="1"/>
      <c r="BA1521" s="1"/>
      <c r="BB1521" s="1"/>
      <c r="BC1521" s="1"/>
      <c r="BD1521" s="1"/>
      <c r="BE1521" s="1"/>
      <c r="BF1521" s="1"/>
      <c r="BG1521" s="1"/>
      <c r="BH1521" s="1"/>
      <c r="BI1521" s="1"/>
      <c r="BJ1521" s="1"/>
      <c r="BK1521" s="1"/>
      <c r="BL1521" s="1"/>
      <c r="BM1521" s="1"/>
      <c r="BN1521" s="1"/>
      <c r="BO1521" s="1"/>
      <c r="BP1521" s="1"/>
      <c r="BQ1521" s="1"/>
      <c r="BR1521" s="1"/>
      <c r="BS1521" s="1"/>
      <c r="BT1521" s="1"/>
      <c r="BU1521" s="1"/>
      <c r="BV1521" s="1"/>
      <c r="BW1521" s="1"/>
      <c r="BX1521" s="1"/>
      <c r="BY1521" s="1"/>
      <c r="BZ1521" s="1"/>
      <c r="CA1521" s="1"/>
      <c r="CB1521" s="1"/>
      <c r="CC1521" s="1"/>
      <c r="CD1521" s="1"/>
      <c r="CE1521" s="1"/>
      <c r="CF1521" s="1"/>
      <c r="CG1521" s="1"/>
      <c r="CH1521" s="1"/>
      <c r="CI1521" s="1"/>
      <c r="CJ1521" s="1"/>
      <c r="CK1521" s="1"/>
      <c r="CL1521" s="1"/>
      <c r="CM1521" s="1"/>
      <c r="CN1521" s="1"/>
      <c r="CO1521" s="1"/>
      <c r="CP1521" s="1"/>
      <c r="CQ1521" s="1"/>
      <c r="CR1521" s="1"/>
      <c r="CS1521" s="1"/>
      <c r="CT1521" s="1"/>
      <c r="CU1521" s="1"/>
      <c r="CV1521" s="1"/>
      <c r="CW1521" s="1"/>
      <c r="CX1521" s="1"/>
      <c r="CY1521" s="1"/>
      <c r="CZ1521" s="1"/>
      <c r="DA1521" s="1"/>
      <c r="DB1521" s="1"/>
      <c r="DC1521" s="1"/>
    </row>
    <row r="1522" spans="1:107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  <c r="AY1522" s="1"/>
      <c r="AZ1522" s="1"/>
      <c r="BA1522" s="1"/>
      <c r="BB1522" s="1"/>
      <c r="BC1522" s="1"/>
      <c r="BD1522" s="1"/>
      <c r="BE1522" s="1"/>
      <c r="BF1522" s="1"/>
      <c r="BG1522" s="1"/>
      <c r="BH1522" s="1"/>
      <c r="BI1522" s="1"/>
      <c r="BJ1522" s="1"/>
      <c r="BK1522" s="1"/>
      <c r="BL1522" s="1"/>
      <c r="BM1522" s="1"/>
      <c r="BN1522" s="1"/>
      <c r="BO1522" s="1"/>
      <c r="BP1522" s="1"/>
      <c r="BQ1522" s="1"/>
      <c r="BR1522" s="1"/>
      <c r="BS1522" s="1"/>
      <c r="BT1522" s="1"/>
      <c r="BU1522" s="1"/>
      <c r="BV1522" s="1"/>
      <c r="BW1522" s="1"/>
      <c r="BX1522" s="1"/>
      <c r="BY1522" s="1"/>
      <c r="BZ1522" s="1"/>
      <c r="CA1522" s="1"/>
      <c r="CB1522" s="1"/>
      <c r="CC1522" s="1"/>
      <c r="CD1522" s="1"/>
      <c r="CE1522" s="1"/>
      <c r="CF1522" s="1"/>
      <c r="CG1522" s="1"/>
      <c r="CH1522" s="1"/>
      <c r="CI1522" s="1"/>
      <c r="CJ1522" s="1"/>
      <c r="CK1522" s="1"/>
      <c r="CL1522" s="1"/>
      <c r="CM1522" s="1"/>
      <c r="CN1522" s="1"/>
      <c r="CO1522" s="1"/>
      <c r="CP1522" s="1"/>
      <c r="CQ1522" s="1"/>
      <c r="CR1522" s="1"/>
      <c r="CS1522" s="1"/>
      <c r="CT1522" s="1"/>
      <c r="CU1522" s="1"/>
      <c r="CV1522" s="1"/>
      <c r="CW1522" s="1"/>
      <c r="CX1522" s="1"/>
      <c r="CY1522" s="1"/>
      <c r="CZ1522" s="1"/>
      <c r="DA1522" s="1"/>
      <c r="DB1522" s="1"/>
      <c r="DC1522" s="1"/>
    </row>
    <row r="1523" spans="1:107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X1523" s="1"/>
      <c r="AY1523" s="1"/>
      <c r="AZ1523" s="1"/>
      <c r="BA1523" s="1"/>
      <c r="BB1523" s="1"/>
      <c r="BC1523" s="1"/>
      <c r="BD1523" s="1"/>
      <c r="BE1523" s="1"/>
      <c r="BF1523" s="1"/>
      <c r="BG1523" s="1"/>
      <c r="BH1523" s="1"/>
      <c r="BI1523" s="1"/>
      <c r="BJ1523" s="1"/>
      <c r="BK1523" s="1"/>
      <c r="BL1523" s="1"/>
      <c r="BM1523" s="1"/>
      <c r="BN1523" s="1"/>
      <c r="BO1523" s="1"/>
      <c r="BP1523" s="1"/>
      <c r="BQ1523" s="1"/>
      <c r="BR1523" s="1"/>
      <c r="BS1523" s="1"/>
      <c r="BT1523" s="1"/>
      <c r="BU1523" s="1"/>
      <c r="BV1523" s="1"/>
      <c r="BW1523" s="1"/>
      <c r="BX1523" s="1"/>
      <c r="BY1523" s="1"/>
      <c r="BZ1523" s="1"/>
      <c r="CA1523" s="1"/>
      <c r="CB1523" s="1"/>
      <c r="CC1523" s="1"/>
      <c r="CD1523" s="1"/>
      <c r="CE1523" s="1"/>
      <c r="CF1523" s="1"/>
      <c r="CG1523" s="1"/>
      <c r="CH1523" s="1"/>
      <c r="CI1523" s="1"/>
      <c r="CJ1523" s="1"/>
      <c r="CK1523" s="1"/>
      <c r="CL1523" s="1"/>
      <c r="CM1523" s="1"/>
      <c r="CN1523" s="1"/>
      <c r="CO1523" s="1"/>
      <c r="CP1523" s="1"/>
      <c r="CQ1523" s="1"/>
      <c r="CR1523" s="1"/>
      <c r="CS1523" s="1"/>
      <c r="CT1523" s="1"/>
      <c r="CU1523" s="1"/>
      <c r="CV1523" s="1"/>
      <c r="CW1523" s="1"/>
      <c r="CX1523" s="1"/>
      <c r="CY1523" s="1"/>
      <c r="CZ1523" s="1"/>
      <c r="DA1523" s="1"/>
      <c r="DB1523" s="1"/>
      <c r="DC1523" s="1"/>
    </row>
    <row r="1524" spans="1:107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1"/>
      <c r="AY1524" s="1"/>
      <c r="AZ1524" s="1"/>
      <c r="BA1524" s="1"/>
      <c r="BB1524" s="1"/>
      <c r="BC1524" s="1"/>
      <c r="BD1524" s="1"/>
      <c r="BE1524" s="1"/>
      <c r="BF1524" s="1"/>
      <c r="BG1524" s="1"/>
      <c r="BH1524" s="1"/>
      <c r="BI1524" s="1"/>
      <c r="BJ1524" s="1"/>
      <c r="BK1524" s="1"/>
      <c r="BL1524" s="1"/>
      <c r="BM1524" s="1"/>
      <c r="BN1524" s="1"/>
      <c r="BO1524" s="1"/>
      <c r="BP1524" s="1"/>
      <c r="BQ1524" s="1"/>
      <c r="BR1524" s="1"/>
      <c r="BS1524" s="1"/>
      <c r="BT1524" s="1"/>
      <c r="BU1524" s="1"/>
      <c r="BV1524" s="1"/>
      <c r="BW1524" s="1"/>
      <c r="BX1524" s="1"/>
      <c r="BY1524" s="1"/>
      <c r="BZ1524" s="1"/>
      <c r="CA1524" s="1"/>
      <c r="CB1524" s="1"/>
      <c r="CC1524" s="1"/>
      <c r="CD1524" s="1"/>
      <c r="CE1524" s="1"/>
      <c r="CF1524" s="1"/>
      <c r="CG1524" s="1"/>
      <c r="CH1524" s="1"/>
      <c r="CI1524" s="1"/>
      <c r="CJ1524" s="1"/>
      <c r="CK1524" s="1"/>
      <c r="CL1524" s="1"/>
      <c r="CM1524" s="1"/>
      <c r="CN1524" s="1"/>
      <c r="CO1524" s="1"/>
      <c r="CP1524" s="1"/>
      <c r="CQ1524" s="1"/>
      <c r="CR1524" s="1"/>
      <c r="CS1524" s="1"/>
      <c r="CT1524" s="1"/>
      <c r="CU1524" s="1"/>
      <c r="CV1524" s="1"/>
      <c r="CW1524" s="1"/>
      <c r="CX1524" s="1"/>
      <c r="CY1524" s="1"/>
      <c r="CZ1524" s="1"/>
      <c r="DA1524" s="1"/>
      <c r="DB1524" s="1"/>
      <c r="DC1524" s="1"/>
    </row>
    <row r="1525" spans="1:107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"/>
      <c r="AV1525" s="1"/>
      <c r="AW1525" s="1"/>
      <c r="AX1525" s="1"/>
      <c r="AY1525" s="1"/>
      <c r="AZ1525" s="1"/>
      <c r="BA1525" s="1"/>
      <c r="BB1525" s="1"/>
      <c r="BC1525" s="1"/>
      <c r="BD1525" s="1"/>
      <c r="BE1525" s="1"/>
      <c r="BF1525" s="1"/>
      <c r="BG1525" s="1"/>
      <c r="BH1525" s="1"/>
      <c r="BI1525" s="1"/>
      <c r="BJ1525" s="1"/>
      <c r="BK1525" s="1"/>
      <c r="BL1525" s="1"/>
      <c r="BM1525" s="1"/>
      <c r="BN1525" s="1"/>
      <c r="BO1525" s="1"/>
      <c r="BP1525" s="1"/>
      <c r="BQ1525" s="1"/>
      <c r="BR1525" s="1"/>
      <c r="BS1525" s="1"/>
      <c r="BT1525" s="1"/>
      <c r="BU1525" s="1"/>
      <c r="BV1525" s="1"/>
      <c r="BW1525" s="1"/>
      <c r="BX1525" s="1"/>
      <c r="BY1525" s="1"/>
      <c r="BZ1525" s="1"/>
      <c r="CA1525" s="1"/>
      <c r="CB1525" s="1"/>
      <c r="CC1525" s="1"/>
      <c r="CD1525" s="1"/>
      <c r="CE1525" s="1"/>
      <c r="CF1525" s="1"/>
      <c r="CG1525" s="1"/>
      <c r="CH1525" s="1"/>
      <c r="CI1525" s="1"/>
      <c r="CJ1525" s="1"/>
      <c r="CK1525" s="1"/>
      <c r="CL1525" s="1"/>
      <c r="CM1525" s="1"/>
      <c r="CN1525" s="1"/>
      <c r="CO1525" s="1"/>
      <c r="CP1525" s="1"/>
      <c r="CQ1525" s="1"/>
      <c r="CR1525" s="1"/>
      <c r="CS1525" s="1"/>
      <c r="CT1525" s="1"/>
      <c r="CU1525" s="1"/>
      <c r="CV1525" s="1"/>
      <c r="CW1525" s="1"/>
      <c r="CX1525" s="1"/>
      <c r="CY1525" s="1"/>
      <c r="CZ1525" s="1"/>
      <c r="DA1525" s="1"/>
      <c r="DB1525" s="1"/>
      <c r="DC1525" s="1"/>
    </row>
    <row r="1526" spans="1:107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AW1526" s="1"/>
      <c r="AX1526" s="1"/>
      <c r="AY1526" s="1"/>
      <c r="AZ1526" s="1"/>
      <c r="BA1526" s="1"/>
      <c r="BB1526" s="1"/>
      <c r="BC1526" s="1"/>
      <c r="BD1526" s="1"/>
      <c r="BE1526" s="1"/>
      <c r="BF1526" s="1"/>
      <c r="BG1526" s="1"/>
      <c r="BH1526" s="1"/>
      <c r="BI1526" s="1"/>
      <c r="BJ1526" s="1"/>
      <c r="BK1526" s="1"/>
      <c r="BL1526" s="1"/>
      <c r="BM1526" s="1"/>
      <c r="BN1526" s="1"/>
      <c r="BO1526" s="1"/>
      <c r="BP1526" s="1"/>
      <c r="BQ1526" s="1"/>
      <c r="BR1526" s="1"/>
      <c r="BS1526" s="1"/>
      <c r="BT1526" s="1"/>
      <c r="BU1526" s="1"/>
      <c r="BV1526" s="1"/>
      <c r="BW1526" s="1"/>
      <c r="BX1526" s="1"/>
      <c r="BY1526" s="1"/>
      <c r="BZ1526" s="1"/>
      <c r="CA1526" s="1"/>
      <c r="CB1526" s="1"/>
      <c r="CC1526" s="1"/>
      <c r="CD1526" s="1"/>
      <c r="CE1526" s="1"/>
      <c r="CF1526" s="1"/>
      <c r="CG1526" s="1"/>
      <c r="CH1526" s="1"/>
      <c r="CI1526" s="1"/>
      <c r="CJ1526" s="1"/>
      <c r="CK1526" s="1"/>
      <c r="CL1526" s="1"/>
      <c r="CM1526" s="1"/>
      <c r="CN1526" s="1"/>
      <c r="CO1526" s="1"/>
      <c r="CP1526" s="1"/>
      <c r="CQ1526" s="1"/>
      <c r="CR1526" s="1"/>
      <c r="CS1526" s="1"/>
      <c r="CT1526" s="1"/>
      <c r="CU1526" s="1"/>
      <c r="CV1526" s="1"/>
      <c r="CW1526" s="1"/>
      <c r="CX1526" s="1"/>
      <c r="CY1526" s="1"/>
      <c r="CZ1526" s="1"/>
      <c r="DA1526" s="1"/>
      <c r="DB1526" s="1"/>
      <c r="DC1526" s="1"/>
    </row>
    <row r="1527" spans="1:107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/>
      <c r="AY1527" s="1"/>
      <c r="AZ1527" s="1"/>
      <c r="BA1527" s="1"/>
      <c r="BB1527" s="1"/>
      <c r="BC1527" s="1"/>
      <c r="BD1527" s="1"/>
      <c r="BE1527" s="1"/>
      <c r="BF1527" s="1"/>
      <c r="BG1527" s="1"/>
      <c r="BH1527" s="1"/>
      <c r="BI1527" s="1"/>
      <c r="BJ1527" s="1"/>
      <c r="BK1527" s="1"/>
      <c r="BL1527" s="1"/>
      <c r="BM1527" s="1"/>
      <c r="BN1527" s="1"/>
      <c r="BO1527" s="1"/>
      <c r="BP1527" s="1"/>
      <c r="BQ1527" s="1"/>
      <c r="BR1527" s="1"/>
      <c r="BS1527" s="1"/>
      <c r="BT1527" s="1"/>
      <c r="BU1527" s="1"/>
      <c r="BV1527" s="1"/>
      <c r="BW1527" s="1"/>
      <c r="BX1527" s="1"/>
      <c r="BY1527" s="1"/>
      <c r="BZ1527" s="1"/>
      <c r="CA1527" s="1"/>
      <c r="CB1527" s="1"/>
      <c r="CC1527" s="1"/>
      <c r="CD1527" s="1"/>
      <c r="CE1527" s="1"/>
      <c r="CF1527" s="1"/>
      <c r="CG1527" s="1"/>
      <c r="CH1527" s="1"/>
      <c r="CI1527" s="1"/>
      <c r="CJ1527" s="1"/>
      <c r="CK1527" s="1"/>
      <c r="CL1527" s="1"/>
      <c r="CM1527" s="1"/>
      <c r="CN1527" s="1"/>
      <c r="CO1527" s="1"/>
      <c r="CP1527" s="1"/>
      <c r="CQ1527" s="1"/>
      <c r="CR1527" s="1"/>
      <c r="CS1527" s="1"/>
      <c r="CT1527" s="1"/>
      <c r="CU1527" s="1"/>
      <c r="CV1527" s="1"/>
      <c r="CW1527" s="1"/>
      <c r="CX1527" s="1"/>
      <c r="CY1527" s="1"/>
      <c r="CZ1527" s="1"/>
      <c r="DA1527" s="1"/>
      <c r="DB1527" s="1"/>
      <c r="DC1527" s="1"/>
    </row>
    <row r="1528" spans="1:107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AW1528" s="1"/>
      <c r="AX1528" s="1"/>
      <c r="AY1528" s="1"/>
      <c r="AZ1528" s="1"/>
      <c r="BA1528" s="1"/>
      <c r="BB1528" s="1"/>
      <c r="BC1528" s="1"/>
      <c r="BD1528" s="1"/>
      <c r="BE1528" s="1"/>
      <c r="BF1528" s="1"/>
      <c r="BG1528" s="1"/>
      <c r="BH1528" s="1"/>
      <c r="BI1528" s="1"/>
      <c r="BJ1528" s="1"/>
      <c r="BK1528" s="1"/>
      <c r="BL1528" s="1"/>
      <c r="BM1528" s="1"/>
      <c r="BN1528" s="1"/>
      <c r="BO1528" s="1"/>
      <c r="BP1528" s="1"/>
      <c r="BQ1528" s="1"/>
      <c r="BR1528" s="1"/>
      <c r="BS1528" s="1"/>
      <c r="BT1528" s="1"/>
      <c r="BU1528" s="1"/>
      <c r="BV1528" s="1"/>
      <c r="BW1528" s="1"/>
      <c r="BX1528" s="1"/>
      <c r="BY1528" s="1"/>
      <c r="BZ1528" s="1"/>
      <c r="CA1528" s="1"/>
      <c r="CB1528" s="1"/>
      <c r="CC1528" s="1"/>
      <c r="CD1528" s="1"/>
      <c r="CE1528" s="1"/>
      <c r="CF1528" s="1"/>
      <c r="CG1528" s="1"/>
      <c r="CH1528" s="1"/>
      <c r="CI1528" s="1"/>
      <c r="CJ1528" s="1"/>
      <c r="CK1528" s="1"/>
      <c r="CL1528" s="1"/>
      <c r="CM1528" s="1"/>
      <c r="CN1528" s="1"/>
      <c r="CO1528" s="1"/>
      <c r="CP1528" s="1"/>
      <c r="CQ1528" s="1"/>
      <c r="CR1528" s="1"/>
      <c r="CS1528" s="1"/>
      <c r="CT1528" s="1"/>
      <c r="CU1528" s="1"/>
      <c r="CV1528" s="1"/>
      <c r="CW1528" s="1"/>
      <c r="CX1528" s="1"/>
      <c r="CY1528" s="1"/>
      <c r="CZ1528" s="1"/>
      <c r="DA1528" s="1"/>
      <c r="DB1528" s="1"/>
      <c r="DC1528" s="1"/>
    </row>
    <row r="1529" spans="1:107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AW1529" s="1"/>
      <c r="AX1529" s="1"/>
      <c r="AY1529" s="1"/>
      <c r="AZ1529" s="1"/>
      <c r="BA1529" s="1"/>
      <c r="BB1529" s="1"/>
      <c r="BC1529" s="1"/>
      <c r="BD1529" s="1"/>
      <c r="BE1529" s="1"/>
      <c r="BF1529" s="1"/>
      <c r="BG1529" s="1"/>
      <c r="BH1529" s="1"/>
      <c r="BI1529" s="1"/>
      <c r="BJ1529" s="1"/>
      <c r="BK1529" s="1"/>
      <c r="BL1529" s="1"/>
      <c r="BM1529" s="1"/>
      <c r="BN1529" s="1"/>
      <c r="BO1529" s="1"/>
      <c r="BP1529" s="1"/>
      <c r="BQ1529" s="1"/>
      <c r="BR1529" s="1"/>
      <c r="BS1529" s="1"/>
      <c r="BT1529" s="1"/>
      <c r="BU1529" s="1"/>
      <c r="BV1529" s="1"/>
      <c r="BW1529" s="1"/>
      <c r="BX1529" s="1"/>
      <c r="BY1529" s="1"/>
      <c r="BZ1529" s="1"/>
      <c r="CA1529" s="1"/>
      <c r="CB1529" s="1"/>
      <c r="CC1529" s="1"/>
      <c r="CD1529" s="1"/>
      <c r="CE1529" s="1"/>
      <c r="CF1529" s="1"/>
      <c r="CG1529" s="1"/>
      <c r="CH1529" s="1"/>
      <c r="CI1529" s="1"/>
      <c r="CJ1529" s="1"/>
      <c r="CK1529" s="1"/>
      <c r="CL1529" s="1"/>
      <c r="CM1529" s="1"/>
      <c r="CN1529" s="1"/>
      <c r="CO1529" s="1"/>
      <c r="CP1529" s="1"/>
      <c r="CQ1529" s="1"/>
      <c r="CR1529" s="1"/>
      <c r="CS1529" s="1"/>
      <c r="CT1529" s="1"/>
      <c r="CU1529" s="1"/>
      <c r="CV1529" s="1"/>
      <c r="CW1529" s="1"/>
      <c r="CX1529" s="1"/>
      <c r="CY1529" s="1"/>
      <c r="CZ1529" s="1"/>
      <c r="DA1529" s="1"/>
      <c r="DB1529" s="1"/>
      <c r="DC1529" s="1"/>
    </row>
    <row r="1530" spans="1:107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/>
      <c r="AY1530" s="1"/>
      <c r="AZ1530" s="1"/>
      <c r="BA1530" s="1"/>
      <c r="BB1530" s="1"/>
      <c r="BC1530" s="1"/>
      <c r="BD1530" s="1"/>
      <c r="BE1530" s="1"/>
      <c r="BF1530" s="1"/>
      <c r="BG1530" s="1"/>
      <c r="BH1530" s="1"/>
      <c r="BI1530" s="1"/>
      <c r="BJ1530" s="1"/>
      <c r="BK1530" s="1"/>
      <c r="BL1530" s="1"/>
      <c r="BM1530" s="1"/>
      <c r="BN1530" s="1"/>
      <c r="BO1530" s="1"/>
      <c r="BP1530" s="1"/>
      <c r="BQ1530" s="1"/>
      <c r="BR1530" s="1"/>
      <c r="BS1530" s="1"/>
      <c r="BT1530" s="1"/>
      <c r="BU1530" s="1"/>
      <c r="BV1530" s="1"/>
      <c r="BW1530" s="1"/>
      <c r="BX1530" s="1"/>
      <c r="BY1530" s="1"/>
      <c r="BZ1530" s="1"/>
      <c r="CA1530" s="1"/>
      <c r="CB1530" s="1"/>
      <c r="CC1530" s="1"/>
      <c r="CD1530" s="1"/>
      <c r="CE1530" s="1"/>
      <c r="CF1530" s="1"/>
      <c r="CG1530" s="1"/>
      <c r="CH1530" s="1"/>
      <c r="CI1530" s="1"/>
      <c r="CJ1530" s="1"/>
      <c r="CK1530" s="1"/>
      <c r="CL1530" s="1"/>
      <c r="CM1530" s="1"/>
      <c r="CN1530" s="1"/>
      <c r="CO1530" s="1"/>
      <c r="CP1530" s="1"/>
      <c r="CQ1530" s="1"/>
      <c r="CR1530" s="1"/>
      <c r="CS1530" s="1"/>
      <c r="CT1530" s="1"/>
      <c r="CU1530" s="1"/>
      <c r="CV1530" s="1"/>
      <c r="CW1530" s="1"/>
      <c r="CX1530" s="1"/>
      <c r="CY1530" s="1"/>
      <c r="CZ1530" s="1"/>
      <c r="DA1530" s="1"/>
      <c r="DB1530" s="1"/>
      <c r="DC1530" s="1"/>
    </row>
    <row r="1531" spans="1:107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/>
      <c r="AY1531" s="1"/>
      <c r="AZ1531" s="1"/>
      <c r="BA1531" s="1"/>
      <c r="BB1531" s="1"/>
      <c r="BC1531" s="1"/>
      <c r="BD1531" s="1"/>
      <c r="BE1531" s="1"/>
      <c r="BF1531" s="1"/>
      <c r="BG1531" s="1"/>
      <c r="BH1531" s="1"/>
      <c r="BI1531" s="1"/>
      <c r="BJ1531" s="1"/>
      <c r="BK1531" s="1"/>
      <c r="BL1531" s="1"/>
      <c r="BM1531" s="1"/>
      <c r="BN1531" s="1"/>
      <c r="BO1531" s="1"/>
      <c r="BP1531" s="1"/>
      <c r="BQ1531" s="1"/>
      <c r="BR1531" s="1"/>
      <c r="BS1531" s="1"/>
      <c r="BT1531" s="1"/>
      <c r="BU1531" s="1"/>
      <c r="BV1531" s="1"/>
      <c r="BW1531" s="1"/>
      <c r="BX1531" s="1"/>
      <c r="BY1531" s="1"/>
      <c r="BZ1531" s="1"/>
      <c r="CA1531" s="1"/>
      <c r="CB1531" s="1"/>
      <c r="CC1531" s="1"/>
      <c r="CD1531" s="1"/>
      <c r="CE1531" s="1"/>
      <c r="CF1531" s="1"/>
      <c r="CG1531" s="1"/>
      <c r="CH1531" s="1"/>
      <c r="CI1531" s="1"/>
      <c r="CJ1531" s="1"/>
      <c r="CK1531" s="1"/>
      <c r="CL1531" s="1"/>
      <c r="CM1531" s="1"/>
      <c r="CN1531" s="1"/>
      <c r="CO1531" s="1"/>
      <c r="CP1531" s="1"/>
      <c r="CQ1531" s="1"/>
      <c r="CR1531" s="1"/>
      <c r="CS1531" s="1"/>
      <c r="CT1531" s="1"/>
      <c r="CU1531" s="1"/>
      <c r="CV1531" s="1"/>
      <c r="CW1531" s="1"/>
      <c r="CX1531" s="1"/>
      <c r="CY1531" s="1"/>
      <c r="CZ1531" s="1"/>
      <c r="DA1531" s="1"/>
      <c r="DB1531" s="1"/>
      <c r="DC1531" s="1"/>
    </row>
    <row r="1532" spans="1:107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X1532" s="1"/>
      <c r="AY1532" s="1"/>
      <c r="AZ1532" s="1"/>
      <c r="BA1532" s="1"/>
      <c r="BB1532" s="1"/>
      <c r="BC1532" s="1"/>
      <c r="BD1532" s="1"/>
      <c r="BE1532" s="1"/>
      <c r="BF1532" s="1"/>
      <c r="BG1532" s="1"/>
      <c r="BH1532" s="1"/>
      <c r="BI1532" s="1"/>
      <c r="BJ1532" s="1"/>
      <c r="BK1532" s="1"/>
      <c r="BL1532" s="1"/>
      <c r="BM1532" s="1"/>
      <c r="BN1532" s="1"/>
      <c r="BO1532" s="1"/>
      <c r="BP1532" s="1"/>
      <c r="BQ1532" s="1"/>
      <c r="BR1532" s="1"/>
      <c r="BS1532" s="1"/>
      <c r="BT1532" s="1"/>
      <c r="BU1532" s="1"/>
      <c r="BV1532" s="1"/>
      <c r="BW1532" s="1"/>
      <c r="BX1532" s="1"/>
      <c r="BY1532" s="1"/>
      <c r="BZ1532" s="1"/>
      <c r="CA1532" s="1"/>
      <c r="CB1532" s="1"/>
      <c r="CC1532" s="1"/>
      <c r="CD1532" s="1"/>
      <c r="CE1532" s="1"/>
      <c r="CF1532" s="1"/>
      <c r="CG1532" s="1"/>
      <c r="CH1532" s="1"/>
      <c r="CI1532" s="1"/>
      <c r="CJ1532" s="1"/>
      <c r="CK1532" s="1"/>
      <c r="CL1532" s="1"/>
      <c r="CM1532" s="1"/>
      <c r="CN1532" s="1"/>
      <c r="CO1532" s="1"/>
      <c r="CP1532" s="1"/>
      <c r="CQ1532" s="1"/>
      <c r="CR1532" s="1"/>
      <c r="CS1532" s="1"/>
      <c r="CT1532" s="1"/>
      <c r="CU1532" s="1"/>
      <c r="CV1532" s="1"/>
      <c r="CW1532" s="1"/>
      <c r="CX1532" s="1"/>
      <c r="CY1532" s="1"/>
      <c r="CZ1532" s="1"/>
      <c r="DA1532" s="1"/>
      <c r="DB1532" s="1"/>
      <c r="DC1532" s="1"/>
    </row>
    <row r="1533" spans="1:107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/>
      <c r="AV1533" s="1"/>
      <c r="AW1533" s="1"/>
      <c r="AX1533" s="1"/>
      <c r="AY1533" s="1"/>
      <c r="AZ1533" s="1"/>
      <c r="BA1533" s="1"/>
      <c r="BB1533" s="1"/>
      <c r="BC1533" s="1"/>
      <c r="BD1533" s="1"/>
      <c r="BE1533" s="1"/>
      <c r="BF1533" s="1"/>
      <c r="BG1533" s="1"/>
      <c r="BH1533" s="1"/>
      <c r="BI1533" s="1"/>
      <c r="BJ1533" s="1"/>
      <c r="BK1533" s="1"/>
      <c r="BL1533" s="1"/>
      <c r="BM1533" s="1"/>
      <c r="BN1533" s="1"/>
      <c r="BO1533" s="1"/>
      <c r="BP1533" s="1"/>
      <c r="BQ1533" s="1"/>
      <c r="BR1533" s="1"/>
      <c r="BS1533" s="1"/>
      <c r="BT1533" s="1"/>
      <c r="BU1533" s="1"/>
      <c r="BV1533" s="1"/>
      <c r="BW1533" s="1"/>
      <c r="BX1533" s="1"/>
      <c r="BY1533" s="1"/>
      <c r="BZ1533" s="1"/>
      <c r="CA1533" s="1"/>
      <c r="CB1533" s="1"/>
      <c r="CC1533" s="1"/>
      <c r="CD1533" s="1"/>
      <c r="CE1533" s="1"/>
      <c r="CF1533" s="1"/>
      <c r="CG1533" s="1"/>
      <c r="CH1533" s="1"/>
      <c r="CI1533" s="1"/>
      <c r="CJ1533" s="1"/>
      <c r="CK1533" s="1"/>
      <c r="CL1533" s="1"/>
      <c r="CM1533" s="1"/>
      <c r="CN1533" s="1"/>
      <c r="CO1533" s="1"/>
      <c r="CP1533" s="1"/>
      <c r="CQ1533" s="1"/>
      <c r="CR1533" s="1"/>
      <c r="CS1533" s="1"/>
      <c r="CT1533" s="1"/>
      <c r="CU1533" s="1"/>
      <c r="CV1533" s="1"/>
      <c r="CW1533" s="1"/>
      <c r="CX1533" s="1"/>
      <c r="CY1533" s="1"/>
      <c r="CZ1533" s="1"/>
      <c r="DA1533" s="1"/>
      <c r="DB1533" s="1"/>
      <c r="DC1533" s="1"/>
    </row>
    <row r="1534" spans="1:107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  <c r="AX1534" s="1"/>
      <c r="AY1534" s="1"/>
      <c r="AZ1534" s="1"/>
      <c r="BA1534" s="1"/>
      <c r="BB1534" s="1"/>
      <c r="BC1534" s="1"/>
      <c r="BD1534" s="1"/>
      <c r="BE1534" s="1"/>
      <c r="BF1534" s="1"/>
      <c r="BG1534" s="1"/>
      <c r="BH1534" s="1"/>
      <c r="BI1534" s="1"/>
      <c r="BJ1534" s="1"/>
      <c r="BK1534" s="1"/>
      <c r="BL1534" s="1"/>
      <c r="BM1534" s="1"/>
      <c r="BN1534" s="1"/>
      <c r="BO1534" s="1"/>
      <c r="BP1534" s="1"/>
      <c r="BQ1534" s="1"/>
      <c r="BR1534" s="1"/>
      <c r="BS1534" s="1"/>
      <c r="BT1534" s="1"/>
      <c r="BU1534" s="1"/>
      <c r="BV1534" s="1"/>
      <c r="BW1534" s="1"/>
      <c r="BX1534" s="1"/>
      <c r="BY1534" s="1"/>
      <c r="BZ1534" s="1"/>
      <c r="CA1534" s="1"/>
      <c r="CB1534" s="1"/>
      <c r="CC1534" s="1"/>
      <c r="CD1534" s="1"/>
      <c r="CE1534" s="1"/>
      <c r="CF1534" s="1"/>
      <c r="CG1534" s="1"/>
      <c r="CH1534" s="1"/>
      <c r="CI1534" s="1"/>
      <c r="CJ1534" s="1"/>
      <c r="CK1534" s="1"/>
      <c r="CL1534" s="1"/>
      <c r="CM1534" s="1"/>
      <c r="CN1534" s="1"/>
      <c r="CO1534" s="1"/>
      <c r="CP1534" s="1"/>
      <c r="CQ1534" s="1"/>
      <c r="CR1534" s="1"/>
      <c r="CS1534" s="1"/>
      <c r="CT1534" s="1"/>
      <c r="CU1534" s="1"/>
      <c r="CV1534" s="1"/>
      <c r="CW1534" s="1"/>
      <c r="CX1534" s="1"/>
      <c r="CY1534" s="1"/>
      <c r="CZ1534" s="1"/>
      <c r="DA1534" s="1"/>
      <c r="DB1534" s="1"/>
      <c r="DC1534" s="1"/>
    </row>
    <row r="1535" spans="1:107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  <c r="AW1535" s="1"/>
      <c r="AX1535" s="1"/>
      <c r="AY1535" s="1"/>
      <c r="AZ1535" s="1"/>
      <c r="BA1535" s="1"/>
      <c r="BB1535" s="1"/>
      <c r="BC1535" s="1"/>
      <c r="BD1535" s="1"/>
      <c r="BE1535" s="1"/>
      <c r="BF1535" s="1"/>
      <c r="BG1535" s="1"/>
      <c r="BH1535" s="1"/>
      <c r="BI1535" s="1"/>
      <c r="BJ1535" s="1"/>
      <c r="BK1535" s="1"/>
      <c r="BL1535" s="1"/>
      <c r="BM1535" s="1"/>
      <c r="BN1535" s="1"/>
      <c r="BO1535" s="1"/>
      <c r="BP1535" s="1"/>
      <c r="BQ1535" s="1"/>
      <c r="BR1535" s="1"/>
      <c r="BS1535" s="1"/>
      <c r="BT1535" s="1"/>
      <c r="BU1535" s="1"/>
      <c r="BV1535" s="1"/>
      <c r="BW1535" s="1"/>
      <c r="BX1535" s="1"/>
      <c r="BY1535" s="1"/>
      <c r="BZ1535" s="1"/>
      <c r="CA1535" s="1"/>
      <c r="CB1535" s="1"/>
      <c r="CC1535" s="1"/>
      <c r="CD1535" s="1"/>
      <c r="CE1535" s="1"/>
      <c r="CF1535" s="1"/>
      <c r="CG1535" s="1"/>
      <c r="CH1535" s="1"/>
      <c r="CI1535" s="1"/>
      <c r="CJ1535" s="1"/>
      <c r="CK1535" s="1"/>
      <c r="CL1535" s="1"/>
      <c r="CM1535" s="1"/>
      <c r="CN1535" s="1"/>
      <c r="CO1535" s="1"/>
      <c r="CP1535" s="1"/>
      <c r="CQ1535" s="1"/>
      <c r="CR1535" s="1"/>
      <c r="CS1535" s="1"/>
      <c r="CT1535" s="1"/>
      <c r="CU1535" s="1"/>
      <c r="CV1535" s="1"/>
      <c r="CW1535" s="1"/>
      <c r="CX1535" s="1"/>
      <c r="CY1535" s="1"/>
      <c r="CZ1535" s="1"/>
      <c r="DA1535" s="1"/>
      <c r="DB1535" s="1"/>
      <c r="DC1535" s="1"/>
    </row>
    <row r="1536" spans="1:107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AW1536" s="1"/>
      <c r="AX1536" s="1"/>
      <c r="AY1536" s="1"/>
      <c r="AZ1536" s="1"/>
      <c r="BA1536" s="1"/>
      <c r="BB1536" s="1"/>
      <c r="BC1536" s="1"/>
      <c r="BD1536" s="1"/>
      <c r="BE1536" s="1"/>
      <c r="BF1536" s="1"/>
      <c r="BG1536" s="1"/>
      <c r="BH1536" s="1"/>
      <c r="BI1536" s="1"/>
      <c r="BJ1536" s="1"/>
      <c r="BK1536" s="1"/>
      <c r="BL1536" s="1"/>
      <c r="BM1536" s="1"/>
      <c r="BN1536" s="1"/>
      <c r="BO1536" s="1"/>
      <c r="BP1536" s="1"/>
      <c r="BQ1536" s="1"/>
      <c r="BR1536" s="1"/>
      <c r="BS1536" s="1"/>
      <c r="BT1536" s="1"/>
      <c r="BU1536" s="1"/>
      <c r="BV1536" s="1"/>
      <c r="BW1536" s="1"/>
      <c r="BX1536" s="1"/>
      <c r="BY1536" s="1"/>
      <c r="BZ1536" s="1"/>
      <c r="CA1536" s="1"/>
      <c r="CB1536" s="1"/>
      <c r="CC1536" s="1"/>
      <c r="CD1536" s="1"/>
      <c r="CE1536" s="1"/>
      <c r="CF1536" s="1"/>
      <c r="CG1536" s="1"/>
      <c r="CH1536" s="1"/>
      <c r="CI1536" s="1"/>
      <c r="CJ1536" s="1"/>
      <c r="CK1536" s="1"/>
      <c r="CL1536" s="1"/>
      <c r="CM1536" s="1"/>
      <c r="CN1536" s="1"/>
      <c r="CO1536" s="1"/>
      <c r="CP1536" s="1"/>
      <c r="CQ1536" s="1"/>
      <c r="CR1536" s="1"/>
      <c r="CS1536" s="1"/>
      <c r="CT1536" s="1"/>
      <c r="CU1536" s="1"/>
      <c r="CV1536" s="1"/>
      <c r="CW1536" s="1"/>
      <c r="CX1536" s="1"/>
      <c r="CY1536" s="1"/>
      <c r="CZ1536" s="1"/>
      <c r="DA1536" s="1"/>
      <c r="DB1536" s="1"/>
      <c r="DC1536" s="1"/>
    </row>
    <row r="1537" spans="1:107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  <c r="AX1537" s="1"/>
      <c r="AY1537" s="1"/>
      <c r="AZ1537" s="1"/>
      <c r="BA1537" s="1"/>
      <c r="BB1537" s="1"/>
      <c r="BC1537" s="1"/>
      <c r="BD1537" s="1"/>
      <c r="BE1537" s="1"/>
      <c r="BF1537" s="1"/>
      <c r="BG1537" s="1"/>
      <c r="BH1537" s="1"/>
      <c r="BI1537" s="1"/>
      <c r="BJ1537" s="1"/>
      <c r="BK1537" s="1"/>
      <c r="BL1537" s="1"/>
      <c r="BM1537" s="1"/>
      <c r="BN1537" s="1"/>
      <c r="BO1537" s="1"/>
      <c r="BP1537" s="1"/>
      <c r="BQ1537" s="1"/>
      <c r="BR1537" s="1"/>
      <c r="BS1537" s="1"/>
      <c r="BT1537" s="1"/>
      <c r="BU1537" s="1"/>
      <c r="BV1537" s="1"/>
      <c r="BW1537" s="1"/>
      <c r="BX1537" s="1"/>
      <c r="BY1537" s="1"/>
      <c r="BZ1537" s="1"/>
      <c r="CA1537" s="1"/>
      <c r="CB1537" s="1"/>
      <c r="CC1537" s="1"/>
      <c r="CD1537" s="1"/>
      <c r="CE1537" s="1"/>
      <c r="CF1537" s="1"/>
      <c r="CG1537" s="1"/>
      <c r="CH1537" s="1"/>
      <c r="CI1537" s="1"/>
      <c r="CJ1537" s="1"/>
      <c r="CK1537" s="1"/>
      <c r="CL1537" s="1"/>
      <c r="CM1537" s="1"/>
      <c r="CN1537" s="1"/>
      <c r="CO1537" s="1"/>
      <c r="CP1537" s="1"/>
      <c r="CQ1537" s="1"/>
      <c r="CR1537" s="1"/>
      <c r="CS1537" s="1"/>
      <c r="CT1537" s="1"/>
      <c r="CU1537" s="1"/>
      <c r="CV1537" s="1"/>
      <c r="CW1537" s="1"/>
      <c r="CX1537" s="1"/>
      <c r="CY1537" s="1"/>
      <c r="CZ1537" s="1"/>
      <c r="DA1537" s="1"/>
      <c r="DB1537" s="1"/>
      <c r="DC1537" s="1"/>
    </row>
    <row r="1538" spans="1:107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"/>
      <c r="AV1538" s="1"/>
      <c r="AW1538" s="1"/>
      <c r="AX1538" s="1"/>
      <c r="AY1538" s="1"/>
      <c r="AZ1538" s="1"/>
      <c r="BA1538" s="1"/>
      <c r="BB1538" s="1"/>
      <c r="BC1538" s="1"/>
      <c r="BD1538" s="1"/>
      <c r="BE1538" s="1"/>
      <c r="BF1538" s="1"/>
      <c r="BG1538" s="1"/>
      <c r="BH1538" s="1"/>
      <c r="BI1538" s="1"/>
      <c r="BJ1538" s="1"/>
      <c r="BK1538" s="1"/>
      <c r="BL1538" s="1"/>
      <c r="BM1538" s="1"/>
      <c r="BN1538" s="1"/>
      <c r="BO1538" s="1"/>
      <c r="BP1538" s="1"/>
      <c r="BQ1538" s="1"/>
      <c r="BR1538" s="1"/>
      <c r="BS1538" s="1"/>
      <c r="BT1538" s="1"/>
      <c r="BU1538" s="1"/>
      <c r="BV1538" s="1"/>
      <c r="BW1538" s="1"/>
      <c r="BX1538" s="1"/>
      <c r="BY1538" s="1"/>
      <c r="BZ1538" s="1"/>
      <c r="CA1538" s="1"/>
      <c r="CB1538" s="1"/>
      <c r="CC1538" s="1"/>
      <c r="CD1538" s="1"/>
      <c r="CE1538" s="1"/>
      <c r="CF1538" s="1"/>
      <c r="CG1538" s="1"/>
      <c r="CH1538" s="1"/>
      <c r="CI1538" s="1"/>
      <c r="CJ1538" s="1"/>
      <c r="CK1538" s="1"/>
      <c r="CL1538" s="1"/>
      <c r="CM1538" s="1"/>
      <c r="CN1538" s="1"/>
      <c r="CO1538" s="1"/>
      <c r="CP1538" s="1"/>
      <c r="CQ1538" s="1"/>
      <c r="CR1538" s="1"/>
      <c r="CS1538" s="1"/>
      <c r="CT1538" s="1"/>
      <c r="CU1538" s="1"/>
      <c r="CV1538" s="1"/>
      <c r="CW1538" s="1"/>
      <c r="CX1538" s="1"/>
      <c r="CY1538" s="1"/>
      <c r="CZ1538" s="1"/>
      <c r="DA1538" s="1"/>
      <c r="DB1538" s="1"/>
      <c r="DC1538" s="1"/>
    </row>
    <row r="1539" spans="1:107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  <c r="AW1539" s="1"/>
      <c r="AX1539" s="1"/>
      <c r="AY1539" s="1"/>
      <c r="AZ1539" s="1"/>
      <c r="BA1539" s="1"/>
      <c r="BB1539" s="1"/>
      <c r="BC1539" s="1"/>
      <c r="BD1539" s="1"/>
      <c r="BE1539" s="1"/>
      <c r="BF1539" s="1"/>
      <c r="BG1539" s="1"/>
      <c r="BH1539" s="1"/>
      <c r="BI1539" s="1"/>
      <c r="BJ1539" s="1"/>
      <c r="BK1539" s="1"/>
      <c r="BL1539" s="1"/>
      <c r="BM1539" s="1"/>
      <c r="BN1539" s="1"/>
      <c r="BO1539" s="1"/>
      <c r="BP1539" s="1"/>
      <c r="BQ1539" s="1"/>
      <c r="BR1539" s="1"/>
      <c r="BS1539" s="1"/>
      <c r="BT1539" s="1"/>
      <c r="BU1539" s="1"/>
      <c r="BV1539" s="1"/>
      <c r="BW1539" s="1"/>
      <c r="BX1539" s="1"/>
      <c r="BY1539" s="1"/>
      <c r="BZ1539" s="1"/>
      <c r="CA1539" s="1"/>
      <c r="CB1539" s="1"/>
      <c r="CC1539" s="1"/>
      <c r="CD1539" s="1"/>
      <c r="CE1539" s="1"/>
      <c r="CF1539" s="1"/>
      <c r="CG1539" s="1"/>
      <c r="CH1539" s="1"/>
      <c r="CI1539" s="1"/>
      <c r="CJ1539" s="1"/>
      <c r="CK1539" s="1"/>
      <c r="CL1539" s="1"/>
      <c r="CM1539" s="1"/>
      <c r="CN1539" s="1"/>
      <c r="CO1539" s="1"/>
      <c r="CP1539" s="1"/>
      <c r="CQ1539" s="1"/>
      <c r="CR1539" s="1"/>
      <c r="CS1539" s="1"/>
      <c r="CT1539" s="1"/>
      <c r="CU1539" s="1"/>
      <c r="CV1539" s="1"/>
      <c r="CW1539" s="1"/>
      <c r="CX1539" s="1"/>
      <c r="CY1539" s="1"/>
      <c r="CZ1539" s="1"/>
      <c r="DA1539" s="1"/>
      <c r="DB1539" s="1"/>
      <c r="DC1539" s="1"/>
    </row>
    <row r="1540" spans="1:107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  <c r="AX1540" s="1"/>
      <c r="AY1540" s="1"/>
      <c r="AZ1540" s="1"/>
      <c r="BA1540" s="1"/>
      <c r="BB1540" s="1"/>
      <c r="BC1540" s="1"/>
      <c r="BD1540" s="1"/>
      <c r="BE1540" s="1"/>
      <c r="BF1540" s="1"/>
      <c r="BG1540" s="1"/>
      <c r="BH1540" s="1"/>
      <c r="BI1540" s="1"/>
      <c r="BJ1540" s="1"/>
      <c r="BK1540" s="1"/>
      <c r="BL1540" s="1"/>
      <c r="BM1540" s="1"/>
      <c r="BN1540" s="1"/>
      <c r="BO1540" s="1"/>
      <c r="BP1540" s="1"/>
      <c r="BQ1540" s="1"/>
      <c r="BR1540" s="1"/>
      <c r="BS1540" s="1"/>
      <c r="BT1540" s="1"/>
      <c r="BU1540" s="1"/>
      <c r="BV1540" s="1"/>
      <c r="BW1540" s="1"/>
      <c r="BX1540" s="1"/>
      <c r="BY1540" s="1"/>
      <c r="BZ1540" s="1"/>
      <c r="CA1540" s="1"/>
      <c r="CB1540" s="1"/>
      <c r="CC1540" s="1"/>
      <c r="CD1540" s="1"/>
      <c r="CE1540" s="1"/>
      <c r="CF1540" s="1"/>
      <c r="CG1540" s="1"/>
      <c r="CH1540" s="1"/>
      <c r="CI1540" s="1"/>
      <c r="CJ1540" s="1"/>
      <c r="CK1540" s="1"/>
      <c r="CL1540" s="1"/>
      <c r="CM1540" s="1"/>
      <c r="CN1540" s="1"/>
      <c r="CO1540" s="1"/>
      <c r="CP1540" s="1"/>
      <c r="CQ1540" s="1"/>
      <c r="CR1540" s="1"/>
      <c r="CS1540" s="1"/>
      <c r="CT1540" s="1"/>
      <c r="CU1540" s="1"/>
      <c r="CV1540" s="1"/>
      <c r="CW1540" s="1"/>
      <c r="CX1540" s="1"/>
      <c r="CY1540" s="1"/>
      <c r="CZ1540" s="1"/>
      <c r="DA1540" s="1"/>
      <c r="DB1540" s="1"/>
      <c r="DC1540" s="1"/>
    </row>
    <row r="1541" spans="1:107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  <c r="AW1541" s="1"/>
      <c r="AX1541" s="1"/>
      <c r="AY1541" s="1"/>
      <c r="AZ1541" s="1"/>
      <c r="BA1541" s="1"/>
      <c r="BB1541" s="1"/>
      <c r="BC1541" s="1"/>
      <c r="BD1541" s="1"/>
      <c r="BE1541" s="1"/>
      <c r="BF1541" s="1"/>
      <c r="BG1541" s="1"/>
      <c r="BH1541" s="1"/>
      <c r="BI1541" s="1"/>
      <c r="BJ1541" s="1"/>
      <c r="BK1541" s="1"/>
      <c r="BL1541" s="1"/>
      <c r="BM1541" s="1"/>
      <c r="BN1541" s="1"/>
      <c r="BO1541" s="1"/>
      <c r="BP1541" s="1"/>
      <c r="BQ1541" s="1"/>
      <c r="BR1541" s="1"/>
      <c r="BS1541" s="1"/>
      <c r="BT1541" s="1"/>
      <c r="BU1541" s="1"/>
      <c r="BV1541" s="1"/>
      <c r="BW1541" s="1"/>
      <c r="BX1541" s="1"/>
      <c r="BY1541" s="1"/>
      <c r="BZ1541" s="1"/>
      <c r="CA1541" s="1"/>
      <c r="CB1541" s="1"/>
      <c r="CC1541" s="1"/>
      <c r="CD1541" s="1"/>
      <c r="CE1541" s="1"/>
      <c r="CF1541" s="1"/>
      <c r="CG1541" s="1"/>
      <c r="CH1541" s="1"/>
      <c r="CI1541" s="1"/>
      <c r="CJ1541" s="1"/>
      <c r="CK1541" s="1"/>
      <c r="CL1541" s="1"/>
      <c r="CM1541" s="1"/>
      <c r="CN1541" s="1"/>
      <c r="CO1541" s="1"/>
      <c r="CP1541" s="1"/>
      <c r="CQ1541" s="1"/>
      <c r="CR1541" s="1"/>
      <c r="CS1541" s="1"/>
      <c r="CT1541" s="1"/>
      <c r="CU1541" s="1"/>
      <c r="CV1541" s="1"/>
      <c r="CW1541" s="1"/>
      <c r="CX1541" s="1"/>
      <c r="CY1541" s="1"/>
      <c r="CZ1541" s="1"/>
      <c r="DA1541" s="1"/>
      <c r="DB1541" s="1"/>
      <c r="DC1541" s="1"/>
    </row>
    <row r="1542" spans="1:107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  <c r="AW1542" s="1"/>
      <c r="AX1542" s="1"/>
      <c r="AY1542" s="1"/>
      <c r="AZ1542" s="1"/>
      <c r="BA1542" s="1"/>
      <c r="BB1542" s="1"/>
      <c r="BC1542" s="1"/>
      <c r="BD1542" s="1"/>
      <c r="BE1542" s="1"/>
      <c r="BF1542" s="1"/>
      <c r="BG1542" s="1"/>
      <c r="BH1542" s="1"/>
      <c r="BI1542" s="1"/>
      <c r="BJ1542" s="1"/>
      <c r="BK1542" s="1"/>
      <c r="BL1542" s="1"/>
      <c r="BM1542" s="1"/>
      <c r="BN1542" s="1"/>
      <c r="BO1542" s="1"/>
      <c r="BP1542" s="1"/>
      <c r="BQ1542" s="1"/>
      <c r="BR1542" s="1"/>
      <c r="BS1542" s="1"/>
      <c r="BT1542" s="1"/>
      <c r="BU1542" s="1"/>
      <c r="BV1542" s="1"/>
      <c r="BW1542" s="1"/>
      <c r="BX1542" s="1"/>
      <c r="BY1542" s="1"/>
      <c r="BZ1542" s="1"/>
      <c r="CA1542" s="1"/>
      <c r="CB1542" s="1"/>
      <c r="CC1542" s="1"/>
      <c r="CD1542" s="1"/>
      <c r="CE1542" s="1"/>
      <c r="CF1542" s="1"/>
      <c r="CG1542" s="1"/>
      <c r="CH1542" s="1"/>
      <c r="CI1542" s="1"/>
      <c r="CJ1542" s="1"/>
      <c r="CK1542" s="1"/>
      <c r="CL1542" s="1"/>
      <c r="CM1542" s="1"/>
      <c r="CN1542" s="1"/>
      <c r="CO1542" s="1"/>
      <c r="CP1542" s="1"/>
      <c r="CQ1542" s="1"/>
      <c r="CR1542" s="1"/>
      <c r="CS1542" s="1"/>
      <c r="CT1542" s="1"/>
      <c r="CU1542" s="1"/>
      <c r="CV1542" s="1"/>
      <c r="CW1542" s="1"/>
      <c r="CX1542" s="1"/>
      <c r="CY1542" s="1"/>
      <c r="CZ1542" s="1"/>
      <c r="DA1542" s="1"/>
      <c r="DB1542" s="1"/>
      <c r="DC1542" s="1"/>
    </row>
    <row r="1543" spans="1:107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  <c r="AY1543" s="1"/>
      <c r="AZ1543" s="1"/>
      <c r="BA1543" s="1"/>
      <c r="BB1543" s="1"/>
      <c r="BC1543" s="1"/>
      <c r="BD1543" s="1"/>
      <c r="BE1543" s="1"/>
      <c r="BF1543" s="1"/>
      <c r="BG1543" s="1"/>
      <c r="BH1543" s="1"/>
      <c r="BI1543" s="1"/>
      <c r="BJ1543" s="1"/>
      <c r="BK1543" s="1"/>
      <c r="BL1543" s="1"/>
      <c r="BM1543" s="1"/>
      <c r="BN1543" s="1"/>
      <c r="BO1543" s="1"/>
      <c r="BP1543" s="1"/>
      <c r="BQ1543" s="1"/>
      <c r="BR1543" s="1"/>
      <c r="BS1543" s="1"/>
      <c r="BT1543" s="1"/>
      <c r="BU1543" s="1"/>
      <c r="BV1543" s="1"/>
      <c r="BW1543" s="1"/>
      <c r="BX1543" s="1"/>
      <c r="BY1543" s="1"/>
      <c r="BZ1543" s="1"/>
      <c r="CA1543" s="1"/>
      <c r="CB1543" s="1"/>
      <c r="CC1543" s="1"/>
      <c r="CD1543" s="1"/>
      <c r="CE1543" s="1"/>
      <c r="CF1543" s="1"/>
      <c r="CG1543" s="1"/>
      <c r="CH1543" s="1"/>
      <c r="CI1543" s="1"/>
      <c r="CJ1543" s="1"/>
      <c r="CK1543" s="1"/>
      <c r="CL1543" s="1"/>
      <c r="CM1543" s="1"/>
      <c r="CN1543" s="1"/>
      <c r="CO1543" s="1"/>
      <c r="CP1543" s="1"/>
      <c r="CQ1543" s="1"/>
      <c r="CR1543" s="1"/>
      <c r="CS1543" s="1"/>
      <c r="CT1543" s="1"/>
      <c r="CU1543" s="1"/>
      <c r="CV1543" s="1"/>
      <c r="CW1543" s="1"/>
      <c r="CX1543" s="1"/>
      <c r="CY1543" s="1"/>
      <c r="CZ1543" s="1"/>
      <c r="DA1543" s="1"/>
      <c r="DB1543" s="1"/>
      <c r="DC1543" s="1"/>
    </row>
    <row r="1544" spans="1:107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  <c r="AY1544" s="1"/>
      <c r="AZ1544" s="1"/>
      <c r="BA1544" s="1"/>
      <c r="BB1544" s="1"/>
      <c r="BC1544" s="1"/>
      <c r="BD1544" s="1"/>
      <c r="BE1544" s="1"/>
      <c r="BF1544" s="1"/>
      <c r="BG1544" s="1"/>
      <c r="BH1544" s="1"/>
      <c r="BI1544" s="1"/>
      <c r="BJ1544" s="1"/>
      <c r="BK1544" s="1"/>
      <c r="BL1544" s="1"/>
      <c r="BM1544" s="1"/>
      <c r="BN1544" s="1"/>
      <c r="BO1544" s="1"/>
      <c r="BP1544" s="1"/>
      <c r="BQ1544" s="1"/>
      <c r="BR1544" s="1"/>
      <c r="BS1544" s="1"/>
      <c r="BT1544" s="1"/>
      <c r="BU1544" s="1"/>
      <c r="BV1544" s="1"/>
      <c r="BW1544" s="1"/>
      <c r="BX1544" s="1"/>
      <c r="BY1544" s="1"/>
      <c r="BZ1544" s="1"/>
      <c r="CA1544" s="1"/>
      <c r="CB1544" s="1"/>
      <c r="CC1544" s="1"/>
      <c r="CD1544" s="1"/>
      <c r="CE1544" s="1"/>
      <c r="CF1544" s="1"/>
      <c r="CG1544" s="1"/>
      <c r="CH1544" s="1"/>
      <c r="CI1544" s="1"/>
      <c r="CJ1544" s="1"/>
      <c r="CK1544" s="1"/>
      <c r="CL1544" s="1"/>
      <c r="CM1544" s="1"/>
      <c r="CN1544" s="1"/>
      <c r="CO1544" s="1"/>
      <c r="CP1544" s="1"/>
      <c r="CQ1544" s="1"/>
      <c r="CR1544" s="1"/>
      <c r="CS1544" s="1"/>
      <c r="CT1544" s="1"/>
      <c r="CU1544" s="1"/>
      <c r="CV1544" s="1"/>
      <c r="CW1544" s="1"/>
      <c r="CX1544" s="1"/>
      <c r="CY1544" s="1"/>
      <c r="CZ1544" s="1"/>
      <c r="DA1544" s="1"/>
      <c r="DB1544" s="1"/>
      <c r="DC1544" s="1"/>
    </row>
    <row r="1545" spans="1:107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/>
      <c r="AY1545" s="1"/>
      <c r="AZ1545" s="1"/>
      <c r="BA1545" s="1"/>
      <c r="BB1545" s="1"/>
      <c r="BC1545" s="1"/>
      <c r="BD1545" s="1"/>
      <c r="BE1545" s="1"/>
      <c r="BF1545" s="1"/>
      <c r="BG1545" s="1"/>
      <c r="BH1545" s="1"/>
      <c r="BI1545" s="1"/>
      <c r="BJ1545" s="1"/>
      <c r="BK1545" s="1"/>
      <c r="BL1545" s="1"/>
      <c r="BM1545" s="1"/>
      <c r="BN1545" s="1"/>
      <c r="BO1545" s="1"/>
      <c r="BP1545" s="1"/>
      <c r="BQ1545" s="1"/>
      <c r="BR1545" s="1"/>
      <c r="BS1545" s="1"/>
      <c r="BT1545" s="1"/>
      <c r="BU1545" s="1"/>
      <c r="BV1545" s="1"/>
      <c r="BW1545" s="1"/>
      <c r="BX1545" s="1"/>
      <c r="BY1545" s="1"/>
      <c r="BZ1545" s="1"/>
      <c r="CA1545" s="1"/>
      <c r="CB1545" s="1"/>
      <c r="CC1545" s="1"/>
      <c r="CD1545" s="1"/>
      <c r="CE1545" s="1"/>
      <c r="CF1545" s="1"/>
      <c r="CG1545" s="1"/>
      <c r="CH1545" s="1"/>
      <c r="CI1545" s="1"/>
      <c r="CJ1545" s="1"/>
      <c r="CK1545" s="1"/>
      <c r="CL1545" s="1"/>
      <c r="CM1545" s="1"/>
      <c r="CN1545" s="1"/>
      <c r="CO1545" s="1"/>
      <c r="CP1545" s="1"/>
      <c r="CQ1545" s="1"/>
      <c r="CR1545" s="1"/>
      <c r="CS1545" s="1"/>
      <c r="CT1545" s="1"/>
      <c r="CU1545" s="1"/>
      <c r="CV1545" s="1"/>
      <c r="CW1545" s="1"/>
      <c r="CX1545" s="1"/>
      <c r="CY1545" s="1"/>
      <c r="CZ1545" s="1"/>
      <c r="DA1545" s="1"/>
      <c r="DB1545" s="1"/>
      <c r="DC1545" s="1"/>
    </row>
    <row r="1546" spans="1:107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  <c r="AY1546" s="1"/>
      <c r="AZ1546" s="1"/>
      <c r="BA1546" s="1"/>
      <c r="BB1546" s="1"/>
      <c r="BC1546" s="1"/>
      <c r="BD1546" s="1"/>
      <c r="BE1546" s="1"/>
      <c r="BF1546" s="1"/>
      <c r="BG1546" s="1"/>
      <c r="BH1546" s="1"/>
      <c r="BI1546" s="1"/>
      <c r="BJ1546" s="1"/>
      <c r="BK1546" s="1"/>
      <c r="BL1546" s="1"/>
      <c r="BM1546" s="1"/>
      <c r="BN1546" s="1"/>
      <c r="BO1546" s="1"/>
      <c r="BP1546" s="1"/>
      <c r="BQ1546" s="1"/>
      <c r="BR1546" s="1"/>
      <c r="BS1546" s="1"/>
      <c r="BT1546" s="1"/>
      <c r="BU1546" s="1"/>
      <c r="BV1546" s="1"/>
      <c r="BW1546" s="1"/>
      <c r="BX1546" s="1"/>
      <c r="BY1546" s="1"/>
      <c r="BZ1546" s="1"/>
      <c r="CA1546" s="1"/>
      <c r="CB1546" s="1"/>
      <c r="CC1546" s="1"/>
      <c r="CD1546" s="1"/>
      <c r="CE1546" s="1"/>
      <c r="CF1546" s="1"/>
      <c r="CG1546" s="1"/>
      <c r="CH1546" s="1"/>
      <c r="CI1546" s="1"/>
      <c r="CJ1546" s="1"/>
      <c r="CK1546" s="1"/>
      <c r="CL1546" s="1"/>
      <c r="CM1546" s="1"/>
      <c r="CN1546" s="1"/>
      <c r="CO1546" s="1"/>
      <c r="CP1546" s="1"/>
      <c r="CQ1546" s="1"/>
      <c r="CR1546" s="1"/>
      <c r="CS1546" s="1"/>
      <c r="CT1546" s="1"/>
      <c r="CU1546" s="1"/>
      <c r="CV1546" s="1"/>
      <c r="CW1546" s="1"/>
      <c r="CX1546" s="1"/>
      <c r="CY1546" s="1"/>
      <c r="CZ1546" s="1"/>
      <c r="DA1546" s="1"/>
      <c r="DB1546" s="1"/>
      <c r="DC1546" s="1"/>
    </row>
    <row r="1547" spans="1:107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/>
      <c r="AY1547" s="1"/>
      <c r="AZ1547" s="1"/>
      <c r="BA1547" s="1"/>
      <c r="BB1547" s="1"/>
      <c r="BC1547" s="1"/>
      <c r="BD1547" s="1"/>
      <c r="BE1547" s="1"/>
      <c r="BF1547" s="1"/>
      <c r="BG1547" s="1"/>
      <c r="BH1547" s="1"/>
      <c r="BI1547" s="1"/>
      <c r="BJ1547" s="1"/>
      <c r="BK1547" s="1"/>
      <c r="BL1547" s="1"/>
      <c r="BM1547" s="1"/>
      <c r="BN1547" s="1"/>
      <c r="BO1547" s="1"/>
      <c r="BP1547" s="1"/>
      <c r="BQ1547" s="1"/>
      <c r="BR1547" s="1"/>
      <c r="BS1547" s="1"/>
      <c r="BT1547" s="1"/>
      <c r="BU1547" s="1"/>
      <c r="BV1547" s="1"/>
      <c r="BW1547" s="1"/>
      <c r="BX1547" s="1"/>
      <c r="BY1547" s="1"/>
      <c r="BZ1547" s="1"/>
      <c r="CA1547" s="1"/>
      <c r="CB1547" s="1"/>
      <c r="CC1547" s="1"/>
      <c r="CD1547" s="1"/>
      <c r="CE1547" s="1"/>
      <c r="CF1547" s="1"/>
      <c r="CG1547" s="1"/>
      <c r="CH1547" s="1"/>
      <c r="CI1547" s="1"/>
      <c r="CJ1547" s="1"/>
      <c r="CK1547" s="1"/>
      <c r="CL1547" s="1"/>
      <c r="CM1547" s="1"/>
      <c r="CN1547" s="1"/>
      <c r="CO1547" s="1"/>
      <c r="CP1547" s="1"/>
      <c r="CQ1547" s="1"/>
      <c r="CR1547" s="1"/>
      <c r="CS1547" s="1"/>
      <c r="CT1547" s="1"/>
      <c r="CU1547" s="1"/>
      <c r="CV1547" s="1"/>
      <c r="CW1547" s="1"/>
      <c r="CX1547" s="1"/>
      <c r="CY1547" s="1"/>
      <c r="CZ1547" s="1"/>
      <c r="DA1547" s="1"/>
      <c r="DB1547" s="1"/>
      <c r="DC1547" s="1"/>
    </row>
    <row r="1548" spans="1:107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/>
      <c r="AY1548" s="1"/>
      <c r="AZ1548" s="1"/>
      <c r="BA1548" s="1"/>
      <c r="BB1548" s="1"/>
      <c r="BC1548" s="1"/>
      <c r="BD1548" s="1"/>
      <c r="BE1548" s="1"/>
      <c r="BF1548" s="1"/>
      <c r="BG1548" s="1"/>
      <c r="BH1548" s="1"/>
      <c r="BI1548" s="1"/>
      <c r="BJ1548" s="1"/>
      <c r="BK1548" s="1"/>
      <c r="BL1548" s="1"/>
      <c r="BM1548" s="1"/>
      <c r="BN1548" s="1"/>
      <c r="BO1548" s="1"/>
      <c r="BP1548" s="1"/>
      <c r="BQ1548" s="1"/>
      <c r="BR1548" s="1"/>
      <c r="BS1548" s="1"/>
      <c r="BT1548" s="1"/>
      <c r="BU1548" s="1"/>
      <c r="BV1548" s="1"/>
      <c r="BW1548" s="1"/>
      <c r="BX1548" s="1"/>
      <c r="BY1548" s="1"/>
      <c r="BZ1548" s="1"/>
      <c r="CA1548" s="1"/>
      <c r="CB1548" s="1"/>
      <c r="CC1548" s="1"/>
      <c r="CD1548" s="1"/>
      <c r="CE1548" s="1"/>
      <c r="CF1548" s="1"/>
      <c r="CG1548" s="1"/>
      <c r="CH1548" s="1"/>
      <c r="CI1548" s="1"/>
      <c r="CJ1548" s="1"/>
      <c r="CK1548" s="1"/>
      <c r="CL1548" s="1"/>
      <c r="CM1548" s="1"/>
      <c r="CN1548" s="1"/>
      <c r="CO1548" s="1"/>
      <c r="CP1548" s="1"/>
      <c r="CQ1548" s="1"/>
      <c r="CR1548" s="1"/>
      <c r="CS1548" s="1"/>
      <c r="CT1548" s="1"/>
      <c r="CU1548" s="1"/>
      <c r="CV1548" s="1"/>
      <c r="CW1548" s="1"/>
      <c r="CX1548" s="1"/>
      <c r="CY1548" s="1"/>
      <c r="CZ1548" s="1"/>
      <c r="DA1548" s="1"/>
      <c r="DB1548" s="1"/>
      <c r="DC1548" s="1"/>
    </row>
    <row r="1549" spans="1:107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/>
      <c r="AY1549" s="1"/>
      <c r="AZ1549" s="1"/>
      <c r="BA1549" s="1"/>
      <c r="BB1549" s="1"/>
      <c r="BC1549" s="1"/>
      <c r="BD1549" s="1"/>
      <c r="BE1549" s="1"/>
      <c r="BF1549" s="1"/>
      <c r="BG1549" s="1"/>
      <c r="BH1549" s="1"/>
      <c r="BI1549" s="1"/>
      <c r="BJ1549" s="1"/>
      <c r="BK1549" s="1"/>
      <c r="BL1549" s="1"/>
      <c r="BM1549" s="1"/>
      <c r="BN1549" s="1"/>
      <c r="BO1549" s="1"/>
      <c r="BP1549" s="1"/>
      <c r="BQ1549" s="1"/>
      <c r="BR1549" s="1"/>
      <c r="BS1549" s="1"/>
      <c r="BT1549" s="1"/>
      <c r="BU1549" s="1"/>
      <c r="BV1549" s="1"/>
      <c r="BW1549" s="1"/>
      <c r="BX1549" s="1"/>
      <c r="BY1549" s="1"/>
      <c r="BZ1549" s="1"/>
      <c r="CA1549" s="1"/>
      <c r="CB1549" s="1"/>
      <c r="CC1549" s="1"/>
      <c r="CD1549" s="1"/>
      <c r="CE1549" s="1"/>
      <c r="CF1549" s="1"/>
      <c r="CG1549" s="1"/>
      <c r="CH1549" s="1"/>
      <c r="CI1549" s="1"/>
      <c r="CJ1549" s="1"/>
      <c r="CK1549" s="1"/>
      <c r="CL1549" s="1"/>
      <c r="CM1549" s="1"/>
      <c r="CN1549" s="1"/>
      <c r="CO1549" s="1"/>
      <c r="CP1549" s="1"/>
      <c r="CQ1549" s="1"/>
      <c r="CR1549" s="1"/>
      <c r="CS1549" s="1"/>
      <c r="CT1549" s="1"/>
      <c r="CU1549" s="1"/>
      <c r="CV1549" s="1"/>
      <c r="CW1549" s="1"/>
      <c r="CX1549" s="1"/>
      <c r="CY1549" s="1"/>
      <c r="CZ1549" s="1"/>
      <c r="DA1549" s="1"/>
      <c r="DB1549" s="1"/>
      <c r="DC1549" s="1"/>
    </row>
    <row r="1550" spans="1:107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  <c r="AY1550" s="1"/>
      <c r="AZ1550" s="1"/>
      <c r="BA1550" s="1"/>
      <c r="BB1550" s="1"/>
      <c r="BC1550" s="1"/>
      <c r="BD1550" s="1"/>
      <c r="BE1550" s="1"/>
      <c r="BF1550" s="1"/>
      <c r="BG1550" s="1"/>
      <c r="BH1550" s="1"/>
      <c r="BI1550" s="1"/>
      <c r="BJ1550" s="1"/>
      <c r="BK1550" s="1"/>
      <c r="BL1550" s="1"/>
      <c r="BM1550" s="1"/>
      <c r="BN1550" s="1"/>
      <c r="BO1550" s="1"/>
      <c r="BP1550" s="1"/>
      <c r="BQ1550" s="1"/>
      <c r="BR1550" s="1"/>
      <c r="BS1550" s="1"/>
      <c r="BT1550" s="1"/>
      <c r="BU1550" s="1"/>
      <c r="BV1550" s="1"/>
      <c r="BW1550" s="1"/>
      <c r="BX1550" s="1"/>
      <c r="BY1550" s="1"/>
      <c r="BZ1550" s="1"/>
      <c r="CA1550" s="1"/>
      <c r="CB1550" s="1"/>
      <c r="CC1550" s="1"/>
      <c r="CD1550" s="1"/>
      <c r="CE1550" s="1"/>
      <c r="CF1550" s="1"/>
      <c r="CG1550" s="1"/>
      <c r="CH1550" s="1"/>
      <c r="CI1550" s="1"/>
      <c r="CJ1550" s="1"/>
      <c r="CK1550" s="1"/>
      <c r="CL1550" s="1"/>
      <c r="CM1550" s="1"/>
      <c r="CN1550" s="1"/>
      <c r="CO1550" s="1"/>
      <c r="CP1550" s="1"/>
      <c r="CQ1550" s="1"/>
      <c r="CR1550" s="1"/>
      <c r="CS1550" s="1"/>
      <c r="CT1550" s="1"/>
      <c r="CU1550" s="1"/>
      <c r="CV1550" s="1"/>
      <c r="CW1550" s="1"/>
      <c r="CX1550" s="1"/>
      <c r="CY1550" s="1"/>
      <c r="CZ1550" s="1"/>
      <c r="DA1550" s="1"/>
      <c r="DB1550" s="1"/>
      <c r="DC1550" s="1"/>
    </row>
    <row r="1551" spans="1:107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/>
      <c r="AY1551" s="1"/>
      <c r="AZ1551" s="1"/>
      <c r="BA1551" s="1"/>
      <c r="BB1551" s="1"/>
      <c r="BC1551" s="1"/>
      <c r="BD1551" s="1"/>
      <c r="BE1551" s="1"/>
      <c r="BF1551" s="1"/>
      <c r="BG1551" s="1"/>
      <c r="BH1551" s="1"/>
      <c r="BI1551" s="1"/>
      <c r="BJ1551" s="1"/>
      <c r="BK1551" s="1"/>
      <c r="BL1551" s="1"/>
      <c r="BM1551" s="1"/>
      <c r="BN1551" s="1"/>
      <c r="BO1551" s="1"/>
      <c r="BP1551" s="1"/>
      <c r="BQ1551" s="1"/>
      <c r="BR1551" s="1"/>
      <c r="BS1551" s="1"/>
      <c r="BT1551" s="1"/>
      <c r="BU1551" s="1"/>
      <c r="BV1551" s="1"/>
      <c r="BW1551" s="1"/>
      <c r="BX1551" s="1"/>
      <c r="BY1551" s="1"/>
      <c r="BZ1551" s="1"/>
      <c r="CA1551" s="1"/>
      <c r="CB1551" s="1"/>
      <c r="CC1551" s="1"/>
      <c r="CD1551" s="1"/>
      <c r="CE1551" s="1"/>
      <c r="CF1551" s="1"/>
      <c r="CG1551" s="1"/>
      <c r="CH1551" s="1"/>
      <c r="CI1551" s="1"/>
      <c r="CJ1551" s="1"/>
      <c r="CK1551" s="1"/>
      <c r="CL1551" s="1"/>
      <c r="CM1551" s="1"/>
      <c r="CN1551" s="1"/>
      <c r="CO1551" s="1"/>
      <c r="CP1551" s="1"/>
      <c r="CQ1551" s="1"/>
      <c r="CR1551" s="1"/>
      <c r="CS1551" s="1"/>
      <c r="CT1551" s="1"/>
      <c r="CU1551" s="1"/>
      <c r="CV1551" s="1"/>
      <c r="CW1551" s="1"/>
      <c r="CX1551" s="1"/>
      <c r="CY1551" s="1"/>
      <c r="CZ1551" s="1"/>
      <c r="DA1551" s="1"/>
      <c r="DB1551" s="1"/>
      <c r="DC1551" s="1"/>
    </row>
    <row r="1552" spans="1:107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/>
      <c r="AY1552" s="1"/>
      <c r="AZ1552" s="1"/>
      <c r="BA1552" s="1"/>
      <c r="BB1552" s="1"/>
      <c r="BC1552" s="1"/>
      <c r="BD1552" s="1"/>
      <c r="BE1552" s="1"/>
      <c r="BF1552" s="1"/>
      <c r="BG1552" s="1"/>
      <c r="BH1552" s="1"/>
      <c r="BI1552" s="1"/>
      <c r="BJ1552" s="1"/>
      <c r="BK1552" s="1"/>
      <c r="BL1552" s="1"/>
      <c r="BM1552" s="1"/>
      <c r="BN1552" s="1"/>
      <c r="BO1552" s="1"/>
      <c r="BP1552" s="1"/>
      <c r="BQ1552" s="1"/>
      <c r="BR1552" s="1"/>
      <c r="BS1552" s="1"/>
      <c r="BT1552" s="1"/>
      <c r="BU1552" s="1"/>
      <c r="BV1552" s="1"/>
      <c r="BW1552" s="1"/>
      <c r="BX1552" s="1"/>
      <c r="BY1552" s="1"/>
      <c r="BZ1552" s="1"/>
      <c r="CA1552" s="1"/>
      <c r="CB1552" s="1"/>
      <c r="CC1552" s="1"/>
      <c r="CD1552" s="1"/>
      <c r="CE1552" s="1"/>
      <c r="CF1552" s="1"/>
      <c r="CG1552" s="1"/>
      <c r="CH1552" s="1"/>
      <c r="CI1552" s="1"/>
      <c r="CJ1552" s="1"/>
      <c r="CK1552" s="1"/>
      <c r="CL1552" s="1"/>
      <c r="CM1552" s="1"/>
      <c r="CN1552" s="1"/>
      <c r="CO1552" s="1"/>
      <c r="CP1552" s="1"/>
      <c r="CQ1552" s="1"/>
      <c r="CR1552" s="1"/>
      <c r="CS1552" s="1"/>
      <c r="CT1552" s="1"/>
      <c r="CU1552" s="1"/>
      <c r="CV1552" s="1"/>
      <c r="CW1552" s="1"/>
      <c r="CX1552" s="1"/>
      <c r="CY1552" s="1"/>
      <c r="CZ1552" s="1"/>
      <c r="DA1552" s="1"/>
      <c r="DB1552" s="1"/>
      <c r="DC1552" s="1"/>
    </row>
    <row r="1553" spans="1:107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/>
      <c r="AY1553" s="1"/>
      <c r="AZ1553" s="1"/>
      <c r="BA1553" s="1"/>
      <c r="BB1553" s="1"/>
      <c r="BC1553" s="1"/>
      <c r="BD1553" s="1"/>
      <c r="BE1553" s="1"/>
      <c r="BF1553" s="1"/>
      <c r="BG1553" s="1"/>
      <c r="BH1553" s="1"/>
      <c r="BI1553" s="1"/>
      <c r="BJ1553" s="1"/>
      <c r="BK1553" s="1"/>
      <c r="BL1553" s="1"/>
      <c r="BM1553" s="1"/>
      <c r="BN1553" s="1"/>
      <c r="BO1553" s="1"/>
      <c r="BP1553" s="1"/>
      <c r="BQ1553" s="1"/>
      <c r="BR1553" s="1"/>
      <c r="BS1553" s="1"/>
      <c r="BT1553" s="1"/>
      <c r="BU1553" s="1"/>
      <c r="BV1553" s="1"/>
      <c r="BW1553" s="1"/>
      <c r="BX1553" s="1"/>
      <c r="BY1553" s="1"/>
      <c r="BZ1553" s="1"/>
      <c r="CA1553" s="1"/>
      <c r="CB1553" s="1"/>
      <c r="CC1553" s="1"/>
      <c r="CD1553" s="1"/>
      <c r="CE1553" s="1"/>
      <c r="CF1553" s="1"/>
      <c r="CG1553" s="1"/>
      <c r="CH1553" s="1"/>
      <c r="CI1553" s="1"/>
      <c r="CJ1553" s="1"/>
      <c r="CK1553" s="1"/>
      <c r="CL1553" s="1"/>
      <c r="CM1553" s="1"/>
      <c r="CN1553" s="1"/>
      <c r="CO1553" s="1"/>
      <c r="CP1553" s="1"/>
      <c r="CQ1553" s="1"/>
      <c r="CR1553" s="1"/>
      <c r="CS1553" s="1"/>
      <c r="CT1553" s="1"/>
      <c r="CU1553" s="1"/>
      <c r="CV1553" s="1"/>
      <c r="CW1553" s="1"/>
      <c r="CX1553" s="1"/>
      <c r="CY1553" s="1"/>
      <c r="CZ1553" s="1"/>
      <c r="DA1553" s="1"/>
      <c r="DB1553" s="1"/>
      <c r="DC1553" s="1"/>
    </row>
    <row r="1554" spans="1:107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/>
      <c r="AY1554" s="1"/>
      <c r="AZ1554" s="1"/>
      <c r="BA1554" s="1"/>
      <c r="BB1554" s="1"/>
      <c r="BC1554" s="1"/>
      <c r="BD1554" s="1"/>
      <c r="BE1554" s="1"/>
      <c r="BF1554" s="1"/>
      <c r="BG1554" s="1"/>
      <c r="BH1554" s="1"/>
      <c r="BI1554" s="1"/>
      <c r="BJ1554" s="1"/>
      <c r="BK1554" s="1"/>
      <c r="BL1554" s="1"/>
      <c r="BM1554" s="1"/>
      <c r="BN1554" s="1"/>
      <c r="BO1554" s="1"/>
      <c r="BP1554" s="1"/>
      <c r="BQ1554" s="1"/>
      <c r="BR1554" s="1"/>
      <c r="BS1554" s="1"/>
      <c r="BT1554" s="1"/>
      <c r="BU1554" s="1"/>
      <c r="BV1554" s="1"/>
      <c r="BW1554" s="1"/>
      <c r="BX1554" s="1"/>
      <c r="BY1554" s="1"/>
      <c r="BZ1554" s="1"/>
      <c r="CA1554" s="1"/>
      <c r="CB1554" s="1"/>
      <c r="CC1554" s="1"/>
      <c r="CD1554" s="1"/>
      <c r="CE1554" s="1"/>
      <c r="CF1554" s="1"/>
      <c r="CG1554" s="1"/>
      <c r="CH1554" s="1"/>
      <c r="CI1554" s="1"/>
      <c r="CJ1554" s="1"/>
      <c r="CK1554" s="1"/>
      <c r="CL1554" s="1"/>
      <c r="CM1554" s="1"/>
      <c r="CN1554" s="1"/>
      <c r="CO1554" s="1"/>
      <c r="CP1554" s="1"/>
      <c r="CQ1554" s="1"/>
      <c r="CR1554" s="1"/>
      <c r="CS1554" s="1"/>
      <c r="CT1554" s="1"/>
      <c r="CU1554" s="1"/>
      <c r="CV1554" s="1"/>
      <c r="CW1554" s="1"/>
      <c r="CX1554" s="1"/>
      <c r="CY1554" s="1"/>
      <c r="CZ1554" s="1"/>
      <c r="DA1554" s="1"/>
      <c r="DB1554" s="1"/>
      <c r="DC1554" s="1"/>
    </row>
    <row r="1555" spans="1:107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/>
      <c r="AX1555" s="1"/>
      <c r="AY1555" s="1"/>
      <c r="AZ1555" s="1"/>
      <c r="BA1555" s="1"/>
      <c r="BB1555" s="1"/>
      <c r="BC1555" s="1"/>
      <c r="BD1555" s="1"/>
      <c r="BE1555" s="1"/>
      <c r="BF1555" s="1"/>
      <c r="BG1555" s="1"/>
      <c r="BH1555" s="1"/>
      <c r="BI1555" s="1"/>
      <c r="BJ1555" s="1"/>
      <c r="BK1555" s="1"/>
      <c r="BL1555" s="1"/>
      <c r="BM1555" s="1"/>
      <c r="BN1555" s="1"/>
      <c r="BO1555" s="1"/>
      <c r="BP1555" s="1"/>
      <c r="BQ1555" s="1"/>
      <c r="BR1555" s="1"/>
      <c r="BS1555" s="1"/>
      <c r="BT1555" s="1"/>
      <c r="BU1555" s="1"/>
      <c r="BV1555" s="1"/>
      <c r="BW1555" s="1"/>
      <c r="BX1555" s="1"/>
      <c r="BY1555" s="1"/>
      <c r="BZ1555" s="1"/>
      <c r="CA1555" s="1"/>
      <c r="CB1555" s="1"/>
      <c r="CC1555" s="1"/>
      <c r="CD1555" s="1"/>
      <c r="CE1555" s="1"/>
      <c r="CF1555" s="1"/>
      <c r="CG1555" s="1"/>
      <c r="CH1555" s="1"/>
      <c r="CI1555" s="1"/>
      <c r="CJ1555" s="1"/>
      <c r="CK1555" s="1"/>
      <c r="CL1555" s="1"/>
      <c r="CM1555" s="1"/>
      <c r="CN1555" s="1"/>
      <c r="CO1555" s="1"/>
      <c r="CP1555" s="1"/>
      <c r="CQ1555" s="1"/>
      <c r="CR1555" s="1"/>
      <c r="CS1555" s="1"/>
      <c r="CT1555" s="1"/>
      <c r="CU1555" s="1"/>
      <c r="CV1555" s="1"/>
      <c r="CW1555" s="1"/>
      <c r="CX1555" s="1"/>
      <c r="CY1555" s="1"/>
      <c r="CZ1555" s="1"/>
      <c r="DA1555" s="1"/>
      <c r="DB1555" s="1"/>
      <c r="DC1555" s="1"/>
    </row>
    <row r="1556" spans="1:107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1"/>
      <c r="AY1556" s="1"/>
      <c r="AZ1556" s="1"/>
      <c r="BA1556" s="1"/>
      <c r="BB1556" s="1"/>
      <c r="BC1556" s="1"/>
      <c r="BD1556" s="1"/>
      <c r="BE1556" s="1"/>
      <c r="BF1556" s="1"/>
      <c r="BG1556" s="1"/>
      <c r="BH1556" s="1"/>
      <c r="BI1556" s="1"/>
      <c r="BJ1556" s="1"/>
      <c r="BK1556" s="1"/>
      <c r="BL1556" s="1"/>
      <c r="BM1556" s="1"/>
      <c r="BN1556" s="1"/>
      <c r="BO1556" s="1"/>
      <c r="BP1556" s="1"/>
      <c r="BQ1556" s="1"/>
      <c r="BR1556" s="1"/>
      <c r="BS1556" s="1"/>
      <c r="BT1556" s="1"/>
      <c r="BU1556" s="1"/>
      <c r="BV1556" s="1"/>
      <c r="BW1556" s="1"/>
      <c r="BX1556" s="1"/>
      <c r="BY1556" s="1"/>
      <c r="BZ1556" s="1"/>
      <c r="CA1556" s="1"/>
      <c r="CB1556" s="1"/>
      <c r="CC1556" s="1"/>
      <c r="CD1556" s="1"/>
      <c r="CE1556" s="1"/>
      <c r="CF1556" s="1"/>
      <c r="CG1556" s="1"/>
      <c r="CH1556" s="1"/>
      <c r="CI1556" s="1"/>
      <c r="CJ1556" s="1"/>
      <c r="CK1556" s="1"/>
      <c r="CL1556" s="1"/>
      <c r="CM1556" s="1"/>
      <c r="CN1556" s="1"/>
      <c r="CO1556" s="1"/>
      <c r="CP1556" s="1"/>
      <c r="CQ1556" s="1"/>
      <c r="CR1556" s="1"/>
      <c r="CS1556" s="1"/>
      <c r="CT1556" s="1"/>
      <c r="CU1556" s="1"/>
      <c r="CV1556" s="1"/>
      <c r="CW1556" s="1"/>
      <c r="CX1556" s="1"/>
      <c r="CY1556" s="1"/>
      <c r="CZ1556" s="1"/>
      <c r="DA1556" s="1"/>
      <c r="DB1556" s="1"/>
      <c r="DC1556" s="1"/>
    </row>
    <row r="1557" spans="1:107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  <c r="AX1557" s="1"/>
      <c r="AY1557" s="1"/>
      <c r="AZ1557" s="1"/>
      <c r="BA1557" s="1"/>
      <c r="BB1557" s="1"/>
      <c r="BC1557" s="1"/>
      <c r="BD1557" s="1"/>
      <c r="BE1557" s="1"/>
      <c r="BF1557" s="1"/>
      <c r="BG1557" s="1"/>
      <c r="BH1557" s="1"/>
      <c r="BI1557" s="1"/>
      <c r="BJ1557" s="1"/>
      <c r="BK1557" s="1"/>
      <c r="BL1557" s="1"/>
      <c r="BM1557" s="1"/>
      <c r="BN1557" s="1"/>
      <c r="BO1557" s="1"/>
      <c r="BP1557" s="1"/>
      <c r="BQ1557" s="1"/>
      <c r="BR1557" s="1"/>
      <c r="BS1557" s="1"/>
      <c r="BT1557" s="1"/>
      <c r="BU1557" s="1"/>
      <c r="BV1557" s="1"/>
      <c r="BW1557" s="1"/>
      <c r="BX1557" s="1"/>
      <c r="BY1557" s="1"/>
      <c r="BZ1557" s="1"/>
      <c r="CA1557" s="1"/>
      <c r="CB1557" s="1"/>
      <c r="CC1557" s="1"/>
      <c r="CD1557" s="1"/>
      <c r="CE1557" s="1"/>
      <c r="CF1557" s="1"/>
      <c r="CG1557" s="1"/>
      <c r="CH1557" s="1"/>
      <c r="CI1557" s="1"/>
      <c r="CJ1557" s="1"/>
      <c r="CK1557" s="1"/>
      <c r="CL1557" s="1"/>
      <c r="CM1557" s="1"/>
      <c r="CN1557" s="1"/>
      <c r="CO1557" s="1"/>
      <c r="CP1557" s="1"/>
      <c r="CQ1557" s="1"/>
      <c r="CR1557" s="1"/>
      <c r="CS1557" s="1"/>
      <c r="CT1557" s="1"/>
      <c r="CU1557" s="1"/>
      <c r="CV1557" s="1"/>
      <c r="CW1557" s="1"/>
      <c r="CX1557" s="1"/>
      <c r="CY1557" s="1"/>
      <c r="CZ1557" s="1"/>
      <c r="DA1557" s="1"/>
      <c r="DB1557" s="1"/>
      <c r="DC1557" s="1"/>
    </row>
    <row r="1558" spans="1:107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  <c r="AY1558" s="1"/>
      <c r="AZ1558" s="1"/>
      <c r="BA1558" s="1"/>
      <c r="BB1558" s="1"/>
      <c r="BC1558" s="1"/>
      <c r="BD1558" s="1"/>
      <c r="BE1558" s="1"/>
      <c r="BF1558" s="1"/>
      <c r="BG1558" s="1"/>
      <c r="BH1558" s="1"/>
      <c r="BI1558" s="1"/>
      <c r="BJ1558" s="1"/>
      <c r="BK1558" s="1"/>
      <c r="BL1558" s="1"/>
      <c r="BM1558" s="1"/>
      <c r="BN1558" s="1"/>
      <c r="BO1558" s="1"/>
      <c r="BP1558" s="1"/>
      <c r="BQ1558" s="1"/>
      <c r="BR1558" s="1"/>
      <c r="BS1558" s="1"/>
      <c r="BT1558" s="1"/>
      <c r="BU1558" s="1"/>
      <c r="BV1558" s="1"/>
      <c r="BW1558" s="1"/>
      <c r="BX1558" s="1"/>
      <c r="BY1558" s="1"/>
      <c r="BZ1558" s="1"/>
      <c r="CA1558" s="1"/>
      <c r="CB1558" s="1"/>
      <c r="CC1558" s="1"/>
      <c r="CD1558" s="1"/>
      <c r="CE1558" s="1"/>
      <c r="CF1558" s="1"/>
      <c r="CG1558" s="1"/>
      <c r="CH1558" s="1"/>
      <c r="CI1558" s="1"/>
      <c r="CJ1558" s="1"/>
      <c r="CK1558" s="1"/>
      <c r="CL1558" s="1"/>
      <c r="CM1558" s="1"/>
      <c r="CN1558" s="1"/>
      <c r="CO1558" s="1"/>
      <c r="CP1558" s="1"/>
      <c r="CQ1558" s="1"/>
      <c r="CR1558" s="1"/>
      <c r="CS1558" s="1"/>
      <c r="CT1558" s="1"/>
      <c r="CU1558" s="1"/>
      <c r="CV1558" s="1"/>
      <c r="CW1558" s="1"/>
      <c r="CX1558" s="1"/>
      <c r="CY1558" s="1"/>
      <c r="CZ1558" s="1"/>
      <c r="DA1558" s="1"/>
      <c r="DB1558" s="1"/>
      <c r="DC1558" s="1"/>
    </row>
    <row r="1559" spans="1:107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  <c r="BD1559" s="1"/>
      <c r="BE1559" s="1"/>
      <c r="BF1559" s="1"/>
      <c r="BG1559" s="1"/>
      <c r="BH1559" s="1"/>
      <c r="BI1559" s="1"/>
      <c r="BJ1559" s="1"/>
      <c r="BK1559" s="1"/>
      <c r="BL1559" s="1"/>
      <c r="BM1559" s="1"/>
      <c r="BN1559" s="1"/>
      <c r="BO1559" s="1"/>
      <c r="BP1559" s="1"/>
      <c r="BQ1559" s="1"/>
      <c r="BR1559" s="1"/>
      <c r="BS1559" s="1"/>
      <c r="BT1559" s="1"/>
      <c r="BU1559" s="1"/>
      <c r="BV1559" s="1"/>
      <c r="BW1559" s="1"/>
      <c r="BX1559" s="1"/>
      <c r="BY1559" s="1"/>
      <c r="BZ1559" s="1"/>
      <c r="CA1559" s="1"/>
      <c r="CB1559" s="1"/>
      <c r="CC1559" s="1"/>
      <c r="CD1559" s="1"/>
      <c r="CE1559" s="1"/>
      <c r="CF1559" s="1"/>
      <c r="CG1559" s="1"/>
      <c r="CH1559" s="1"/>
      <c r="CI1559" s="1"/>
      <c r="CJ1559" s="1"/>
      <c r="CK1559" s="1"/>
      <c r="CL1559" s="1"/>
      <c r="CM1559" s="1"/>
      <c r="CN1559" s="1"/>
      <c r="CO1559" s="1"/>
      <c r="CP1559" s="1"/>
      <c r="CQ1559" s="1"/>
      <c r="CR1559" s="1"/>
      <c r="CS1559" s="1"/>
      <c r="CT1559" s="1"/>
      <c r="CU1559" s="1"/>
      <c r="CV1559" s="1"/>
      <c r="CW1559" s="1"/>
      <c r="CX1559" s="1"/>
      <c r="CY1559" s="1"/>
      <c r="CZ1559" s="1"/>
      <c r="DA1559" s="1"/>
      <c r="DB1559" s="1"/>
      <c r="DC1559" s="1"/>
    </row>
    <row r="1560" spans="1:107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  <c r="AX1560" s="1"/>
      <c r="AY1560" s="1"/>
      <c r="AZ1560" s="1"/>
      <c r="BA1560" s="1"/>
      <c r="BB1560" s="1"/>
      <c r="BC1560" s="1"/>
      <c r="BD1560" s="1"/>
      <c r="BE1560" s="1"/>
      <c r="BF1560" s="1"/>
      <c r="BG1560" s="1"/>
      <c r="BH1560" s="1"/>
      <c r="BI1560" s="1"/>
      <c r="BJ1560" s="1"/>
      <c r="BK1560" s="1"/>
      <c r="BL1560" s="1"/>
      <c r="BM1560" s="1"/>
      <c r="BN1560" s="1"/>
      <c r="BO1560" s="1"/>
      <c r="BP1560" s="1"/>
      <c r="BQ1560" s="1"/>
      <c r="BR1560" s="1"/>
      <c r="BS1560" s="1"/>
      <c r="BT1560" s="1"/>
      <c r="BU1560" s="1"/>
      <c r="BV1560" s="1"/>
      <c r="BW1560" s="1"/>
      <c r="BX1560" s="1"/>
      <c r="BY1560" s="1"/>
      <c r="BZ1560" s="1"/>
      <c r="CA1560" s="1"/>
      <c r="CB1560" s="1"/>
      <c r="CC1560" s="1"/>
      <c r="CD1560" s="1"/>
      <c r="CE1560" s="1"/>
      <c r="CF1560" s="1"/>
      <c r="CG1560" s="1"/>
      <c r="CH1560" s="1"/>
      <c r="CI1560" s="1"/>
      <c r="CJ1560" s="1"/>
      <c r="CK1560" s="1"/>
      <c r="CL1560" s="1"/>
      <c r="CM1560" s="1"/>
      <c r="CN1560" s="1"/>
      <c r="CO1560" s="1"/>
      <c r="CP1560" s="1"/>
      <c r="CQ1560" s="1"/>
      <c r="CR1560" s="1"/>
      <c r="CS1560" s="1"/>
      <c r="CT1560" s="1"/>
      <c r="CU1560" s="1"/>
      <c r="CV1560" s="1"/>
      <c r="CW1560" s="1"/>
      <c r="CX1560" s="1"/>
      <c r="CY1560" s="1"/>
      <c r="CZ1560" s="1"/>
      <c r="DA1560" s="1"/>
      <c r="DB1560" s="1"/>
      <c r="DC1560" s="1"/>
    </row>
    <row r="1561" spans="1:107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  <c r="AY1561" s="1"/>
      <c r="AZ1561" s="1"/>
      <c r="BA1561" s="1"/>
      <c r="BB1561" s="1"/>
      <c r="BC1561" s="1"/>
      <c r="BD1561" s="1"/>
      <c r="BE1561" s="1"/>
      <c r="BF1561" s="1"/>
      <c r="BG1561" s="1"/>
      <c r="BH1561" s="1"/>
      <c r="BI1561" s="1"/>
      <c r="BJ1561" s="1"/>
      <c r="BK1561" s="1"/>
      <c r="BL1561" s="1"/>
      <c r="BM1561" s="1"/>
      <c r="BN1561" s="1"/>
      <c r="BO1561" s="1"/>
      <c r="BP1561" s="1"/>
      <c r="BQ1561" s="1"/>
      <c r="BR1561" s="1"/>
      <c r="BS1561" s="1"/>
      <c r="BT1561" s="1"/>
      <c r="BU1561" s="1"/>
      <c r="BV1561" s="1"/>
      <c r="BW1561" s="1"/>
      <c r="BX1561" s="1"/>
      <c r="BY1561" s="1"/>
      <c r="BZ1561" s="1"/>
      <c r="CA1561" s="1"/>
      <c r="CB1561" s="1"/>
      <c r="CC1561" s="1"/>
      <c r="CD1561" s="1"/>
      <c r="CE1561" s="1"/>
      <c r="CF1561" s="1"/>
      <c r="CG1561" s="1"/>
      <c r="CH1561" s="1"/>
      <c r="CI1561" s="1"/>
      <c r="CJ1561" s="1"/>
      <c r="CK1561" s="1"/>
      <c r="CL1561" s="1"/>
      <c r="CM1561" s="1"/>
      <c r="CN1561" s="1"/>
      <c r="CO1561" s="1"/>
      <c r="CP1561" s="1"/>
      <c r="CQ1561" s="1"/>
      <c r="CR1561" s="1"/>
      <c r="CS1561" s="1"/>
      <c r="CT1561" s="1"/>
      <c r="CU1561" s="1"/>
      <c r="CV1561" s="1"/>
      <c r="CW1561" s="1"/>
      <c r="CX1561" s="1"/>
      <c r="CY1561" s="1"/>
      <c r="CZ1561" s="1"/>
      <c r="DA1561" s="1"/>
      <c r="DB1561" s="1"/>
      <c r="DC1561" s="1"/>
    </row>
    <row r="1562" spans="1:107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  <c r="AY1562" s="1"/>
      <c r="AZ1562" s="1"/>
      <c r="BA1562" s="1"/>
      <c r="BB1562" s="1"/>
      <c r="BC1562" s="1"/>
      <c r="BD1562" s="1"/>
      <c r="BE1562" s="1"/>
      <c r="BF1562" s="1"/>
      <c r="BG1562" s="1"/>
      <c r="BH1562" s="1"/>
      <c r="BI1562" s="1"/>
      <c r="BJ1562" s="1"/>
      <c r="BK1562" s="1"/>
      <c r="BL1562" s="1"/>
      <c r="BM1562" s="1"/>
      <c r="BN1562" s="1"/>
      <c r="BO1562" s="1"/>
      <c r="BP1562" s="1"/>
      <c r="BQ1562" s="1"/>
      <c r="BR1562" s="1"/>
      <c r="BS1562" s="1"/>
      <c r="BT1562" s="1"/>
      <c r="BU1562" s="1"/>
      <c r="BV1562" s="1"/>
      <c r="BW1562" s="1"/>
      <c r="BX1562" s="1"/>
      <c r="BY1562" s="1"/>
      <c r="BZ1562" s="1"/>
      <c r="CA1562" s="1"/>
      <c r="CB1562" s="1"/>
      <c r="CC1562" s="1"/>
      <c r="CD1562" s="1"/>
      <c r="CE1562" s="1"/>
      <c r="CF1562" s="1"/>
      <c r="CG1562" s="1"/>
      <c r="CH1562" s="1"/>
      <c r="CI1562" s="1"/>
      <c r="CJ1562" s="1"/>
      <c r="CK1562" s="1"/>
      <c r="CL1562" s="1"/>
      <c r="CM1562" s="1"/>
      <c r="CN1562" s="1"/>
      <c r="CO1562" s="1"/>
      <c r="CP1562" s="1"/>
      <c r="CQ1562" s="1"/>
      <c r="CR1562" s="1"/>
      <c r="CS1562" s="1"/>
      <c r="CT1562" s="1"/>
      <c r="CU1562" s="1"/>
      <c r="CV1562" s="1"/>
      <c r="CW1562" s="1"/>
      <c r="CX1562" s="1"/>
      <c r="CY1562" s="1"/>
      <c r="CZ1562" s="1"/>
      <c r="DA1562" s="1"/>
      <c r="DB1562" s="1"/>
      <c r="DC1562" s="1"/>
    </row>
    <row r="1563" spans="1:107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  <c r="AX1563" s="1"/>
      <c r="AY1563" s="1"/>
      <c r="AZ1563" s="1"/>
      <c r="BA1563" s="1"/>
      <c r="BB1563" s="1"/>
      <c r="BC1563" s="1"/>
      <c r="BD1563" s="1"/>
      <c r="BE1563" s="1"/>
      <c r="BF1563" s="1"/>
      <c r="BG1563" s="1"/>
      <c r="BH1563" s="1"/>
      <c r="BI1563" s="1"/>
      <c r="BJ1563" s="1"/>
      <c r="BK1563" s="1"/>
      <c r="BL1563" s="1"/>
      <c r="BM1563" s="1"/>
      <c r="BN1563" s="1"/>
      <c r="BO1563" s="1"/>
      <c r="BP1563" s="1"/>
      <c r="BQ1563" s="1"/>
      <c r="BR1563" s="1"/>
      <c r="BS1563" s="1"/>
      <c r="BT1563" s="1"/>
      <c r="BU1563" s="1"/>
      <c r="BV1563" s="1"/>
      <c r="BW1563" s="1"/>
      <c r="BX1563" s="1"/>
      <c r="BY1563" s="1"/>
      <c r="BZ1563" s="1"/>
      <c r="CA1563" s="1"/>
      <c r="CB1563" s="1"/>
      <c r="CC1563" s="1"/>
      <c r="CD1563" s="1"/>
      <c r="CE1563" s="1"/>
      <c r="CF1563" s="1"/>
      <c r="CG1563" s="1"/>
      <c r="CH1563" s="1"/>
      <c r="CI1563" s="1"/>
      <c r="CJ1563" s="1"/>
      <c r="CK1563" s="1"/>
      <c r="CL1563" s="1"/>
      <c r="CM1563" s="1"/>
      <c r="CN1563" s="1"/>
      <c r="CO1563" s="1"/>
      <c r="CP1563" s="1"/>
      <c r="CQ1563" s="1"/>
      <c r="CR1563" s="1"/>
      <c r="CS1563" s="1"/>
      <c r="CT1563" s="1"/>
      <c r="CU1563" s="1"/>
      <c r="CV1563" s="1"/>
      <c r="CW1563" s="1"/>
      <c r="CX1563" s="1"/>
      <c r="CY1563" s="1"/>
      <c r="CZ1563" s="1"/>
      <c r="DA1563" s="1"/>
      <c r="DB1563" s="1"/>
      <c r="DC1563" s="1"/>
    </row>
    <row r="1564" spans="1:107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AW1564" s="1"/>
      <c r="AX1564" s="1"/>
      <c r="AY1564" s="1"/>
      <c r="AZ1564" s="1"/>
      <c r="BA1564" s="1"/>
      <c r="BB1564" s="1"/>
      <c r="BC1564" s="1"/>
      <c r="BD1564" s="1"/>
      <c r="BE1564" s="1"/>
      <c r="BF1564" s="1"/>
      <c r="BG1564" s="1"/>
      <c r="BH1564" s="1"/>
      <c r="BI1564" s="1"/>
      <c r="BJ1564" s="1"/>
      <c r="BK1564" s="1"/>
      <c r="BL1564" s="1"/>
      <c r="BM1564" s="1"/>
      <c r="BN1564" s="1"/>
      <c r="BO1564" s="1"/>
      <c r="BP1564" s="1"/>
      <c r="BQ1564" s="1"/>
      <c r="BR1564" s="1"/>
      <c r="BS1564" s="1"/>
      <c r="BT1564" s="1"/>
      <c r="BU1564" s="1"/>
      <c r="BV1564" s="1"/>
      <c r="BW1564" s="1"/>
      <c r="BX1564" s="1"/>
      <c r="BY1564" s="1"/>
      <c r="BZ1564" s="1"/>
      <c r="CA1564" s="1"/>
      <c r="CB1564" s="1"/>
      <c r="CC1564" s="1"/>
      <c r="CD1564" s="1"/>
      <c r="CE1564" s="1"/>
      <c r="CF1564" s="1"/>
      <c r="CG1564" s="1"/>
      <c r="CH1564" s="1"/>
      <c r="CI1564" s="1"/>
      <c r="CJ1564" s="1"/>
      <c r="CK1564" s="1"/>
      <c r="CL1564" s="1"/>
      <c r="CM1564" s="1"/>
      <c r="CN1564" s="1"/>
      <c r="CO1564" s="1"/>
      <c r="CP1564" s="1"/>
      <c r="CQ1564" s="1"/>
      <c r="CR1564" s="1"/>
      <c r="CS1564" s="1"/>
      <c r="CT1564" s="1"/>
      <c r="CU1564" s="1"/>
      <c r="CV1564" s="1"/>
      <c r="CW1564" s="1"/>
      <c r="CX1564" s="1"/>
      <c r="CY1564" s="1"/>
      <c r="CZ1564" s="1"/>
      <c r="DA1564" s="1"/>
      <c r="DB1564" s="1"/>
      <c r="DC1564" s="1"/>
    </row>
    <row r="1565" spans="1:107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1"/>
      <c r="BC1565" s="1"/>
      <c r="BD1565" s="1"/>
      <c r="BE1565" s="1"/>
      <c r="BF1565" s="1"/>
      <c r="BG1565" s="1"/>
      <c r="BH1565" s="1"/>
      <c r="BI1565" s="1"/>
      <c r="BJ1565" s="1"/>
      <c r="BK1565" s="1"/>
      <c r="BL1565" s="1"/>
      <c r="BM1565" s="1"/>
      <c r="BN1565" s="1"/>
      <c r="BO1565" s="1"/>
      <c r="BP1565" s="1"/>
      <c r="BQ1565" s="1"/>
      <c r="BR1565" s="1"/>
      <c r="BS1565" s="1"/>
      <c r="BT1565" s="1"/>
      <c r="BU1565" s="1"/>
      <c r="BV1565" s="1"/>
      <c r="BW1565" s="1"/>
      <c r="BX1565" s="1"/>
      <c r="BY1565" s="1"/>
      <c r="BZ1565" s="1"/>
      <c r="CA1565" s="1"/>
      <c r="CB1565" s="1"/>
      <c r="CC1565" s="1"/>
      <c r="CD1565" s="1"/>
      <c r="CE1565" s="1"/>
      <c r="CF1565" s="1"/>
      <c r="CG1565" s="1"/>
      <c r="CH1565" s="1"/>
      <c r="CI1565" s="1"/>
      <c r="CJ1565" s="1"/>
      <c r="CK1565" s="1"/>
      <c r="CL1565" s="1"/>
      <c r="CM1565" s="1"/>
      <c r="CN1565" s="1"/>
      <c r="CO1565" s="1"/>
      <c r="CP1565" s="1"/>
      <c r="CQ1565" s="1"/>
      <c r="CR1565" s="1"/>
      <c r="CS1565" s="1"/>
      <c r="CT1565" s="1"/>
      <c r="CU1565" s="1"/>
      <c r="CV1565" s="1"/>
      <c r="CW1565" s="1"/>
      <c r="CX1565" s="1"/>
      <c r="CY1565" s="1"/>
      <c r="CZ1565" s="1"/>
      <c r="DA1565" s="1"/>
      <c r="DB1565" s="1"/>
      <c r="DC1565" s="1"/>
    </row>
    <row r="1566" spans="1:107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  <c r="AX1566" s="1"/>
      <c r="AY1566" s="1"/>
      <c r="AZ1566" s="1"/>
      <c r="BA1566" s="1"/>
      <c r="BB1566" s="1"/>
      <c r="BC1566" s="1"/>
      <c r="BD1566" s="1"/>
      <c r="BE1566" s="1"/>
      <c r="BF1566" s="1"/>
      <c r="BG1566" s="1"/>
      <c r="BH1566" s="1"/>
      <c r="BI1566" s="1"/>
      <c r="BJ1566" s="1"/>
      <c r="BK1566" s="1"/>
      <c r="BL1566" s="1"/>
      <c r="BM1566" s="1"/>
      <c r="BN1566" s="1"/>
      <c r="BO1566" s="1"/>
      <c r="BP1566" s="1"/>
      <c r="BQ1566" s="1"/>
      <c r="BR1566" s="1"/>
      <c r="BS1566" s="1"/>
      <c r="BT1566" s="1"/>
      <c r="BU1566" s="1"/>
      <c r="BV1566" s="1"/>
      <c r="BW1566" s="1"/>
      <c r="BX1566" s="1"/>
      <c r="BY1566" s="1"/>
      <c r="BZ1566" s="1"/>
      <c r="CA1566" s="1"/>
      <c r="CB1566" s="1"/>
      <c r="CC1566" s="1"/>
      <c r="CD1566" s="1"/>
      <c r="CE1566" s="1"/>
      <c r="CF1566" s="1"/>
      <c r="CG1566" s="1"/>
      <c r="CH1566" s="1"/>
      <c r="CI1566" s="1"/>
      <c r="CJ1566" s="1"/>
      <c r="CK1566" s="1"/>
      <c r="CL1566" s="1"/>
      <c r="CM1566" s="1"/>
      <c r="CN1566" s="1"/>
      <c r="CO1566" s="1"/>
      <c r="CP1566" s="1"/>
      <c r="CQ1566" s="1"/>
      <c r="CR1566" s="1"/>
      <c r="CS1566" s="1"/>
      <c r="CT1566" s="1"/>
      <c r="CU1566" s="1"/>
      <c r="CV1566" s="1"/>
      <c r="CW1566" s="1"/>
      <c r="CX1566" s="1"/>
      <c r="CY1566" s="1"/>
      <c r="CZ1566" s="1"/>
      <c r="DA1566" s="1"/>
      <c r="DB1566" s="1"/>
      <c r="DC1566" s="1"/>
    </row>
    <row r="1567" spans="1:107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  <c r="AX1567" s="1"/>
      <c r="AY1567" s="1"/>
      <c r="AZ1567" s="1"/>
      <c r="BA1567" s="1"/>
      <c r="BB1567" s="1"/>
      <c r="BC1567" s="1"/>
      <c r="BD1567" s="1"/>
      <c r="BE1567" s="1"/>
      <c r="BF1567" s="1"/>
      <c r="BG1567" s="1"/>
      <c r="BH1567" s="1"/>
      <c r="BI1567" s="1"/>
      <c r="BJ1567" s="1"/>
      <c r="BK1567" s="1"/>
      <c r="BL1567" s="1"/>
      <c r="BM1567" s="1"/>
      <c r="BN1567" s="1"/>
      <c r="BO1567" s="1"/>
      <c r="BP1567" s="1"/>
      <c r="BQ1567" s="1"/>
      <c r="BR1567" s="1"/>
      <c r="BS1567" s="1"/>
      <c r="BT1567" s="1"/>
      <c r="BU1567" s="1"/>
      <c r="BV1567" s="1"/>
      <c r="BW1567" s="1"/>
      <c r="BX1567" s="1"/>
      <c r="BY1567" s="1"/>
      <c r="BZ1567" s="1"/>
      <c r="CA1567" s="1"/>
      <c r="CB1567" s="1"/>
      <c r="CC1567" s="1"/>
      <c r="CD1567" s="1"/>
      <c r="CE1567" s="1"/>
      <c r="CF1567" s="1"/>
      <c r="CG1567" s="1"/>
      <c r="CH1567" s="1"/>
      <c r="CI1567" s="1"/>
      <c r="CJ1567" s="1"/>
      <c r="CK1567" s="1"/>
      <c r="CL1567" s="1"/>
      <c r="CM1567" s="1"/>
      <c r="CN1567" s="1"/>
      <c r="CO1567" s="1"/>
      <c r="CP1567" s="1"/>
      <c r="CQ1567" s="1"/>
      <c r="CR1567" s="1"/>
      <c r="CS1567" s="1"/>
      <c r="CT1567" s="1"/>
      <c r="CU1567" s="1"/>
      <c r="CV1567" s="1"/>
      <c r="CW1567" s="1"/>
      <c r="CX1567" s="1"/>
      <c r="CY1567" s="1"/>
      <c r="CZ1567" s="1"/>
      <c r="DA1567" s="1"/>
      <c r="DB1567" s="1"/>
      <c r="DC1567" s="1"/>
    </row>
    <row r="1568" spans="1:107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/>
      <c r="AY1568" s="1"/>
      <c r="AZ1568" s="1"/>
      <c r="BA1568" s="1"/>
      <c r="BB1568" s="1"/>
      <c r="BC1568" s="1"/>
      <c r="BD1568" s="1"/>
      <c r="BE1568" s="1"/>
      <c r="BF1568" s="1"/>
      <c r="BG1568" s="1"/>
      <c r="BH1568" s="1"/>
      <c r="BI1568" s="1"/>
      <c r="BJ1568" s="1"/>
      <c r="BK1568" s="1"/>
      <c r="BL1568" s="1"/>
      <c r="BM1568" s="1"/>
      <c r="BN1568" s="1"/>
      <c r="BO1568" s="1"/>
      <c r="BP1568" s="1"/>
      <c r="BQ1568" s="1"/>
      <c r="BR1568" s="1"/>
      <c r="BS1568" s="1"/>
      <c r="BT1568" s="1"/>
      <c r="BU1568" s="1"/>
      <c r="BV1568" s="1"/>
      <c r="BW1568" s="1"/>
      <c r="BX1568" s="1"/>
      <c r="BY1568" s="1"/>
      <c r="BZ1568" s="1"/>
      <c r="CA1568" s="1"/>
      <c r="CB1568" s="1"/>
      <c r="CC1568" s="1"/>
      <c r="CD1568" s="1"/>
      <c r="CE1568" s="1"/>
      <c r="CF1568" s="1"/>
      <c r="CG1568" s="1"/>
      <c r="CH1568" s="1"/>
      <c r="CI1568" s="1"/>
      <c r="CJ1568" s="1"/>
      <c r="CK1568" s="1"/>
      <c r="CL1568" s="1"/>
      <c r="CM1568" s="1"/>
      <c r="CN1568" s="1"/>
      <c r="CO1568" s="1"/>
      <c r="CP1568" s="1"/>
      <c r="CQ1568" s="1"/>
      <c r="CR1568" s="1"/>
      <c r="CS1568" s="1"/>
      <c r="CT1568" s="1"/>
      <c r="CU1568" s="1"/>
      <c r="CV1568" s="1"/>
      <c r="CW1568" s="1"/>
      <c r="CX1568" s="1"/>
      <c r="CY1568" s="1"/>
      <c r="CZ1568" s="1"/>
      <c r="DA1568" s="1"/>
      <c r="DB1568" s="1"/>
      <c r="DC1568" s="1"/>
    </row>
    <row r="1569" spans="1:107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1"/>
      <c r="AY1569" s="1"/>
      <c r="AZ1569" s="1"/>
      <c r="BA1569" s="1"/>
      <c r="BB1569" s="1"/>
      <c r="BC1569" s="1"/>
      <c r="BD1569" s="1"/>
      <c r="BE1569" s="1"/>
      <c r="BF1569" s="1"/>
      <c r="BG1569" s="1"/>
      <c r="BH1569" s="1"/>
      <c r="BI1569" s="1"/>
      <c r="BJ1569" s="1"/>
      <c r="BK1569" s="1"/>
      <c r="BL1569" s="1"/>
      <c r="BM1569" s="1"/>
      <c r="BN1569" s="1"/>
      <c r="BO1569" s="1"/>
      <c r="BP1569" s="1"/>
      <c r="BQ1569" s="1"/>
      <c r="BR1569" s="1"/>
      <c r="BS1569" s="1"/>
      <c r="BT1569" s="1"/>
      <c r="BU1569" s="1"/>
      <c r="BV1569" s="1"/>
      <c r="BW1569" s="1"/>
      <c r="BX1569" s="1"/>
      <c r="BY1569" s="1"/>
      <c r="BZ1569" s="1"/>
      <c r="CA1569" s="1"/>
      <c r="CB1569" s="1"/>
      <c r="CC1569" s="1"/>
      <c r="CD1569" s="1"/>
      <c r="CE1569" s="1"/>
      <c r="CF1569" s="1"/>
      <c r="CG1569" s="1"/>
      <c r="CH1569" s="1"/>
      <c r="CI1569" s="1"/>
      <c r="CJ1569" s="1"/>
      <c r="CK1569" s="1"/>
      <c r="CL1569" s="1"/>
      <c r="CM1569" s="1"/>
      <c r="CN1569" s="1"/>
      <c r="CO1569" s="1"/>
      <c r="CP1569" s="1"/>
      <c r="CQ1569" s="1"/>
      <c r="CR1569" s="1"/>
      <c r="CS1569" s="1"/>
      <c r="CT1569" s="1"/>
      <c r="CU1569" s="1"/>
      <c r="CV1569" s="1"/>
      <c r="CW1569" s="1"/>
      <c r="CX1569" s="1"/>
      <c r="CY1569" s="1"/>
      <c r="CZ1569" s="1"/>
      <c r="DA1569" s="1"/>
      <c r="DB1569" s="1"/>
      <c r="DC1569" s="1"/>
    </row>
    <row r="1570" spans="1:107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  <c r="AY1570" s="1"/>
      <c r="AZ1570" s="1"/>
      <c r="BA1570" s="1"/>
      <c r="BB1570" s="1"/>
      <c r="BC1570" s="1"/>
      <c r="BD1570" s="1"/>
      <c r="BE1570" s="1"/>
      <c r="BF1570" s="1"/>
      <c r="BG1570" s="1"/>
      <c r="BH1570" s="1"/>
      <c r="BI1570" s="1"/>
      <c r="BJ1570" s="1"/>
      <c r="BK1570" s="1"/>
      <c r="BL1570" s="1"/>
      <c r="BM1570" s="1"/>
      <c r="BN1570" s="1"/>
      <c r="BO1570" s="1"/>
      <c r="BP1570" s="1"/>
      <c r="BQ1570" s="1"/>
      <c r="BR1570" s="1"/>
      <c r="BS1570" s="1"/>
      <c r="BT1570" s="1"/>
      <c r="BU1570" s="1"/>
      <c r="BV1570" s="1"/>
      <c r="BW1570" s="1"/>
      <c r="BX1570" s="1"/>
      <c r="BY1570" s="1"/>
      <c r="BZ1570" s="1"/>
      <c r="CA1570" s="1"/>
      <c r="CB1570" s="1"/>
      <c r="CC1570" s="1"/>
      <c r="CD1570" s="1"/>
      <c r="CE1570" s="1"/>
      <c r="CF1570" s="1"/>
      <c r="CG1570" s="1"/>
      <c r="CH1570" s="1"/>
      <c r="CI1570" s="1"/>
      <c r="CJ1570" s="1"/>
      <c r="CK1570" s="1"/>
      <c r="CL1570" s="1"/>
      <c r="CM1570" s="1"/>
      <c r="CN1570" s="1"/>
      <c r="CO1570" s="1"/>
      <c r="CP1570" s="1"/>
      <c r="CQ1570" s="1"/>
      <c r="CR1570" s="1"/>
      <c r="CS1570" s="1"/>
      <c r="CT1570" s="1"/>
      <c r="CU1570" s="1"/>
      <c r="CV1570" s="1"/>
      <c r="CW1570" s="1"/>
      <c r="CX1570" s="1"/>
      <c r="CY1570" s="1"/>
      <c r="CZ1570" s="1"/>
      <c r="DA1570" s="1"/>
      <c r="DB1570" s="1"/>
      <c r="DC1570" s="1"/>
    </row>
    <row r="1571" spans="1:107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  <c r="AY1571" s="1"/>
      <c r="AZ1571" s="1"/>
      <c r="BA1571" s="1"/>
      <c r="BB1571" s="1"/>
      <c r="BC1571" s="1"/>
      <c r="BD1571" s="1"/>
      <c r="BE1571" s="1"/>
      <c r="BF1571" s="1"/>
      <c r="BG1571" s="1"/>
      <c r="BH1571" s="1"/>
      <c r="BI1571" s="1"/>
      <c r="BJ1571" s="1"/>
      <c r="BK1571" s="1"/>
      <c r="BL1571" s="1"/>
      <c r="BM1571" s="1"/>
      <c r="BN1571" s="1"/>
      <c r="BO1571" s="1"/>
      <c r="BP1571" s="1"/>
      <c r="BQ1571" s="1"/>
      <c r="BR1571" s="1"/>
      <c r="BS1571" s="1"/>
      <c r="BT1571" s="1"/>
      <c r="BU1571" s="1"/>
      <c r="BV1571" s="1"/>
      <c r="BW1571" s="1"/>
      <c r="BX1571" s="1"/>
      <c r="BY1571" s="1"/>
      <c r="BZ1571" s="1"/>
      <c r="CA1571" s="1"/>
      <c r="CB1571" s="1"/>
      <c r="CC1571" s="1"/>
      <c r="CD1571" s="1"/>
      <c r="CE1571" s="1"/>
      <c r="CF1571" s="1"/>
      <c r="CG1571" s="1"/>
      <c r="CH1571" s="1"/>
      <c r="CI1571" s="1"/>
      <c r="CJ1571" s="1"/>
      <c r="CK1571" s="1"/>
      <c r="CL1571" s="1"/>
      <c r="CM1571" s="1"/>
      <c r="CN1571" s="1"/>
      <c r="CO1571" s="1"/>
      <c r="CP1571" s="1"/>
      <c r="CQ1571" s="1"/>
      <c r="CR1571" s="1"/>
      <c r="CS1571" s="1"/>
      <c r="CT1571" s="1"/>
      <c r="CU1571" s="1"/>
      <c r="CV1571" s="1"/>
      <c r="CW1571" s="1"/>
      <c r="CX1571" s="1"/>
      <c r="CY1571" s="1"/>
      <c r="CZ1571" s="1"/>
      <c r="DA1571" s="1"/>
      <c r="DB1571" s="1"/>
      <c r="DC1571" s="1"/>
    </row>
    <row r="1572" spans="1:107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  <c r="AS1572" s="1"/>
      <c r="AT1572" s="1"/>
      <c r="AU1572" s="1"/>
      <c r="AV1572" s="1"/>
      <c r="AW1572" s="1"/>
      <c r="AX1572" s="1"/>
      <c r="AY1572" s="1"/>
      <c r="AZ1572" s="1"/>
      <c r="BA1572" s="1"/>
      <c r="BB1572" s="1"/>
      <c r="BC1572" s="1"/>
      <c r="BD1572" s="1"/>
      <c r="BE1572" s="1"/>
      <c r="BF1572" s="1"/>
      <c r="BG1572" s="1"/>
      <c r="BH1572" s="1"/>
      <c r="BI1572" s="1"/>
      <c r="BJ1572" s="1"/>
      <c r="BK1572" s="1"/>
      <c r="BL1572" s="1"/>
      <c r="BM1572" s="1"/>
      <c r="BN1572" s="1"/>
      <c r="BO1572" s="1"/>
      <c r="BP1572" s="1"/>
      <c r="BQ1572" s="1"/>
      <c r="BR1572" s="1"/>
      <c r="BS1572" s="1"/>
      <c r="BT1572" s="1"/>
      <c r="BU1572" s="1"/>
      <c r="BV1572" s="1"/>
      <c r="BW1572" s="1"/>
      <c r="BX1572" s="1"/>
      <c r="BY1572" s="1"/>
      <c r="BZ1572" s="1"/>
      <c r="CA1572" s="1"/>
      <c r="CB1572" s="1"/>
      <c r="CC1572" s="1"/>
      <c r="CD1572" s="1"/>
      <c r="CE1572" s="1"/>
      <c r="CF1572" s="1"/>
      <c r="CG1572" s="1"/>
      <c r="CH1572" s="1"/>
      <c r="CI1572" s="1"/>
      <c r="CJ1572" s="1"/>
      <c r="CK1572" s="1"/>
      <c r="CL1572" s="1"/>
      <c r="CM1572" s="1"/>
      <c r="CN1572" s="1"/>
      <c r="CO1572" s="1"/>
      <c r="CP1572" s="1"/>
      <c r="CQ1572" s="1"/>
      <c r="CR1572" s="1"/>
      <c r="CS1572" s="1"/>
      <c r="CT1572" s="1"/>
      <c r="CU1572" s="1"/>
      <c r="CV1572" s="1"/>
      <c r="CW1572" s="1"/>
      <c r="CX1572" s="1"/>
      <c r="CY1572" s="1"/>
      <c r="CZ1572" s="1"/>
      <c r="DA1572" s="1"/>
      <c r="DB1572" s="1"/>
      <c r="DC1572" s="1"/>
    </row>
    <row r="1573" spans="1:107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  <c r="AX1573" s="1"/>
      <c r="AY1573" s="1"/>
      <c r="AZ1573" s="1"/>
      <c r="BA1573" s="1"/>
      <c r="BB1573" s="1"/>
      <c r="BC1573" s="1"/>
      <c r="BD1573" s="1"/>
      <c r="BE1573" s="1"/>
      <c r="BF1573" s="1"/>
      <c r="BG1573" s="1"/>
      <c r="BH1573" s="1"/>
      <c r="BI1573" s="1"/>
      <c r="BJ1573" s="1"/>
      <c r="BK1573" s="1"/>
      <c r="BL1573" s="1"/>
      <c r="BM1573" s="1"/>
      <c r="BN1573" s="1"/>
      <c r="BO1573" s="1"/>
      <c r="BP1573" s="1"/>
      <c r="BQ1573" s="1"/>
      <c r="BR1573" s="1"/>
      <c r="BS1573" s="1"/>
      <c r="BT1573" s="1"/>
      <c r="BU1573" s="1"/>
      <c r="BV1573" s="1"/>
      <c r="BW1573" s="1"/>
      <c r="BX1573" s="1"/>
      <c r="BY1573" s="1"/>
      <c r="BZ1573" s="1"/>
      <c r="CA1573" s="1"/>
      <c r="CB1573" s="1"/>
      <c r="CC1573" s="1"/>
      <c r="CD1573" s="1"/>
      <c r="CE1573" s="1"/>
      <c r="CF1573" s="1"/>
      <c r="CG1573" s="1"/>
      <c r="CH1573" s="1"/>
      <c r="CI1573" s="1"/>
      <c r="CJ1573" s="1"/>
      <c r="CK1573" s="1"/>
      <c r="CL1573" s="1"/>
      <c r="CM1573" s="1"/>
      <c r="CN1573" s="1"/>
      <c r="CO1573" s="1"/>
      <c r="CP1573" s="1"/>
      <c r="CQ1573" s="1"/>
      <c r="CR1573" s="1"/>
      <c r="CS1573" s="1"/>
      <c r="CT1573" s="1"/>
      <c r="CU1573" s="1"/>
      <c r="CV1573" s="1"/>
      <c r="CW1573" s="1"/>
      <c r="CX1573" s="1"/>
      <c r="CY1573" s="1"/>
      <c r="CZ1573" s="1"/>
      <c r="DA1573" s="1"/>
      <c r="DB1573" s="1"/>
      <c r="DC1573" s="1"/>
    </row>
    <row r="1574" spans="1:107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X1574" s="1"/>
      <c r="AY1574" s="1"/>
      <c r="AZ1574" s="1"/>
      <c r="BA1574" s="1"/>
      <c r="BB1574" s="1"/>
      <c r="BC1574" s="1"/>
      <c r="BD1574" s="1"/>
      <c r="BE1574" s="1"/>
      <c r="BF1574" s="1"/>
      <c r="BG1574" s="1"/>
      <c r="BH1574" s="1"/>
      <c r="BI1574" s="1"/>
      <c r="BJ1574" s="1"/>
      <c r="BK1574" s="1"/>
      <c r="BL1574" s="1"/>
      <c r="BM1574" s="1"/>
      <c r="BN1574" s="1"/>
      <c r="BO1574" s="1"/>
      <c r="BP1574" s="1"/>
      <c r="BQ1574" s="1"/>
      <c r="BR1574" s="1"/>
      <c r="BS1574" s="1"/>
      <c r="BT1574" s="1"/>
      <c r="BU1574" s="1"/>
      <c r="BV1574" s="1"/>
      <c r="BW1574" s="1"/>
      <c r="BX1574" s="1"/>
      <c r="BY1574" s="1"/>
      <c r="BZ1574" s="1"/>
      <c r="CA1574" s="1"/>
      <c r="CB1574" s="1"/>
      <c r="CC1574" s="1"/>
      <c r="CD1574" s="1"/>
      <c r="CE1574" s="1"/>
      <c r="CF1574" s="1"/>
      <c r="CG1574" s="1"/>
      <c r="CH1574" s="1"/>
      <c r="CI1574" s="1"/>
      <c r="CJ1574" s="1"/>
      <c r="CK1574" s="1"/>
      <c r="CL1574" s="1"/>
      <c r="CM1574" s="1"/>
      <c r="CN1574" s="1"/>
      <c r="CO1574" s="1"/>
      <c r="CP1574" s="1"/>
      <c r="CQ1574" s="1"/>
      <c r="CR1574" s="1"/>
      <c r="CS1574" s="1"/>
      <c r="CT1574" s="1"/>
      <c r="CU1574" s="1"/>
      <c r="CV1574" s="1"/>
      <c r="CW1574" s="1"/>
      <c r="CX1574" s="1"/>
      <c r="CY1574" s="1"/>
      <c r="CZ1574" s="1"/>
      <c r="DA1574" s="1"/>
      <c r="DB1574" s="1"/>
      <c r="DC1574" s="1"/>
    </row>
    <row r="1575" spans="1:107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  <c r="AX1575" s="1"/>
      <c r="AY1575" s="1"/>
      <c r="AZ1575" s="1"/>
      <c r="BA1575" s="1"/>
      <c r="BB1575" s="1"/>
      <c r="BC1575" s="1"/>
      <c r="BD1575" s="1"/>
      <c r="BE1575" s="1"/>
      <c r="BF1575" s="1"/>
      <c r="BG1575" s="1"/>
      <c r="BH1575" s="1"/>
      <c r="BI1575" s="1"/>
      <c r="BJ1575" s="1"/>
      <c r="BK1575" s="1"/>
      <c r="BL1575" s="1"/>
      <c r="BM1575" s="1"/>
      <c r="BN1575" s="1"/>
      <c r="BO1575" s="1"/>
      <c r="BP1575" s="1"/>
      <c r="BQ1575" s="1"/>
      <c r="BR1575" s="1"/>
      <c r="BS1575" s="1"/>
      <c r="BT1575" s="1"/>
      <c r="BU1575" s="1"/>
      <c r="BV1575" s="1"/>
      <c r="BW1575" s="1"/>
      <c r="BX1575" s="1"/>
      <c r="BY1575" s="1"/>
      <c r="BZ1575" s="1"/>
      <c r="CA1575" s="1"/>
      <c r="CB1575" s="1"/>
      <c r="CC1575" s="1"/>
      <c r="CD1575" s="1"/>
      <c r="CE1575" s="1"/>
      <c r="CF1575" s="1"/>
      <c r="CG1575" s="1"/>
      <c r="CH1575" s="1"/>
      <c r="CI1575" s="1"/>
      <c r="CJ1575" s="1"/>
      <c r="CK1575" s="1"/>
      <c r="CL1575" s="1"/>
      <c r="CM1575" s="1"/>
      <c r="CN1575" s="1"/>
      <c r="CO1575" s="1"/>
      <c r="CP1575" s="1"/>
      <c r="CQ1575" s="1"/>
      <c r="CR1575" s="1"/>
      <c r="CS1575" s="1"/>
      <c r="CT1575" s="1"/>
      <c r="CU1575" s="1"/>
      <c r="CV1575" s="1"/>
      <c r="CW1575" s="1"/>
      <c r="CX1575" s="1"/>
      <c r="CY1575" s="1"/>
      <c r="CZ1575" s="1"/>
      <c r="DA1575" s="1"/>
      <c r="DB1575" s="1"/>
      <c r="DC1575" s="1"/>
    </row>
    <row r="1576" spans="1:107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  <c r="AX1576" s="1"/>
      <c r="AY1576" s="1"/>
      <c r="AZ1576" s="1"/>
      <c r="BA1576" s="1"/>
      <c r="BB1576" s="1"/>
      <c r="BC1576" s="1"/>
      <c r="BD1576" s="1"/>
      <c r="BE1576" s="1"/>
      <c r="BF1576" s="1"/>
      <c r="BG1576" s="1"/>
      <c r="BH1576" s="1"/>
      <c r="BI1576" s="1"/>
      <c r="BJ1576" s="1"/>
      <c r="BK1576" s="1"/>
      <c r="BL1576" s="1"/>
      <c r="BM1576" s="1"/>
      <c r="BN1576" s="1"/>
      <c r="BO1576" s="1"/>
      <c r="BP1576" s="1"/>
      <c r="BQ1576" s="1"/>
      <c r="BR1576" s="1"/>
      <c r="BS1576" s="1"/>
      <c r="BT1576" s="1"/>
      <c r="BU1576" s="1"/>
      <c r="BV1576" s="1"/>
      <c r="BW1576" s="1"/>
      <c r="BX1576" s="1"/>
      <c r="BY1576" s="1"/>
      <c r="BZ1576" s="1"/>
      <c r="CA1576" s="1"/>
      <c r="CB1576" s="1"/>
      <c r="CC1576" s="1"/>
      <c r="CD1576" s="1"/>
      <c r="CE1576" s="1"/>
      <c r="CF1576" s="1"/>
      <c r="CG1576" s="1"/>
      <c r="CH1576" s="1"/>
      <c r="CI1576" s="1"/>
      <c r="CJ1576" s="1"/>
      <c r="CK1576" s="1"/>
      <c r="CL1576" s="1"/>
      <c r="CM1576" s="1"/>
      <c r="CN1576" s="1"/>
      <c r="CO1576" s="1"/>
      <c r="CP1576" s="1"/>
      <c r="CQ1576" s="1"/>
      <c r="CR1576" s="1"/>
      <c r="CS1576" s="1"/>
      <c r="CT1576" s="1"/>
      <c r="CU1576" s="1"/>
      <c r="CV1576" s="1"/>
      <c r="CW1576" s="1"/>
      <c r="CX1576" s="1"/>
      <c r="CY1576" s="1"/>
      <c r="CZ1576" s="1"/>
      <c r="DA1576" s="1"/>
      <c r="DB1576" s="1"/>
      <c r="DC1576" s="1"/>
    </row>
    <row r="1577" spans="1:107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1"/>
      <c r="AY1577" s="1"/>
      <c r="AZ1577" s="1"/>
      <c r="BA1577" s="1"/>
      <c r="BB1577" s="1"/>
      <c r="BC1577" s="1"/>
      <c r="BD1577" s="1"/>
      <c r="BE1577" s="1"/>
      <c r="BF1577" s="1"/>
      <c r="BG1577" s="1"/>
      <c r="BH1577" s="1"/>
      <c r="BI1577" s="1"/>
      <c r="BJ1577" s="1"/>
      <c r="BK1577" s="1"/>
      <c r="BL1577" s="1"/>
      <c r="BM1577" s="1"/>
      <c r="BN1577" s="1"/>
      <c r="BO1577" s="1"/>
      <c r="BP1577" s="1"/>
      <c r="BQ1577" s="1"/>
      <c r="BR1577" s="1"/>
      <c r="BS1577" s="1"/>
      <c r="BT1577" s="1"/>
      <c r="BU1577" s="1"/>
      <c r="BV1577" s="1"/>
      <c r="BW1577" s="1"/>
      <c r="BX1577" s="1"/>
      <c r="BY1577" s="1"/>
      <c r="BZ1577" s="1"/>
      <c r="CA1577" s="1"/>
      <c r="CB1577" s="1"/>
      <c r="CC1577" s="1"/>
      <c r="CD1577" s="1"/>
      <c r="CE1577" s="1"/>
      <c r="CF1577" s="1"/>
      <c r="CG1577" s="1"/>
      <c r="CH1577" s="1"/>
      <c r="CI1577" s="1"/>
      <c r="CJ1577" s="1"/>
      <c r="CK1577" s="1"/>
      <c r="CL1577" s="1"/>
      <c r="CM1577" s="1"/>
      <c r="CN1577" s="1"/>
      <c r="CO1577" s="1"/>
      <c r="CP1577" s="1"/>
      <c r="CQ1577" s="1"/>
      <c r="CR1577" s="1"/>
      <c r="CS1577" s="1"/>
      <c r="CT1577" s="1"/>
      <c r="CU1577" s="1"/>
      <c r="CV1577" s="1"/>
      <c r="CW1577" s="1"/>
      <c r="CX1577" s="1"/>
      <c r="CY1577" s="1"/>
      <c r="CZ1577" s="1"/>
      <c r="DA1577" s="1"/>
      <c r="DB1577" s="1"/>
      <c r="DC1577" s="1"/>
    </row>
    <row r="1578" spans="1:107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/>
      <c r="AX1578" s="1"/>
      <c r="AY1578" s="1"/>
      <c r="AZ1578" s="1"/>
      <c r="BA1578" s="1"/>
      <c r="BB1578" s="1"/>
      <c r="BC1578" s="1"/>
      <c r="BD1578" s="1"/>
      <c r="BE1578" s="1"/>
      <c r="BF1578" s="1"/>
      <c r="BG1578" s="1"/>
      <c r="BH1578" s="1"/>
      <c r="BI1578" s="1"/>
      <c r="BJ1578" s="1"/>
      <c r="BK1578" s="1"/>
      <c r="BL1578" s="1"/>
      <c r="BM1578" s="1"/>
      <c r="BN1578" s="1"/>
      <c r="BO1578" s="1"/>
      <c r="BP1578" s="1"/>
      <c r="BQ1578" s="1"/>
      <c r="BR1578" s="1"/>
      <c r="BS1578" s="1"/>
      <c r="BT1578" s="1"/>
      <c r="BU1578" s="1"/>
      <c r="BV1578" s="1"/>
      <c r="BW1578" s="1"/>
      <c r="BX1578" s="1"/>
      <c r="BY1578" s="1"/>
      <c r="BZ1578" s="1"/>
      <c r="CA1578" s="1"/>
      <c r="CB1578" s="1"/>
      <c r="CC1578" s="1"/>
      <c r="CD1578" s="1"/>
      <c r="CE1578" s="1"/>
      <c r="CF1578" s="1"/>
      <c r="CG1578" s="1"/>
      <c r="CH1578" s="1"/>
      <c r="CI1578" s="1"/>
      <c r="CJ1578" s="1"/>
      <c r="CK1578" s="1"/>
      <c r="CL1578" s="1"/>
      <c r="CM1578" s="1"/>
      <c r="CN1578" s="1"/>
      <c r="CO1578" s="1"/>
      <c r="CP1578" s="1"/>
      <c r="CQ1578" s="1"/>
      <c r="CR1578" s="1"/>
      <c r="CS1578" s="1"/>
      <c r="CT1578" s="1"/>
      <c r="CU1578" s="1"/>
      <c r="CV1578" s="1"/>
      <c r="CW1578" s="1"/>
      <c r="CX1578" s="1"/>
      <c r="CY1578" s="1"/>
      <c r="CZ1578" s="1"/>
      <c r="DA1578" s="1"/>
      <c r="DB1578" s="1"/>
      <c r="DC1578" s="1"/>
    </row>
    <row r="1579" spans="1:107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/>
      <c r="AY1579" s="1"/>
      <c r="AZ1579" s="1"/>
      <c r="BA1579" s="1"/>
      <c r="BB1579" s="1"/>
      <c r="BC1579" s="1"/>
      <c r="BD1579" s="1"/>
      <c r="BE1579" s="1"/>
      <c r="BF1579" s="1"/>
      <c r="BG1579" s="1"/>
      <c r="BH1579" s="1"/>
      <c r="BI1579" s="1"/>
      <c r="BJ1579" s="1"/>
      <c r="BK1579" s="1"/>
      <c r="BL1579" s="1"/>
      <c r="BM1579" s="1"/>
      <c r="BN1579" s="1"/>
      <c r="BO1579" s="1"/>
      <c r="BP1579" s="1"/>
      <c r="BQ1579" s="1"/>
      <c r="BR1579" s="1"/>
      <c r="BS1579" s="1"/>
      <c r="BT1579" s="1"/>
      <c r="BU1579" s="1"/>
      <c r="BV1579" s="1"/>
      <c r="BW1579" s="1"/>
      <c r="BX1579" s="1"/>
      <c r="BY1579" s="1"/>
      <c r="BZ1579" s="1"/>
      <c r="CA1579" s="1"/>
      <c r="CB1579" s="1"/>
      <c r="CC1579" s="1"/>
      <c r="CD1579" s="1"/>
      <c r="CE1579" s="1"/>
      <c r="CF1579" s="1"/>
      <c r="CG1579" s="1"/>
      <c r="CH1579" s="1"/>
      <c r="CI1579" s="1"/>
      <c r="CJ1579" s="1"/>
      <c r="CK1579" s="1"/>
      <c r="CL1579" s="1"/>
      <c r="CM1579" s="1"/>
      <c r="CN1579" s="1"/>
      <c r="CO1579" s="1"/>
      <c r="CP1579" s="1"/>
      <c r="CQ1579" s="1"/>
      <c r="CR1579" s="1"/>
      <c r="CS1579" s="1"/>
      <c r="CT1579" s="1"/>
      <c r="CU1579" s="1"/>
      <c r="CV1579" s="1"/>
      <c r="CW1579" s="1"/>
      <c r="CX1579" s="1"/>
      <c r="CY1579" s="1"/>
      <c r="CZ1579" s="1"/>
      <c r="DA1579" s="1"/>
      <c r="DB1579" s="1"/>
      <c r="DC1579" s="1"/>
    </row>
    <row r="1580" spans="1:107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/>
      <c r="AY1580" s="1"/>
      <c r="AZ1580" s="1"/>
      <c r="BA1580" s="1"/>
      <c r="BB1580" s="1"/>
      <c r="BC1580" s="1"/>
      <c r="BD1580" s="1"/>
      <c r="BE1580" s="1"/>
      <c r="BF1580" s="1"/>
      <c r="BG1580" s="1"/>
      <c r="BH1580" s="1"/>
      <c r="BI1580" s="1"/>
      <c r="BJ1580" s="1"/>
      <c r="BK1580" s="1"/>
      <c r="BL1580" s="1"/>
      <c r="BM1580" s="1"/>
      <c r="BN1580" s="1"/>
      <c r="BO1580" s="1"/>
      <c r="BP1580" s="1"/>
      <c r="BQ1580" s="1"/>
      <c r="BR1580" s="1"/>
      <c r="BS1580" s="1"/>
      <c r="BT1580" s="1"/>
      <c r="BU1580" s="1"/>
      <c r="BV1580" s="1"/>
      <c r="BW1580" s="1"/>
      <c r="BX1580" s="1"/>
      <c r="BY1580" s="1"/>
      <c r="BZ1580" s="1"/>
      <c r="CA1580" s="1"/>
      <c r="CB1580" s="1"/>
      <c r="CC1580" s="1"/>
      <c r="CD1580" s="1"/>
      <c r="CE1580" s="1"/>
      <c r="CF1580" s="1"/>
      <c r="CG1580" s="1"/>
      <c r="CH1580" s="1"/>
      <c r="CI1580" s="1"/>
      <c r="CJ1580" s="1"/>
      <c r="CK1580" s="1"/>
      <c r="CL1580" s="1"/>
      <c r="CM1580" s="1"/>
      <c r="CN1580" s="1"/>
      <c r="CO1580" s="1"/>
      <c r="CP1580" s="1"/>
      <c r="CQ1580" s="1"/>
      <c r="CR1580" s="1"/>
      <c r="CS1580" s="1"/>
      <c r="CT1580" s="1"/>
      <c r="CU1580" s="1"/>
      <c r="CV1580" s="1"/>
      <c r="CW1580" s="1"/>
      <c r="CX1580" s="1"/>
      <c r="CY1580" s="1"/>
      <c r="CZ1580" s="1"/>
      <c r="DA1580" s="1"/>
      <c r="DB1580" s="1"/>
      <c r="DC1580" s="1"/>
    </row>
    <row r="1581" spans="1:107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1"/>
      <c r="AY1581" s="1"/>
      <c r="AZ1581" s="1"/>
      <c r="BA1581" s="1"/>
      <c r="BB1581" s="1"/>
      <c r="BC1581" s="1"/>
      <c r="BD1581" s="1"/>
      <c r="BE1581" s="1"/>
      <c r="BF1581" s="1"/>
      <c r="BG1581" s="1"/>
      <c r="BH1581" s="1"/>
      <c r="BI1581" s="1"/>
      <c r="BJ1581" s="1"/>
      <c r="BK1581" s="1"/>
      <c r="BL1581" s="1"/>
      <c r="BM1581" s="1"/>
      <c r="BN1581" s="1"/>
      <c r="BO1581" s="1"/>
      <c r="BP1581" s="1"/>
      <c r="BQ1581" s="1"/>
      <c r="BR1581" s="1"/>
      <c r="BS1581" s="1"/>
      <c r="BT1581" s="1"/>
      <c r="BU1581" s="1"/>
      <c r="BV1581" s="1"/>
      <c r="BW1581" s="1"/>
      <c r="BX1581" s="1"/>
      <c r="BY1581" s="1"/>
      <c r="BZ1581" s="1"/>
      <c r="CA1581" s="1"/>
      <c r="CB1581" s="1"/>
      <c r="CC1581" s="1"/>
      <c r="CD1581" s="1"/>
      <c r="CE1581" s="1"/>
      <c r="CF1581" s="1"/>
      <c r="CG1581" s="1"/>
      <c r="CH1581" s="1"/>
      <c r="CI1581" s="1"/>
      <c r="CJ1581" s="1"/>
      <c r="CK1581" s="1"/>
      <c r="CL1581" s="1"/>
      <c r="CM1581" s="1"/>
      <c r="CN1581" s="1"/>
      <c r="CO1581" s="1"/>
      <c r="CP1581" s="1"/>
      <c r="CQ1581" s="1"/>
      <c r="CR1581" s="1"/>
      <c r="CS1581" s="1"/>
      <c r="CT1581" s="1"/>
      <c r="CU1581" s="1"/>
      <c r="CV1581" s="1"/>
      <c r="CW1581" s="1"/>
      <c r="CX1581" s="1"/>
      <c r="CY1581" s="1"/>
      <c r="CZ1581" s="1"/>
      <c r="DA1581" s="1"/>
      <c r="DB1581" s="1"/>
      <c r="DC1581" s="1"/>
    </row>
    <row r="1582" spans="1:107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  <c r="AW1582" s="1"/>
      <c r="AX1582" s="1"/>
      <c r="AY1582" s="1"/>
      <c r="AZ1582" s="1"/>
      <c r="BA1582" s="1"/>
      <c r="BB1582" s="1"/>
      <c r="BC1582" s="1"/>
      <c r="BD1582" s="1"/>
      <c r="BE1582" s="1"/>
      <c r="BF1582" s="1"/>
      <c r="BG1582" s="1"/>
      <c r="BH1582" s="1"/>
      <c r="BI1582" s="1"/>
      <c r="BJ1582" s="1"/>
      <c r="BK1582" s="1"/>
      <c r="BL1582" s="1"/>
      <c r="BM1582" s="1"/>
      <c r="BN1582" s="1"/>
      <c r="BO1582" s="1"/>
      <c r="BP1582" s="1"/>
      <c r="BQ1582" s="1"/>
      <c r="BR1582" s="1"/>
      <c r="BS1582" s="1"/>
      <c r="BT1582" s="1"/>
      <c r="BU1582" s="1"/>
      <c r="BV1582" s="1"/>
      <c r="BW1582" s="1"/>
      <c r="BX1582" s="1"/>
      <c r="BY1582" s="1"/>
      <c r="BZ1582" s="1"/>
      <c r="CA1582" s="1"/>
      <c r="CB1582" s="1"/>
      <c r="CC1582" s="1"/>
      <c r="CD1582" s="1"/>
      <c r="CE1582" s="1"/>
      <c r="CF1582" s="1"/>
      <c r="CG1582" s="1"/>
      <c r="CH1582" s="1"/>
      <c r="CI1582" s="1"/>
      <c r="CJ1582" s="1"/>
      <c r="CK1582" s="1"/>
      <c r="CL1582" s="1"/>
      <c r="CM1582" s="1"/>
      <c r="CN1582" s="1"/>
      <c r="CO1582" s="1"/>
      <c r="CP1582" s="1"/>
      <c r="CQ1582" s="1"/>
      <c r="CR1582" s="1"/>
      <c r="CS1582" s="1"/>
      <c r="CT1582" s="1"/>
      <c r="CU1582" s="1"/>
      <c r="CV1582" s="1"/>
      <c r="CW1582" s="1"/>
      <c r="CX1582" s="1"/>
      <c r="CY1582" s="1"/>
      <c r="CZ1582" s="1"/>
      <c r="DA1582" s="1"/>
      <c r="DB1582" s="1"/>
      <c r="DC1582" s="1"/>
    </row>
    <row r="1583" spans="1:107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  <c r="AT1583" s="1"/>
      <c r="AU1583" s="1"/>
      <c r="AV1583" s="1"/>
      <c r="AW1583" s="1"/>
      <c r="AX1583" s="1"/>
      <c r="AY1583" s="1"/>
      <c r="AZ1583" s="1"/>
      <c r="BA1583" s="1"/>
      <c r="BB1583" s="1"/>
      <c r="BC1583" s="1"/>
      <c r="BD1583" s="1"/>
      <c r="BE1583" s="1"/>
      <c r="BF1583" s="1"/>
      <c r="BG1583" s="1"/>
      <c r="BH1583" s="1"/>
      <c r="BI1583" s="1"/>
      <c r="BJ1583" s="1"/>
      <c r="BK1583" s="1"/>
      <c r="BL1583" s="1"/>
      <c r="BM1583" s="1"/>
      <c r="BN1583" s="1"/>
      <c r="BO1583" s="1"/>
      <c r="BP1583" s="1"/>
      <c r="BQ1583" s="1"/>
      <c r="BR1583" s="1"/>
      <c r="BS1583" s="1"/>
      <c r="BT1583" s="1"/>
      <c r="BU1583" s="1"/>
      <c r="BV1583" s="1"/>
      <c r="BW1583" s="1"/>
      <c r="BX1583" s="1"/>
      <c r="BY1583" s="1"/>
      <c r="BZ1583" s="1"/>
      <c r="CA1583" s="1"/>
      <c r="CB1583" s="1"/>
      <c r="CC1583" s="1"/>
      <c r="CD1583" s="1"/>
      <c r="CE1583" s="1"/>
      <c r="CF1583" s="1"/>
      <c r="CG1583" s="1"/>
      <c r="CH1583" s="1"/>
      <c r="CI1583" s="1"/>
      <c r="CJ1583" s="1"/>
      <c r="CK1583" s="1"/>
      <c r="CL1583" s="1"/>
      <c r="CM1583" s="1"/>
      <c r="CN1583" s="1"/>
      <c r="CO1583" s="1"/>
      <c r="CP1583" s="1"/>
      <c r="CQ1583" s="1"/>
      <c r="CR1583" s="1"/>
      <c r="CS1583" s="1"/>
      <c r="CT1583" s="1"/>
      <c r="CU1583" s="1"/>
      <c r="CV1583" s="1"/>
      <c r="CW1583" s="1"/>
      <c r="CX1583" s="1"/>
      <c r="CY1583" s="1"/>
      <c r="CZ1583" s="1"/>
      <c r="DA1583" s="1"/>
      <c r="DB1583" s="1"/>
      <c r="DC1583" s="1"/>
    </row>
    <row r="1584" spans="1:107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/>
      <c r="AY1584" s="1"/>
      <c r="AZ1584" s="1"/>
      <c r="BA1584" s="1"/>
      <c r="BB1584" s="1"/>
      <c r="BC1584" s="1"/>
      <c r="BD1584" s="1"/>
      <c r="BE1584" s="1"/>
      <c r="BF1584" s="1"/>
      <c r="BG1584" s="1"/>
      <c r="BH1584" s="1"/>
      <c r="BI1584" s="1"/>
      <c r="BJ1584" s="1"/>
      <c r="BK1584" s="1"/>
      <c r="BL1584" s="1"/>
      <c r="BM1584" s="1"/>
      <c r="BN1584" s="1"/>
      <c r="BO1584" s="1"/>
      <c r="BP1584" s="1"/>
      <c r="BQ1584" s="1"/>
      <c r="BR1584" s="1"/>
      <c r="BS1584" s="1"/>
      <c r="BT1584" s="1"/>
      <c r="BU1584" s="1"/>
      <c r="BV1584" s="1"/>
      <c r="BW1584" s="1"/>
      <c r="BX1584" s="1"/>
      <c r="BY1584" s="1"/>
      <c r="BZ1584" s="1"/>
      <c r="CA1584" s="1"/>
      <c r="CB1584" s="1"/>
      <c r="CC1584" s="1"/>
      <c r="CD1584" s="1"/>
      <c r="CE1584" s="1"/>
      <c r="CF1584" s="1"/>
      <c r="CG1584" s="1"/>
      <c r="CH1584" s="1"/>
      <c r="CI1584" s="1"/>
      <c r="CJ1584" s="1"/>
      <c r="CK1584" s="1"/>
      <c r="CL1584" s="1"/>
      <c r="CM1584" s="1"/>
      <c r="CN1584" s="1"/>
      <c r="CO1584" s="1"/>
      <c r="CP1584" s="1"/>
      <c r="CQ1584" s="1"/>
      <c r="CR1584" s="1"/>
      <c r="CS1584" s="1"/>
      <c r="CT1584" s="1"/>
      <c r="CU1584" s="1"/>
      <c r="CV1584" s="1"/>
      <c r="CW1584" s="1"/>
      <c r="CX1584" s="1"/>
      <c r="CY1584" s="1"/>
      <c r="CZ1584" s="1"/>
      <c r="DA1584" s="1"/>
      <c r="DB1584" s="1"/>
      <c r="DC1584" s="1"/>
    </row>
    <row r="1585" spans="1:107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/>
      <c r="AY1585" s="1"/>
      <c r="AZ1585" s="1"/>
      <c r="BA1585" s="1"/>
      <c r="BB1585" s="1"/>
      <c r="BC1585" s="1"/>
      <c r="BD1585" s="1"/>
      <c r="BE1585" s="1"/>
      <c r="BF1585" s="1"/>
      <c r="BG1585" s="1"/>
      <c r="BH1585" s="1"/>
      <c r="BI1585" s="1"/>
      <c r="BJ1585" s="1"/>
      <c r="BK1585" s="1"/>
      <c r="BL1585" s="1"/>
      <c r="BM1585" s="1"/>
      <c r="BN1585" s="1"/>
      <c r="BO1585" s="1"/>
      <c r="BP1585" s="1"/>
      <c r="BQ1585" s="1"/>
      <c r="BR1585" s="1"/>
      <c r="BS1585" s="1"/>
      <c r="BT1585" s="1"/>
      <c r="BU1585" s="1"/>
      <c r="BV1585" s="1"/>
      <c r="BW1585" s="1"/>
      <c r="BX1585" s="1"/>
      <c r="BY1585" s="1"/>
      <c r="BZ1585" s="1"/>
      <c r="CA1585" s="1"/>
      <c r="CB1585" s="1"/>
      <c r="CC1585" s="1"/>
      <c r="CD1585" s="1"/>
      <c r="CE1585" s="1"/>
      <c r="CF1585" s="1"/>
      <c r="CG1585" s="1"/>
      <c r="CH1585" s="1"/>
      <c r="CI1585" s="1"/>
      <c r="CJ1585" s="1"/>
      <c r="CK1585" s="1"/>
      <c r="CL1585" s="1"/>
      <c r="CM1585" s="1"/>
      <c r="CN1585" s="1"/>
      <c r="CO1585" s="1"/>
      <c r="CP1585" s="1"/>
      <c r="CQ1585" s="1"/>
      <c r="CR1585" s="1"/>
      <c r="CS1585" s="1"/>
      <c r="CT1585" s="1"/>
      <c r="CU1585" s="1"/>
      <c r="CV1585" s="1"/>
      <c r="CW1585" s="1"/>
      <c r="CX1585" s="1"/>
      <c r="CY1585" s="1"/>
      <c r="CZ1585" s="1"/>
      <c r="DA1585" s="1"/>
      <c r="DB1585" s="1"/>
      <c r="DC1585" s="1"/>
    </row>
    <row r="1586" spans="1:107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/>
      <c r="AY1586" s="1"/>
      <c r="AZ1586" s="1"/>
      <c r="BA1586" s="1"/>
      <c r="BB1586" s="1"/>
      <c r="BC1586" s="1"/>
      <c r="BD1586" s="1"/>
      <c r="BE1586" s="1"/>
      <c r="BF1586" s="1"/>
      <c r="BG1586" s="1"/>
      <c r="BH1586" s="1"/>
      <c r="BI1586" s="1"/>
      <c r="BJ1586" s="1"/>
      <c r="BK1586" s="1"/>
      <c r="BL1586" s="1"/>
      <c r="BM1586" s="1"/>
      <c r="BN1586" s="1"/>
      <c r="BO1586" s="1"/>
      <c r="BP1586" s="1"/>
      <c r="BQ1586" s="1"/>
      <c r="BR1586" s="1"/>
      <c r="BS1586" s="1"/>
      <c r="BT1586" s="1"/>
      <c r="BU1586" s="1"/>
      <c r="BV1586" s="1"/>
      <c r="BW1586" s="1"/>
      <c r="BX1586" s="1"/>
      <c r="BY1586" s="1"/>
      <c r="BZ1586" s="1"/>
      <c r="CA1586" s="1"/>
      <c r="CB1586" s="1"/>
      <c r="CC1586" s="1"/>
      <c r="CD1586" s="1"/>
      <c r="CE1586" s="1"/>
      <c r="CF1586" s="1"/>
      <c r="CG1586" s="1"/>
      <c r="CH1586" s="1"/>
      <c r="CI1586" s="1"/>
      <c r="CJ1586" s="1"/>
      <c r="CK1586" s="1"/>
      <c r="CL1586" s="1"/>
      <c r="CM1586" s="1"/>
      <c r="CN1586" s="1"/>
      <c r="CO1586" s="1"/>
      <c r="CP1586" s="1"/>
      <c r="CQ1586" s="1"/>
      <c r="CR1586" s="1"/>
      <c r="CS1586" s="1"/>
      <c r="CT1586" s="1"/>
      <c r="CU1586" s="1"/>
      <c r="CV1586" s="1"/>
      <c r="CW1586" s="1"/>
      <c r="CX1586" s="1"/>
      <c r="CY1586" s="1"/>
      <c r="CZ1586" s="1"/>
      <c r="DA1586" s="1"/>
      <c r="DB1586" s="1"/>
      <c r="DC1586" s="1"/>
    </row>
    <row r="1587" spans="1:107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  <c r="AU1587" s="1"/>
      <c r="AV1587" s="1"/>
      <c r="AW1587" s="1"/>
      <c r="AX1587" s="1"/>
      <c r="AY1587" s="1"/>
      <c r="AZ1587" s="1"/>
      <c r="BA1587" s="1"/>
      <c r="BB1587" s="1"/>
      <c r="BC1587" s="1"/>
      <c r="BD1587" s="1"/>
      <c r="BE1587" s="1"/>
      <c r="BF1587" s="1"/>
      <c r="BG1587" s="1"/>
      <c r="BH1587" s="1"/>
      <c r="BI1587" s="1"/>
      <c r="BJ1587" s="1"/>
      <c r="BK1587" s="1"/>
      <c r="BL1587" s="1"/>
      <c r="BM1587" s="1"/>
      <c r="BN1587" s="1"/>
      <c r="BO1587" s="1"/>
      <c r="BP1587" s="1"/>
      <c r="BQ1587" s="1"/>
      <c r="BR1587" s="1"/>
      <c r="BS1587" s="1"/>
      <c r="BT1587" s="1"/>
      <c r="BU1587" s="1"/>
      <c r="BV1587" s="1"/>
      <c r="BW1587" s="1"/>
      <c r="BX1587" s="1"/>
      <c r="BY1587" s="1"/>
      <c r="BZ1587" s="1"/>
      <c r="CA1587" s="1"/>
      <c r="CB1587" s="1"/>
      <c r="CC1587" s="1"/>
      <c r="CD1587" s="1"/>
      <c r="CE1587" s="1"/>
      <c r="CF1587" s="1"/>
      <c r="CG1587" s="1"/>
      <c r="CH1587" s="1"/>
      <c r="CI1587" s="1"/>
      <c r="CJ1587" s="1"/>
      <c r="CK1587" s="1"/>
      <c r="CL1587" s="1"/>
      <c r="CM1587" s="1"/>
      <c r="CN1587" s="1"/>
      <c r="CO1587" s="1"/>
      <c r="CP1587" s="1"/>
      <c r="CQ1587" s="1"/>
      <c r="CR1587" s="1"/>
      <c r="CS1587" s="1"/>
      <c r="CT1587" s="1"/>
      <c r="CU1587" s="1"/>
      <c r="CV1587" s="1"/>
      <c r="CW1587" s="1"/>
      <c r="CX1587" s="1"/>
      <c r="CY1587" s="1"/>
      <c r="CZ1587" s="1"/>
      <c r="DA1587" s="1"/>
      <c r="DB1587" s="1"/>
      <c r="DC1587" s="1"/>
    </row>
    <row r="1588" spans="1:107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  <c r="AX1588" s="1"/>
      <c r="AY1588" s="1"/>
      <c r="AZ1588" s="1"/>
      <c r="BA1588" s="1"/>
      <c r="BB1588" s="1"/>
      <c r="BC1588" s="1"/>
      <c r="BD1588" s="1"/>
      <c r="BE1588" s="1"/>
      <c r="BF1588" s="1"/>
      <c r="BG1588" s="1"/>
      <c r="BH1588" s="1"/>
      <c r="BI1588" s="1"/>
      <c r="BJ1588" s="1"/>
      <c r="BK1588" s="1"/>
      <c r="BL1588" s="1"/>
      <c r="BM1588" s="1"/>
      <c r="BN1588" s="1"/>
      <c r="BO1588" s="1"/>
      <c r="BP1588" s="1"/>
      <c r="BQ1588" s="1"/>
      <c r="BR1588" s="1"/>
      <c r="BS1588" s="1"/>
      <c r="BT1588" s="1"/>
      <c r="BU1588" s="1"/>
      <c r="BV1588" s="1"/>
      <c r="BW1588" s="1"/>
      <c r="BX1588" s="1"/>
      <c r="BY1588" s="1"/>
      <c r="BZ1588" s="1"/>
      <c r="CA1588" s="1"/>
      <c r="CB1588" s="1"/>
      <c r="CC1588" s="1"/>
      <c r="CD1588" s="1"/>
      <c r="CE1588" s="1"/>
      <c r="CF1588" s="1"/>
      <c r="CG1588" s="1"/>
      <c r="CH1588" s="1"/>
      <c r="CI1588" s="1"/>
      <c r="CJ1588" s="1"/>
      <c r="CK1588" s="1"/>
      <c r="CL1588" s="1"/>
      <c r="CM1588" s="1"/>
      <c r="CN1588" s="1"/>
      <c r="CO1588" s="1"/>
      <c r="CP1588" s="1"/>
      <c r="CQ1588" s="1"/>
      <c r="CR1588" s="1"/>
      <c r="CS1588" s="1"/>
      <c r="CT1588" s="1"/>
      <c r="CU1588" s="1"/>
      <c r="CV1588" s="1"/>
      <c r="CW1588" s="1"/>
      <c r="CX1588" s="1"/>
      <c r="CY1588" s="1"/>
      <c r="CZ1588" s="1"/>
      <c r="DA1588" s="1"/>
      <c r="DB1588" s="1"/>
      <c r="DC1588" s="1"/>
    </row>
    <row r="1589" spans="1:107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  <c r="AX1589" s="1"/>
      <c r="AY1589" s="1"/>
      <c r="AZ1589" s="1"/>
      <c r="BA1589" s="1"/>
      <c r="BB1589" s="1"/>
      <c r="BC1589" s="1"/>
      <c r="BD1589" s="1"/>
      <c r="BE1589" s="1"/>
      <c r="BF1589" s="1"/>
      <c r="BG1589" s="1"/>
      <c r="BH1589" s="1"/>
      <c r="BI1589" s="1"/>
      <c r="BJ1589" s="1"/>
      <c r="BK1589" s="1"/>
      <c r="BL1589" s="1"/>
      <c r="BM1589" s="1"/>
      <c r="BN1589" s="1"/>
      <c r="BO1589" s="1"/>
      <c r="BP1589" s="1"/>
      <c r="BQ1589" s="1"/>
      <c r="BR1589" s="1"/>
      <c r="BS1589" s="1"/>
      <c r="BT1589" s="1"/>
      <c r="BU1589" s="1"/>
      <c r="BV1589" s="1"/>
      <c r="BW1589" s="1"/>
      <c r="BX1589" s="1"/>
      <c r="BY1589" s="1"/>
      <c r="BZ1589" s="1"/>
      <c r="CA1589" s="1"/>
      <c r="CB1589" s="1"/>
      <c r="CC1589" s="1"/>
      <c r="CD1589" s="1"/>
      <c r="CE1589" s="1"/>
      <c r="CF1589" s="1"/>
      <c r="CG1589" s="1"/>
      <c r="CH1589" s="1"/>
      <c r="CI1589" s="1"/>
      <c r="CJ1589" s="1"/>
      <c r="CK1589" s="1"/>
      <c r="CL1589" s="1"/>
      <c r="CM1589" s="1"/>
      <c r="CN1589" s="1"/>
      <c r="CO1589" s="1"/>
      <c r="CP1589" s="1"/>
      <c r="CQ1589" s="1"/>
      <c r="CR1589" s="1"/>
      <c r="CS1589" s="1"/>
      <c r="CT1589" s="1"/>
      <c r="CU1589" s="1"/>
      <c r="CV1589" s="1"/>
      <c r="CW1589" s="1"/>
      <c r="CX1589" s="1"/>
      <c r="CY1589" s="1"/>
      <c r="CZ1589" s="1"/>
      <c r="DA1589" s="1"/>
      <c r="DB1589" s="1"/>
      <c r="DC1589" s="1"/>
    </row>
    <row r="1590" spans="1:107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  <c r="AY1590" s="1"/>
      <c r="AZ1590" s="1"/>
      <c r="BA1590" s="1"/>
      <c r="BB1590" s="1"/>
      <c r="BC1590" s="1"/>
      <c r="BD1590" s="1"/>
      <c r="BE1590" s="1"/>
      <c r="BF1590" s="1"/>
      <c r="BG1590" s="1"/>
      <c r="BH1590" s="1"/>
      <c r="BI1590" s="1"/>
      <c r="BJ1590" s="1"/>
      <c r="BK1590" s="1"/>
      <c r="BL1590" s="1"/>
      <c r="BM1590" s="1"/>
      <c r="BN1590" s="1"/>
      <c r="BO1590" s="1"/>
      <c r="BP1590" s="1"/>
      <c r="BQ1590" s="1"/>
      <c r="BR1590" s="1"/>
      <c r="BS1590" s="1"/>
      <c r="BT1590" s="1"/>
      <c r="BU1590" s="1"/>
      <c r="BV1590" s="1"/>
      <c r="BW1590" s="1"/>
      <c r="BX1590" s="1"/>
      <c r="BY1590" s="1"/>
      <c r="BZ1590" s="1"/>
      <c r="CA1590" s="1"/>
      <c r="CB1590" s="1"/>
      <c r="CC1590" s="1"/>
      <c r="CD1590" s="1"/>
      <c r="CE1590" s="1"/>
      <c r="CF1590" s="1"/>
      <c r="CG1590" s="1"/>
      <c r="CH1590" s="1"/>
      <c r="CI1590" s="1"/>
      <c r="CJ1590" s="1"/>
      <c r="CK1590" s="1"/>
      <c r="CL1590" s="1"/>
      <c r="CM1590" s="1"/>
      <c r="CN1590" s="1"/>
      <c r="CO1590" s="1"/>
      <c r="CP1590" s="1"/>
      <c r="CQ1590" s="1"/>
      <c r="CR1590" s="1"/>
      <c r="CS1590" s="1"/>
      <c r="CT1590" s="1"/>
      <c r="CU1590" s="1"/>
      <c r="CV1590" s="1"/>
      <c r="CW1590" s="1"/>
      <c r="CX1590" s="1"/>
      <c r="CY1590" s="1"/>
      <c r="CZ1590" s="1"/>
      <c r="DA1590" s="1"/>
      <c r="DB1590" s="1"/>
      <c r="DC1590" s="1"/>
    </row>
    <row r="1591" spans="1:107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/>
      <c r="AY1591" s="1"/>
      <c r="AZ1591" s="1"/>
      <c r="BA1591" s="1"/>
      <c r="BB1591" s="1"/>
      <c r="BC1591" s="1"/>
      <c r="BD1591" s="1"/>
      <c r="BE1591" s="1"/>
      <c r="BF1591" s="1"/>
      <c r="BG1591" s="1"/>
      <c r="BH1591" s="1"/>
      <c r="BI1591" s="1"/>
      <c r="BJ1591" s="1"/>
      <c r="BK1591" s="1"/>
      <c r="BL1591" s="1"/>
      <c r="BM1591" s="1"/>
      <c r="BN1591" s="1"/>
      <c r="BO1591" s="1"/>
      <c r="BP1591" s="1"/>
      <c r="BQ1591" s="1"/>
      <c r="BR1591" s="1"/>
      <c r="BS1591" s="1"/>
      <c r="BT1591" s="1"/>
      <c r="BU1591" s="1"/>
      <c r="BV1591" s="1"/>
      <c r="BW1591" s="1"/>
      <c r="BX1591" s="1"/>
      <c r="BY1591" s="1"/>
      <c r="BZ1591" s="1"/>
      <c r="CA1591" s="1"/>
      <c r="CB1591" s="1"/>
      <c r="CC1591" s="1"/>
      <c r="CD1591" s="1"/>
      <c r="CE1591" s="1"/>
      <c r="CF1591" s="1"/>
      <c r="CG1591" s="1"/>
      <c r="CH1591" s="1"/>
      <c r="CI1591" s="1"/>
      <c r="CJ1591" s="1"/>
      <c r="CK1591" s="1"/>
      <c r="CL1591" s="1"/>
      <c r="CM1591" s="1"/>
      <c r="CN1591" s="1"/>
      <c r="CO1591" s="1"/>
      <c r="CP1591" s="1"/>
      <c r="CQ1591" s="1"/>
      <c r="CR1591" s="1"/>
      <c r="CS1591" s="1"/>
      <c r="CT1591" s="1"/>
      <c r="CU1591" s="1"/>
      <c r="CV1591" s="1"/>
      <c r="CW1591" s="1"/>
      <c r="CX1591" s="1"/>
      <c r="CY1591" s="1"/>
      <c r="CZ1591" s="1"/>
      <c r="DA1591" s="1"/>
      <c r="DB1591" s="1"/>
      <c r="DC1591" s="1"/>
    </row>
    <row r="1592" spans="1:107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  <c r="AY1592" s="1"/>
      <c r="AZ1592" s="1"/>
      <c r="BA1592" s="1"/>
      <c r="BB1592" s="1"/>
      <c r="BC1592" s="1"/>
      <c r="BD1592" s="1"/>
      <c r="BE1592" s="1"/>
      <c r="BF1592" s="1"/>
      <c r="BG1592" s="1"/>
      <c r="BH1592" s="1"/>
      <c r="BI1592" s="1"/>
      <c r="BJ1592" s="1"/>
      <c r="BK1592" s="1"/>
      <c r="BL1592" s="1"/>
      <c r="BM1592" s="1"/>
      <c r="BN1592" s="1"/>
      <c r="BO1592" s="1"/>
      <c r="BP1592" s="1"/>
      <c r="BQ1592" s="1"/>
      <c r="BR1592" s="1"/>
      <c r="BS1592" s="1"/>
      <c r="BT1592" s="1"/>
      <c r="BU1592" s="1"/>
      <c r="BV1592" s="1"/>
      <c r="BW1592" s="1"/>
      <c r="BX1592" s="1"/>
      <c r="BY1592" s="1"/>
      <c r="BZ1592" s="1"/>
      <c r="CA1592" s="1"/>
      <c r="CB1592" s="1"/>
      <c r="CC1592" s="1"/>
      <c r="CD1592" s="1"/>
      <c r="CE1592" s="1"/>
      <c r="CF1592" s="1"/>
      <c r="CG1592" s="1"/>
      <c r="CH1592" s="1"/>
      <c r="CI1592" s="1"/>
      <c r="CJ1592" s="1"/>
      <c r="CK1592" s="1"/>
      <c r="CL1592" s="1"/>
      <c r="CM1592" s="1"/>
      <c r="CN1592" s="1"/>
      <c r="CO1592" s="1"/>
      <c r="CP1592" s="1"/>
      <c r="CQ1592" s="1"/>
      <c r="CR1592" s="1"/>
      <c r="CS1592" s="1"/>
      <c r="CT1592" s="1"/>
      <c r="CU1592" s="1"/>
      <c r="CV1592" s="1"/>
      <c r="CW1592" s="1"/>
      <c r="CX1592" s="1"/>
      <c r="CY1592" s="1"/>
      <c r="CZ1592" s="1"/>
      <c r="DA1592" s="1"/>
      <c r="DB1592" s="1"/>
      <c r="DC1592" s="1"/>
    </row>
    <row r="1593" spans="1:107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/>
      <c r="AY1593" s="1"/>
      <c r="AZ1593" s="1"/>
      <c r="BA1593" s="1"/>
      <c r="BB1593" s="1"/>
      <c r="BC1593" s="1"/>
      <c r="BD1593" s="1"/>
      <c r="BE1593" s="1"/>
      <c r="BF1593" s="1"/>
      <c r="BG1593" s="1"/>
      <c r="BH1593" s="1"/>
      <c r="BI1593" s="1"/>
      <c r="BJ1593" s="1"/>
      <c r="BK1593" s="1"/>
      <c r="BL1593" s="1"/>
      <c r="BM1593" s="1"/>
      <c r="BN1593" s="1"/>
      <c r="BO1593" s="1"/>
      <c r="BP1593" s="1"/>
      <c r="BQ1593" s="1"/>
      <c r="BR1593" s="1"/>
      <c r="BS1593" s="1"/>
      <c r="BT1593" s="1"/>
      <c r="BU1593" s="1"/>
      <c r="BV1593" s="1"/>
      <c r="BW1593" s="1"/>
      <c r="BX1593" s="1"/>
      <c r="BY1593" s="1"/>
      <c r="BZ1593" s="1"/>
      <c r="CA1593" s="1"/>
      <c r="CB1593" s="1"/>
      <c r="CC1593" s="1"/>
      <c r="CD1593" s="1"/>
      <c r="CE1593" s="1"/>
      <c r="CF1593" s="1"/>
      <c r="CG1593" s="1"/>
      <c r="CH1593" s="1"/>
      <c r="CI1593" s="1"/>
      <c r="CJ1593" s="1"/>
      <c r="CK1593" s="1"/>
      <c r="CL1593" s="1"/>
      <c r="CM1593" s="1"/>
      <c r="CN1593" s="1"/>
      <c r="CO1593" s="1"/>
      <c r="CP1593" s="1"/>
      <c r="CQ1593" s="1"/>
      <c r="CR1593" s="1"/>
      <c r="CS1593" s="1"/>
      <c r="CT1593" s="1"/>
      <c r="CU1593" s="1"/>
      <c r="CV1593" s="1"/>
      <c r="CW1593" s="1"/>
      <c r="CX1593" s="1"/>
      <c r="CY1593" s="1"/>
      <c r="CZ1593" s="1"/>
      <c r="DA1593" s="1"/>
      <c r="DB1593" s="1"/>
      <c r="DC1593" s="1"/>
    </row>
    <row r="1594" spans="1:107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AW1594" s="1"/>
      <c r="AX1594" s="1"/>
      <c r="AY1594" s="1"/>
      <c r="AZ1594" s="1"/>
      <c r="BA1594" s="1"/>
      <c r="BB1594" s="1"/>
      <c r="BC1594" s="1"/>
      <c r="BD1594" s="1"/>
      <c r="BE1594" s="1"/>
      <c r="BF1594" s="1"/>
      <c r="BG1594" s="1"/>
      <c r="BH1594" s="1"/>
      <c r="BI1594" s="1"/>
      <c r="BJ1594" s="1"/>
      <c r="BK1594" s="1"/>
      <c r="BL1594" s="1"/>
      <c r="BM1594" s="1"/>
      <c r="BN1594" s="1"/>
      <c r="BO1594" s="1"/>
      <c r="BP1594" s="1"/>
      <c r="BQ1594" s="1"/>
      <c r="BR1594" s="1"/>
      <c r="BS1594" s="1"/>
      <c r="BT1594" s="1"/>
      <c r="BU1594" s="1"/>
      <c r="BV1594" s="1"/>
      <c r="BW1594" s="1"/>
      <c r="BX1594" s="1"/>
      <c r="BY1594" s="1"/>
      <c r="BZ1594" s="1"/>
      <c r="CA1594" s="1"/>
      <c r="CB1594" s="1"/>
      <c r="CC1594" s="1"/>
      <c r="CD1594" s="1"/>
      <c r="CE1594" s="1"/>
      <c r="CF1594" s="1"/>
      <c r="CG1594" s="1"/>
      <c r="CH1594" s="1"/>
      <c r="CI1594" s="1"/>
      <c r="CJ1594" s="1"/>
      <c r="CK1594" s="1"/>
      <c r="CL1594" s="1"/>
      <c r="CM1594" s="1"/>
      <c r="CN1594" s="1"/>
      <c r="CO1594" s="1"/>
      <c r="CP1594" s="1"/>
      <c r="CQ1594" s="1"/>
      <c r="CR1594" s="1"/>
      <c r="CS1594" s="1"/>
      <c r="CT1594" s="1"/>
      <c r="CU1594" s="1"/>
      <c r="CV1594" s="1"/>
      <c r="CW1594" s="1"/>
      <c r="CX1594" s="1"/>
      <c r="CY1594" s="1"/>
      <c r="CZ1594" s="1"/>
      <c r="DA1594" s="1"/>
      <c r="DB1594" s="1"/>
      <c r="DC1594" s="1"/>
    </row>
    <row r="1595" spans="1:107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/>
      <c r="AY1595" s="1"/>
      <c r="AZ1595" s="1"/>
      <c r="BA1595" s="1"/>
      <c r="BB1595" s="1"/>
      <c r="BC1595" s="1"/>
      <c r="BD1595" s="1"/>
      <c r="BE1595" s="1"/>
      <c r="BF1595" s="1"/>
      <c r="BG1595" s="1"/>
      <c r="BH1595" s="1"/>
      <c r="BI1595" s="1"/>
      <c r="BJ1595" s="1"/>
      <c r="BK1595" s="1"/>
      <c r="BL1595" s="1"/>
      <c r="BM1595" s="1"/>
      <c r="BN1595" s="1"/>
      <c r="BO1595" s="1"/>
      <c r="BP1595" s="1"/>
      <c r="BQ1595" s="1"/>
      <c r="BR1595" s="1"/>
      <c r="BS1595" s="1"/>
      <c r="BT1595" s="1"/>
      <c r="BU1595" s="1"/>
      <c r="BV1595" s="1"/>
      <c r="BW1595" s="1"/>
      <c r="BX1595" s="1"/>
      <c r="BY1595" s="1"/>
      <c r="BZ1595" s="1"/>
      <c r="CA1595" s="1"/>
      <c r="CB1595" s="1"/>
      <c r="CC1595" s="1"/>
      <c r="CD1595" s="1"/>
      <c r="CE1595" s="1"/>
      <c r="CF1595" s="1"/>
      <c r="CG1595" s="1"/>
      <c r="CH1595" s="1"/>
      <c r="CI1595" s="1"/>
      <c r="CJ1595" s="1"/>
      <c r="CK1595" s="1"/>
      <c r="CL1595" s="1"/>
      <c r="CM1595" s="1"/>
      <c r="CN1595" s="1"/>
      <c r="CO1595" s="1"/>
      <c r="CP1595" s="1"/>
      <c r="CQ1595" s="1"/>
      <c r="CR1595" s="1"/>
      <c r="CS1595" s="1"/>
      <c r="CT1595" s="1"/>
      <c r="CU1595" s="1"/>
      <c r="CV1595" s="1"/>
      <c r="CW1595" s="1"/>
      <c r="CX1595" s="1"/>
      <c r="CY1595" s="1"/>
      <c r="CZ1595" s="1"/>
      <c r="DA1595" s="1"/>
      <c r="DB1595" s="1"/>
      <c r="DC1595" s="1"/>
    </row>
    <row r="1596" spans="1:107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1"/>
      <c r="AX1596" s="1"/>
      <c r="AY1596" s="1"/>
      <c r="AZ1596" s="1"/>
      <c r="BA1596" s="1"/>
      <c r="BB1596" s="1"/>
      <c r="BC1596" s="1"/>
      <c r="BD1596" s="1"/>
      <c r="BE1596" s="1"/>
      <c r="BF1596" s="1"/>
      <c r="BG1596" s="1"/>
      <c r="BH1596" s="1"/>
      <c r="BI1596" s="1"/>
      <c r="BJ1596" s="1"/>
      <c r="BK1596" s="1"/>
      <c r="BL1596" s="1"/>
      <c r="BM1596" s="1"/>
      <c r="BN1596" s="1"/>
      <c r="BO1596" s="1"/>
      <c r="BP1596" s="1"/>
      <c r="BQ1596" s="1"/>
      <c r="BR1596" s="1"/>
      <c r="BS1596" s="1"/>
      <c r="BT1596" s="1"/>
      <c r="BU1596" s="1"/>
      <c r="BV1596" s="1"/>
      <c r="BW1596" s="1"/>
      <c r="BX1596" s="1"/>
      <c r="BY1596" s="1"/>
      <c r="BZ1596" s="1"/>
      <c r="CA1596" s="1"/>
      <c r="CB1596" s="1"/>
      <c r="CC1596" s="1"/>
      <c r="CD1596" s="1"/>
      <c r="CE1596" s="1"/>
      <c r="CF1596" s="1"/>
      <c r="CG1596" s="1"/>
      <c r="CH1596" s="1"/>
      <c r="CI1596" s="1"/>
      <c r="CJ1596" s="1"/>
      <c r="CK1596" s="1"/>
      <c r="CL1596" s="1"/>
      <c r="CM1596" s="1"/>
      <c r="CN1596" s="1"/>
      <c r="CO1596" s="1"/>
      <c r="CP1596" s="1"/>
      <c r="CQ1596" s="1"/>
      <c r="CR1596" s="1"/>
      <c r="CS1596" s="1"/>
      <c r="CT1596" s="1"/>
      <c r="CU1596" s="1"/>
      <c r="CV1596" s="1"/>
      <c r="CW1596" s="1"/>
      <c r="CX1596" s="1"/>
      <c r="CY1596" s="1"/>
      <c r="CZ1596" s="1"/>
      <c r="DA1596" s="1"/>
      <c r="DB1596" s="1"/>
      <c r="DC1596" s="1"/>
    </row>
    <row r="1597" spans="1:107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AZ1597" s="1"/>
      <c r="BA1597" s="1"/>
      <c r="BB1597" s="1"/>
      <c r="BC1597" s="1"/>
      <c r="BD1597" s="1"/>
      <c r="BE1597" s="1"/>
      <c r="BF1597" s="1"/>
      <c r="BG1597" s="1"/>
      <c r="BH1597" s="1"/>
      <c r="BI1597" s="1"/>
      <c r="BJ1597" s="1"/>
      <c r="BK1597" s="1"/>
      <c r="BL1597" s="1"/>
      <c r="BM1597" s="1"/>
      <c r="BN1597" s="1"/>
      <c r="BO1597" s="1"/>
      <c r="BP1597" s="1"/>
      <c r="BQ1597" s="1"/>
      <c r="BR1597" s="1"/>
      <c r="BS1597" s="1"/>
      <c r="BT1597" s="1"/>
      <c r="BU1597" s="1"/>
      <c r="BV1597" s="1"/>
      <c r="BW1597" s="1"/>
      <c r="BX1597" s="1"/>
      <c r="BY1597" s="1"/>
      <c r="BZ1597" s="1"/>
      <c r="CA1597" s="1"/>
      <c r="CB1597" s="1"/>
      <c r="CC1597" s="1"/>
      <c r="CD1597" s="1"/>
      <c r="CE1597" s="1"/>
      <c r="CF1597" s="1"/>
      <c r="CG1597" s="1"/>
      <c r="CH1597" s="1"/>
      <c r="CI1597" s="1"/>
      <c r="CJ1597" s="1"/>
      <c r="CK1597" s="1"/>
      <c r="CL1597" s="1"/>
      <c r="CM1597" s="1"/>
      <c r="CN1597" s="1"/>
      <c r="CO1597" s="1"/>
      <c r="CP1597" s="1"/>
      <c r="CQ1597" s="1"/>
      <c r="CR1597" s="1"/>
      <c r="CS1597" s="1"/>
      <c r="CT1597" s="1"/>
      <c r="CU1597" s="1"/>
      <c r="CV1597" s="1"/>
      <c r="CW1597" s="1"/>
      <c r="CX1597" s="1"/>
      <c r="CY1597" s="1"/>
      <c r="CZ1597" s="1"/>
      <c r="DA1597" s="1"/>
      <c r="DB1597" s="1"/>
      <c r="DC1597" s="1"/>
    </row>
    <row r="1598" spans="1:107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  <c r="AY1598" s="1"/>
      <c r="AZ1598" s="1"/>
      <c r="BA1598" s="1"/>
      <c r="BB1598" s="1"/>
      <c r="BC1598" s="1"/>
      <c r="BD1598" s="1"/>
      <c r="BE1598" s="1"/>
      <c r="BF1598" s="1"/>
      <c r="BG1598" s="1"/>
      <c r="BH1598" s="1"/>
      <c r="BI1598" s="1"/>
      <c r="BJ1598" s="1"/>
      <c r="BK1598" s="1"/>
      <c r="BL1598" s="1"/>
      <c r="BM1598" s="1"/>
      <c r="BN1598" s="1"/>
      <c r="BO1598" s="1"/>
      <c r="BP1598" s="1"/>
      <c r="BQ1598" s="1"/>
      <c r="BR1598" s="1"/>
      <c r="BS1598" s="1"/>
      <c r="BT1598" s="1"/>
      <c r="BU1598" s="1"/>
      <c r="BV1598" s="1"/>
      <c r="BW1598" s="1"/>
      <c r="BX1598" s="1"/>
      <c r="BY1598" s="1"/>
      <c r="BZ1598" s="1"/>
      <c r="CA1598" s="1"/>
      <c r="CB1598" s="1"/>
      <c r="CC1598" s="1"/>
      <c r="CD1598" s="1"/>
      <c r="CE1598" s="1"/>
      <c r="CF1598" s="1"/>
      <c r="CG1598" s="1"/>
      <c r="CH1598" s="1"/>
      <c r="CI1598" s="1"/>
      <c r="CJ1598" s="1"/>
      <c r="CK1598" s="1"/>
      <c r="CL1598" s="1"/>
      <c r="CM1598" s="1"/>
      <c r="CN1598" s="1"/>
      <c r="CO1598" s="1"/>
      <c r="CP1598" s="1"/>
      <c r="CQ1598" s="1"/>
      <c r="CR1598" s="1"/>
      <c r="CS1598" s="1"/>
      <c r="CT1598" s="1"/>
      <c r="CU1598" s="1"/>
      <c r="CV1598" s="1"/>
      <c r="CW1598" s="1"/>
      <c r="CX1598" s="1"/>
      <c r="CY1598" s="1"/>
      <c r="CZ1598" s="1"/>
      <c r="DA1598" s="1"/>
      <c r="DB1598" s="1"/>
      <c r="DC1598" s="1"/>
    </row>
    <row r="1599" spans="1:107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/>
      <c r="AY1599" s="1"/>
      <c r="AZ1599" s="1"/>
      <c r="BA1599" s="1"/>
      <c r="BB1599" s="1"/>
      <c r="BC1599" s="1"/>
      <c r="BD1599" s="1"/>
      <c r="BE1599" s="1"/>
      <c r="BF1599" s="1"/>
      <c r="BG1599" s="1"/>
      <c r="BH1599" s="1"/>
      <c r="BI1599" s="1"/>
      <c r="BJ1599" s="1"/>
      <c r="BK1599" s="1"/>
      <c r="BL1599" s="1"/>
      <c r="BM1599" s="1"/>
      <c r="BN1599" s="1"/>
      <c r="BO1599" s="1"/>
      <c r="BP1599" s="1"/>
      <c r="BQ1599" s="1"/>
      <c r="BR1599" s="1"/>
      <c r="BS1599" s="1"/>
      <c r="BT1599" s="1"/>
      <c r="BU1599" s="1"/>
      <c r="BV1599" s="1"/>
      <c r="BW1599" s="1"/>
      <c r="BX1599" s="1"/>
      <c r="BY1599" s="1"/>
      <c r="BZ1599" s="1"/>
      <c r="CA1599" s="1"/>
      <c r="CB1599" s="1"/>
      <c r="CC1599" s="1"/>
      <c r="CD1599" s="1"/>
      <c r="CE1599" s="1"/>
      <c r="CF1599" s="1"/>
      <c r="CG1599" s="1"/>
      <c r="CH1599" s="1"/>
      <c r="CI1599" s="1"/>
      <c r="CJ1599" s="1"/>
      <c r="CK1599" s="1"/>
      <c r="CL1599" s="1"/>
      <c r="CM1599" s="1"/>
      <c r="CN1599" s="1"/>
      <c r="CO1599" s="1"/>
      <c r="CP1599" s="1"/>
      <c r="CQ1599" s="1"/>
      <c r="CR1599" s="1"/>
      <c r="CS1599" s="1"/>
      <c r="CT1599" s="1"/>
      <c r="CU1599" s="1"/>
      <c r="CV1599" s="1"/>
      <c r="CW1599" s="1"/>
      <c r="CX1599" s="1"/>
      <c r="CY1599" s="1"/>
      <c r="CZ1599" s="1"/>
      <c r="DA1599" s="1"/>
      <c r="DB1599" s="1"/>
      <c r="DC1599" s="1"/>
    </row>
    <row r="1600" spans="1:107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  <c r="AY1600" s="1"/>
      <c r="AZ1600" s="1"/>
      <c r="BA1600" s="1"/>
      <c r="BB1600" s="1"/>
      <c r="BC1600" s="1"/>
      <c r="BD1600" s="1"/>
      <c r="BE1600" s="1"/>
      <c r="BF1600" s="1"/>
      <c r="BG1600" s="1"/>
      <c r="BH1600" s="1"/>
      <c r="BI1600" s="1"/>
      <c r="BJ1600" s="1"/>
      <c r="BK1600" s="1"/>
      <c r="BL1600" s="1"/>
      <c r="BM1600" s="1"/>
      <c r="BN1600" s="1"/>
      <c r="BO1600" s="1"/>
      <c r="BP1600" s="1"/>
      <c r="BQ1600" s="1"/>
      <c r="BR1600" s="1"/>
      <c r="BS1600" s="1"/>
      <c r="BT1600" s="1"/>
      <c r="BU1600" s="1"/>
      <c r="BV1600" s="1"/>
      <c r="BW1600" s="1"/>
      <c r="BX1600" s="1"/>
      <c r="BY1600" s="1"/>
      <c r="BZ1600" s="1"/>
      <c r="CA1600" s="1"/>
      <c r="CB1600" s="1"/>
      <c r="CC1600" s="1"/>
      <c r="CD1600" s="1"/>
      <c r="CE1600" s="1"/>
      <c r="CF1600" s="1"/>
      <c r="CG1600" s="1"/>
      <c r="CH1600" s="1"/>
      <c r="CI1600" s="1"/>
      <c r="CJ1600" s="1"/>
      <c r="CK1600" s="1"/>
      <c r="CL1600" s="1"/>
      <c r="CM1600" s="1"/>
      <c r="CN1600" s="1"/>
      <c r="CO1600" s="1"/>
      <c r="CP1600" s="1"/>
      <c r="CQ1600" s="1"/>
      <c r="CR1600" s="1"/>
      <c r="CS1600" s="1"/>
      <c r="CT1600" s="1"/>
      <c r="CU1600" s="1"/>
      <c r="CV1600" s="1"/>
      <c r="CW1600" s="1"/>
      <c r="CX1600" s="1"/>
      <c r="CY1600" s="1"/>
      <c r="CZ1600" s="1"/>
      <c r="DA1600" s="1"/>
      <c r="DB1600" s="1"/>
      <c r="DC1600" s="1"/>
    </row>
    <row r="1601" spans="1:107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  <c r="AX1601" s="1"/>
      <c r="AY1601" s="1"/>
      <c r="AZ1601" s="1"/>
      <c r="BA1601" s="1"/>
      <c r="BB1601" s="1"/>
      <c r="BC1601" s="1"/>
      <c r="BD1601" s="1"/>
      <c r="BE1601" s="1"/>
      <c r="BF1601" s="1"/>
      <c r="BG1601" s="1"/>
      <c r="BH1601" s="1"/>
      <c r="BI1601" s="1"/>
      <c r="BJ1601" s="1"/>
      <c r="BK1601" s="1"/>
      <c r="BL1601" s="1"/>
      <c r="BM1601" s="1"/>
      <c r="BN1601" s="1"/>
      <c r="BO1601" s="1"/>
      <c r="BP1601" s="1"/>
      <c r="BQ1601" s="1"/>
      <c r="BR1601" s="1"/>
      <c r="BS1601" s="1"/>
      <c r="BT1601" s="1"/>
      <c r="BU1601" s="1"/>
      <c r="BV1601" s="1"/>
      <c r="BW1601" s="1"/>
      <c r="BX1601" s="1"/>
      <c r="BY1601" s="1"/>
      <c r="BZ1601" s="1"/>
      <c r="CA1601" s="1"/>
      <c r="CB1601" s="1"/>
      <c r="CC1601" s="1"/>
      <c r="CD1601" s="1"/>
      <c r="CE1601" s="1"/>
      <c r="CF1601" s="1"/>
      <c r="CG1601" s="1"/>
      <c r="CH1601" s="1"/>
      <c r="CI1601" s="1"/>
      <c r="CJ1601" s="1"/>
      <c r="CK1601" s="1"/>
      <c r="CL1601" s="1"/>
      <c r="CM1601" s="1"/>
      <c r="CN1601" s="1"/>
      <c r="CO1601" s="1"/>
      <c r="CP1601" s="1"/>
      <c r="CQ1601" s="1"/>
      <c r="CR1601" s="1"/>
      <c r="CS1601" s="1"/>
      <c r="CT1601" s="1"/>
      <c r="CU1601" s="1"/>
      <c r="CV1601" s="1"/>
      <c r="CW1601" s="1"/>
      <c r="CX1601" s="1"/>
      <c r="CY1601" s="1"/>
      <c r="CZ1601" s="1"/>
      <c r="DA1601" s="1"/>
      <c r="DB1601" s="1"/>
      <c r="DC1601" s="1"/>
    </row>
    <row r="1602" spans="1:107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  <c r="AX1602" s="1"/>
      <c r="AY1602" s="1"/>
      <c r="AZ1602" s="1"/>
      <c r="BA1602" s="1"/>
      <c r="BB1602" s="1"/>
      <c r="BC1602" s="1"/>
      <c r="BD1602" s="1"/>
      <c r="BE1602" s="1"/>
      <c r="BF1602" s="1"/>
      <c r="BG1602" s="1"/>
      <c r="BH1602" s="1"/>
      <c r="BI1602" s="1"/>
      <c r="BJ1602" s="1"/>
      <c r="BK1602" s="1"/>
      <c r="BL1602" s="1"/>
      <c r="BM1602" s="1"/>
      <c r="BN1602" s="1"/>
      <c r="BO1602" s="1"/>
      <c r="BP1602" s="1"/>
      <c r="BQ1602" s="1"/>
      <c r="BR1602" s="1"/>
      <c r="BS1602" s="1"/>
      <c r="BT1602" s="1"/>
      <c r="BU1602" s="1"/>
      <c r="BV1602" s="1"/>
      <c r="BW1602" s="1"/>
      <c r="BX1602" s="1"/>
      <c r="BY1602" s="1"/>
      <c r="BZ1602" s="1"/>
      <c r="CA1602" s="1"/>
      <c r="CB1602" s="1"/>
      <c r="CC1602" s="1"/>
      <c r="CD1602" s="1"/>
      <c r="CE1602" s="1"/>
      <c r="CF1602" s="1"/>
      <c r="CG1602" s="1"/>
      <c r="CH1602" s="1"/>
      <c r="CI1602" s="1"/>
      <c r="CJ1602" s="1"/>
      <c r="CK1602" s="1"/>
      <c r="CL1602" s="1"/>
      <c r="CM1602" s="1"/>
      <c r="CN1602" s="1"/>
      <c r="CO1602" s="1"/>
      <c r="CP1602" s="1"/>
      <c r="CQ1602" s="1"/>
      <c r="CR1602" s="1"/>
      <c r="CS1602" s="1"/>
      <c r="CT1602" s="1"/>
      <c r="CU1602" s="1"/>
      <c r="CV1602" s="1"/>
      <c r="CW1602" s="1"/>
      <c r="CX1602" s="1"/>
      <c r="CY1602" s="1"/>
      <c r="CZ1602" s="1"/>
      <c r="DA1602" s="1"/>
      <c r="DB1602" s="1"/>
      <c r="DC1602" s="1"/>
    </row>
    <row r="1603" spans="1:107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1"/>
      <c r="AX1603" s="1"/>
      <c r="AY1603" s="1"/>
      <c r="AZ1603" s="1"/>
      <c r="BA1603" s="1"/>
      <c r="BB1603" s="1"/>
      <c r="BC1603" s="1"/>
      <c r="BD1603" s="1"/>
      <c r="BE1603" s="1"/>
      <c r="BF1603" s="1"/>
      <c r="BG1603" s="1"/>
      <c r="BH1603" s="1"/>
      <c r="BI1603" s="1"/>
      <c r="BJ1603" s="1"/>
      <c r="BK1603" s="1"/>
      <c r="BL1603" s="1"/>
      <c r="BM1603" s="1"/>
      <c r="BN1603" s="1"/>
      <c r="BO1603" s="1"/>
      <c r="BP1603" s="1"/>
      <c r="BQ1603" s="1"/>
      <c r="BR1603" s="1"/>
      <c r="BS1603" s="1"/>
      <c r="BT1603" s="1"/>
      <c r="BU1603" s="1"/>
      <c r="BV1603" s="1"/>
      <c r="BW1603" s="1"/>
      <c r="BX1603" s="1"/>
      <c r="BY1603" s="1"/>
      <c r="BZ1603" s="1"/>
      <c r="CA1603" s="1"/>
      <c r="CB1603" s="1"/>
      <c r="CC1603" s="1"/>
      <c r="CD1603" s="1"/>
      <c r="CE1603" s="1"/>
      <c r="CF1603" s="1"/>
      <c r="CG1603" s="1"/>
      <c r="CH1603" s="1"/>
      <c r="CI1603" s="1"/>
      <c r="CJ1603" s="1"/>
      <c r="CK1603" s="1"/>
      <c r="CL1603" s="1"/>
      <c r="CM1603" s="1"/>
      <c r="CN1603" s="1"/>
      <c r="CO1603" s="1"/>
      <c r="CP1603" s="1"/>
      <c r="CQ1603" s="1"/>
      <c r="CR1603" s="1"/>
      <c r="CS1603" s="1"/>
      <c r="CT1603" s="1"/>
      <c r="CU1603" s="1"/>
      <c r="CV1603" s="1"/>
      <c r="CW1603" s="1"/>
      <c r="CX1603" s="1"/>
      <c r="CY1603" s="1"/>
      <c r="CZ1603" s="1"/>
      <c r="DA1603" s="1"/>
      <c r="DB1603" s="1"/>
      <c r="DC1603" s="1"/>
    </row>
    <row r="1604" spans="1:107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/>
      <c r="AX1604" s="1"/>
      <c r="AY1604" s="1"/>
      <c r="AZ1604" s="1"/>
      <c r="BA1604" s="1"/>
      <c r="BB1604" s="1"/>
      <c r="BC1604" s="1"/>
      <c r="BD1604" s="1"/>
      <c r="BE1604" s="1"/>
      <c r="BF1604" s="1"/>
      <c r="BG1604" s="1"/>
      <c r="BH1604" s="1"/>
      <c r="BI1604" s="1"/>
      <c r="BJ1604" s="1"/>
      <c r="BK1604" s="1"/>
      <c r="BL1604" s="1"/>
      <c r="BM1604" s="1"/>
      <c r="BN1604" s="1"/>
      <c r="BO1604" s="1"/>
      <c r="BP1604" s="1"/>
      <c r="BQ1604" s="1"/>
      <c r="BR1604" s="1"/>
      <c r="BS1604" s="1"/>
      <c r="BT1604" s="1"/>
      <c r="BU1604" s="1"/>
      <c r="BV1604" s="1"/>
      <c r="BW1604" s="1"/>
      <c r="BX1604" s="1"/>
      <c r="BY1604" s="1"/>
      <c r="BZ1604" s="1"/>
      <c r="CA1604" s="1"/>
      <c r="CB1604" s="1"/>
      <c r="CC1604" s="1"/>
      <c r="CD1604" s="1"/>
      <c r="CE1604" s="1"/>
      <c r="CF1604" s="1"/>
      <c r="CG1604" s="1"/>
      <c r="CH1604" s="1"/>
      <c r="CI1604" s="1"/>
      <c r="CJ1604" s="1"/>
      <c r="CK1604" s="1"/>
      <c r="CL1604" s="1"/>
      <c r="CM1604" s="1"/>
      <c r="CN1604" s="1"/>
      <c r="CO1604" s="1"/>
      <c r="CP1604" s="1"/>
      <c r="CQ1604" s="1"/>
      <c r="CR1604" s="1"/>
      <c r="CS1604" s="1"/>
      <c r="CT1604" s="1"/>
      <c r="CU1604" s="1"/>
      <c r="CV1604" s="1"/>
      <c r="CW1604" s="1"/>
      <c r="CX1604" s="1"/>
      <c r="CY1604" s="1"/>
      <c r="CZ1604" s="1"/>
      <c r="DA1604" s="1"/>
      <c r="DB1604" s="1"/>
      <c r="DC1604" s="1"/>
    </row>
    <row r="1605" spans="1:107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  <c r="AX1605" s="1"/>
      <c r="AY1605" s="1"/>
      <c r="AZ1605" s="1"/>
      <c r="BA1605" s="1"/>
      <c r="BB1605" s="1"/>
      <c r="BC1605" s="1"/>
      <c r="BD1605" s="1"/>
      <c r="BE1605" s="1"/>
      <c r="BF1605" s="1"/>
      <c r="BG1605" s="1"/>
      <c r="BH1605" s="1"/>
      <c r="BI1605" s="1"/>
      <c r="BJ1605" s="1"/>
      <c r="BK1605" s="1"/>
      <c r="BL1605" s="1"/>
      <c r="BM1605" s="1"/>
      <c r="BN1605" s="1"/>
      <c r="BO1605" s="1"/>
      <c r="BP1605" s="1"/>
      <c r="BQ1605" s="1"/>
      <c r="BR1605" s="1"/>
      <c r="BS1605" s="1"/>
      <c r="BT1605" s="1"/>
      <c r="BU1605" s="1"/>
      <c r="BV1605" s="1"/>
      <c r="BW1605" s="1"/>
      <c r="BX1605" s="1"/>
      <c r="BY1605" s="1"/>
      <c r="BZ1605" s="1"/>
      <c r="CA1605" s="1"/>
      <c r="CB1605" s="1"/>
      <c r="CC1605" s="1"/>
      <c r="CD1605" s="1"/>
      <c r="CE1605" s="1"/>
      <c r="CF1605" s="1"/>
      <c r="CG1605" s="1"/>
      <c r="CH1605" s="1"/>
      <c r="CI1605" s="1"/>
      <c r="CJ1605" s="1"/>
      <c r="CK1605" s="1"/>
      <c r="CL1605" s="1"/>
      <c r="CM1605" s="1"/>
      <c r="CN1605" s="1"/>
      <c r="CO1605" s="1"/>
      <c r="CP1605" s="1"/>
      <c r="CQ1605" s="1"/>
      <c r="CR1605" s="1"/>
      <c r="CS1605" s="1"/>
      <c r="CT1605" s="1"/>
      <c r="CU1605" s="1"/>
      <c r="CV1605" s="1"/>
      <c r="CW1605" s="1"/>
      <c r="CX1605" s="1"/>
      <c r="CY1605" s="1"/>
      <c r="CZ1605" s="1"/>
      <c r="DA1605" s="1"/>
      <c r="DB1605" s="1"/>
      <c r="DC1605" s="1"/>
    </row>
    <row r="1606" spans="1:107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/>
      <c r="AX1606" s="1"/>
      <c r="AY1606" s="1"/>
      <c r="AZ1606" s="1"/>
      <c r="BA1606" s="1"/>
      <c r="BB1606" s="1"/>
      <c r="BC1606" s="1"/>
      <c r="BD1606" s="1"/>
      <c r="BE1606" s="1"/>
      <c r="BF1606" s="1"/>
      <c r="BG1606" s="1"/>
      <c r="BH1606" s="1"/>
      <c r="BI1606" s="1"/>
      <c r="BJ1606" s="1"/>
      <c r="BK1606" s="1"/>
      <c r="BL1606" s="1"/>
      <c r="BM1606" s="1"/>
      <c r="BN1606" s="1"/>
      <c r="BO1606" s="1"/>
      <c r="BP1606" s="1"/>
      <c r="BQ1606" s="1"/>
      <c r="BR1606" s="1"/>
      <c r="BS1606" s="1"/>
      <c r="BT1606" s="1"/>
      <c r="BU1606" s="1"/>
      <c r="BV1606" s="1"/>
      <c r="BW1606" s="1"/>
      <c r="BX1606" s="1"/>
      <c r="BY1606" s="1"/>
      <c r="BZ1606" s="1"/>
      <c r="CA1606" s="1"/>
      <c r="CB1606" s="1"/>
      <c r="CC1606" s="1"/>
      <c r="CD1606" s="1"/>
      <c r="CE1606" s="1"/>
      <c r="CF1606" s="1"/>
      <c r="CG1606" s="1"/>
      <c r="CH1606" s="1"/>
      <c r="CI1606" s="1"/>
      <c r="CJ1606" s="1"/>
      <c r="CK1606" s="1"/>
      <c r="CL1606" s="1"/>
      <c r="CM1606" s="1"/>
      <c r="CN1606" s="1"/>
      <c r="CO1606" s="1"/>
      <c r="CP1606" s="1"/>
      <c r="CQ1606" s="1"/>
      <c r="CR1606" s="1"/>
      <c r="CS1606" s="1"/>
      <c r="CT1606" s="1"/>
      <c r="CU1606" s="1"/>
      <c r="CV1606" s="1"/>
      <c r="CW1606" s="1"/>
      <c r="CX1606" s="1"/>
      <c r="CY1606" s="1"/>
      <c r="CZ1606" s="1"/>
      <c r="DA1606" s="1"/>
      <c r="DB1606" s="1"/>
      <c r="DC1606" s="1"/>
    </row>
    <row r="1607" spans="1:107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  <c r="AY1607" s="1"/>
      <c r="AZ1607" s="1"/>
      <c r="BA1607" s="1"/>
      <c r="BB1607" s="1"/>
      <c r="BC1607" s="1"/>
      <c r="BD1607" s="1"/>
      <c r="BE1607" s="1"/>
      <c r="BF1607" s="1"/>
      <c r="BG1607" s="1"/>
      <c r="BH1607" s="1"/>
      <c r="BI1607" s="1"/>
      <c r="BJ1607" s="1"/>
      <c r="BK1607" s="1"/>
      <c r="BL1607" s="1"/>
      <c r="BM1607" s="1"/>
      <c r="BN1607" s="1"/>
      <c r="BO1607" s="1"/>
      <c r="BP1607" s="1"/>
      <c r="BQ1607" s="1"/>
      <c r="BR1607" s="1"/>
      <c r="BS1607" s="1"/>
      <c r="BT1607" s="1"/>
      <c r="BU1607" s="1"/>
      <c r="BV1607" s="1"/>
      <c r="BW1607" s="1"/>
      <c r="BX1607" s="1"/>
      <c r="BY1607" s="1"/>
      <c r="BZ1607" s="1"/>
      <c r="CA1607" s="1"/>
      <c r="CB1607" s="1"/>
      <c r="CC1607" s="1"/>
      <c r="CD1607" s="1"/>
      <c r="CE1607" s="1"/>
      <c r="CF1607" s="1"/>
      <c r="CG1607" s="1"/>
      <c r="CH1607" s="1"/>
      <c r="CI1607" s="1"/>
      <c r="CJ1607" s="1"/>
      <c r="CK1607" s="1"/>
      <c r="CL1607" s="1"/>
      <c r="CM1607" s="1"/>
      <c r="CN1607" s="1"/>
      <c r="CO1607" s="1"/>
      <c r="CP1607" s="1"/>
      <c r="CQ1607" s="1"/>
      <c r="CR1607" s="1"/>
      <c r="CS1607" s="1"/>
      <c r="CT1607" s="1"/>
      <c r="CU1607" s="1"/>
      <c r="CV1607" s="1"/>
      <c r="CW1607" s="1"/>
      <c r="CX1607" s="1"/>
      <c r="CY1607" s="1"/>
      <c r="CZ1607" s="1"/>
      <c r="DA1607" s="1"/>
      <c r="DB1607" s="1"/>
      <c r="DC1607" s="1"/>
    </row>
    <row r="1608" spans="1:107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/>
      <c r="AX1608" s="1"/>
      <c r="AY1608" s="1"/>
      <c r="AZ1608" s="1"/>
      <c r="BA1608" s="1"/>
      <c r="BB1608" s="1"/>
      <c r="BC1608" s="1"/>
      <c r="BD1608" s="1"/>
      <c r="BE1608" s="1"/>
      <c r="BF1608" s="1"/>
      <c r="BG1608" s="1"/>
      <c r="BH1608" s="1"/>
      <c r="BI1608" s="1"/>
      <c r="BJ1608" s="1"/>
      <c r="BK1608" s="1"/>
      <c r="BL1608" s="1"/>
      <c r="BM1608" s="1"/>
      <c r="BN1608" s="1"/>
      <c r="BO1608" s="1"/>
      <c r="BP1608" s="1"/>
      <c r="BQ1608" s="1"/>
      <c r="BR1608" s="1"/>
      <c r="BS1608" s="1"/>
      <c r="BT1608" s="1"/>
      <c r="BU1608" s="1"/>
      <c r="BV1608" s="1"/>
      <c r="BW1608" s="1"/>
      <c r="BX1608" s="1"/>
      <c r="BY1608" s="1"/>
      <c r="BZ1608" s="1"/>
      <c r="CA1608" s="1"/>
      <c r="CB1608" s="1"/>
      <c r="CC1608" s="1"/>
      <c r="CD1608" s="1"/>
      <c r="CE1608" s="1"/>
      <c r="CF1608" s="1"/>
      <c r="CG1608" s="1"/>
      <c r="CH1608" s="1"/>
      <c r="CI1608" s="1"/>
      <c r="CJ1608" s="1"/>
      <c r="CK1608" s="1"/>
      <c r="CL1608" s="1"/>
      <c r="CM1608" s="1"/>
      <c r="CN1608" s="1"/>
      <c r="CO1608" s="1"/>
      <c r="CP1608" s="1"/>
      <c r="CQ1608" s="1"/>
      <c r="CR1608" s="1"/>
      <c r="CS1608" s="1"/>
      <c r="CT1608" s="1"/>
      <c r="CU1608" s="1"/>
      <c r="CV1608" s="1"/>
      <c r="CW1608" s="1"/>
      <c r="CX1608" s="1"/>
      <c r="CY1608" s="1"/>
      <c r="CZ1608" s="1"/>
      <c r="DA1608" s="1"/>
      <c r="DB1608" s="1"/>
      <c r="DC1608" s="1"/>
    </row>
    <row r="1609" spans="1:107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AW1609" s="1"/>
      <c r="AX1609" s="1"/>
      <c r="AY1609" s="1"/>
      <c r="AZ1609" s="1"/>
      <c r="BA1609" s="1"/>
      <c r="BB1609" s="1"/>
      <c r="BC1609" s="1"/>
      <c r="BD1609" s="1"/>
      <c r="BE1609" s="1"/>
      <c r="BF1609" s="1"/>
      <c r="BG1609" s="1"/>
      <c r="BH1609" s="1"/>
      <c r="BI1609" s="1"/>
      <c r="BJ1609" s="1"/>
      <c r="BK1609" s="1"/>
      <c r="BL1609" s="1"/>
      <c r="BM1609" s="1"/>
      <c r="BN1609" s="1"/>
      <c r="BO1609" s="1"/>
      <c r="BP1609" s="1"/>
      <c r="BQ1609" s="1"/>
      <c r="BR1609" s="1"/>
      <c r="BS1609" s="1"/>
      <c r="BT1609" s="1"/>
      <c r="BU1609" s="1"/>
      <c r="BV1609" s="1"/>
      <c r="BW1609" s="1"/>
      <c r="BX1609" s="1"/>
      <c r="BY1609" s="1"/>
      <c r="BZ1609" s="1"/>
      <c r="CA1609" s="1"/>
      <c r="CB1609" s="1"/>
      <c r="CC1609" s="1"/>
      <c r="CD1609" s="1"/>
      <c r="CE1609" s="1"/>
      <c r="CF1609" s="1"/>
      <c r="CG1609" s="1"/>
      <c r="CH1609" s="1"/>
      <c r="CI1609" s="1"/>
      <c r="CJ1609" s="1"/>
      <c r="CK1609" s="1"/>
      <c r="CL1609" s="1"/>
      <c r="CM1609" s="1"/>
      <c r="CN1609" s="1"/>
      <c r="CO1609" s="1"/>
      <c r="CP1609" s="1"/>
      <c r="CQ1609" s="1"/>
      <c r="CR1609" s="1"/>
      <c r="CS1609" s="1"/>
      <c r="CT1609" s="1"/>
      <c r="CU1609" s="1"/>
      <c r="CV1609" s="1"/>
      <c r="CW1609" s="1"/>
      <c r="CX1609" s="1"/>
      <c r="CY1609" s="1"/>
      <c r="CZ1609" s="1"/>
      <c r="DA1609" s="1"/>
      <c r="DB1609" s="1"/>
      <c r="DC1609" s="1"/>
    </row>
    <row r="1610" spans="1:107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  <c r="AX1610" s="1"/>
      <c r="AY1610" s="1"/>
      <c r="AZ1610" s="1"/>
      <c r="BA1610" s="1"/>
      <c r="BB1610" s="1"/>
      <c r="BC1610" s="1"/>
      <c r="BD1610" s="1"/>
      <c r="BE1610" s="1"/>
      <c r="BF1610" s="1"/>
      <c r="BG1610" s="1"/>
      <c r="BH1610" s="1"/>
      <c r="BI1610" s="1"/>
      <c r="BJ1610" s="1"/>
      <c r="BK1610" s="1"/>
      <c r="BL1610" s="1"/>
      <c r="BM1610" s="1"/>
      <c r="BN1610" s="1"/>
      <c r="BO1610" s="1"/>
      <c r="BP1610" s="1"/>
      <c r="BQ1610" s="1"/>
      <c r="BR1610" s="1"/>
      <c r="BS1610" s="1"/>
      <c r="BT1610" s="1"/>
      <c r="BU1610" s="1"/>
      <c r="BV1610" s="1"/>
      <c r="BW1610" s="1"/>
      <c r="BX1610" s="1"/>
      <c r="BY1610" s="1"/>
      <c r="BZ1610" s="1"/>
      <c r="CA1610" s="1"/>
      <c r="CB1610" s="1"/>
      <c r="CC1610" s="1"/>
      <c r="CD1610" s="1"/>
      <c r="CE1610" s="1"/>
      <c r="CF1610" s="1"/>
      <c r="CG1610" s="1"/>
      <c r="CH1610" s="1"/>
      <c r="CI1610" s="1"/>
      <c r="CJ1610" s="1"/>
      <c r="CK1610" s="1"/>
      <c r="CL1610" s="1"/>
      <c r="CM1610" s="1"/>
      <c r="CN1610" s="1"/>
      <c r="CO1610" s="1"/>
      <c r="CP1610" s="1"/>
      <c r="CQ1610" s="1"/>
      <c r="CR1610" s="1"/>
      <c r="CS1610" s="1"/>
      <c r="CT1610" s="1"/>
      <c r="CU1610" s="1"/>
      <c r="CV1610" s="1"/>
      <c r="CW1610" s="1"/>
      <c r="CX1610" s="1"/>
      <c r="CY1610" s="1"/>
      <c r="CZ1610" s="1"/>
      <c r="DA1610" s="1"/>
      <c r="DB1610" s="1"/>
      <c r="DC1610" s="1"/>
    </row>
    <row r="1611" spans="1:107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1"/>
      <c r="AY1611" s="1"/>
      <c r="AZ1611" s="1"/>
      <c r="BA1611" s="1"/>
      <c r="BB1611" s="1"/>
      <c r="BC1611" s="1"/>
      <c r="BD1611" s="1"/>
      <c r="BE1611" s="1"/>
      <c r="BF1611" s="1"/>
      <c r="BG1611" s="1"/>
      <c r="BH1611" s="1"/>
      <c r="BI1611" s="1"/>
      <c r="BJ1611" s="1"/>
      <c r="BK1611" s="1"/>
      <c r="BL1611" s="1"/>
      <c r="BM1611" s="1"/>
      <c r="BN1611" s="1"/>
      <c r="BO1611" s="1"/>
      <c r="BP1611" s="1"/>
      <c r="BQ1611" s="1"/>
      <c r="BR1611" s="1"/>
      <c r="BS1611" s="1"/>
      <c r="BT1611" s="1"/>
      <c r="BU1611" s="1"/>
      <c r="BV1611" s="1"/>
      <c r="BW1611" s="1"/>
      <c r="BX1611" s="1"/>
      <c r="BY1611" s="1"/>
      <c r="BZ1611" s="1"/>
      <c r="CA1611" s="1"/>
      <c r="CB1611" s="1"/>
      <c r="CC1611" s="1"/>
      <c r="CD1611" s="1"/>
      <c r="CE1611" s="1"/>
      <c r="CF1611" s="1"/>
      <c r="CG1611" s="1"/>
      <c r="CH1611" s="1"/>
      <c r="CI1611" s="1"/>
      <c r="CJ1611" s="1"/>
      <c r="CK1611" s="1"/>
      <c r="CL1611" s="1"/>
      <c r="CM1611" s="1"/>
      <c r="CN1611" s="1"/>
      <c r="CO1611" s="1"/>
      <c r="CP1611" s="1"/>
      <c r="CQ1611" s="1"/>
      <c r="CR1611" s="1"/>
      <c r="CS1611" s="1"/>
      <c r="CT1611" s="1"/>
      <c r="CU1611" s="1"/>
      <c r="CV1611" s="1"/>
      <c r="CW1611" s="1"/>
      <c r="CX1611" s="1"/>
      <c r="CY1611" s="1"/>
      <c r="CZ1611" s="1"/>
      <c r="DA1611" s="1"/>
      <c r="DB1611" s="1"/>
      <c r="DC1611" s="1"/>
    </row>
    <row r="1612" spans="1:107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AW1612" s="1"/>
      <c r="AX1612" s="1"/>
      <c r="AY1612" s="1"/>
      <c r="AZ1612" s="1"/>
      <c r="BA1612" s="1"/>
      <c r="BB1612" s="1"/>
      <c r="BC1612" s="1"/>
      <c r="BD1612" s="1"/>
      <c r="BE1612" s="1"/>
      <c r="BF1612" s="1"/>
      <c r="BG1612" s="1"/>
      <c r="BH1612" s="1"/>
      <c r="BI1612" s="1"/>
      <c r="BJ1612" s="1"/>
      <c r="BK1612" s="1"/>
      <c r="BL1612" s="1"/>
      <c r="BM1612" s="1"/>
      <c r="BN1612" s="1"/>
      <c r="BO1612" s="1"/>
      <c r="BP1612" s="1"/>
      <c r="BQ1612" s="1"/>
      <c r="BR1612" s="1"/>
      <c r="BS1612" s="1"/>
      <c r="BT1612" s="1"/>
      <c r="BU1612" s="1"/>
      <c r="BV1612" s="1"/>
      <c r="BW1612" s="1"/>
      <c r="BX1612" s="1"/>
      <c r="BY1612" s="1"/>
      <c r="BZ1612" s="1"/>
      <c r="CA1612" s="1"/>
      <c r="CB1612" s="1"/>
      <c r="CC1612" s="1"/>
      <c r="CD1612" s="1"/>
      <c r="CE1612" s="1"/>
      <c r="CF1612" s="1"/>
      <c r="CG1612" s="1"/>
      <c r="CH1612" s="1"/>
      <c r="CI1612" s="1"/>
      <c r="CJ1612" s="1"/>
      <c r="CK1612" s="1"/>
      <c r="CL1612" s="1"/>
      <c r="CM1612" s="1"/>
      <c r="CN1612" s="1"/>
      <c r="CO1612" s="1"/>
      <c r="CP1612" s="1"/>
      <c r="CQ1612" s="1"/>
      <c r="CR1612" s="1"/>
      <c r="CS1612" s="1"/>
      <c r="CT1612" s="1"/>
      <c r="CU1612" s="1"/>
      <c r="CV1612" s="1"/>
      <c r="CW1612" s="1"/>
      <c r="CX1612" s="1"/>
      <c r="CY1612" s="1"/>
      <c r="CZ1612" s="1"/>
      <c r="DA1612" s="1"/>
      <c r="DB1612" s="1"/>
      <c r="DC1612" s="1"/>
    </row>
    <row r="1613" spans="1:107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  <c r="AX1613" s="1"/>
      <c r="AY1613" s="1"/>
      <c r="AZ1613" s="1"/>
      <c r="BA1613" s="1"/>
      <c r="BB1613" s="1"/>
      <c r="BC1613" s="1"/>
      <c r="BD1613" s="1"/>
      <c r="BE1613" s="1"/>
      <c r="BF1613" s="1"/>
      <c r="BG1613" s="1"/>
      <c r="BH1613" s="1"/>
      <c r="BI1613" s="1"/>
      <c r="BJ1613" s="1"/>
      <c r="BK1613" s="1"/>
      <c r="BL1613" s="1"/>
      <c r="BM1613" s="1"/>
      <c r="BN1613" s="1"/>
      <c r="BO1613" s="1"/>
      <c r="BP1613" s="1"/>
      <c r="BQ1613" s="1"/>
      <c r="BR1613" s="1"/>
      <c r="BS1613" s="1"/>
      <c r="BT1613" s="1"/>
      <c r="BU1613" s="1"/>
      <c r="BV1613" s="1"/>
      <c r="BW1613" s="1"/>
      <c r="BX1613" s="1"/>
      <c r="BY1613" s="1"/>
      <c r="BZ1613" s="1"/>
      <c r="CA1613" s="1"/>
      <c r="CB1613" s="1"/>
      <c r="CC1613" s="1"/>
      <c r="CD1613" s="1"/>
      <c r="CE1613" s="1"/>
      <c r="CF1613" s="1"/>
      <c r="CG1613" s="1"/>
      <c r="CH1613" s="1"/>
      <c r="CI1613" s="1"/>
      <c r="CJ1613" s="1"/>
      <c r="CK1613" s="1"/>
      <c r="CL1613" s="1"/>
      <c r="CM1613" s="1"/>
      <c r="CN1613" s="1"/>
      <c r="CO1613" s="1"/>
      <c r="CP1613" s="1"/>
      <c r="CQ1613" s="1"/>
      <c r="CR1613" s="1"/>
      <c r="CS1613" s="1"/>
      <c r="CT1613" s="1"/>
      <c r="CU1613" s="1"/>
      <c r="CV1613" s="1"/>
      <c r="CW1613" s="1"/>
      <c r="CX1613" s="1"/>
      <c r="CY1613" s="1"/>
      <c r="CZ1613" s="1"/>
      <c r="DA1613" s="1"/>
      <c r="DB1613" s="1"/>
      <c r="DC1613" s="1"/>
    </row>
    <row r="1614" spans="1:107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  <c r="AX1614" s="1"/>
      <c r="AY1614" s="1"/>
      <c r="AZ1614" s="1"/>
      <c r="BA1614" s="1"/>
      <c r="BB1614" s="1"/>
      <c r="BC1614" s="1"/>
      <c r="BD1614" s="1"/>
      <c r="BE1614" s="1"/>
      <c r="BF1614" s="1"/>
      <c r="BG1614" s="1"/>
      <c r="BH1614" s="1"/>
      <c r="BI1614" s="1"/>
      <c r="BJ1614" s="1"/>
      <c r="BK1614" s="1"/>
      <c r="BL1614" s="1"/>
      <c r="BM1614" s="1"/>
      <c r="BN1614" s="1"/>
      <c r="BO1614" s="1"/>
      <c r="BP1614" s="1"/>
      <c r="BQ1614" s="1"/>
      <c r="BR1614" s="1"/>
      <c r="BS1614" s="1"/>
      <c r="BT1614" s="1"/>
      <c r="BU1614" s="1"/>
      <c r="BV1614" s="1"/>
      <c r="BW1614" s="1"/>
      <c r="BX1614" s="1"/>
      <c r="BY1614" s="1"/>
      <c r="BZ1614" s="1"/>
      <c r="CA1614" s="1"/>
      <c r="CB1614" s="1"/>
      <c r="CC1614" s="1"/>
      <c r="CD1614" s="1"/>
      <c r="CE1614" s="1"/>
      <c r="CF1614" s="1"/>
      <c r="CG1614" s="1"/>
      <c r="CH1614" s="1"/>
      <c r="CI1614" s="1"/>
      <c r="CJ1614" s="1"/>
      <c r="CK1614" s="1"/>
      <c r="CL1614" s="1"/>
      <c r="CM1614" s="1"/>
      <c r="CN1614" s="1"/>
      <c r="CO1614" s="1"/>
      <c r="CP1614" s="1"/>
      <c r="CQ1614" s="1"/>
      <c r="CR1614" s="1"/>
      <c r="CS1614" s="1"/>
      <c r="CT1614" s="1"/>
      <c r="CU1614" s="1"/>
      <c r="CV1614" s="1"/>
      <c r="CW1614" s="1"/>
      <c r="CX1614" s="1"/>
      <c r="CY1614" s="1"/>
      <c r="CZ1614" s="1"/>
      <c r="DA1614" s="1"/>
      <c r="DB1614" s="1"/>
      <c r="DC1614" s="1"/>
    </row>
    <row r="1615" spans="1:107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  <c r="AX1615" s="1"/>
      <c r="AY1615" s="1"/>
      <c r="AZ1615" s="1"/>
      <c r="BA1615" s="1"/>
      <c r="BB1615" s="1"/>
      <c r="BC1615" s="1"/>
      <c r="BD1615" s="1"/>
      <c r="BE1615" s="1"/>
      <c r="BF1615" s="1"/>
      <c r="BG1615" s="1"/>
      <c r="BH1615" s="1"/>
      <c r="BI1615" s="1"/>
      <c r="BJ1615" s="1"/>
      <c r="BK1615" s="1"/>
      <c r="BL1615" s="1"/>
      <c r="BM1615" s="1"/>
      <c r="BN1615" s="1"/>
      <c r="BO1615" s="1"/>
      <c r="BP1615" s="1"/>
      <c r="BQ1615" s="1"/>
      <c r="BR1615" s="1"/>
      <c r="BS1615" s="1"/>
      <c r="BT1615" s="1"/>
      <c r="BU1615" s="1"/>
      <c r="BV1615" s="1"/>
      <c r="BW1615" s="1"/>
      <c r="BX1615" s="1"/>
      <c r="BY1615" s="1"/>
      <c r="BZ1615" s="1"/>
      <c r="CA1615" s="1"/>
      <c r="CB1615" s="1"/>
      <c r="CC1615" s="1"/>
      <c r="CD1615" s="1"/>
      <c r="CE1615" s="1"/>
      <c r="CF1615" s="1"/>
      <c r="CG1615" s="1"/>
      <c r="CH1615" s="1"/>
      <c r="CI1615" s="1"/>
      <c r="CJ1615" s="1"/>
      <c r="CK1615" s="1"/>
      <c r="CL1615" s="1"/>
      <c r="CM1615" s="1"/>
      <c r="CN1615" s="1"/>
      <c r="CO1615" s="1"/>
      <c r="CP1615" s="1"/>
      <c r="CQ1615" s="1"/>
      <c r="CR1615" s="1"/>
      <c r="CS1615" s="1"/>
      <c r="CT1615" s="1"/>
      <c r="CU1615" s="1"/>
      <c r="CV1615" s="1"/>
      <c r="CW1615" s="1"/>
      <c r="CX1615" s="1"/>
      <c r="CY1615" s="1"/>
      <c r="CZ1615" s="1"/>
      <c r="DA1615" s="1"/>
      <c r="DB1615" s="1"/>
      <c r="DC1615" s="1"/>
    </row>
    <row r="1616" spans="1:107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/>
      <c r="AY1616" s="1"/>
      <c r="AZ1616" s="1"/>
      <c r="BA1616" s="1"/>
      <c r="BB1616" s="1"/>
      <c r="BC1616" s="1"/>
      <c r="BD1616" s="1"/>
      <c r="BE1616" s="1"/>
      <c r="BF1616" s="1"/>
      <c r="BG1616" s="1"/>
      <c r="BH1616" s="1"/>
      <c r="BI1616" s="1"/>
      <c r="BJ1616" s="1"/>
      <c r="BK1616" s="1"/>
      <c r="BL1616" s="1"/>
      <c r="BM1616" s="1"/>
      <c r="BN1616" s="1"/>
      <c r="BO1616" s="1"/>
      <c r="BP1616" s="1"/>
      <c r="BQ1616" s="1"/>
      <c r="BR1616" s="1"/>
      <c r="BS1616" s="1"/>
      <c r="BT1616" s="1"/>
      <c r="BU1616" s="1"/>
      <c r="BV1616" s="1"/>
      <c r="BW1616" s="1"/>
      <c r="BX1616" s="1"/>
      <c r="BY1616" s="1"/>
      <c r="BZ1616" s="1"/>
      <c r="CA1616" s="1"/>
      <c r="CB1616" s="1"/>
      <c r="CC1616" s="1"/>
      <c r="CD1616" s="1"/>
      <c r="CE1616" s="1"/>
      <c r="CF1616" s="1"/>
      <c r="CG1616" s="1"/>
      <c r="CH1616" s="1"/>
      <c r="CI1616" s="1"/>
      <c r="CJ1616" s="1"/>
      <c r="CK1616" s="1"/>
      <c r="CL1616" s="1"/>
      <c r="CM1616" s="1"/>
      <c r="CN1616" s="1"/>
      <c r="CO1616" s="1"/>
      <c r="CP1616" s="1"/>
      <c r="CQ1616" s="1"/>
      <c r="CR1616" s="1"/>
      <c r="CS1616" s="1"/>
      <c r="CT1616" s="1"/>
      <c r="CU1616" s="1"/>
      <c r="CV1616" s="1"/>
      <c r="CW1616" s="1"/>
      <c r="CX1616" s="1"/>
      <c r="CY1616" s="1"/>
      <c r="CZ1616" s="1"/>
      <c r="DA1616" s="1"/>
      <c r="DB1616" s="1"/>
      <c r="DC1616" s="1"/>
    </row>
    <row r="1617" spans="1:107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/>
      <c r="AY1617" s="1"/>
      <c r="AZ1617" s="1"/>
      <c r="BA1617" s="1"/>
      <c r="BB1617" s="1"/>
      <c r="BC1617" s="1"/>
      <c r="BD1617" s="1"/>
      <c r="BE1617" s="1"/>
      <c r="BF1617" s="1"/>
      <c r="BG1617" s="1"/>
      <c r="BH1617" s="1"/>
      <c r="BI1617" s="1"/>
      <c r="BJ1617" s="1"/>
      <c r="BK1617" s="1"/>
      <c r="BL1617" s="1"/>
      <c r="BM1617" s="1"/>
      <c r="BN1617" s="1"/>
      <c r="BO1617" s="1"/>
      <c r="BP1617" s="1"/>
      <c r="BQ1617" s="1"/>
      <c r="BR1617" s="1"/>
      <c r="BS1617" s="1"/>
      <c r="BT1617" s="1"/>
      <c r="BU1617" s="1"/>
      <c r="BV1617" s="1"/>
      <c r="BW1617" s="1"/>
      <c r="BX1617" s="1"/>
      <c r="BY1617" s="1"/>
      <c r="BZ1617" s="1"/>
      <c r="CA1617" s="1"/>
      <c r="CB1617" s="1"/>
      <c r="CC1617" s="1"/>
      <c r="CD1617" s="1"/>
      <c r="CE1617" s="1"/>
      <c r="CF1617" s="1"/>
      <c r="CG1617" s="1"/>
      <c r="CH1617" s="1"/>
      <c r="CI1617" s="1"/>
      <c r="CJ1617" s="1"/>
      <c r="CK1617" s="1"/>
      <c r="CL1617" s="1"/>
      <c r="CM1617" s="1"/>
      <c r="CN1617" s="1"/>
      <c r="CO1617" s="1"/>
      <c r="CP1617" s="1"/>
      <c r="CQ1617" s="1"/>
      <c r="CR1617" s="1"/>
      <c r="CS1617" s="1"/>
      <c r="CT1617" s="1"/>
      <c r="CU1617" s="1"/>
      <c r="CV1617" s="1"/>
      <c r="CW1617" s="1"/>
      <c r="CX1617" s="1"/>
      <c r="CY1617" s="1"/>
      <c r="CZ1617" s="1"/>
      <c r="DA1617" s="1"/>
      <c r="DB1617" s="1"/>
      <c r="DC1617" s="1"/>
    </row>
    <row r="1618" spans="1:107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  <c r="AW1618" s="1"/>
      <c r="AX1618" s="1"/>
      <c r="AY1618" s="1"/>
      <c r="AZ1618" s="1"/>
      <c r="BA1618" s="1"/>
      <c r="BB1618" s="1"/>
      <c r="BC1618" s="1"/>
      <c r="BD1618" s="1"/>
      <c r="BE1618" s="1"/>
      <c r="BF1618" s="1"/>
      <c r="BG1618" s="1"/>
      <c r="BH1618" s="1"/>
      <c r="BI1618" s="1"/>
      <c r="BJ1618" s="1"/>
      <c r="BK1618" s="1"/>
      <c r="BL1618" s="1"/>
      <c r="BM1618" s="1"/>
      <c r="BN1618" s="1"/>
      <c r="BO1618" s="1"/>
      <c r="BP1618" s="1"/>
      <c r="BQ1618" s="1"/>
      <c r="BR1618" s="1"/>
      <c r="BS1618" s="1"/>
      <c r="BT1618" s="1"/>
      <c r="BU1618" s="1"/>
      <c r="BV1618" s="1"/>
      <c r="BW1618" s="1"/>
      <c r="BX1618" s="1"/>
      <c r="BY1618" s="1"/>
      <c r="BZ1618" s="1"/>
      <c r="CA1618" s="1"/>
      <c r="CB1618" s="1"/>
      <c r="CC1618" s="1"/>
      <c r="CD1618" s="1"/>
      <c r="CE1618" s="1"/>
      <c r="CF1618" s="1"/>
      <c r="CG1618" s="1"/>
      <c r="CH1618" s="1"/>
      <c r="CI1618" s="1"/>
      <c r="CJ1618" s="1"/>
      <c r="CK1618" s="1"/>
      <c r="CL1618" s="1"/>
      <c r="CM1618" s="1"/>
      <c r="CN1618" s="1"/>
      <c r="CO1618" s="1"/>
      <c r="CP1618" s="1"/>
      <c r="CQ1618" s="1"/>
      <c r="CR1618" s="1"/>
      <c r="CS1618" s="1"/>
      <c r="CT1618" s="1"/>
      <c r="CU1618" s="1"/>
      <c r="CV1618" s="1"/>
      <c r="CW1618" s="1"/>
      <c r="CX1618" s="1"/>
      <c r="CY1618" s="1"/>
      <c r="CZ1618" s="1"/>
      <c r="DA1618" s="1"/>
      <c r="DB1618" s="1"/>
      <c r="DC1618" s="1"/>
    </row>
    <row r="1619" spans="1:107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1"/>
      <c r="AX1619" s="1"/>
      <c r="AY1619" s="1"/>
      <c r="AZ1619" s="1"/>
      <c r="BA1619" s="1"/>
      <c r="BB1619" s="1"/>
      <c r="BC1619" s="1"/>
      <c r="BD1619" s="1"/>
      <c r="BE1619" s="1"/>
      <c r="BF1619" s="1"/>
      <c r="BG1619" s="1"/>
      <c r="BH1619" s="1"/>
      <c r="BI1619" s="1"/>
      <c r="BJ1619" s="1"/>
      <c r="BK1619" s="1"/>
      <c r="BL1619" s="1"/>
      <c r="BM1619" s="1"/>
      <c r="BN1619" s="1"/>
      <c r="BO1619" s="1"/>
      <c r="BP1619" s="1"/>
      <c r="BQ1619" s="1"/>
      <c r="BR1619" s="1"/>
      <c r="BS1619" s="1"/>
      <c r="BT1619" s="1"/>
      <c r="BU1619" s="1"/>
      <c r="BV1619" s="1"/>
      <c r="BW1619" s="1"/>
      <c r="BX1619" s="1"/>
      <c r="BY1619" s="1"/>
      <c r="BZ1619" s="1"/>
      <c r="CA1619" s="1"/>
      <c r="CB1619" s="1"/>
      <c r="CC1619" s="1"/>
      <c r="CD1619" s="1"/>
      <c r="CE1619" s="1"/>
      <c r="CF1619" s="1"/>
      <c r="CG1619" s="1"/>
      <c r="CH1619" s="1"/>
      <c r="CI1619" s="1"/>
      <c r="CJ1619" s="1"/>
      <c r="CK1619" s="1"/>
      <c r="CL1619" s="1"/>
      <c r="CM1619" s="1"/>
      <c r="CN1619" s="1"/>
      <c r="CO1619" s="1"/>
      <c r="CP1619" s="1"/>
      <c r="CQ1619" s="1"/>
      <c r="CR1619" s="1"/>
      <c r="CS1619" s="1"/>
      <c r="CT1619" s="1"/>
      <c r="CU1619" s="1"/>
      <c r="CV1619" s="1"/>
      <c r="CW1619" s="1"/>
      <c r="CX1619" s="1"/>
      <c r="CY1619" s="1"/>
      <c r="CZ1619" s="1"/>
      <c r="DA1619" s="1"/>
      <c r="DB1619" s="1"/>
      <c r="DC1619" s="1"/>
    </row>
    <row r="1620" spans="1:107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  <c r="AX1620" s="1"/>
      <c r="AY1620" s="1"/>
      <c r="AZ1620" s="1"/>
      <c r="BA1620" s="1"/>
      <c r="BB1620" s="1"/>
      <c r="BC1620" s="1"/>
      <c r="BD1620" s="1"/>
      <c r="BE1620" s="1"/>
      <c r="BF1620" s="1"/>
      <c r="BG1620" s="1"/>
      <c r="BH1620" s="1"/>
      <c r="BI1620" s="1"/>
      <c r="BJ1620" s="1"/>
      <c r="BK1620" s="1"/>
      <c r="BL1620" s="1"/>
      <c r="BM1620" s="1"/>
      <c r="BN1620" s="1"/>
      <c r="BO1620" s="1"/>
      <c r="BP1620" s="1"/>
      <c r="BQ1620" s="1"/>
      <c r="BR1620" s="1"/>
      <c r="BS1620" s="1"/>
      <c r="BT1620" s="1"/>
      <c r="BU1620" s="1"/>
      <c r="BV1620" s="1"/>
      <c r="BW1620" s="1"/>
      <c r="BX1620" s="1"/>
      <c r="BY1620" s="1"/>
      <c r="BZ1620" s="1"/>
      <c r="CA1620" s="1"/>
      <c r="CB1620" s="1"/>
      <c r="CC1620" s="1"/>
      <c r="CD1620" s="1"/>
      <c r="CE1620" s="1"/>
      <c r="CF1620" s="1"/>
      <c r="CG1620" s="1"/>
      <c r="CH1620" s="1"/>
      <c r="CI1620" s="1"/>
      <c r="CJ1620" s="1"/>
      <c r="CK1620" s="1"/>
      <c r="CL1620" s="1"/>
      <c r="CM1620" s="1"/>
      <c r="CN1620" s="1"/>
      <c r="CO1620" s="1"/>
      <c r="CP1620" s="1"/>
      <c r="CQ1620" s="1"/>
      <c r="CR1620" s="1"/>
      <c r="CS1620" s="1"/>
      <c r="CT1620" s="1"/>
      <c r="CU1620" s="1"/>
      <c r="CV1620" s="1"/>
      <c r="CW1620" s="1"/>
      <c r="CX1620" s="1"/>
      <c r="CY1620" s="1"/>
      <c r="CZ1620" s="1"/>
      <c r="DA1620" s="1"/>
      <c r="DB1620" s="1"/>
      <c r="DC1620" s="1"/>
    </row>
    <row r="1621" spans="1:107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X1621" s="1"/>
      <c r="AY1621" s="1"/>
      <c r="AZ1621" s="1"/>
      <c r="BA1621" s="1"/>
      <c r="BB1621" s="1"/>
      <c r="BC1621" s="1"/>
      <c r="BD1621" s="1"/>
      <c r="BE1621" s="1"/>
      <c r="BF1621" s="1"/>
      <c r="BG1621" s="1"/>
      <c r="BH1621" s="1"/>
      <c r="BI1621" s="1"/>
      <c r="BJ1621" s="1"/>
      <c r="BK1621" s="1"/>
      <c r="BL1621" s="1"/>
      <c r="BM1621" s="1"/>
      <c r="BN1621" s="1"/>
      <c r="BO1621" s="1"/>
      <c r="BP1621" s="1"/>
      <c r="BQ1621" s="1"/>
      <c r="BR1621" s="1"/>
      <c r="BS1621" s="1"/>
      <c r="BT1621" s="1"/>
      <c r="BU1621" s="1"/>
      <c r="BV1621" s="1"/>
      <c r="BW1621" s="1"/>
      <c r="BX1621" s="1"/>
      <c r="BY1621" s="1"/>
      <c r="BZ1621" s="1"/>
      <c r="CA1621" s="1"/>
      <c r="CB1621" s="1"/>
      <c r="CC1621" s="1"/>
      <c r="CD1621" s="1"/>
      <c r="CE1621" s="1"/>
      <c r="CF1621" s="1"/>
      <c r="CG1621" s="1"/>
      <c r="CH1621" s="1"/>
      <c r="CI1621" s="1"/>
      <c r="CJ1621" s="1"/>
      <c r="CK1621" s="1"/>
      <c r="CL1621" s="1"/>
      <c r="CM1621" s="1"/>
      <c r="CN1621" s="1"/>
      <c r="CO1621" s="1"/>
      <c r="CP1621" s="1"/>
      <c r="CQ1621" s="1"/>
      <c r="CR1621" s="1"/>
      <c r="CS1621" s="1"/>
      <c r="CT1621" s="1"/>
      <c r="CU1621" s="1"/>
      <c r="CV1621" s="1"/>
      <c r="CW1621" s="1"/>
      <c r="CX1621" s="1"/>
      <c r="CY1621" s="1"/>
      <c r="CZ1621" s="1"/>
      <c r="DA1621" s="1"/>
      <c r="DB1621" s="1"/>
      <c r="DC1621" s="1"/>
    </row>
    <row r="1622" spans="1:107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  <c r="AY1622" s="1"/>
      <c r="AZ1622" s="1"/>
      <c r="BA1622" s="1"/>
      <c r="BB1622" s="1"/>
      <c r="BC1622" s="1"/>
      <c r="BD1622" s="1"/>
      <c r="BE1622" s="1"/>
      <c r="BF1622" s="1"/>
      <c r="BG1622" s="1"/>
      <c r="BH1622" s="1"/>
      <c r="BI1622" s="1"/>
      <c r="BJ1622" s="1"/>
      <c r="BK1622" s="1"/>
      <c r="BL1622" s="1"/>
      <c r="BM1622" s="1"/>
      <c r="BN1622" s="1"/>
      <c r="BO1622" s="1"/>
      <c r="BP1622" s="1"/>
      <c r="BQ1622" s="1"/>
      <c r="BR1622" s="1"/>
      <c r="BS1622" s="1"/>
      <c r="BT1622" s="1"/>
      <c r="BU1622" s="1"/>
      <c r="BV1622" s="1"/>
      <c r="BW1622" s="1"/>
      <c r="BX1622" s="1"/>
      <c r="BY1622" s="1"/>
      <c r="BZ1622" s="1"/>
      <c r="CA1622" s="1"/>
      <c r="CB1622" s="1"/>
      <c r="CC1622" s="1"/>
      <c r="CD1622" s="1"/>
      <c r="CE1622" s="1"/>
      <c r="CF1622" s="1"/>
      <c r="CG1622" s="1"/>
      <c r="CH1622" s="1"/>
      <c r="CI1622" s="1"/>
      <c r="CJ1622" s="1"/>
      <c r="CK1622" s="1"/>
      <c r="CL1622" s="1"/>
      <c r="CM1622" s="1"/>
      <c r="CN1622" s="1"/>
      <c r="CO1622" s="1"/>
      <c r="CP1622" s="1"/>
      <c r="CQ1622" s="1"/>
      <c r="CR1622" s="1"/>
      <c r="CS1622" s="1"/>
      <c r="CT1622" s="1"/>
      <c r="CU1622" s="1"/>
      <c r="CV1622" s="1"/>
      <c r="CW1622" s="1"/>
      <c r="CX1622" s="1"/>
      <c r="CY1622" s="1"/>
      <c r="CZ1622" s="1"/>
      <c r="DA1622" s="1"/>
      <c r="DB1622" s="1"/>
      <c r="DC1622" s="1"/>
    </row>
    <row r="1623" spans="1:107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/>
      <c r="AW1623" s="1"/>
      <c r="AX1623" s="1"/>
      <c r="AY1623" s="1"/>
      <c r="AZ1623" s="1"/>
      <c r="BA1623" s="1"/>
      <c r="BB1623" s="1"/>
      <c r="BC1623" s="1"/>
      <c r="BD1623" s="1"/>
      <c r="BE1623" s="1"/>
      <c r="BF1623" s="1"/>
      <c r="BG1623" s="1"/>
      <c r="BH1623" s="1"/>
      <c r="BI1623" s="1"/>
      <c r="BJ1623" s="1"/>
      <c r="BK1623" s="1"/>
      <c r="BL1623" s="1"/>
      <c r="BM1623" s="1"/>
      <c r="BN1623" s="1"/>
      <c r="BO1623" s="1"/>
      <c r="BP1623" s="1"/>
      <c r="BQ1623" s="1"/>
      <c r="BR1623" s="1"/>
      <c r="BS1623" s="1"/>
      <c r="BT1623" s="1"/>
      <c r="BU1623" s="1"/>
      <c r="BV1623" s="1"/>
      <c r="BW1623" s="1"/>
      <c r="BX1623" s="1"/>
      <c r="BY1623" s="1"/>
      <c r="BZ1623" s="1"/>
      <c r="CA1623" s="1"/>
      <c r="CB1623" s="1"/>
      <c r="CC1623" s="1"/>
      <c r="CD1623" s="1"/>
      <c r="CE1623" s="1"/>
      <c r="CF1623" s="1"/>
      <c r="CG1623" s="1"/>
      <c r="CH1623" s="1"/>
      <c r="CI1623" s="1"/>
      <c r="CJ1623" s="1"/>
      <c r="CK1623" s="1"/>
      <c r="CL1623" s="1"/>
      <c r="CM1623" s="1"/>
      <c r="CN1623" s="1"/>
      <c r="CO1623" s="1"/>
      <c r="CP1623" s="1"/>
      <c r="CQ1623" s="1"/>
      <c r="CR1623" s="1"/>
      <c r="CS1623" s="1"/>
      <c r="CT1623" s="1"/>
      <c r="CU1623" s="1"/>
      <c r="CV1623" s="1"/>
      <c r="CW1623" s="1"/>
      <c r="CX1623" s="1"/>
      <c r="CY1623" s="1"/>
      <c r="CZ1623" s="1"/>
      <c r="DA1623" s="1"/>
      <c r="DB1623" s="1"/>
      <c r="DC1623" s="1"/>
    </row>
    <row r="1624" spans="1:107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  <c r="AR1624" s="1"/>
      <c r="AS1624" s="1"/>
      <c r="AT1624" s="1"/>
      <c r="AU1624" s="1"/>
      <c r="AV1624" s="1"/>
      <c r="AW1624" s="1"/>
      <c r="AX1624" s="1"/>
      <c r="AY1624" s="1"/>
      <c r="AZ1624" s="1"/>
      <c r="BA1624" s="1"/>
      <c r="BB1624" s="1"/>
      <c r="BC1624" s="1"/>
      <c r="BD1624" s="1"/>
      <c r="BE1624" s="1"/>
      <c r="BF1624" s="1"/>
      <c r="BG1624" s="1"/>
      <c r="BH1624" s="1"/>
      <c r="BI1624" s="1"/>
      <c r="BJ1624" s="1"/>
      <c r="BK1624" s="1"/>
      <c r="BL1624" s="1"/>
      <c r="BM1624" s="1"/>
      <c r="BN1624" s="1"/>
      <c r="BO1624" s="1"/>
      <c r="BP1624" s="1"/>
      <c r="BQ1624" s="1"/>
      <c r="BR1624" s="1"/>
      <c r="BS1624" s="1"/>
      <c r="BT1624" s="1"/>
      <c r="BU1624" s="1"/>
      <c r="BV1624" s="1"/>
      <c r="BW1624" s="1"/>
      <c r="BX1624" s="1"/>
      <c r="BY1624" s="1"/>
      <c r="BZ1624" s="1"/>
      <c r="CA1624" s="1"/>
      <c r="CB1624" s="1"/>
      <c r="CC1624" s="1"/>
      <c r="CD1624" s="1"/>
      <c r="CE1624" s="1"/>
      <c r="CF1624" s="1"/>
      <c r="CG1624" s="1"/>
      <c r="CH1624" s="1"/>
      <c r="CI1624" s="1"/>
      <c r="CJ1624" s="1"/>
      <c r="CK1624" s="1"/>
      <c r="CL1624" s="1"/>
      <c r="CM1624" s="1"/>
      <c r="CN1624" s="1"/>
      <c r="CO1624" s="1"/>
      <c r="CP1624" s="1"/>
      <c r="CQ1624" s="1"/>
      <c r="CR1624" s="1"/>
      <c r="CS1624" s="1"/>
      <c r="CT1624" s="1"/>
      <c r="CU1624" s="1"/>
      <c r="CV1624" s="1"/>
      <c r="CW1624" s="1"/>
      <c r="CX1624" s="1"/>
      <c r="CY1624" s="1"/>
      <c r="CZ1624" s="1"/>
      <c r="DA1624" s="1"/>
      <c r="DB1624" s="1"/>
      <c r="DC1624" s="1"/>
    </row>
    <row r="1625" spans="1:107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/>
      <c r="AX1625" s="1"/>
      <c r="AY1625" s="1"/>
      <c r="AZ1625" s="1"/>
      <c r="BA1625" s="1"/>
      <c r="BB1625" s="1"/>
      <c r="BC1625" s="1"/>
      <c r="BD1625" s="1"/>
      <c r="BE1625" s="1"/>
      <c r="BF1625" s="1"/>
      <c r="BG1625" s="1"/>
      <c r="BH1625" s="1"/>
      <c r="BI1625" s="1"/>
      <c r="BJ1625" s="1"/>
      <c r="BK1625" s="1"/>
      <c r="BL1625" s="1"/>
      <c r="BM1625" s="1"/>
      <c r="BN1625" s="1"/>
      <c r="BO1625" s="1"/>
      <c r="BP1625" s="1"/>
      <c r="BQ1625" s="1"/>
      <c r="BR1625" s="1"/>
      <c r="BS1625" s="1"/>
      <c r="BT1625" s="1"/>
      <c r="BU1625" s="1"/>
      <c r="BV1625" s="1"/>
      <c r="BW1625" s="1"/>
      <c r="BX1625" s="1"/>
      <c r="BY1625" s="1"/>
      <c r="BZ1625" s="1"/>
      <c r="CA1625" s="1"/>
      <c r="CB1625" s="1"/>
      <c r="CC1625" s="1"/>
      <c r="CD1625" s="1"/>
      <c r="CE1625" s="1"/>
      <c r="CF1625" s="1"/>
      <c r="CG1625" s="1"/>
      <c r="CH1625" s="1"/>
      <c r="CI1625" s="1"/>
      <c r="CJ1625" s="1"/>
      <c r="CK1625" s="1"/>
      <c r="CL1625" s="1"/>
      <c r="CM1625" s="1"/>
      <c r="CN1625" s="1"/>
      <c r="CO1625" s="1"/>
      <c r="CP1625" s="1"/>
      <c r="CQ1625" s="1"/>
      <c r="CR1625" s="1"/>
      <c r="CS1625" s="1"/>
      <c r="CT1625" s="1"/>
      <c r="CU1625" s="1"/>
      <c r="CV1625" s="1"/>
      <c r="CW1625" s="1"/>
      <c r="CX1625" s="1"/>
      <c r="CY1625" s="1"/>
      <c r="CZ1625" s="1"/>
      <c r="DA1625" s="1"/>
      <c r="DB1625" s="1"/>
      <c r="DC1625" s="1"/>
    </row>
    <row r="1626" spans="1:107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  <c r="AW1626" s="1"/>
      <c r="AX1626" s="1"/>
      <c r="AY1626" s="1"/>
      <c r="AZ1626" s="1"/>
      <c r="BA1626" s="1"/>
      <c r="BB1626" s="1"/>
      <c r="BC1626" s="1"/>
      <c r="BD1626" s="1"/>
      <c r="BE1626" s="1"/>
      <c r="BF1626" s="1"/>
      <c r="BG1626" s="1"/>
      <c r="BH1626" s="1"/>
      <c r="BI1626" s="1"/>
      <c r="BJ1626" s="1"/>
      <c r="BK1626" s="1"/>
      <c r="BL1626" s="1"/>
      <c r="BM1626" s="1"/>
      <c r="BN1626" s="1"/>
      <c r="BO1626" s="1"/>
      <c r="BP1626" s="1"/>
      <c r="BQ1626" s="1"/>
      <c r="BR1626" s="1"/>
      <c r="BS1626" s="1"/>
      <c r="BT1626" s="1"/>
      <c r="BU1626" s="1"/>
      <c r="BV1626" s="1"/>
      <c r="BW1626" s="1"/>
      <c r="BX1626" s="1"/>
      <c r="BY1626" s="1"/>
      <c r="BZ1626" s="1"/>
      <c r="CA1626" s="1"/>
      <c r="CB1626" s="1"/>
      <c r="CC1626" s="1"/>
      <c r="CD1626" s="1"/>
      <c r="CE1626" s="1"/>
      <c r="CF1626" s="1"/>
      <c r="CG1626" s="1"/>
      <c r="CH1626" s="1"/>
      <c r="CI1626" s="1"/>
      <c r="CJ1626" s="1"/>
      <c r="CK1626" s="1"/>
      <c r="CL1626" s="1"/>
      <c r="CM1626" s="1"/>
      <c r="CN1626" s="1"/>
      <c r="CO1626" s="1"/>
      <c r="CP1626" s="1"/>
      <c r="CQ1626" s="1"/>
      <c r="CR1626" s="1"/>
      <c r="CS1626" s="1"/>
      <c r="CT1626" s="1"/>
      <c r="CU1626" s="1"/>
      <c r="CV1626" s="1"/>
      <c r="CW1626" s="1"/>
      <c r="CX1626" s="1"/>
      <c r="CY1626" s="1"/>
      <c r="CZ1626" s="1"/>
      <c r="DA1626" s="1"/>
      <c r="DB1626" s="1"/>
      <c r="DC1626" s="1"/>
    </row>
    <row r="1627" spans="1:107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  <c r="AW1627" s="1"/>
      <c r="AX1627" s="1"/>
      <c r="AY1627" s="1"/>
      <c r="AZ1627" s="1"/>
      <c r="BA1627" s="1"/>
      <c r="BB1627" s="1"/>
      <c r="BC1627" s="1"/>
      <c r="BD1627" s="1"/>
      <c r="BE1627" s="1"/>
      <c r="BF1627" s="1"/>
      <c r="BG1627" s="1"/>
      <c r="BH1627" s="1"/>
      <c r="BI1627" s="1"/>
      <c r="BJ1627" s="1"/>
      <c r="BK1627" s="1"/>
      <c r="BL1627" s="1"/>
      <c r="BM1627" s="1"/>
      <c r="BN1627" s="1"/>
      <c r="BO1627" s="1"/>
      <c r="BP1627" s="1"/>
      <c r="BQ1627" s="1"/>
      <c r="BR1627" s="1"/>
      <c r="BS1627" s="1"/>
      <c r="BT1627" s="1"/>
      <c r="BU1627" s="1"/>
      <c r="BV1627" s="1"/>
      <c r="BW1627" s="1"/>
      <c r="BX1627" s="1"/>
      <c r="BY1627" s="1"/>
      <c r="BZ1627" s="1"/>
      <c r="CA1627" s="1"/>
      <c r="CB1627" s="1"/>
      <c r="CC1627" s="1"/>
      <c r="CD1627" s="1"/>
      <c r="CE1627" s="1"/>
      <c r="CF1627" s="1"/>
      <c r="CG1627" s="1"/>
      <c r="CH1627" s="1"/>
      <c r="CI1627" s="1"/>
      <c r="CJ1627" s="1"/>
      <c r="CK1627" s="1"/>
      <c r="CL1627" s="1"/>
      <c r="CM1627" s="1"/>
      <c r="CN1627" s="1"/>
      <c r="CO1627" s="1"/>
      <c r="CP1627" s="1"/>
      <c r="CQ1627" s="1"/>
      <c r="CR1627" s="1"/>
      <c r="CS1627" s="1"/>
      <c r="CT1627" s="1"/>
      <c r="CU1627" s="1"/>
      <c r="CV1627" s="1"/>
      <c r="CW1627" s="1"/>
      <c r="CX1627" s="1"/>
      <c r="CY1627" s="1"/>
      <c r="CZ1627" s="1"/>
      <c r="DA1627" s="1"/>
      <c r="DB1627" s="1"/>
      <c r="DC1627" s="1"/>
    </row>
    <row r="1628" spans="1:107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/>
      <c r="AY1628" s="1"/>
      <c r="AZ1628" s="1"/>
      <c r="BA1628" s="1"/>
      <c r="BB1628" s="1"/>
      <c r="BC1628" s="1"/>
      <c r="BD1628" s="1"/>
      <c r="BE1628" s="1"/>
      <c r="BF1628" s="1"/>
      <c r="BG1628" s="1"/>
      <c r="BH1628" s="1"/>
      <c r="BI1628" s="1"/>
      <c r="BJ1628" s="1"/>
      <c r="BK1628" s="1"/>
      <c r="BL1628" s="1"/>
      <c r="BM1628" s="1"/>
      <c r="BN1628" s="1"/>
      <c r="BO1628" s="1"/>
      <c r="BP1628" s="1"/>
      <c r="BQ1628" s="1"/>
      <c r="BR1628" s="1"/>
      <c r="BS1628" s="1"/>
      <c r="BT1628" s="1"/>
      <c r="BU1628" s="1"/>
      <c r="BV1628" s="1"/>
      <c r="BW1628" s="1"/>
      <c r="BX1628" s="1"/>
      <c r="BY1628" s="1"/>
      <c r="BZ1628" s="1"/>
      <c r="CA1628" s="1"/>
      <c r="CB1628" s="1"/>
      <c r="CC1628" s="1"/>
      <c r="CD1628" s="1"/>
      <c r="CE1628" s="1"/>
      <c r="CF1628" s="1"/>
      <c r="CG1628" s="1"/>
      <c r="CH1628" s="1"/>
      <c r="CI1628" s="1"/>
      <c r="CJ1628" s="1"/>
      <c r="CK1628" s="1"/>
      <c r="CL1628" s="1"/>
      <c r="CM1628" s="1"/>
      <c r="CN1628" s="1"/>
      <c r="CO1628" s="1"/>
      <c r="CP1628" s="1"/>
      <c r="CQ1628" s="1"/>
      <c r="CR1628" s="1"/>
      <c r="CS1628" s="1"/>
      <c r="CT1628" s="1"/>
      <c r="CU1628" s="1"/>
      <c r="CV1628" s="1"/>
      <c r="CW1628" s="1"/>
      <c r="CX1628" s="1"/>
      <c r="CY1628" s="1"/>
      <c r="CZ1628" s="1"/>
      <c r="DA1628" s="1"/>
      <c r="DB1628" s="1"/>
      <c r="DC1628" s="1"/>
    </row>
    <row r="1629" spans="1:107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 s="1"/>
      <c r="AW1629" s="1"/>
      <c r="AX1629" s="1"/>
      <c r="AY1629" s="1"/>
      <c r="AZ1629" s="1"/>
      <c r="BA1629" s="1"/>
      <c r="BB1629" s="1"/>
      <c r="BC1629" s="1"/>
      <c r="BD1629" s="1"/>
      <c r="BE1629" s="1"/>
      <c r="BF1629" s="1"/>
      <c r="BG1629" s="1"/>
      <c r="BH1629" s="1"/>
      <c r="BI1629" s="1"/>
      <c r="BJ1629" s="1"/>
      <c r="BK1629" s="1"/>
      <c r="BL1629" s="1"/>
      <c r="BM1629" s="1"/>
      <c r="BN1629" s="1"/>
      <c r="BO1629" s="1"/>
      <c r="BP1629" s="1"/>
      <c r="BQ1629" s="1"/>
      <c r="BR1629" s="1"/>
      <c r="BS1629" s="1"/>
      <c r="BT1629" s="1"/>
      <c r="BU1629" s="1"/>
      <c r="BV1629" s="1"/>
      <c r="BW1629" s="1"/>
      <c r="BX1629" s="1"/>
      <c r="BY1629" s="1"/>
      <c r="BZ1629" s="1"/>
      <c r="CA1629" s="1"/>
      <c r="CB1629" s="1"/>
      <c r="CC1629" s="1"/>
      <c r="CD1629" s="1"/>
      <c r="CE1629" s="1"/>
      <c r="CF1629" s="1"/>
      <c r="CG1629" s="1"/>
      <c r="CH1629" s="1"/>
      <c r="CI1629" s="1"/>
      <c r="CJ1629" s="1"/>
      <c r="CK1629" s="1"/>
      <c r="CL1629" s="1"/>
      <c r="CM1629" s="1"/>
      <c r="CN1629" s="1"/>
      <c r="CO1629" s="1"/>
      <c r="CP1629" s="1"/>
      <c r="CQ1629" s="1"/>
      <c r="CR1629" s="1"/>
      <c r="CS1629" s="1"/>
      <c r="CT1629" s="1"/>
      <c r="CU1629" s="1"/>
      <c r="CV1629" s="1"/>
      <c r="CW1629" s="1"/>
      <c r="CX1629" s="1"/>
      <c r="CY1629" s="1"/>
      <c r="CZ1629" s="1"/>
      <c r="DA1629" s="1"/>
      <c r="DB1629" s="1"/>
      <c r="DC1629" s="1"/>
    </row>
    <row r="1630" spans="1:107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  <c r="AS1630" s="1"/>
      <c r="AT1630" s="1"/>
      <c r="AU1630" s="1"/>
      <c r="AV1630" s="1"/>
      <c r="AW1630" s="1"/>
      <c r="AX1630" s="1"/>
      <c r="AY1630" s="1"/>
      <c r="AZ1630" s="1"/>
      <c r="BA1630" s="1"/>
      <c r="BB1630" s="1"/>
      <c r="BC1630" s="1"/>
      <c r="BD1630" s="1"/>
      <c r="BE1630" s="1"/>
      <c r="BF1630" s="1"/>
      <c r="BG1630" s="1"/>
      <c r="BH1630" s="1"/>
      <c r="BI1630" s="1"/>
      <c r="BJ1630" s="1"/>
      <c r="BK1630" s="1"/>
      <c r="BL1630" s="1"/>
      <c r="BM1630" s="1"/>
      <c r="BN1630" s="1"/>
      <c r="BO1630" s="1"/>
      <c r="BP1630" s="1"/>
      <c r="BQ1630" s="1"/>
      <c r="BR1630" s="1"/>
      <c r="BS1630" s="1"/>
      <c r="BT1630" s="1"/>
      <c r="BU1630" s="1"/>
      <c r="BV1630" s="1"/>
      <c r="BW1630" s="1"/>
      <c r="BX1630" s="1"/>
      <c r="BY1630" s="1"/>
      <c r="BZ1630" s="1"/>
      <c r="CA1630" s="1"/>
      <c r="CB1630" s="1"/>
      <c r="CC1630" s="1"/>
      <c r="CD1630" s="1"/>
      <c r="CE1630" s="1"/>
      <c r="CF1630" s="1"/>
      <c r="CG1630" s="1"/>
      <c r="CH1630" s="1"/>
      <c r="CI1630" s="1"/>
      <c r="CJ1630" s="1"/>
      <c r="CK1630" s="1"/>
      <c r="CL1630" s="1"/>
      <c r="CM1630" s="1"/>
      <c r="CN1630" s="1"/>
      <c r="CO1630" s="1"/>
      <c r="CP1630" s="1"/>
      <c r="CQ1630" s="1"/>
      <c r="CR1630" s="1"/>
      <c r="CS1630" s="1"/>
      <c r="CT1630" s="1"/>
      <c r="CU1630" s="1"/>
      <c r="CV1630" s="1"/>
      <c r="CW1630" s="1"/>
      <c r="CX1630" s="1"/>
      <c r="CY1630" s="1"/>
      <c r="CZ1630" s="1"/>
      <c r="DA1630" s="1"/>
      <c r="DB1630" s="1"/>
      <c r="DC1630" s="1"/>
    </row>
    <row r="1631" spans="1:107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  <c r="AX1631" s="1"/>
      <c r="AY1631" s="1"/>
      <c r="AZ1631" s="1"/>
      <c r="BA1631" s="1"/>
      <c r="BB1631" s="1"/>
      <c r="BC1631" s="1"/>
      <c r="BD1631" s="1"/>
      <c r="BE1631" s="1"/>
      <c r="BF1631" s="1"/>
      <c r="BG1631" s="1"/>
      <c r="BH1631" s="1"/>
      <c r="BI1631" s="1"/>
      <c r="BJ1631" s="1"/>
      <c r="BK1631" s="1"/>
      <c r="BL1631" s="1"/>
      <c r="BM1631" s="1"/>
      <c r="BN1631" s="1"/>
      <c r="BO1631" s="1"/>
      <c r="BP1631" s="1"/>
      <c r="BQ1631" s="1"/>
      <c r="BR1631" s="1"/>
      <c r="BS1631" s="1"/>
      <c r="BT1631" s="1"/>
      <c r="BU1631" s="1"/>
      <c r="BV1631" s="1"/>
      <c r="BW1631" s="1"/>
      <c r="BX1631" s="1"/>
      <c r="BY1631" s="1"/>
      <c r="BZ1631" s="1"/>
      <c r="CA1631" s="1"/>
      <c r="CB1631" s="1"/>
      <c r="CC1631" s="1"/>
      <c r="CD1631" s="1"/>
      <c r="CE1631" s="1"/>
      <c r="CF1631" s="1"/>
      <c r="CG1631" s="1"/>
      <c r="CH1631" s="1"/>
      <c r="CI1631" s="1"/>
      <c r="CJ1631" s="1"/>
      <c r="CK1631" s="1"/>
      <c r="CL1631" s="1"/>
      <c r="CM1631" s="1"/>
      <c r="CN1631" s="1"/>
      <c r="CO1631" s="1"/>
      <c r="CP1631" s="1"/>
      <c r="CQ1631" s="1"/>
      <c r="CR1631" s="1"/>
      <c r="CS1631" s="1"/>
      <c r="CT1631" s="1"/>
      <c r="CU1631" s="1"/>
      <c r="CV1631" s="1"/>
      <c r="CW1631" s="1"/>
      <c r="CX1631" s="1"/>
      <c r="CY1631" s="1"/>
      <c r="CZ1631" s="1"/>
      <c r="DA1631" s="1"/>
      <c r="DB1631" s="1"/>
      <c r="DC1631" s="1"/>
    </row>
    <row r="1632" spans="1:107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  <c r="AS1632" s="1"/>
      <c r="AT1632" s="1"/>
      <c r="AU1632" s="1"/>
      <c r="AV1632" s="1"/>
      <c r="AW1632" s="1"/>
      <c r="AX1632" s="1"/>
      <c r="AY1632" s="1"/>
      <c r="AZ1632" s="1"/>
      <c r="BA1632" s="1"/>
      <c r="BB1632" s="1"/>
      <c r="BC1632" s="1"/>
      <c r="BD1632" s="1"/>
      <c r="BE1632" s="1"/>
      <c r="BF1632" s="1"/>
      <c r="BG1632" s="1"/>
      <c r="BH1632" s="1"/>
      <c r="BI1632" s="1"/>
      <c r="BJ1632" s="1"/>
      <c r="BK1632" s="1"/>
      <c r="BL1632" s="1"/>
      <c r="BM1632" s="1"/>
      <c r="BN1632" s="1"/>
      <c r="BO1632" s="1"/>
      <c r="BP1632" s="1"/>
      <c r="BQ1632" s="1"/>
      <c r="BR1632" s="1"/>
      <c r="BS1632" s="1"/>
      <c r="BT1632" s="1"/>
      <c r="BU1632" s="1"/>
      <c r="BV1632" s="1"/>
      <c r="BW1632" s="1"/>
      <c r="BX1632" s="1"/>
      <c r="BY1632" s="1"/>
      <c r="BZ1632" s="1"/>
      <c r="CA1632" s="1"/>
      <c r="CB1632" s="1"/>
      <c r="CC1632" s="1"/>
      <c r="CD1632" s="1"/>
      <c r="CE1632" s="1"/>
      <c r="CF1632" s="1"/>
      <c r="CG1632" s="1"/>
      <c r="CH1632" s="1"/>
      <c r="CI1632" s="1"/>
      <c r="CJ1632" s="1"/>
      <c r="CK1632" s="1"/>
      <c r="CL1632" s="1"/>
      <c r="CM1632" s="1"/>
      <c r="CN1632" s="1"/>
      <c r="CO1632" s="1"/>
      <c r="CP1632" s="1"/>
      <c r="CQ1632" s="1"/>
      <c r="CR1632" s="1"/>
      <c r="CS1632" s="1"/>
      <c r="CT1632" s="1"/>
      <c r="CU1632" s="1"/>
      <c r="CV1632" s="1"/>
      <c r="CW1632" s="1"/>
      <c r="CX1632" s="1"/>
      <c r="CY1632" s="1"/>
      <c r="CZ1632" s="1"/>
      <c r="DA1632" s="1"/>
      <c r="DB1632" s="1"/>
      <c r="DC1632" s="1"/>
    </row>
    <row r="1633" spans="1:107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1"/>
      <c r="AV1633" s="1"/>
      <c r="AW1633" s="1"/>
      <c r="AX1633" s="1"/>
      <c r="AY1633" s="1"/>
      <c r="AZ1633" s="1"/>
      <c r="BA1633" s="1"/>
      <c r="BB1633" s="1"/>
      <c r="BC1633" s="1"/>
      <c r="BD1633" s="1"/>
      <c r="BE1633" s="1"/>
      <c r="BF1633" s="1"/>
      <c r="BG1633" s="1"/>
      <c r="BH1633" s="1"/>
      <c r="BI1633" s="1"/>
      <c r="BJ1633" s="1"/>
      <c r="BK1633" s="1"/>
      <c r="BL1633" s="1"/>
      <c r="BM1633" s="1"/>
      <c r="BN1633" s="1"/>
      <c r="BO1633" s="1"/>
      <c r="BP1633" s="1"/>
      <c r="BQ1633" s="1"/>
      <c r="BR1633" s="1"/>
      <c r="BS1633" s="1"/>
      <c r="BT1633" s="1"/>
      <c r="BU1633" s="1"/>
      <c r="BV1633" s="1"/>
      <c r="BW1633" s="1"/>
      <c r="BX1633" s="1"/>
      <c r="BY1633" s="1"/>
      <c r="BZ1633" s="1"/>
      <c r="CA1633" s="1"/>
      <c r="CB1633" s="1"/>
      <c r="CC1633" s="1"/>
      <c r="CD1633" s="1"/>
      <c r="CE1633" s="1"/>
      <c r="CF1633" s="1"/>
      <c r="CG1633" s="1"/>
      <c r="CH1633" s="1"/>
      <c r="CI1633" s="1"/>
      <c r="CJ1633" s="1"/>
      <c r="CK1633" s="1"/>
      <c r="CL1633" s="1"/>
      <c r="CM1633" s="1"/>
      <c r="CN1633" s="1"/>
      <c r="CO1633" s="1"/>
      <c r="CP1633" s="1"/>
      <c r="CQ1633" s="1"/>
      <c r="CR1633" s="1"/>
      <c r="CS1633" s="1"/>
      <c r="CT1633" s="1"/>
      <c r="CU1633" s="1"/>
      <c r="CV1633" s="1"/>
      <c r="CW1633" s="1"/>
      <c r="CX1633" s="1"/>
      <c r="CY1633" s="1"/>
      <c r="CZ1633" s="1"/>
      <c r="DA1633" s="1"/>
      <c r="DB1633" s="1"/>
      <c r="DC1633" s="1"/>
    </row>
    <row r="1634" spans="1:107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  <c r="AX1634" s="1"/>
      <c r="AY1634" s="1"/>
      <c r="AZ1634" s="1"/>
      <c r="BA1634" s="1"/>
      <c r="BB1634" s="1"/>
      <c r="BC1634" s="1"/>
      <c r="BD1634" s="1"/>
      <c r="BE1634" s="1"/>
      <c r="BF1634" s="1"/>
      <c r="BG1634" s="1"/>
      <c r="BH1634" s="1"/>
      <c r="BI1634" s="1"/>
      <c r="BJ1634" s="1"/>
      <c r="BK1634" s="1"/>
      <c r="BL1634" s="1"/>
      <c r="BM1634" s="1"/>
      <c r="BN1634" s="1"/>
      <c r="BO1634" s="1"/>
      <c r="BP1634" s="1"/>
      <c r="BQ1634" s="1"/>
      <c r="BR1634" s="1"/>
      <c r="BS1634" s="1"/>
      <c r="BT1634" s="1"/>
      <c r="BU1634" s="1"/>
      <c r="BV1634" s="1"/>
      <c r="BW1634" s="1"/>
      <c r="BX1634" s="1"/>
      <c r="BY1634" s="1"/>
      <c r="BZ1634" s="1"/>
      <c r="CA1634" s="1"/>
      <c r="CB1634" s="1"/>
      <c r="CC1634" s="1"/>
      <c r="CD1634" s="1"/>
      <c r="CE1634" s="1"/>
      <c r="CF1634" s="1"/>
      <c r="CG1634" s="1"/>
      <c r="CH1634" s="1"/>
      <c r="CI1634" s="1"/>
      <c r="CJ1634" s="1"/>
      <c r="CK1634" s="1"/>
      <c r="CL1634" s="1"/>
      <c r="CM1634" s="1"/>
      <c r="CN1634" s="1"/>
      <c r="CO1634" s="1"/>
      <c r="CP1634" s="1"/>
      <c r="CQ1634" s="1"/>
      <c r="CR1634" s="1"/>
      <c r="CS1634" s="1"/>
      <c r="CT1634" s="1"/>
      <c r="CU1634" s="1"/>
      <c r="CV1634" s="1"/>
      <c r="CW1634" s="1"/>
      <c r="CX1634" s="1"/>
      <c r="CY1634" s="1"/>
      <c r="CZ1634" s="1"/>
      <c r="DA1634" s="1"/>
      <c r="DB1634" s="1"/>
      <c r="DC1634" s="1"/>
    </row>
    <row r="1635" spans="1:107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  <c r="AX1635" s="1"/>
      <c r="AY1635" s="1"/>
      <c r="AZ1635" s="1"/>
      <c r="BA1635" s="1"/>
      <c r="BB1635" s="1"/>
      <c r="BC1635" s="1"/>
      <c r="BD1635" s="1"/>
      <c r="BE1635" s="1"/>
      <c r="BF1635" s="1"/>
      <c r="BG1635" s="1"/>
      <c r="BH1635" s="1"/>
      <c r="BI1635" s="1"/>
      <c r="BJ1635" s="1"/>
      <c r="BK1635" s="1"/>
      <c r="BL1635" s="1"/>
      <c r="BM1635" s="1"/>
      <c r="BN1635" s="1"/>
      <c r="BO1635" s="1"/>
      <c r="BP1635" s="1"/>
      <c r="BQ1635" s="1"/>
      <c r="BR1635" s="1"/>
      <c r="BS1635" s="1"/>
      <c r="BT1635" s="1"/>
      <c r="BU1635" s="1"/>
      <c r="BV1635" s="1"/>
      <c r="BW1635" s="1"/>
      <c r="BX1635" s="1"/>
      <c r="BY1635" s="1"/>
      <c r="BZ1635" s="1"/>
      <c r="CA1635" s="1"/>
      <c r="CB1635" s="1"/>
      <c r="CC1635" s="1"/>
      <c r="CD1635" s="1"/>
      <c r="CE1635" s="1"/>
      <c r="CF1635" s="1"/>
      <c r="CG1635" s="1"/>
      <c r="CH1635" s="1"/>
      <c r="CI1635" s="1"/>
      <c r="CJ1635" s="1"/>
      <c r="CK1635" s="1"/>
      <c r="CL1635" s="1"/>
      <c r="CM1635" s="1"/>
      <c r="CN1635" s="1"/>
      <c r="CO1635" s="1"/>
      <c r="CP1635" s="1"/>
      <c r="CQ1635" s="1"/>
      <c r="CR1635" s="1"/>
      <c r="CS1635" s="1"/>
      <c r="CT1635" s="1"/>
      <c r="CU1635" s="1"/>
      <c r="CV1635" s="1"/>
      <c r="CW1635" s="1"/>
      <c r="CX1635" s="1"/>
      <c r="CY1635" s="1"/>
      <c r="CZ1635" s="1"/>
      <c r="DA1635" s="1"/>
      <c r="DB1635" s="1"/>
      <c r="DC1635" s="1"/>
    </row>
    <row r="1636" spans="1:107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AW1636" s="1"/>
      <c r="AX1636" s="1"/>
      <c r="AY1636" s="1"/>
      <c r="AZ1636" s="1"/>
      <c r="BA1636" s="1"/>
      <c r="BB1636" s="1"/>
      <c r="BC1636" s="1"/>
      <c r="BD1636" s="1"/>
      <c r="BE1636" s="1"/>
      <c r="BF1636" s="1"/>
      <c r="BG1636" s="1"/>
      <c r="BH1636" s="1"/>
      <c r="BI1636" s="1"/>
      <c r="BJ1636" s="1"/>
      <c r="BK1636" s="1"/>
      <c r="BL1636" s="1"/>
      <c r="BM1636" s="1"/>
      <c r="BN1636" s="1"/>
      <c r="BO1636" s="1"/>
      <c r="BP1636" s="1"/>
      <c r="BQ1636" s="1"/>
      <c r="BR1636" s="1"/>
      <c r="BS1636" s="1"/>
      <c r="BT1636" s="1"/>
      <c r="BU1636" s="1"/>
      <c r="BV1636" s="1"/>
      <c r="BW1636" s="1"/>
      <c r="BX1636" s="1"/>
      <c r="BY1636" s="1"/>
      <c r="BZ1636" s="1"/>
      <c r="CA1636" s="1"/>
      <c r="CB1636" s="1"/>
      <c r="CC1636" s="1"/>
      <c r="CD1636" s="1"/>
      <c r="CE1636" s="1"/>
      <c r="CF1636" s="1"/>
      <c r="CG1636" s="1"/>
      <c r="CH1636" s="1"/>
      <c r="CI1636" s="1"/>
      <c r="CJ1636" s="1"/>
      <c r="CK1636" s="1"/>
      <c r="CL1636" s="1"/>
      <c r="CM1636" s="1"/>
      <c r="CN1636" s="1"/>
      <c r="CO1636" s="1"/>
      <c r="CP1636" s="1"/>
      <c r="CQ1636" s="1"/>
      <c r="CR1636" s="1"/>
      <c r="CS1636" s="1"/>
      <c r="CT1636" s="1"/>
      <c r="CU1636" s="1"/>
      <c r="CV1636" s="1"/>
      <c r="CW1636" s="1"/>
      <c r="CX1636" s="1"/>
      <c r="CY1636" s="1"/>
      <c r="CZ1636" s="1"/>
      <c r="DA1636" s="1"/>
      <c r="DB1636" s="1"/>
      <c r="DC1636" s="1"/>
    </row>
    <row r="1637" spans="1:107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  <c r="AX1637" s="1"/>
      <c r="AY1637" s="1"/>
      <c r="AZ1637" s="1"/>
      <c r="BA1637" s="1"/>
      <c r="BB1637" s="1"/>
      <c r="BC1637" s="1"/>
      <c r="BD1637" s="1"/>
      <c r="BE1637" s="1"/>
      <c r="BF1637" s="1"/>
      <c r="BG1637" s="1"/>
      <c r="BH1637" s="1"/>
      <c r="BI1637" s="1"/>
      <c r="BJ1637" s="1"/>
      <c r="BK1637" s="1"/>
      <c r="BL1637" s="1"/>
      <c r="BM1637" s="1"/>
      <c r="BN1637" s="1"/>
      <c r="BO1637" s="1"/>
      <c r="BP1637" s="1"/>
      <c r="BQ1637" s="1"/>
      <c r="BR1637" s="1"/>
      <c r="BS1637" s="1"/>
      <c r="BT1637" s="1"/>
      <c r="BU1637" s="1"/>
      <c r="BV1637" s="1"/>
      <c r="BW1637" s="1"/>
      <c r="BX1637" s="1"/>
      <c r="BY1637" s="1"/>
      <c r="BZ1637" s="1"/>
      <c r="CA1637" s="1"/>
      <c r="CB1637" s="1"/>
      <c r="CC1637" s="1"/>
      <c r="CD1637" s="1"/>
      <c r="CE1637" s="1"/>
      <c r="CF1637" s="1"/>
      <c r="CG1637" s="1"/>
      <c r="CH1637" s="1"/>
      <c r="CI1637" s="1"/>
      <c r="CJ1637" s="1"/>
      <c r="CK1637" s="1"/>
      <c r="CL1637" s="1"/>
      <c r="CM1637" s="1"/>
      <c r="CN1637" s="1"/>
      <c r="CO1637" s="1"/>
      <c r="CP1637" s="1"/>
      <c r="CQ1637" s="1"/>
      <c r="CR1637" s="1"/>
      <c r="CS1637" s="1"/>
      <c r="CT1637" s="1"/>
      <c r="CU1637" s="1"/>
      <c r="CV1637" s="1"/>
      <c r="CW1637" s="1"/>
      <c r="CX1637" s="1"/>
      <c r="CY1637" s="1"/>
      <c r="CZ1637" s="1"/>
      <c r="DA1637" s="1"/>
      <c r="DB1637" s="1"/>
      <c r="DC1637" s="1"/>
    </row>
    <row r="1638" spans="1:107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AW1638" s="1"/>
      <c r="AX1638" s="1"/>
      <c r="AY1638" s="1"/>
      <c r="AZ1638" s="1"/>
      <c r="BA1638" s="1"/>
      <c r="BB1638" s="1"/>
      <c r="BC1638" s="1"/>
      <c r="BD1638" s="1"/>
      <c r="BE1638" s="1"/>
      <c r="BF1638" s="1"/>
      <c r="BG1638" s="1"/>
      <c r="BH1638" s="1"/>
      <c r="BI1638" s="1"/>
      <c r="BJ1638" s="1"/>
      <c r="BK1638" s="1"/>
      <c r="BL1638" s="1"/>
      <c r="BM1638" s="1"/>
      <c r="BN1638" s="1"/>
      <c r="BO1638" s="1"/>
      <c r="BP1638" s="1"/>
      <c r="BQ1638" s="1"/>
      <c r="BR1638" s="1"/>
      <c r="BS1638" s="1"/>
      <c r="BT1638" s="1"/>
      <c r="BU1638" s="1"/>
      <c r="BV1638" s="1"/>
      <c r="BW1638" s="1"/>
      <c r="BX1638" s="1"/>
      <c r="BY1638" s="1"/>
      <c r="BZ1638" s="1"/>
      <c r="CA1638" s="1"/>
      <c r="CB1638" s="1"/>
      <c r="CC1638" s="1"/>
      <c r="CD1638" s="1"/>
      <c r="CE1638" s="1"/>
      <c r="CF1638" s="1"/>
      <c r="CG1638" s="1"/>
      <c r="CH1638" s="1"/>
      <c r="CI1638" s="1"/>
      <c r="CJ1638" s="1"/>
      <c r="CK1638" s="1"/>
      <c r="CL1638" s="1"/>
      <c r="CM1638" s="1"/>
      <c r="CN1638" s="1"/>
      <c r="CO1638" s="1"/>
      <c r="CP1638" s="1"/>
      <c r="CQ1638" s="1"/>
      <c r="CR1638" s="1"/>
      <c r="CS1638" s="1"/>
      <c r="CT1638" s="1"/>
      <c r="CU1638" s="1"/>
      <c r="CV1638" s="1"/>
      <c r="CW1638" s="1"/>
      <c r="CX1638" s="1"/>
      <c r="CY1638" s="1"/>
      <c r="CZ1638" s="1"/>
      <c r="DA1638" s="1"/>
      <c r="DB1638" s="1"/>
      <c r="DC1638" s="1"/>
    </row>
    <row r="1639" spans="1:107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  <c r="AY1639" s="1"/>
      <c r="AZ1639" s="1"/>
      <c r="BA1639" s="1"/>
      <c r="BB1639" s="1"/>
      <c r="BC1639" s="1"/>
      <c r="BD1639" s="1"/>
      <c r="BE1639" s="1"/>
      <c r="BF1639" s="1"/>
      <c r="BG1639" s="1"/>
      <c r="BH1639" s="1"/>
      <c r="BI1639" s="1"/>
      <c r="BJ1639" s="1"/>
      <c r="BK1639" s="1"/>
      <c r="BL1639" s="1"/>
      <c r="BM1639" s="1"/>
      <c r="BN1639" s="1"/>
      <c r="BO1639" s="1"/>
      <c r="BP1639" s="1"/>
      <c r="BQ1639" s="1"/>
      <c r="BR1639" s="1"/>
      <c r="BS1639" s="1"/>
      <c r="BT1639" s="1"/>
      <c r="BU1639" s="1"/>
      <c r="BV1639" s="1"/>
      <c r="BW1639" s="1"/>
      <c r="BX1639" s="1"/>
      <c r="BY1639" s="1"/>
      <c r="BZ1639" s="1"/>
      <c r="CA1639" s="1"/>
      <c r="CB1639" s="1"/>
      <c r="CC1639" s="1"/>
      <c r="CD1639" s="1"/>
      <c r="CE1639" s="1"/>
      <c r="CF1639" s="1"/>
      <c r="CG1639" s="1"/>
      <c r="CH1639" s="1"/>
      <c r="CI1639" s="1"/>
      <c r="CJ1639" s="1"/>
      <c r="CK1639" s="1"/>
      <c r="CL1639" s="1"/>
      <c r="CM1639" s="1"/>
      <c r="CN1639" s="1"/>
      <c r="CO1639" s="1"/>
      <c r="CP1639" s="1"/>
      <c r="CQ1639" s="1"/>
      <c r="CR1639" s="1"/>
      <c r="CS1639" s="1"/>
      <c r="CT1639" s="1"/>
      <c r="CU1639" s="1"/>
      <c r="CV1639" s="1"/>
      <c r="CW1639" s="1"/>
      <c r="CX1639" s="1"/>
      <c r="CY1639" s="1"/>
      <c r="CZ1639" s="1"/>
      <c r="DA1639" s="1"/>
      <c r="DB1639" s="1"/>
      <c r="DC1639" s="1"/>
    </row>
    <row r="1640" spans="1:107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/>
      <c r="AX1640" s="1"/>
      <c r="AY1640" s="1"/>
      <c r="AZ1640" s="1"/>
      <c r="BA1640" s="1"/>
      <c r="BB1640" s="1"/>
      <c r="BC1640" s="1"/>
      <c r="BD1640" s="1"/>
      <c r="BE1640" s="1"/>
      <c r="BF1640" s="1"/>
      <c r="BG1640" s="1"/>
      <c r="BH1640" s="1"/>
      <c r="BI1640" s="1"/>
      <c r="BJ1640" s="1"/>
      <c r="BK1640" s="1"/>
      <c r="BL1640" s="1"/>
      <c r="BM1640" s="1"/>
      <c r="BN1640" s="1"/>
      <c r="BO1640" s="1"/>
      <c r="BP1640" s="1"/>
      <c r="BQ1640" s="1"/>
      <c r="BR1640" s="1"/>
      <c r="BS1640" s="1"/>
      <c r="BT1640" s="1"/>
      <c r="BU1640" s="1"/>
      <c r="BV1640" s="1"/>
      <c r="BW1640" s="1"/>
      <c r="BX1640" s="1"/>
      <c r="BY1640" s="1"/>
      <c r="BZ1640" s="1"/>
      <c r="CA1640" s="1"/>
      <c r="CB1640" s="1"/>
      <c r="CC1640" s="1"/>
      <c r="CD1640" s="1"/>
      <c r="CE1640" s="1"/>
      <c r="CF1640" s="1"/>
      <c r="CG1640" s="1"/>
      <c r="CH1640" s="1"/>
      <c r="CI1640" s="1"/>
      <c r="CJ1640" s="1"/>
      <c r="CK1640" s="1"/>
      <c r="CL1640" s="1"/>
      <c r="CM1640" s="1"/>
      <c r="CN1640" s="1"/>
      <c r="CO1640" s="1"/>
      <c r="CP1640" s="1"/>
      <c r="CQ1640" s="1"/>
      <c r="CR1640" s="1"/>
      <c r="CS1640" s="1"/>
      <c r="CT1640" s="1"/>
      <c r="CU1640" s="1"/>
      <c r="CV1640" s="1"/>
      <c r="CW1640" s="1"/>
      <c r="CX1640" s="1"/>
      <c r="CY1640" s="1"/>
      <c r="CZ1640" s="1"/>
      <c r="DA1640" s="1"/>
      <c r="DB1640" s="1"/>
      <c r="DC1640" s="1"/>
    </row>
    <row r="1641" spans="1:107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/>
      <c r="AY1641" s="1"/>
      <c r="AZ1641" s="1"/>
      <c r="BA1641" s="1"/>
      <c r="BB1641" s="1"/>
      <c r="BC1641" s="1"/>
      <c r="BD1641" s="1"/>
      <c r="BE1641" s="1"/>
      <c r="BF1641" s="1"/>
      <c r="BG1641" s="1"/>
      <c r="BH1641" s="1"/>
      <c r="BI1641" s="1"/>
      <c r="BJ1641" s="1"/>
      <c r="BK1641" s="1"/>
      <c r="BL1641" s="1"/>
      <c r="BM1641" s="1"/>
      <c r="BN1641" s="1"/>
      <c r="BO1641" s="1"/>
      <c r="BP1641" s="1"/>
      <c r="BQ1641" s="1"/>
      <c r="BR1641" s="1"/>
      <c r="BS1641" s="1"/>
      <c r="BT1641" s="1"/>
      <c r="BU1641" s="1"/>
      <c r="BV1641" s="1"/>
      <c r="BW1641" s="1"/>
      <c r="BX1641" s="1"/>
      <c r="BY1641" s="1"/>
      <c r="BZ1641" s="1"/>
      <c r="CA1641" s="1"/>
      <c r="CB1641" s="1"/>
      <c r="CC1641" s="1"/>
      <c r="CD1641" s="1"/>
      <c r="CE1641" s="1"/>
      <c r="CF1641" s="1"/>
      <c r="CG1641" s="1"/>
      <c r="CH1641" s="1"/>
      <c r="CI1641" s="1"/>
      <c r="CJ1641" s="1"/>
      <c r="CK1641" s="1"/>
      <c r="CL1641" s="1"/>
      <c r="CM1641" s="1"/>
      <c r="CN1641" s="1"/>
      <c r="CO1641" s="1"/>
      <c r="CP1641" s="1"/>
      <c r="CQ1641" s="1"/>
      <c r="CR1641" s="1"/>
      <c r="CS1641" s="1"/>
      <c r="CT1641" s="1"/>
      <c r="CU1641" s="1"/>
      <c r="CV1641" s="1"/>
      <c r="CW1641" s="1"/>
      <c r="CX1641" s="1"/>
      <c r="CY1641" s="1"/>
      <c r="CZ1641" s="1"/>
      <c r="DA1641" s="1"/>
      <c r="DB1641" s="1"/>
      <c r="DC1641" s="1"/>
    </row>
    <row r="1642" spans="1:107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/>
      <c r="AW1642" s="1"/>
      <c r="AX1642" s="1"/>
      <c r="AY1642" s="1"/>
      <c r="AZ1642" s="1"/>
      <c r="BA1642" s="1"/>
      <c r="BB1642" s="1"/>
      <c r="BC1642" s="1"/>
      <c r="BD1642" s="1"/>
      <c r="BE1642" s="1"/>
      <c r="BF1642" s="1"/>
      <c r="BG1642" s="1"/>
      <c r="BH1642" s="1"/>
      <c r="BI1642" s="1"/>
      <c r="BJ1642" s="1"/>
      <c r="BK1642" s="1"/>
      <c r="BL1642" s="1"/>
      <c r="BM1642" s="1"/>
      <c r="BN1642" s="1"/>
      <c r="BO1642" s="1"/>
      <c r="BP1642" s="1"/>
      <c r="BQ1642" s="1"/>
      <c r="BR1642" s="1"/>
      <c r="BS1642" s="1"/>
      <c r="BT1642" s="1"/>
      <c r="BU1642" s="1"/>
      <c r="BV1642" s="1"/>
      <c r="BW1642" s="1"/>
      <c r="BX1642" s="1"/>
      <c r="BY1642" s="1"/>
      <c r="BZ1642" s="1"/>
      <c r="CA1642" s="1"/>
      <c r="CB1642" s="1"/>
      <c r="CC1642" s="1"/>
      <c r="CD1642" s="1"/>
      <c r="CE1642" s="1"/>
      <c r="CF1642" s="1"/>
      <c r="CG1642" s="1"/>
      <c r="CH1642" s="1"/>
      <c r="CI1642" s="1"/>
      <c r="CJ1642" s="1"/>
      <c r="CK1642" s="1"/>
      <c r="CL1642" s="1"/>
      <c r="CM1642" s="1"/>
      <c r="CN1642" s="1"/>
      <c r="CO1642" s="1"/>
      <c r="CP1642" s="1"/>
      <c r="CQ1642" s="1"/>
      <c r="CR1642" s="1"/>
      <c r="CS1642" s="1"/>
      <c r="CT1642" s="1"/>
      <c r="CU1642" s="1"/>
      <c r="CV1642" s="1"/>
      <c r="CW1642" s="1"/>
      <c r="CX1642" s="1"/>
      <c r="CY1642" s="1"/>
      <c r="CZ1642" s="1"/>
      <c r="DA1642" s="1"/>
      <c r="DB1642" s="1"/>
      <c r="DC1642" s="1"/>
    </row>
    <row r="1643" spans="1:107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1"/>
      <c r="AY1643" s="1"/>
      <c r="AZ1643" s="1"/>
      <c r="BA1643" s="1"/>
      <c r="BB1643" s="1"/>
      <c r="BC1643" s="1"/>
      <c r="BD1643" s="1"/>
      <c r="BE1643" s="1"/>
      <c r="BF1643" s="1"/>
      <c r="BG1643" s="1"/>
      <c r="BH1643" s="1"/>
      <c r="BI1643" s="1"/>
      <c r="BJ1643" s="1"/>
      <c r="BK1643" s="1"/>
      <c r="BL1643" s="1"/>
      <c r="BM1643" s="1"/>
      <c r="BN1643" s="1"/>
      <c r="BO1643" s="1"/>
      <c r="BP1643" s="1"/>
      <c r="BQ1643" s="1"/>
      <c r="BR1643" s="1"/>
      <c r="BS1643" s="1"/>
      <c r="BT1643" s="1"/>
      <c r="BU1643" s="1"/>
      <c r="BV1643" s="1"/>
      <c r="BW1643" s="1"/>
      <c r="BX1643" s="1"/>
      <c r="BY1643" s="1"/>
      <c r="BZ1643" s="1"/>
      <c r="CA1643" s="1"/>
      <c r="CB1643" s="1"/>
      <c r="CC1643" s="1"/>
      <c r="CD1643" s="1"/>
      <c r="CE1643" s="1"/>
      <c r="CF1643" s="1"/>
      <c r="CG1643" s="1"/>
      <c r="CH1643" s="1"/>
      <c r="CI1643" s="1"/>
      <c r="CJ1643" s="1"/>
      <c r="CK1643" s="1"/>
      <c r="CL1643" s="1"/>
      <c r="CM1643" s="1"/>
      <c r="CN1643" s="1"/>
      <c r="CO1643" s="1"/>
      <c r="CP1643" s="1"/>
      <c r="CQ1643" s="1"/>
      <c r="CR1643" s="1"/>
      <c r="CS1643" s="1"/>
      <c r="CT1643" s="1"/>
      <c r="CU1643" s="1"/>
      <c r="CV1643" s="1"/>
      <c r="CW1643" s="1"/>
      <c r="CX1643" s="1"/>
      <c r="CY1643" s="1"/>
      <c r="CZ1643" s="1"/>
      <c r="DA1643" s="1"/>
      <c r="DB1643" s="1"/>
      <c r="DC1643" s="1"/>
    </row>
    <row r="1644" spans="1:107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  <c r="AY1644" s="1"/>
      <c r="AZ1644" s="1"/>
      <c r="BA1644" s="1"/>
      <c r="BB1644" s="1"/>
      <c r="BC1644" s="1"/>
      <c r="BD1644" s="1"/>
      <c r="BE1644" s="1"/>
      <c r="BF1644" s="1"/>
      <c r="BG1644" s="1"/>
      <c r="BH1644" s="1"/>
      <c r="BI1644" s="1"/>
      <c r="BJ1644" s="1"/>
      <c r="BK1644" s="1"/>
      <c r="BL1644" s="1"/>
      <c r="BM1644" s="1"/>
      <c r="BN1644" s="1"/>
      <c r="BO1644" s="1"/>
      <c r="BP1644" s="1"/>
      <c r="BQ1644" s="1"/>
      <c r="BR1644" s="1"/>
      <c r="BS1644" s="1"/>
      <c r="BT1644" s="1"/>
      <c r="BU1644" s="1"/>
      <c r="BV1644" s="1"/>
      <c r="BW1644" s="1"/>
      <c r="BX1644" s="1"/>
      <c r="BY1644" s="1"/>
      <c r="BZ1644" s="1"/>
      <c r="CA1644" s="1"/>
      <c r="CB1644" s="1"/>
      <c r="CC1644" s="1"/>
      <c r="CD1644" s="1"/>
      <c r="CE1644" s="1"/>
      <c r="CF1644" s="1"/>
      <c r="CG1644" s="1"/>
      <c r="CH1644" s="1"/>
      <c r="CI1644" s="1"/>
      <c r="CJ1644" s="1"/>
      <c r="CK1644" s="1"/>
      <c r="CL1644" s="1"/>
      <c r="CM1644" s="1"/>
      <c r="CN1644" s="1"/>
      <c r="CO1644" s="1"/>
      <c r="CP1644" s="1"/>
      <c r="CQ1644" s="1"/>
      <c r="CR1644" s="1"/>
      <c r="CS1644" s="1"/>
      <c r="CT1644" s="1"/>
      <c r="CU1644" s="1"/>
      <c r="CV1644" s="1"/>
      <c r="CW1644" s="1"/>
      <c r="CX1644" s="1"/>
      <c r="CY1644" s="1"/>
      <c r="CZ1644" s="1"/>
      <c r="DA1644" s="1"/>
      <c r="DB1644" s="1"/>
      <c r="DC1644" s="1"/>
    </row>
    <row r="1645" spans="1:107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AW1645" s="1"/>
      <c r="AX1645" s="1"/>
      <c r="AY1645" s="1"/>
      <c r="AZ1645" s="1"/>
      <c r="BA1645" s="1"/>
      <c r="BB1645" s="1"/>
      <c r="BC1645" s="1"/>
      <c r="BD1645" s="1"/>
      <c r="BE1645" s="1"/>
      <c r="BF1645" s="1"/>
      <c r="BG1645" s="1"/>
      <c r="BH1645" s="1"/>
      <c r="BI1645" s="1"/>
      <c r="BJ1645" s="1"/>
      <c r="BK1645" s="1"/>
      <c r="BL1645" s="1"/>
      <c r="BM1645" s="1"/>
      <c r="BN1645" s="1"/>
      <c r="BO1645" s="1"/>
      <c r="BP1645" s="1"/>
      <c r="BQ1645" s="1"/>
      <c r="BR1645" s="1"/>
      <c r="BS1645" s="1"/>
      <c r="BT1645" s="1"/>
      <c r="BU1645" s="1"/>
      <c r="BV1645" s="1"/>
      <c r="BW1645" s="1"/>
      <c r="BX1645" s="1"/>
      <c r="BY1645" s="1"/>
      <c r="BZ1645" s="1"/>
      <c r="CA1645" s="1"/>
      <c r="CB1645" s="1"/>
      <c r="CC1645" s="1"/>
      <c r="CD1645" s="1"/>
      <c r="CE1645" s="1"/>
      <c r="CF1645" s="1"/>
      <c r="CG1645" s="1"/>
      <c r="CH1645" s="1"/>
      <c r="CI1645" s="1"/>
      <c r="CJ1645" s="1"/>
      <c r="CK1645" s="1"/>
      <c r="CL1645" s="1"/>
      <c r="CM1645" s="1"/>
      <c r="CN1645" s="1"/>
      <c r="CO1645" s="1"/>
      <c r="CP1645" s="1"/>
      <c r="CQ1645" s="1"/>
      <c r="CR1645" s="1"/>
      <c r="CS1645" s="1"/>
      <c r="CT1645" s="1"/>
      <c r="CU1645" s="1"/>
      <c r="CV1645" s="1"/>
      <c r="CW1645" s="1"/>
      <c r="CX1645" s="1"/>
      <c r="CY1645" s="1"/>
      <c r="CZ1645" s="1"/>
      <c r="DA1645" s="1"/>
      <c r="DB1645" s="1"/>
      <c r="DC1645" s="1"/>
    </row>
    <row r="1646" spans="1:107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  <c r="AS1646" s="1"/>
      <c r="AT1646" s="1"/>
      <c r="AU1646" s="1"/>
      <c r="AV1646" s="1"/>
      <c r="AW1646" s="1"/>
      <c r="AX1646" s="1"/>
      <c r="AY1646" s="1"/>
      <c r="AZ1646" s="1"/>
      <c r="BA1646" s="1"/>
      <c r="BB1646" s="1"/>
      <c r="BC1646" s="1"/>
      <c r="BD1646" s="1"/>
      <c r="BE1646" s="1"/>
      <c r="BF1646" s="1"/>
      <c r="BG1646" s="1"/>
      <c r="BH1646" s="1"/>
      <c r="BI1646" s="1"/>
      <c r="BJ1646" s="1"/>
      <c r="BK1646" s="1"/>
      <c r="BL1646" s="1"/>
      <c r="BM1646" s="1"/>
      <c r="BN1646" s="1"/>
      <c r="BO1646" s="1"/>
      <c r="BP1646" s="1"/>
      <c r="BQ1646" s="1"/>
      <c r="BR1646" s="1"/>
      <c r="BS1646" s="1"/>
      <c r="BT1646" s="1"/>
      <c r="BU1646" s="1"/>
      <c r="BV1646" s="1"/>
      <c r="BW1646" s="1"/>
      <c r="BX1646" s="1"/>
      <c r="BY1646" s="1"/>
      <c r="BZ1646" s="1"/>
      <c r="CA1646" s="1"/>
      <c r="CB1646" s="1"/>
      <c r="CC1646" s="1"/>
      <c r="CD1646" s="1"/>
      <c r="CE1646" s="1"/>
      <c r="CF1646" s="1"/>
      <c r="CG1646" s="1"/>
      <c r="CH1646" s="1"/>
      <c r="CI1646" s="1"/>
      <c r="CJ1646" s="1"/>
      <c r="CK1646" s="1"/>
      <c r="CL1646" s="1"/>
      <c r="CM1646" s="1"/>
      <c r="CN1646" s="1"/>
      <c r="CO1646" s="1"/>
      <c r="CP1646" s="1"/>
      <c r="CQ1646" s="1"/>
      <c r="CR1646" s="1"/>
      <c r="CS1646" s="1"/>
      <c r="CT1646" s="1"/>
      <c r="CU1646" s="1"/>
      <c r="CV1646" s="1"/>
      <c r="CW1646" s="1"/>
      <c r="CX1646" s="1"/>
      <c r="CY1646" s="1"/>
      <c r="CZ1646" s="1"/>
      <c r="DA1646" s="1"/>
      <c r="DB1646" s="1"/>
      <c r="DC1646" s="1"/>
    </row>
    <row r="1647" spans="1:107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  <c r="AX1647" s="1"/>
      <c r="AY1647" s="1"/>
      <c r="AZ1647" s="1"/>
      <c r="BA1647" s="1"/>
      <c r="BB1647" s="1"/>
      <c r="BC1647" s="1"/>
      <c r="BD1647" s="1"/>
      <c r="BE1647" s="1"/>
      <c r="BF1647" s="1"/>
      <c r="BG1647" s="1"/>
      <c r="BH1647" s="1"/>
      <c r="BI1647" s="1"/>
      <c r="BJ1647" s="1"/>
      <c r="BK1647" s="1"/>
      <c r="BL1647" s="1"/>
      <c r="BM1647" s="1"/>
      <c r="BN1647" s="1"/>
      <c r="BO1647" s="1"/>
      <c r="BP1647" s="1"/>
      <c r="BQ1647" s="1"/>
      <c r="BR1647" s="1"/>
      <c r="BS1647" s="1"/>
      <c r="BT1647" s="1"/>
      <c r="BU1647" s="1"/>
      <c r="BV1647" s="1"/>
      <c r="BW1647" s="1"/>
      <c r="BX1647" s="1"/>
      <c r="BY1647" s="1"/>
      <c r="BZ1647" s="1"/>
      <c r="CA1647" s="1"/>
      <c r="CB1647" s="1"/>
      <c r="CC1647" s="1"/>
      <c r="CD1647" s="1"/>
      <c r="CE1647" s="1"/>
      <c r="CF1647" s="1"/>
      <c r="CG1647" s="1"/>
      <c r="CH1647" s="1"/>
      <c r="CI1647" s="1"/>
      <c r="CJ1647" s="1"/>
      <c r="CK1647" s="1"/>
      <c r="CL1647" s="1"/>
      <c r="CM1647" s="1"/>
      <c r="CN1647" s="1"/>
      <c r="CO1647" s="1"/>
      <c r="CP1647" s="1"/>
      <c r="CQ1647" s="1"/>
      <c r="CR1647" s="1"/>
      <c r="CS1647" s="1"/>
      <c r="CT1647" s="1"/>
      <c r="CU1647" s="1"/>
      <c r="CV1647" s="1"/>
      <c r="CW1647" s="1"/>
      <c r="CX1647" s="1"/>
      <c r="CY1647" s="1"/>
      <c r="CZ1647" s="1"/>
      <c r="DA1647" s="1"/>
      <c r="DB1647" s="1"/>
      <c r="DC1647" s="1"/>
    </row>
    <row r="1648" spans="1:107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  <c r="AX1648" s="1"/>
      <c r="AY1648" s="1"/>
      <c r="AZ1648" s="1"/>
      <c r="BA1648" s="1"/>
      <c r="BB1648" s="1"/>
      <c r="BC1648" s="1"/>
      <c r="BD1648" s="1"/>
      <c r="BE1648" s="1"/>
      <c r="BF1648" s="1"/>
      <c r="BG1648" s="1"/>
      <c r="BH1648" s="1"/>
      <c r="BI1648" s="1"/>
      <c r="BJ1648" s="1"/>
      <c r="BK1648" s="1"/>
      <c r="BL1648" s="1"/>
      <c r="BM1648" s="1"/>
      <c r="BN1648" s="1"/>
      <c r="BO1648" s="1"/>
      <c r="BP1648" s="1"/>
      <c r="BQ1648" s="1"/>
      <c r="BR1648" s="1"/>
      <c r="BS1648" s="1"/>
      <c r="BT1648" s="1"/>
      <c r="BU1648" s="1"/>
      <c r="BV1648" s="1"/>
      <c r="BW1648" s="1"/>
      <c r="BX1648" s="1"/>
      <c r="BY1648" s="1"/>
      <c r="BZ1648" s="1"/>
      <c r="CA1648" s="1"/>
      <c r="CB1648" s="1"/>
      <c r="CC1648" s="1"/>
      <c r="CD1648" s="1"/>
      <c r="CE1648" s="1"/>
      <c r="CF1648" s="1"/>
      <c r="CG1648" s="1"/>
      <c r="CH1648" s="1"/>
      <c r="CI1648" s="1"/>
      <c r="CJ1648" s="1"/>
      <c r="CK1648" s="1"/>
      <c r="CL1648" s="1"/>
      <c r="CM1648" s="1"/>
      <c r="CN1648" s="1"/>
      <c r="CO1648" s="1"/>
      <c r="CP1648" s="1"/>
      <c r="CQ1648" s="1"/>
      <c r="CR1648" s="1"/>
      <c r="CS1648" s="1"/>
      <c r="CT1648" s="1"/>
      <c r="CU1648" s="1"/>
      <c r="CV1648" s="1"/>
      <c r="CW1648" s="1"/>
      <c r="CX1648" s="1"/>
      <c r="CY1648" s="1"/>
      <c r="CZ1648" s="1"/>
      <c r="DA1648" s="1"/>
      <c r="DB1648" s="1"/>
      <c r="DC1648" s="1"/>
    </row>
    <row r="1649" spans="1:107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  <c r="AS1649" s="1"/>
      <c r="AT1649" s="1"/>
      <c r="AU1649" s="1"/>
      <c r="AV1649" s="1"/>
      <c r="AW1649" s="1"/>
      <c r="AX1649" s="1"/>
      <c r="AY1649" s="1"/>
      <c r="AZ1649" s="1"/>
      <c r="BA1649" s="1"/>
      <c r="BB1649" s="1"/>
      <c r="BC1649" s="1"/>
      <c r="BD1649" s="1"/>
      <c r="BE1649" s="1"/>
      <c r="BF1649" s="1"/>
      <c r="BG1649" s="1"/>
      <c r="BH1649" s="1"/>
      <c r="BI1649" s="1"/>
      <c r="BJ1649" s="1"/>
      <c r="BK1649" s="1"/>
      <c r="BL1649" s="1"/>
      <c r="BM1649" s="1"/>
      <c r="BN1649" s="1"/>
      <c r="BO1649" s="1"/>
      <c r="BP1649" s="1"/>
      <c r="BQ1649" s="1"/>
      <c r="BR1649" s="1"/>
      <c r="BS1649" s="1"/>
      <c r="BT1649" s="1"/>
      <c r="BU1649" s="1"/>
      <c r="BV1649" s="1"/>
      <c r="BW1649" s="1"/>
      <c r="BX1649" s="1"/>
      <c r="BY1649" s="1"/>
      <c r="BZ1649" s="1"/>
      <c r="CA1649" s="1"/>
      <c r="CB1649" s="1"/>
      <c r="CC1649" s="1"/>
      <c r="CD1649" s="1"/>
      <c r="CE1649" s="1"/>
      <c r="CF1649" s="1"/>
      <c r="CG1649" s="1"/>
      <c r="CH1649" s="1"/>
      <c r="CI1649" s="1"/>
      <c r="CJ1649" s="1"/>
      <c r="CK1649" s="1"/>
      <c r="CL1649" s="1"/>
      <c r="CM1649" s="1"/>
      <c r="CN1649" s="1"/>
      <c r="CO1649" s="1"/>
      <c r="CP1649" s="1"/>
      <c r="CQ1649" s="1"/>
      <c r="CR1649" s="1"/>
      <c r="CS1649" s="1"/>
      <c r="CT1649" s="1"/>
      <c r="CU1649" s="1"/>
      <c r="CV1649" s="1"/>
      <c r="CW1649" s="1"/>
      <c r="CX1649" s="1"/>
      <c r="CY1649" s="1"/>
      <c r="CZ1649" s="1"/>
      <c r="DA1649" s="1"/>
      <c r="DB1649" s="1"/>
      <c r="DC1649" s="1"/>
    </row>
    <row r="1650" spans="1:107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AW1650" s="1"/>
      <c r="AX1650" s="1"/>
      <c r="AY1650" s="1"/>
      <c r="AZ1650" s="1"/>
      <c r="BA1650" s="1"/>
      <c r="BB1650" s="1"/>
      <c r="BC1650" s="1"/>
      <c r="BD1650" s="1"/>
      <c r="BE1650" s="1"/>
      <c r="BF1650" s="1"/>
      <c r="BG1650" s="1"/>
      <c r="BH1650" s="1"/>
      <c r="BI1650" s="1"/>
      <c r="BJ1650" s="1"/>
      <c r="BK1650" s="1"/>
      <c r="BL1650" s="1"/>
      <c r="BM1650" s="1"/>
      <c r="BN1650" s="1"/>
      <c r="BO1650" s="1"/>
      <c r="BP1650" s="1"/>
      <c r="BQ1650" s="1"/>
      <c r="BR1650" s="1"/>
      <c r="BS1650" s="1"/>
      <c r="BT1650" s="1"/>
      <c r="BU1650" s="1"/>
      <c r="BV1650" s="1"/>
      <c r="BW1650" s="1"/>
      <c r="BX1650" s="1"/>
      <c r="BY1650" s="1"/>
      <c r="BZ1650" s="1"/>
      <c r="CA1650" s="1"/>
      <c r="CB1650" s="1"/>
      <c r="CC1650" s="1"/>
      <c r="CD1650" s="1"/>
      <c r="CE1650" s="1"/>
      <c r="CF1650" s="1"/>
      <c r="CG1650" s="1"/>
      <c r="CH1650" s="1"/>
      <c r="CI1650" s="1"/>
      <c r="CJ1650" s="1"/>
      <c r="CK1650" s="1"/>
      <c r="CL1650" s="1"/>
      <c r="CM1650" s="1"/>
      <c r="CN1650" s="1"/>
      <c r="CO1650" s="1"/>
      <c r="CP1650" s="1"/>
      <c r="CQ1650" s="1"/>
      <c r="CR1650" s="1"/>
      <c r="CS1650" s="1"/>
      <c r="CT1650" s="1"/>
      <c r="CU1650" s="1"/>
      <c r="CV1650" s="1"/>
      <c r="CW1650" s="1"/>
      <c r="CX1650" s="1"/>
      <c r="CY1650" s="1"/>
      <c r="CZ1650" s="1"/>
      <c r="DA1650" s="1"/>
      <c r="DB1650" s="1"/>
      <c r="DC1650" s="1"/>
    </row>
    <row r="1651" spans="1:107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1"/>
      <c r="AZ1651" s="1"/>
      <c r="BA1651" s="1"/>
      <c r="BB1651" s="1"/>
      <c r="BC1651" s="1"/>
      <c r="BD1651" s="1"/>
      <c r="BE1651" s="1"/>
      <c r="BF1651" s="1"/>
      <c r="BG1651" s="1"/>
      <c r="BH1651" s="1"/>
      <c r="BI1651" s="1"/>
      <c r="BJ1651" s="1"/>
      <c r="BK1651" s="1"/>
      <c r="BL1651" s="1"/>
      <c r="BM1651" s="1"/>
      <c r="BN1651" s="1"/>
      <c r="BO1651" s="1"/>
      <c r="BP1651" s="1"/>
      <c r="BQ1651" s="1"/>
      <c r="BR1651" s="1"/>
      <c r="BS1651" s="1"/>
      <c r="BT1651" s="1"/>
      <c r="BU1651" s="1"/>
      <c r="BV1651" s="1"/>
      <c r="BW1651" s="1"/>
      <c r="BX1651" s="1"/>
      <c r="BY1651" s="1"/>
      <c r="BZ1651" s="1"/>
      <c r="CA1651" s="1"/>
      <c r="CB1651" s="1"/>
      <c r="CC1651" s="1"/>
      <c r="CD1651" s="1"/>
      <c r="CE1651" s="1"/>
      <c r="CF1651" s="1"/>
      <c r="CG1651" s="1"/>
      <c r="CH1651" s="1"/>
      <c r="CI1651" s="1"/>
      <c r="CJ1651" s="1"/>
      <c r="CK1651" s="1"/>
      <c r="CL1651" s="1"/>
      <c r="CM1651" s="1"/>
      <c r="CN1651" s="1"/>
      <c r="CO1651" s="1"/>
      <c r="CP1651" s="1"/>
      <c r="CQ1651" s="1"/>
      <c r="CR1651" s="1"/>
      <c r="CS1651" s="1"/>
      <c r="CT1651" s="1"/>
      <c r="CU1651" s="1"/>
      <c r="CV1651" s="1"/>
      <c r="CW1651" s="1"/>
      <c r="CX1651" s="1"/>
      <c r="CY1651" s="1"/>
      <c r="CZ1651" s="1"/>
      <c r="DA1651" s="1"/>
      <c r="DB1651" s="1"/>
      <c r="DC1651" s="1"/>
    </row>
    <row r="1652" spans="1:107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  <c r="AX1652" s="1"/>
      <c r="AY1652" s="1"/>
      <c r="AZ1652" s="1"/>
      <c r="BA1652" s="1"/>
      <c r="BB1652" s="1"/>
      <c r="BC1652" s="1"/>
      <c r="BD1652" s="1"/>
      <c r="BE1652" s="1"/>
      <c r="BF1652" s="1"/>
      <c r="BG1652" s="1"/>
      <c r="BH1652" s="1"/>
      <c r="BI1652" s="1"/>
      <c r="BJ1652" s="1"/>
      <c r="BK1652" s="1"/>
      <c r="BL1652" s="1"/>
      <c r="BM1652" s="1"/>
      <c r="BN1652" s="1"/>
      <c r="BO1652" s="1"/>
      <c r="BP1652" s="1"/>
      <c r="BQ1652" s="1"/>
      <c r="BR1652" s="1"/>
      <c r="BS1652" s="1"/>
      <c r="BT1652" s="1"/>
      <c r="BU1652" s="1"/>
      <c r="BV1652" s="1"/>
      <c r="BW1652" s="1"/>
      <c r="BX1652" s="1"/>
      <c r="BY1652" s="1"/>
      <c r="BZ1652" s="1"/>
      <c r="CA1652" s="1"/>
      <c r="CB1652" s="1"/>
      <c r="CC1652" s="1"/>
      <c r="CD1652" s="1"/>
      <c r="CE1652" s="1"/>
      <c r="CF1652" s="1"/>
      <c r="CG1652" s="1"/>
      <c r="CH1652" s="1"/>
      <c r="CI1652" s="1"/>
      <c r="CJ1652" s="1"/>
      <c r="CK1652" s="1"/>
      <c r="CL1652" s="1"/>
      <c r="CM1652" s="1"/>
      <c r="CN1652" s="1"/>
      <c r="CO1652" s="1"/>
      <c r="CP1652" s="1"/>
      <c r="CQ1652" s="1"/>
      <c r="CR1652" s="1"/>
      <c r="CS1652" s="1"/>
      <c r="CT1652" s="1"/>
      <c r="CU1652" s="1"/>
      <c r="CV1652" s="1"/>
      <c r="CW1652" s="1"/>
      <c r="CX1652" s="1"/>
      <c r="CY1652" s="1"/>
      <c r="CZ1652" s="1"/>
      <c r="DA1652" s="1"/>
      <c r="DB1652" s="1"/>
      <c r="DC1652" s="1"/>
    </row>
    <row r="1653" spans="1:107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  <c r="AX1653" s="1"/>
      <c r="AY1653" s="1"/>
      <c r="AZ1653" s="1"/>
      <c r="BA1653" s="1"/>
      <c r="BB1653" s="1"/>
      <c r="BC1653" s="1"/>
      <c r="BD1653" s="1"/>
      <c r="BE1653" s="1"/>
      <c r="BF1653" s="1"/>
      <c r="BG1653" s="1"/>
      <c r="BH1653" s="1"/>
      <c r="BI1653" s="1"/>
      <c r="BJ1653" s="1"/>
      <c r="BK1653" s="1"/>
      <c r="BL1653" s="1"/>
      <c r="BM1653" s="1"/>
      <c r="BN1653" s="1"/>
      <c r="BO1653" s="1"/>
      <c r="BP1653" s="1"/>
      <c r="BQ1653" s="1"/>
      <c r="BR1653" s="1"/>
      <c r="BS1653" s="1"/>
      <c r="BT1653" s="1"/>
      <c r="BU1653" s="1"/>
      <c r="BV1653" s="1"/>
      <c r="BW1653" s="1"/>
      <c r="BX1653" s="1"/>
      <c r="BY1653" s="1"/>
      <c r="BZ1653" s="1"/>
      <c r="CA1653" s="1"/>
      <c r="CB1653" s="1"/>
      <c r="CC1653" s="1"/>
      <c r="CD1653" s="1"/>
      <c r="CE1653" s="1"/>
      <c r="CF1653" s="1"/>
      <c r="CG1653" s="1"/>
      <c r="CH1653" s="1"/>
      <c r="CI1653" s="1"/>
      <c r="CJ1653" s="1"/>
      <c r="CK1653" s="1"/>
      <c r="CL1653" s="1"/>
      <c r="CM1653" s="1"/>
      <c r="CN1653" s="1"/>
      <c r="CO1653" s="1"/>
      <c r="CP1653" s="1"/>
      <c r="CQ1653" s="1"/>
      <c r="CR1653" s="1"/>
      <c r="CS1653" s="1"/>
      <c r="CT1653" s="1"/>
      <c r="CU1653" s="1"/>
      <c r="CV1653" s="1"/>
      <c r="CW1653" s="1"/>
      <c r="CX1653" s="1"/>
      <c r="CY1653" s="1"/>
      <c r="CZ1653" s="1"/>
      <c r="DA1653" s="1"/>
      <c r="DB1653" s="1"/>
      <c r="DC1653" s="1"/>
    </row>
    <row r="1654" spans="1:107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/>
      <c r="AY1654" s="1"/>
      <c r="AZ1654" s="1"/>
      <c r="BA1654" s="1"/>
      <c r="BB1654" s="1"/>
      <c r="BC1654" s="1"/>
      <c r="BD1654" s="1"/>
      <c r="BE1654" s="1"/>
      <c r="BF1654" s="1"/>
      <c r="BG1654" s="1"/>
      <c r="BH1654" s="1"/>
      <c r="BI1654" s="1"/>
      <c r="BJ1654" s="1"/>
      <c r="BK1654" s="1"/>
      <c r="BL1654" s="1"/>
      <c r="BM1654" s="1"/>
      <c r="BN1654" s="1"/>
      <c r="BO1654" s="1"/>
      <c r="BP1654" s="1"/>
      <c r="BQ1654" s="1"/>
      <c r="BR1654" s="1"/>
      <c r="BS1654" s="1"/>
      <c r="BT1654" s="1"/>
      <c r="BU1654" s="1"/>
      <c r="BV1654" s="1"/>
      <c r="BW1654" s="1"/>
      <c r="BX1654" s="1"/>
      <c r="BY1654" s="1"/>
      <c r="BZ1654" s="1"/>
      <c r="CA1654" s="1"/>
      <c r="CB1654" s="1"/>
      <c r="CC1654" s="1"/>
      <c r="CD1654" s="1"/>
      <c r="CE1654" s="1"/>
      <c r="CF1654" s="1"/>
      <c r="CG1654" s="1"/>
      <c r="CH1654" s="1"/>
      <c r="CI1654" s="1"/>
      <c r="CJ1654" s="1"/>
      <c r="CK1654" s="1"/>
      <c r="CL1654" s="1"/>
      <c r="CM1654" s="1"/>
      <c r="CN1654" s="1"/>
      <c r="CO1654" s="1"/>
      <c r="CP1654" s="1"/>
      <c r="CQ1654" s="1"/>
      <c r="CR1654" s="1"/>
      <c r="CS1654" s="1"/>
      <c r="CT1654" s="1"/>
      <c r="CU1654" s="1"/>
      <c r="CV1654" s="1"/>
      <c r="CW1654" s="1"/>
      <c r="CX1654" s="1"/>
      <c r="CY1654" s="1"/>
      <c r="CZ1654" s="1"/>
      <c r="DA1654" s="1"/>
      <c r="DB1654" s="1"/>
      <c r="DC1654" s="1"/>
    </row>
    <row r="1655" spans="1:107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  <c r="AX1655" s="1"/>
      <c r="AY1655" s="1"/>
      <c r="AZ1655" s="1"/>
      <c r="BA1655" s="1"/>
      <c r="BB1655" s="1"/>
      <c r="BC1655" s="1"/>
      <c r="BD1655" s="1"/>
      <c r="BE1655" s="1"/>
      <c r="BF1655" s="1"/>
      <c r="BG1655" s="1"/>
      <c r="BH1655" s="1"/>
      <c r="BI1655" s="1"/>
      <c r="BJ1655" s="1"/>
      <c r="BK1655" s="1"/>
      <c r="BL1655" s="1"/>
      <c r="BM1655" s="1"/>
      <c r="BN1655" s="1"/>
      <c r="BO1655" s="1"/>
      <c r="BP1655" s="1"/>
      <c r="BQ1655" s="1"/>
      <c r="BR1655" s="1"/>
      <c r="BS1655" s="1"/>
      <c r="BT1655" s="1"/>
      <c r="BU1655" s="1"/>
      <c r="BV1655" s="1"/>
      <c r="BW1655" s="1"/>
      <c r="BX1655" s="1"/>
      <c r="BY1655" s="1"/>
      <c r="BZ1655" s="1"/>
      <c r="CA1655" s="1"/>
      <c r="CB1655" s="1"/>
      <c r="CC1655" s="1"/>
      <c r="CD1655" s="1"/>
      <c r="CE1655" s="1"/>
      <c r="CF1655" s="1"/>
      <c r="CG1655" s="1"/>
      <c r="CH1655" s="1"/>
      <c r="CI1655" s="1"/>
      <c r="CJ1655" s="1"/>
      <c r="CK1655" s="1"/>
      <c r="CL1655" s="1"/>
      <c r="CM1655" s="1"/>
      <c r="CN1655" s="1"/>
      <c r="CO1655" s="1"/>
      <c r="CP1655" s="1"/>
      <c r="CQ1655" s="1"/>
      <c r="CR1655" s="1"/>
      <c r="CS1655" s="1"/>
      <c r="CT1655" s="1"/>
      <c r="CU1655" s="1"/>
      <c r="CV1655" s="1"/>
      <c r="CW1655" s="1"/>
      <c r="CX1655" s="1"/>
      <c r="CY1655" s="1"/>
      <c r="CZ1655" s="1"/>
      <c r="DA1655" s="1"/>
      <c r="DB1655" s="1"/>
      <c r="DC1655" s="1"/>
    </row>
    <row r="1656" spans="1:107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  <c r="AX1656" s="1"/>
      <c r="AY1656" s="1"/>
      <c r="AZ1656" s="1"/>
      <c r="BA1656" s="1"/>
      <c r="BB1656" s="1"/>
      <c r="BC1656" s="1"/>
      <c r="BD1656" s="1"/>
      <c r="BE1656" s="1"/>
      <c r="BF1656" s="1"/>
      <c r="BG1656" s="1"/>
      <c r="BH1656" s="1"/>
      <c r="BI1656" s="1"/>
      <c r="BJ1656" s="1"/>
      <c r="BK1656" s="1"/>
      <c r="BL1656" s="1"/>
      <c r="BM1656" s="1"/>
      <c r="BN1656" s="1"/>
      <c r="BO1656" s="1"/>
      <c r="BP1656" s="1"/>
      <c r="BQ1656" s="1"/>
      <c r="BR1656" s="1"/>
      <c r="BS1656" s="1"/>
      <c r="BT1656" s="1"/>
      <c r="BU1656" s="1"/>
      <c r="BV1656" s="1"/>
      <c r="BW1656" s="1"/>
      <c r="BX1656" s="1"/>
      <c r="BY1656" s="1"/>
      <c r="BZ1656" s="1"/>
      <c r="CA1656" s="1"/>
      <c r="CB1656" s="1"/>
      <c r="CC1656" s="1"/>
      <c r="CD1656" s="1"/>
      <c r="CE1656" s="1"/>
      <c r="CF1656" s="1"/>
      <c r="CG1656" s="1"/>
      <c r="CH1656" s="1"/>
      <c r="CI1656" s="1"/>
      <c r="CJ1656" s="1"/>
      <c r="CK1656" s="1"/>
      <c r="CL1656" s="1"/>
      <c r="CM1656" s="1"/>
      <c r="CN1656" s="1"/>
      <c r="CO1656" s="1"/>
      <c r="CP1656" s="1"/>
      <c r="CQ1656" s="1"/>
      <c r="CR1656" s="1"/>
      <c r="CS1656" s="1"/>
      <c r="CT1656" s="1"/>
      <c r="CU1656" s="1"/>
      <c r="CV1656" s="1"/>
      <c r="CW1656" s="1"/>
      <c r="CX1656" s="1"/>
      <c r="CY1656" s="1"/>
      <c r="CZ1656" s="1"/>
      <c r="DA1656" s="1"/>
      <c r="DB1656" s="1"/>
      <c r="DC1656" s="1"/>
    </row>
    <row r="1657" spans="1:107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/>
      <c r="AX1657" s="1"/>
      <c r="AY1657" s="1"/>
      <c r="AZ1657" s="1"/>
      <c r="BA1657" s="1"/>
      <c r="BB1657" s="1"/>
      <c r="BC1657" s="1"/>
      <c r="BD1657" s="1"/>
      <c r="BE1657" s="1"/>
      <c r="BF1657" s="1"/>
      <c r="BG1657" s="1"/>
      <c r="BH1657" s="1"/>
      <c r="BI1657" s="1"/>
      <c r="BJ1657" s="1"/>
      <c r="BK1657" s="1"/>
      <c r="BL1657" s="1"/>
      <c r="BM1657" s="1"/>
      <c r="BN1657" s="1"/>
      <c r="BO1657" s="1"/>
      <c r="BP1657" s="1"/>
      <c r="BQ1657" s="1"/>
      <c r="BR1657" s="1"/>
      <c r="BS1657" s="1"/>
      <c r="BT1657" s="1"/>
      <c r="BU1657" s="1"/>
      <c r="BV1657" s="1"/>
      <c r="BW1657" s="1"/>
      <c r="BX1657" s="1"/>
      <c r="BY1657" s="1"/>
      <c r="BZ1657" s="1"/>
      <c r="CA1657" s="1"/>
      <c r="CB1657" s="1"/>
      <c r="CC1657" s="1"/>
      <c r="CD1657" s="1"/>
      <c r="CE1657" s="1"/>
      <c r="CF1657" s="1"/>
      <c r="CG1657" s="1"/>
      <c r="CH1657" s="1"/>
      <c r="CI1657" s="1"/>
      <c r="CJ1657" s="1"/>
      <c r="CK1657" s="1"/>
      <c r="CL1657" s="1"/>
      <c r="CM1657" s="1"/>
      <c r="CN1657" s="1"/>
      <c r="CO1657" s="1"/>
      <c r="CP1657" s="1"/>
      <c r="CQ1657" s="1"/>
      <c r="CR1657" s="1"/>
      <c r="CS1657" s="1"/>
      <c r="CT1657" s="1"/>
      <c r="CU1657" s="1"/>
      <c r="CV1657" s="1"/>
      <c r="CW1657" s="1"/>
      <c r="CX1657" s="1"/>
      <c r="CY1657" s="1"/>
      <c r="CZ1657" s="1"/>
      <c r="DA1657" s="1"/>
      <c r="DB1657" s="1"/>
      <c r="DC1657" s="1"/>
    </row>
    <row r="1658" spans="1:107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/>
      <c r="AY1658" s="1"/>
      <c r="AZ1658" s="1"/>
      <c r="BA1658" s="1"/>
      <c r="BB1658" s="1"/>
      <c r="BC1658" s="1"/>
      <c r="BD1658" s="1"/>
      <c r="BE1658" s="1"/>
      <c r="BF1658" s="1"/>
      <c r="BG1658" s="1"/>
      <c r="BH1658" s="1"/>
      <c r="BI1658" s="1"/>
      <c r="BJ1658" s="1"/>
      <c r="BK1658" s="1"/>
      <c r="BL1658" s="1"/>
      <c r="BM1658" s="1"/>
      <c r="BN1658" s="1"/>
      <c r="BO1658" s="1"/>
      <c r="BP1658" s="1"/>
      <c r="BQ1658" s="1"/>
      <c r="BR1658" s="1"/>
      <c r="BS1658" s="1"/>
      <c r="BT1658" s="1"/>
      <c r="BU1658" s="1"/>
      <c r="BV1658" s="1"/>
      <c r="BW1658" s="1"/>
      <c r="BX1658" s="1"/>
      <c r="BY1658" s="1"/>
      <c r="BZ1658" s="1"/>
      <c r="CA1658" s="1"/>
      <c r="CB1658" s="1"/>
      <c r="CC1658" s="1"/>
      <c r="CD1658" s="1"/>
      <c r="CE1658" s="1"/>
      <c r="CF1658" s="1"/>
      <c r="CG1658" s="1"/>
      <c r="CH1658" s="1"/>
      <c r="CI1658" s="1"/>
      <c r="CJ1658" s="1"/>
      <c r="CK1658" s="1"/>
      <c r="CL1658" s="1"/>
      <c r="CM1658" s="1"/>
      <c r="CN1658" s="1"/>
      <c r="CO1658" s="1"/>
      <c r="CP1658" s="1"/>
      <c r="CQ1658" s="1"/>
      <c r="CR1658" s="1"/>
      <c r="CS1658" s="1"/>
      <c r="CT1658" s="1"/>
      <c r="CU1658" s="1"/>
      <c r="CV1658" s="1"/>
      <c r="CW1658" s="1"/>
      <c r="CX1658" s="1"/>
      <c r="CY1658" s="1"/>
      <c r="CZ1658" s="1"/>
      <c r="DA1658" s="1"/>
      <c r="DB1658" s="1"/>
      <c r="DC1658" s="1"/>
    </row>
    <row r="1659" spans="1:107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  <c r="AS1659" s="1"/>
      <c r="AT1659" s="1"/>
      <c r="AU1659" s="1"/>
      <c r="AV1659" s="1"/>
      <c r="AW1659" s="1"/>
      <c r="AX1659" s="1"/>
      <c r="AY1659" s="1"/>
      <c r="AZ1659" s="1"/>
      <c r="BA1659" s="1"/>
      <c r="BB1659" s="1"/>
      <c r="BC1659" s="1"/>
      <c r="BD1659" s="1"/>
      <c r="BE1659" s="1"/>
      <c r="BF1659" s="1"/>
      <c r="BG1659" s="1"/>
      <c r="BH1659" s="1"/>
      <c r="BI1659" s="1"/>
      <c r="BJ1659" s="1"/>
      <c r="BK1659" s="1"/>
      <c r="BL1659" s="1"/>
      <c r="BM1659" s="1"/>
      <c r="BN1659" s="1"/>
      <c r="BO1659" s="1"/>
      <c r="BP1659" s="1"/>
      <c r="BQ1659" s="1"/>
      <c r="BR1659" s="1"/>
      <c r="BS1659" s="1"/>
      <c r="BT1659" s="1"/>
      <c r="BU1659" s="1"/>
      <c r="BV1659" s="1"/>
      <c r="BW1659" s="1"/>
      <c r="BX1659" s="1"/>
      <c r="BY1659" s="1"/>
      <c r="BZ1659" s="1"/>
      <c r="CA1659" s="1"/>
      <c r="CB1659" s="1"/>
      <c r="CC1659" s="1"/>
      <c r="CD1659" s="1"/>
      <c r="CE1659" s="1"/>
      <c r="CF1659" s="1"/>
      <c r="CG1659" s="1"/>
      <c r="CH1659" s="1"/>
      <c r="CI1659" s="1"/>
      <c r="CJ1659" s="1"/>
      <c r="CK1659" s="1"/>
      <c r="CL1659" s="1"/>
      <c r="CM1659" s="1"/>
      <c r="CN1659" s="1"/>
      <c r="CO1659" s="1"/>
      <c r="CP1659" s="1"/>
      <c r="CQ1659" s="1"/>
      <c r="CR1659" s="1"/>
      <c r="CS1659" s="1"/>
      <c r="CT1659" s="1"/>
      <c r="CU1659" s="1"/>
      <c r="CV1659" s="1"/>
      <c r="CW1659" s="1"/>
      <c r="CX1659" s="1"/>
      <c r="CY1659" s="1"/>
      <c r="CZ1659" s="1"/>
      <c r="DA1659" s="1"/>
      <c r="DB1659" s="1"/>
      <c r="DC1659" s="1"/>
    </row>
    <row r="1660" spans="1:107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AW1660" s="1"/>
      <c r="AX1660" s="1"/>
      <c r="AY1660" s="1"/>
      <c r="AZ1660" s="1"/>
      <c r="BA1660" s="1"/>
      <c r="BB1660" s="1"/>
      <c r="BC1660" s="1"/>
      <c r="BD1660" s="1"/>
      <c r="BE1660" s="1"/>
      <c r="BF1660" s="1"/>
      <c r="BG1660" s="1"/>
      <c r="BH1660" s="1"/>
      <c r="BI1660" s="1"/>
      <c r="BJ1660" s="1"/>
      <c r="BK1660" s="1"/>
      <c r="BL1660" s="1"/>
      <c r="BM1660" s="1"/>
      <c r="BN1660" s="1"/>
      <c r="BO1660" s="1"/>
      <c r="BP1660" s="1"/>
      <c r="BQ1660" s="1"/>
      <c r="BR1660" s="1"/>
      <c r="BS1660" s="1"/>
      <c r="BT1660" s="1"/>
      <c r="BU1660" s="1"/>
      <c r="BV1660" s="1"/>
      <c r="BW1660" s="1"/>
      <c r="BX1660" s="1"/>
      <c r="BY1660" s="1"/>
      <c r="BZ1660" s="1"/>
      <c r="CA1660" s="1"/>
      <c r="CB1660" s="1"/>
      <c r="CC1660" s="1"/>
      <c r="CD1660" s="1"/>
      <c r="CE1660" s="1"/>
      <c r="CF1660" s="1"/>
      <c r="CG1660" s="1"/>
      <c r="CH1660" s="1"/>
      <c r="CI1660" s="1"/>
      <c r="CJ1660" s="1"/>
      <c r="CK1660" s="1"/>
      <c r="CL1660" s="1"/>
      <c r="CM1660" s="1"/>
      <c r="CN1660" s="1"/>
      <c r="CO1660" s="1"/>
      <c r="CP1660" s="1"/>
      <c r="CQ1660" s="1"/>
      <c r="CR1660" s="1"/>
      <c r="CS1660" s="1"/>
      <c r="CT1660" s="1"/>
      <c r="CU1660" s="1"/>
      <c r="CV1660" s="1"/>
      <c r="CW1660" s="1"/>
      <c r="CX1660" s="1"/>
      <c r="CY1660" s="1"/>
      <c r="CZ1660" s="1"/>
      <c r="DA1660" s="1"/>
      <c r="DB1660" s="1"/>
      <c r="DC1660" s="1"/>
    </row>
    <row r="1661" spans="1:107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/>
      <c r="AX1661" s="1"/>
      <c r="AY1661" s="1"/>
      <c r="AZ1661" s="1"/>
      <c r="BA1661" s="1"/>
      <c r="BB1661" s="1"/>
      <c r="BC1661" s="1"/>
      <c r="BD1661" s="1"/>
      <c r="BE1661" s="1"/>
      <c r="BF1661" s="1"/>
      <c r="BG1661" s="1"/>
      <c r="BH1661" s="1"/>
      <c r="BI1661" s="1"/>
      <c r="BJ1661" s="1"/>
      <c r="BK1661" s="1"/>
      <c r="BL1661" s="1"/>
      <c r="BM1661" s="1"/>
      <c r="BN1661" s="1"/>
      <c r="BO1661" s="1"/>
      <c r="BP1661" s="1"/>
      <c r="BQ1661" s="1"/>
      <c r="BR1661" s="1"/>
      <c r="BS1661" s="1"/>
      <c r="BT1661" s="1"/>
      <c r="BU1661" s="1"/>
      <c r="BV1661" s="1"/>
      <c r="BW1661" s="1"/>
      <c r="BX1661" s="1"/>
      <c r="BY1661" s="1"/>
      <c r="BZ1661" s="1"/>
      <c r="CA1661" s="1"/>
      <c r="CB1661" s="1"/>
      <c r="CC1661" s="1"/>
      <c r="CD1661" s="1"/>
      <c r="CE1661" s="1"/>
      <c r="CF1661" s="1"/>
      <c r="CG1661" s="1"/>
      <c r="CH1661" s="1"/>
      <c r="CI1661" s="1"/>
      <c r="CJ1661" s="1"/>
      <c r="CK1661" s="1"/>
      <c r="CL1661" s="1"/>
      <c r="CM1661" s="1"/>
      <c r="CN1661" s="1"/>
      <c r="CO1661" s="1"/>
      <c r="CP1661" s="1"/>
      <c r="CQ1661" s="1"/>
      <c r="CR1661" s="1"/>
      <c r="CS1661" s="1"/>
      <c r="CT1661" s="1"/>
      <c r="CU1661" s="1"/>
      <c r="CV1661" s="1"/>
      <c r="CW1661" s="1"/>
      <c r="CX1661" s="1"/>
      <c r="CY1661" s="1"/>
      <c r="CZ1661" s="1"/>
      <c r="DA1661" s="1"/>
      <c r="DB1661" s="1"/>
      <c r="DC1661" s="1"/>
    </row>
    <row r="1662" spans="1:107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S1662" s="1"/>
      <c r="AT1662" s="1"/>
      <c r="AU1662" s="1"/>
      <c r="AV1662" s="1"/>
      <c r="AW1662" s="1"/>
      <c r="AX1662" s="1"/>
      <c r="AY1662" s="1"/>
      <c r="AZ1662" s="1"/>
      <c r="BA1662" s="1"/>
      <c r="BB1662" s="1"/>
      <c r="BC1662" s="1"/>
      <c r="BD1662" s="1"/>
      <c r="BE1662" s="1"/>
      <c r="BF1662" s="1"/>
      <c r="BG1662" s="1"/>
      <c r="BH1662" s="1"/>
      <c r="BI1662" s="1"/>
      <c r="BJ1662" s="1"/>
      <c r="BK1662" s="1"/>
      <c r="BL1662" s="1"/>
      <c r="BM1662" s="1"/>
      <c r="BN1662" s="1"/>
      <c r="BO1662" s="1"/>
      <c r="BP1662" s="1"/>
      <c r="BQ1662" s="1"/>
      <c r="BR1662" s="1"/>
      <c r="BS1662" s="1"/>
      <c r="BT1662" s="1"/>
      <c r="BU1662" s="1"/>
      <c r="BV1662" s="1"/>
      <c r="BW1662" s="1"/>
      <c r="BX1662" s="1"/>
      <c r="BY1662" s="1"/>
      <c r="BZ1662" s="1"/>
      <c r="CA1662" s="1"/>
      <c r="CB1662" s="1"/>
      <c r="CC1662" s="1"/>
      <c r="CD1662" s="1"/>
      <c r="CE1662" s="1"/>
      <c r="CF1662" s="1"/>
      <c r="CG1662" s="1"/>
      <c r="CH1662" s="1"/>
      <c r="CI1662" s="1"/>
      <c r="CJ1662" s="1"/>
      <c r="CK1662" s="1"/>
      <c r="CL1662" s="1"/>
      <c r="CM1662" s="1"/>
      <c r="CN1662" s="1"/>
      <c r="CO1662" s="1"/>
      <c r="CP1662" s="1"/>
      <c r="CQ1662" s="1"/>
      <c r="CR1662" s="1"/>
      <c r="CS1662" s="1"/>
      <c r="CT1662" s="1"/>
      <c r="CU1662" s="1"/>
      <c r="CV1662" s="1"/>
      <c r="CW1662" s="1"/>
      <c r="CX1662" s="1"/>
      <c r="CY1662" s="1"/>
      <c r="CZ1662" s="1"/>
      <c r="DA1662" s="1"/>
      <c r="DB1662" s="1"/>
      <c r="DC1662" s="1"/>
    </row>
    <row r="1663" spans="1:107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  <c r="AS1663" s="1"/>
      <c r="AT1663" s="1"/>
      <c r="AU1663" s="1"/>
      <c r="AV1663" s="1"/>
      <c r="AW1663" s="1"/>
      <c r="AX1663" s="1"/>
      <c r="AY1663" s="1"/>
      <c r="AZ1663" s="1"/>
      <c r="BA1663" s="1"/>
      <c r="BB1663" s="1"/>
      <c r="BC1663" s="1"/>
      <c r="BD1663" s="1"/>
      <c r="BE1663" s="1"/>
      <c r="BF1663" s="1"/>
      <c r="BG1663" s="1"/>
      <c r="BH1663" s="1"/>
      <c r="BI1663" s="1"/>
      <c r="BJ1663" s="1"/>
      <c r="BK1663" s="1"/>
      <c r="BL1663" s="1"/>
      <c r="BM1663" s="1"/>
      <c r="BN1663" s="1"/>
      <c r="BO1663" s="1"/>
      <c r="BP1663" s="1"/>
      <c r="BQ1663" s="1"/>
      <c r="BR1663" s="1"/>
      <c r="BS1663" s="1"/>
      <c r="BT1663" s="1"/>
      <c r="BU1663" s="1"/>
      <c r="BV1663" s="1"/>
      <c r="BW1663" s="1"/>
      <c r="BX1663" s="1"/>
      <c r="BY1663" s="1"/>
      <c r="BZ1663" s="1"/>
      <c r="CA1663" s="1"/>
      <c r="CB1663" s="1"/>
      <c r="CC1663" s="1"/>
      <c r="CD1663" s="1"/>
      <c r="CE1663" s="1"/>
      <c r="CF1663" s="1"/>
      <c r="CG1663" s="1"/>
      <c r="CH1663" s="1"/>
      <c r="CI1663" s="1"/>
      <c r="CJ1663" s="1"/>
      <c r="CK1663" s="1"/>
      <c r="CL1663" s="1"/>
      <c r="CM1663" s="1"/>
      <c r="CN1663" s="1"/>
      <c r="CO1663" s="1"/>
      <c r="CP1663" s="1"/>
      <c r="CQ1663" s="1"/>
      <c r="CR1663" s="1"/>
      <c r="CS1663" s="1"/>
      <c r="CT1663" s="1"/>
      <c r="CU1663" s="1"/>
      <c r="CV1663" s="1"/>
      <c r="CW1663" s="1"/>
      <c r="CX1663" s="1"/>
      <c r="CY1663" s="1"/>
      <c r="CZ1663" s="1"/>
      <c r="DA1663" s="1"/>
      <c r="DB1663" s="1"/>
      <c r="DC1663" s="1"/>
    </row>
    <row r="1664" spans="1:107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  <c r="AR1664" s="1"/>
      <c r="AS1664" s="1"/>
      <c r="AT1664" s="1"/>
      <c r="AU1664" s="1"/>
      <c r="AV1664" s="1"/>
      <c r="AW1664" s="1"/>
      <c r="AX1664" s="1"/>
      <c r="AY1664" s="1"/>
      <c r="AZ1664" s="1"/>
      <c r="BA1664" s="1"/>
      <c r="BB1664" s="1"/>
      <c r="BC1664" s="1"/>
      <c r="BD1664" s="1"/>
      <c r="BE1664" s="1"/>
      <c r="BF1664" s="1"/>
      <c r="BG1664" s="1"/>
      <c r="BH1664" s="1"/>
      <c r="BI1664" s="1"/>
      <c r="BJ1664" s="1"/>
      <c r="BK1664" s="1"/>
      <c r="BL1664" s="1"/>
      <c r="BM1664" s="1"/>
      <c r="BN1664" s="1"/>
      <c r="BO1664" s="1"/>
      <c r="BP1664" s="1"/>
      <c r="BQ1664" s="1"/>
      <c r="BR1664" s="1"/>
      <c r="BS1664" s="1"/>
      <c r="BT1664" s="1"/>
      <c r="BU1664" s="1"/>
      <c r="BV1664" s="1"/>
      <c r="BW1664" s="1"/>
      <c r="BX1664" s="1"/>
      <c r="BY1664" s="1"/>
      <c r="BZ1664" s="1"/>
      <c r="CA1664" s="1"/>
      <c r="CB1664" s="1"/>
      <c r="CC1664" s="1"/>
      <c r="CD1664" s="1"/>
      <c r="CE1664" s="1"/>
      <c r="CF1664" s="1"/>
      <c r="CG1664" s="1"/>
      <c r="CH1664" s="1"/>
      <c r="CI1664" s="1"/>
      <c r="CJ1664" s="1"/>
      <c r="CK1664" s="1"/>
      <c r="CL1664" s="1"/>
      <c r="CM1664" s="1"/>
      <c r="CN1664" s="1"/>
      <c r="CO1664" s="1"/>
      <c r="CP1664" s="1"/>
      <c r="CQ1664" s="1"/>
      <c r="CR1664" s="1"/>
      <c r="CS1664" s="1"/>
      <c r="CT1664" s="1"/>
      <c r="CU1664" s="1"/>
      <c r="CV1664" s="1"/>
      <c r="CW1664" s="1"/>
      <c r="CX1664" s="1"/>
      <c r="CY1664" s="1"/>
      <c r="CZ1664" s="1"/>
      <c r="DA1664" s="1"/>
      <c r="DB1664" s="1"/>
      <c r="DC1664" s="1"/>
    </row>
    <row r="1665" spans="1:107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  <c r="AX1665" s="1"/>
      <c r="AY1665" s="1"/>
      <c r="AZ1665" s="1"/>
      <c r="BA1665" s="1"/>
      <c r="BB1665" s="1"/>
      <c r="BC1665" s="1"/>
      <c r="BD1665" s="1"/>
      <c r="BE1665" s="1"/>
      <c r="BF1665" s="1"/>
      <c r="BG1665" s="1"/>
      <c r="BH1665" s="1"/>
      <c r="BI1665" s="1"/>
      <c r="BJ1665" s="1"/>
      <c r="BK1665" s="1"/>
      <c r="BL1665" s="1"/>
      <c r="BM1665" s="1"/>
      <c r="BN1665" s="1"/>
      <c r="BO1665" s="1"/>
      <c r="BP1665" s="1"/>
      <c r="BQ1665" s="1"/>
      <c r="BR1665" s="1"/>
      <c r="BS1665" s="1"/>
      <c r="BT1665" s="1"/>
      <c r="BU1665" s="1"/>
      <c r="BV1665" s="1"/>
      <c r="BW1665" s="1"/>
      <c r="BX1665" s="1"/>
      <c r="BY1665" s="1"/>
      <c r="BZ1665" s="1"/>
      <c r="CA1665" s="1"/>
      <c r="CB1665" s="1"/>
      <c r="CC1665" s="1"/>
      <c r="CD1665" s="1"/>
      <c r="CE1665" s="1"/>
      <c r="CF1665" s="1"/>
      <c r="CG1665" s="1"/>
      <c r="CH1665" s="1"/>
      <c r="CI1665" s="1"/>
      <c r="CJ1665" s="1"/>
      <c r="CK1665" s="1"/>
      <c r="CL1665" s="1"/>
      <c r="CM1665" s="1"/>
      <c r="CN1665" s="1"/>
      <c r="CO1665" s="1"/>
      <c r="CP1665" s="1"/>
      <c r="CQ1665" s="1"/>
      <c r="CR1665" s="1"/>
      <c r="CS1665" s="1"/>
      <c r="CT1665" s="1"/>
      <c r="CU1665" s="1"/>
      <c r="CV1665" s="1"/>
      <c r="CW1665" s="1"/>
      <c r="CX1665" s="1"/>
      <c r="CY1665" s="1"/>
      <c r="CZ1665" s="1"/>
      <c r="DA1665" s="1"/>
      <c r="DB1665" s="1"/>
      <c r="DC1665" s="1"/>
    </row>
    <row r="1666" spans="1:107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/>
      <c r="AX1666" s="1"/>
      <c r="AY1666" s="1"/>
      <c r="AZ1666" s="1"/>
      <c r="BA1666" s="1"/>
      <c r="BB1666" s="1"/>
      <c r="BC1666" s="1"/>
      <c r="BD1666" s="1"/>
      <c r="BE1666" s="1"/>
      <c r="BF1666" s="1"/>
      <c r="BG1666" s="1"/>
      <c r="BH1666" s="1"/>
      <c r="BI1666" s="1"/>
      <c r="BJ1666" s="1"/>
      <c r="BK1666" s="1"/>
      <c r="BL1666" s="1"/>
      <c r="BM1666" s="1"/>
      <c r="BN1666" s="1"/>
      <c r="BO1666" s="1"/>
      <c r="BP1666" s="1"/>
      <c r="BQ1666" s="1"/>
      <c r="BR1666" s="1"/>
      <c r="BS1666" s="1"/>
      <c r="BT1666" s="1"/>
      <c r="BU1666" s="1"/>
      <c r="BV1666" s="1"/>
      <c r="BW1666" s="1"/>
      <c r="BX1666" s="1"/>
      <c r="BY1666" s="1"/>
      <c r="BZ1666" s="1"/>
      <c r="CA1666" s="1"/>
      <c r="CB1666" s="1"/>
      <c r="CC1666" s="1"/>
      <c r="CD1666" s="1"/>
      <c r="CE1666" s="1"/>
      <c r="CF1666" s="1"/>
      <c r="CG1666" s="1"/>
      <c r="CH1666" s="1"/>
      <c r="CI1666" s="1"/>
      <c r="CJ1666" s="1"/>
      <c r="CK1666" s="1"/>
      <c r="CL1666" s="1"/>
      <c r="CM1666" s="1"/>
      <c r="CN1666" s="1"/>
      <c r="CO1666" s="1"/>
      <c r="CP1666" s="1"/>
      <c r="CQ1666" s="1"/>
      <c r="CR1666" s="1"/>
      <c r="CS1666" s="1"/>
      <c r="CT1666" s="1"/>
      <c r="CU1666" s="1"/>
      <c r="CV1666" s="1"/>
      <c r="CW1666" s="1"/>
      <c r="CX1666" s="1"/>
      <c r="CY1666" s="1"/>
      <c r="CZ1666" s="1"/>
      <c r="DA1666" s="1"/>
      <c r="DB1666" s="1"/>
      <c r="DC1666" s="1"/>
    </row>
    <row r="1667" spans="1:107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  <c r="AX1667" s="1"/>
      <c r="AY1667" s="1"/>
      <c r="AZ1667" s="1"/>
      <c r="BA1667" s="1"/>
      <c r="BB1667" s="1"/>
      <c r="BC1667" s="1"/>
      <c r="BD1667" s="1"/>
      <c r="BE1667" s="1"/>
      <c r="BF1667" s="1"/>
      <c r="BG1667" s="1"/>
      <c r="BH1667" s="1"/>
      <c r="BI1667" s="1"/>
      <c r="BJ1667" s="1"/>
      <c r="BK1667" s="1"/>
      <c r="BL1667" s="1"/>
      <c r="BM1667" s="1"/>
      <c r="BN1667" s="1"/>
      <c r="BO1667" s="1"/>
      <c r="BP1667" s="1"/>
      <c r="BQ1667" s="1"/>
      <c r="BR1667" s="1"/>
      <c r="BS1667" s="1"/>
      <c r="BT1667" s="1"/>
      <c r="BU1667" s="1"/>
      <c r="BV1667" s="1"/>
      <c r="BW1667" s="1"/>
      <c r="BX1667" s="1"/>
      <c r="BY1667" s="1"/>
      <c r="BZ1667" s="1"/>
      <c r="CA1667" s="1"/>
      <c r="CB1667" s="1"/>
      <c r="CC1667" s="1"/>
      <c r="CD1667" s="1"/>
      <c r="CE1667" s="1"/>
      <c r="CF1667" s="1"/>
      <c r="CG1667" s="1"/>
      <c r="CH1667" s="1"/>
      <c r="CI1667" s="1"/>
      <c r="CJ1667" s="1"/>
      <c r="CK1667" s="1"/>
      <c r="CL1667" s="1"/>
      <c r="CM1667" s="1"/>
      <c r="CN1667" s="1"/>
      <c r="CO1667" s="1"/>
      <c r="CP1667" s="1"/>
      <c r="CQ1667" s="1"/>
      <c r="CR1667" s="1"/>
      <c r="CS1667" s="1"/>
      <c r="CT1667" s="1"/>
      <c r="CU1667" s="1"/>
      <c r="CV1667" s="1"/>
      <c r="CW1667" s="1"/>
      <c r="CX1667" s="1"/>
      <c r="CY1667" s="1"/>
      <c r="CZ1667" s="1"/>
      <c r="DA1667" s="1"/>
      <c r="DB1667" s="1"/>
      <c r="DC1667" s="1"/>
    </row>
    <row r="1668" spans="1:107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AW1668" s="1"/>
      <c r="AX1668" s="1"/>
      <c r="AY1668" s="1"/>
      <c r="AZ1668" s="1"/>
      <c r="BA1668" s="1"/>
      <c r="BB1668" s="1"/>
      <c r="BC1668" s="1"/>
      <c r="BD1668" s="1"/>
      <c r="BE1668" s="1"/>
      <c r="BF1668" s="1"/>
      <c r="BG1668" s="1"/>
      <c r="BH1668" s="1"/>
      <c r="BI1668" s="1"/>
      <c r="BJ1668" s="1"/>
      <c r="BK1668" s="1"/>
      <c r="BL1668" s="1"/>
      <c r="BM1668" s="1"/>
      <c r="BN1668" s="1"/>
      <c r="BO1668" s="1"/>
      <c r="BP1668" s="1"/>
      <c r="BQ1668" s="1"/>
      <c r="BR1668" s="1"/>
      <c r="BS1668" s="1"/>
      <c r="BT1668" s="1"/>
      <c r="BU1668" s="1"/>
      <c r="BV1668" s="1"/>
      <c r="BW1668" s="1"/>
      <c r="BX1668" s="1"/>
      <c r="BY1668" s="1"/>
      <c r="BZ1668" s="1"/>
      <c r="CA1668" s="1"/>
      <c r="CB1668" s="1"/>
      <c r="CC1668" s="1"/>
      <c r="CD1668" s="1"/>
      <c r="CE1668" s="1"/>
      <c r="CF1668" s="1"/>
      <c r="CG1668" s="1"/>
      <c r="CH1668" s="1"/>
      <c r="CI1668" s="1"/>
      <c r="CJ1668" s="1"/>
      <c r="CK1668" s="1"/>
      <c r="CL1668" s="1"/>
      <c r="CM1668" s="1"/>
      <c r="CN1668" s="1"/>
      <c r="CO1668" s="1"/>
      <c r="CP1668" s="1"/>
      <c r="CQ1668" s="1"/>
      <c r="CR1668" s="1"/>
      <c r="CS1668" s="1"/>
      <c r="CT1668" s="1"/>
      <c r="CU1668" s="1"/>
      <c r="CV1668" s="1"/>
      <c r="CW1668" s="1"/>
      <c r="CX1668" s="1"/>
      <c r="CY1668" s="1"/>
      <c r="CZ1668" s="1"/>
      <c r="DA1668" s="1"/>
      <c r="DB1668" s="1"/>
      <c r="DC1668" s="1"/>
    </row>
    <row r="1669" spans="1:107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  <c r="AT1669" s="1"/>
      <c r="AU1669" s="1"/>
      <c r="AV1669" s="1"/>
      <c r="AW1669" s="1"/>
      <c r="AX1669" s="1"/>
      <c r="AY1669" s="1"/>
      <c r="AZ1669" s="1"/>
      <c r="BA1669" s="1"/>
      <c r="BB1669" s="1"/>
      <c r="BC1669" s="1"/>
      <c r="BD1669" s="1"/>
      <c r="BE1669" s="1"/>
      <c r="BF1669" s="1"/>
      <c r="BG1669" s="1"/>
      <c r="BH1669" s="1"/>
      <c r="BI1669" s="1"/>
      <c r="BJ1669" s="1"/>
      <c r="BK1669" s="1"/>
      <c r="BL1669" s="1"/>
      <c r="BM1669" s="1"/>
      <c r="BN1669" s="1"/>
      <c r="BO1669" s="1"/>
      <c r="BP1669" s="1"/>
      <c r="BQ1669" s="1"/>
      <c r="BR1669" s="1"/>
      <c r="BS1669" s="1"/>
      <c r="BT1669" s="1"/>
      <c r="BU1669" s="1"/>
      <c r="BV1669" s="1"/>
      <c r="BW1669" s="1"/>
      <c r="BX1669" s="1"/>
      <c r="BY1669" s="1"/>
      <c r="BZ1669" s="1"/>
      <c r="CA1669" s="1"/>
      <c r="CB1669" s="1"/>
      <c r="CC1669" s="1"/>
      <c r="CD1669" s="1"/>
      <c r="CE1669" s="1"/>
      <c r="CF1669" s="1"/>
      <c r="CG1669" s="1"/>
      <c r="CH1669" s="1"/>
      <c r="CI1669" s="1"/>
      <c r="CJ1669" s="1"/>
      <c r="CK1669" s="1"/>
      <c r="CL1669" s="1"/>
      <c r="CM1669" s="1"/>
      <c r="CN1669" s="1"/>
      <c r="CO1669" s="1"/>
      <c r="CP1669" s="1"/>
      <c r="CQ1669" s="1"/>
      <c r="CR1669" s="1"/>
      <c r="CS1669" s="1"/>
      <c r="CT1669" s="1"/>
      <c r="CU1669" s="1"/>
      <c r="CV1669" s="1"/>
      <c r="CW1669" s="1"/>
      <c r="CX1669" s="1"/>
      <c r="CY1669" s="1"/>
      <c r="CZ1669" s="1"/>
      <c r="DA1669" s="1"/>
      <c r="DB1669" s="1"/>
      <c r="DC1669" s="1"/>
    </row>
    <row r="1670" spans="1:107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  <c r="AS1670" s="1"/>
      <c r="AT1670" s="1"/>
      <c r="AU1670" s="1"/>
      <c r="AV1670" s="1"/>
      <c r="AW1670" s="1"/>
      <c r="AX1670" s="1"/>
      <c r="AY1670" s="1"/>
      <c r="AZ1670" s="1"/>
      <c r="BA1670" s="1"/>
      <c r="BB1670" s="1"/>
      <c r="BC1670" s="1"/>
      <c r="BD1670" s="1"/>
      <c r="BE1670" s="1"/>
      <c r="BF1670" s="1"/>
      <c r="BG1670" s="1"/>
      <c r="BH1670" s="1"/>
      <c r="BI1670" s="1"/>
      <c r="BJ1670" s="1"/>
      <c r="BK1670" s="1"/>
      <c r="BL1670" s="1"/>
      <c r="BM1670" s="1"/>
      <c r="BN1670" s="1"/>
      <c r="BO1670" s="1"/>
      <c r="BP1670" s="1"/>
      <c r="BQ1670" s="1"/>
      <c r="BR1670" s="1"/>
      <c r="BS1670" s="1"/>
      <c r="BT1670" s="1"/>
      <c r="BU1670" s="1"/>
      <c r="BV1670" s="1"/>
      <c r="BW1670" s="1"/>
      <c r="BX1670" s="1"/>
      <c r="BY1670" s="1"/>
      <c r="BZ1670" s="1"/>
      <c r="CA1670" s="1"/>
      <c r="CB1670" s="1"/>
      <c r="CC1670" s="1"/>
      <c r="CD1670" s="1"/>
      <c r="CE1670" s="1"/>
      <c r="CF1670" s="1"/>
      <c r="CG1670" s="1"/>
      <c r="CH1670" s="1"/>
      <c r="CI1670" s="1"/>
      <c r="CJ1670" s="1"/>
      <c r="CK1670" s="1"/>
      <c r="CL1670" s="1"/>
      <c r="CM1670" s="1"/>
      <c r="CN1670" s="1"/>
      <c r="CO1670" s="1"/>
      <c r="CP1670" s="1"/>
      <c r="CQ1670" s="1"/>
      <c r="CR1670" s="1"/>
      <c r="CS1670" s="1"/>
      <c r="CT1670" s="1"/>
      <c r="CU1670" s="1"/>
      <c r="CV1670" s="1"/>
      <c r="CW1670" s="1"/>
      <c r="CX1670" s="1"/>
      <c r="CY1670" s="1"/>
      <c r="CZ1670" s="1"/>
      <c r="DA1670" s="1"/>
      <c r="DB1670" s="1"/>
      <c r="DC1670" s="1"/>
    </row>
    <row r="1671" spans="1:107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  <c r="AY1671" s="1"/>
      <c r="AZ1671" s="1"/>
      <c r="BA1671" s="1"/>
      <c r="BB1671" s="1"/>
      <c r="BC1671" s="1"/>
      <c r="BD1671" s="1"/>
      <c r="BE1671" s="1"/>
      <c r="BF1671" s="1"/>
      <c r="BG1671" s="1"/>
      <c r="BH1671" s="1"/>
      <c r="BI1671" s="1"/>
      <c r="BJ1671" s="1"/>
      <c r="BK1671" s="1"/>
      <c r="BL1671" s="1"/>
      <c r="BM1671" s="1"/>
      <c r="BN1671" s="1"/>
      <c r="BO1671" s="1"/>
      <c r="BP1671" s="1"/>
      <c r="BQ1671" s="1"/>
      <c r="BR1671" s="1"/>
      <c r="BS1671" s="1"/>
      <c r="BT1671" s="1"/>
      <c r="BU1671" s="1"/>
      <c r="BV1671" s="1"/>
      <c r="BW1671" s="1"/>
      <c r="BX1671" s="1"/>
      <c r="BY1671" s="1"/>
      <c r="BZ1671" s="1"/>
      <c r="CA1671" s="1"/>
      <c r="CB1671" s="1"/>
      <c r="CC1671" s="1"/>
      <c r="CD1671" s="1"/>
      <c r="CE1671" s="1"/>
      <c r="CF1671" s="1"/>
      <c r="CG1671" s="1"/>
      <c r="CH1671" s="1"/>
      <c r="CI1671" s="1"/>
      <c r="CJ1671" s="1"/>
      <c r="CK1671" s="1"/>
      <c r="CL1671" s="1"/>
      <c r="CM1671" s="1"/>
      <c r="CN1671" s="1"/>
      <c r="CO1671" s="1"/>
      <c r="CP1671" s="1"/>
      <c r="CQ1671" s="1"/>
      <c r="CR1671" s="1"/>
      <c r="CS1671" s="1"/>
      <c r="CT1671" s="1"/>
      <c r="CU1671" s="1"/>
      <c r="CV1671" s="1"/>
      <c r="CW1671" s="1"/>
      <c r="CX1671" s="1"/>
      <c r="CY1671" s="1"/>
      <c r="CZ1671" s="1"/>
      <c r="DA1671" s="1"/>
      <c r="DB1671" s="1"/>
      <c r="DC1671" s="1"/>
    </row>
    <row r="1672" spans="1:107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  <c r="AX1672" s="1"/>
      <c r="AY1672" s="1"/>
      <c r="AZ1672" s="1"/>
      <c r="BA1672" s="1"/>
      <c r="BB1672" s="1"/>
      <c r="BC1672" s="1"/>
      <c r="BD1672" s="1"/>
      <c r="BE1672" s="1"/>
      <c r="BF1672" s="1"/>
      <c r="BG1672" s="1"/>
      <c r="BH1672" s="1"/>
      <c r="BI1672" s="1"/>
      <c r="BJ1672" s="1"/>
      <c r="BK1672" s="1"/>
      <c r="BL1672" s="1"/>
      <c r="BM1672" s="1"/>
      <c r="BN1672" s="1"/>
      <c r="BO1672" s="1"/>
      <c r="BP1672" s="1"/>
      <c r="BQ1672" s="1"/>
      <c r="BR1672" s="1"/>
      <c r="BS1672" s="1"/>
      <c r="BT1672" s="1"/>
      <c r="BU1672" s="1"/>
      <c r="BV1672" s="1"/>
      <c r="BW1672" s="1"/>
      <c r="BX1672" s="1"/>
      <c r="BY1672" s="1"/>
      <c r="BZ1672" s="1"/>
      <c r="CA1672" s="1"/>
      <c r="CB1672" s="1"/>
      <c r="CC1672" s="1"/>
      <c r="CD1672" s="1"/>
      <c r="CE1672" s="1"/>
      <c r="CF1672" s="1"/>
      <c r="CG1672" s="1"/>
      <c r="CH1672" s="1"/>
      <c r="CI1672" s="1"/>
      <c r="CJ1672" s="1"/>
      <c r="CK1672" s="1"/>
      <c r="CL1672" s="1"/>
      <c r="CM1672" s="1"/>
      <c r="CN1672" s="1"/>
      <c r="CO1672" s="1"/>
      <c r="CP1672" s="1"/>
      <c r="CQ1672" s="1"/>
      <c r="CR1672" s="1"/>
      <c r="CS1672" s="1"/>
      <c r="CT1672" s="1"/>
      <c r="CU1672" s="1"/>
      <c r="CV1672" s="1"/>
      <c r="CW1672" s="1"/>
      <c r="CX1672" s="1"/>
      <c r="CY1672" s="1"/>
      <c r="CZ1672" s="1"/>
      <c r="DA1672" s="1"/>
      <c r="DB1672" s="1"/>
      <c r="DC1672" s="1"/>
    </row>
    <row r="1673" spans="1:107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X1673" s="1"/>
      <c r="AY1673" s="1"/>
      <c r="AZ1673" s="1"/>
      <c r="BA1673" s="1"/>
      <c r="BB1673" s="1"/>
      <c r="BC1673" s="1"/>
      <c r="BD1673" s="1"/>
      <c r="BE1673" s="1"/>
      <c r="BF1673" s="1"/>
      <c r="BG1673" s="1"/>
      <c r="BH1673" s="1"/>
      <c r="BI1673" s="1"/>
      <c r="BJ1673" s="1"/>
      <c r="BK1673" s="1"/>
      <c r="BL1673" s="1"/>
      <c r="BM1673" s="1"/>
      <c r="BN1673" s="1"/>
      <c r="BO1673" s="1"/>
      <c r="BP1673" s="1"/>
      <c r="BQ1673" s="1"/>
      <c r="BR1673" s="1"/>
      <c r="BS1673" s="1"/>
      <c r="BT1673" s="1"/>
      <c r="BU1673" s="1"/>
      <c r="BV1673" s="1"/>
      <c r="BW1673" s="1"/>
      <c r="BX1673" s="1"/>
      <c r="BY1673" s="1"/>
      <c r="BZ1673" s="1"/>
      <c r="CA1673" s="1"/>
      <c r="CB1673" s="1"/>
      <c r="CC1673" s="1"/>
      <c r="CD1673" s="1"/>
      <c r="CE1673" s="1"/>
      <c r="CF1673" s="1"/>
      <c r="CG1673" s="1"/>
      <c r="CH1673" s="1"/>
      <c r="CI1673" s="1"/>
      <c r="CJ1673" s="1"/>
      <c r="CK1673" s="1"/>
      <c r="CL1673" s="1"/>
      <c r="CM1673" s="1"/>
      <c r="CN1673" s="1"/>
      <c r="CO1673" s="1"/>
      <c r="CP1673" s="1"/>
      <c r="CQ1673" s="1"/>
      <c r="CR1673" s="1"/>
      <c r="CS1673" s="1"/>
      <c r="CT1673" s="1"/>
      <c r="CU1673" s="1"/>
      <c r="CV1673" s="1"/>
      <c r="CW1673" s="1"/>
      <c r="CX1673" s="1"/>
      <c r="CY1673" s="1"/>
      <c r="CZ1673" s="1"/>
      <c r="DA1673" s="1"/>
      <c r="DB1673" s="1"/>
      <c r="DC1673" s="1"/>
    </row>
    <row r="1674" spans="1:107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/>
      <c r="AX1674" s="1"/>
      <c r="AY1674" s="1"/>
      <c r="AZ1674" s="1"/>
      <c r="BA1674" s="1"/>
      <c r="BB1674" s="1"/>
      <c r="BC1674" s="1"/>
      <c r="BD1674" s="1"/>
      <c r="BE1674" s="1"/>
      <c r="BF1674" s="1"/>
      <c r="BG1674" s="1"/>
      <c r="BH1674" s="1"/>
      <c r="BI1674" s="1"/>
      <c r="BJ1674" s="1"/>
      <c r="BK1674" s="1"/>
      <c r="BL1674" s="1"/>
      <c r="BM1674" s="1"/>
      <c r="BN1674" s="1"/>
      <c r="BO1674" s="1"/>
      <c r="BP1674" s="1"/>
      <c r="BQ1674" s="1"/>
      <c r="BR1674" s="1"/>
      <c r="BS1674" s="1"/>
      <c r="BT1674" s="1"/>
      <c r="BU1674" s="1"/>
      <c r="BV1674" s="1"/>
      <c r="BW1674" s="1"/>
      <c r="BX1674" s="1"/>
      <c r="BY1674" s="1"/>
      <c r="BZ1674" s="1"/>
      <c r="CA1674" s="1"/>
      <c r="CB1674" s="1"/>
      <c r="CC1674" s="1"/>
      <c r="CD1674" s="1"/>
      <c r="CE1674" s="1"/>
      <c r="CF1674" s="1"/>
      <c r="CG1674" s="1"/>
      <c r="CH1674" s="1"/>
      <c r="CI1674" s="1"/>
      <c r="CJ1674" s="1"/>
      <c r="CK1674" s="1"/>
      <c r="CL1674" s="1"/>
      <c r="CM1674" s="1"/>
      <c r="CN1674" s="1"/>
      <c r="CO1674" s="1"/>
      <c r="CP1674" s="1"/>
      <c r="CQ1674" s="1"/>
      <c r="CR1674" s="1"/>
      <c r="CS1674" s="1"/>
      <c r="CT1674" s="1"/>
      <c r="CU1674" s="1"/>
      <c r="CV1674" s="1"/>
      <c r="CW1674" s="1"/>
      <c r="CX1674" s="1"/>
      <c r="CY1674" s="1"/>
      <c r="CZ1674" s="1"/>
      <c r="DA1674" s="1"/>
      <c r="DB1674" s="1"/>
      <c r="DC1674" s="1"/>
    </row>
    <row r="1675" spans="1:107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1"/>
      <c r="AX1675" s="1"/>
      <c r="AY1675" s="1"/>
      <c r="AZ1675" s="1"/>
      <c r="BA1675" s="1"/>
      <c r="BB1675" s="1"/>
      <c r="BC1675" s="1"/>
      <c r="BD1675" s="1"/>
      <c r="BE1675" s="1"/>
      <c r="BF1675" s="1"/>
      <c r="BG1675" s="1"/>
      <c r="BH1675" s="1"/>
      <c r="BI1675" s="1"/>
      <c r="BJ1675" s="1"/>
      <c r="BK1675" s="1"/>
      <c r="BL1675" s="1"/>
      <c r="BM1675" s="1"/>
      <c r="BN1675" s="1"/>
      <c r="BO1675" s="1"/>
      <c r="BP1675" s="1"/>
      <c r="BQ1675" s="1"/>
      <c r="BR1675" s="1"/>
      <c r="BS1675" s="1"/>
      <c r="BT1675" s="1"/>
      <c r="BU1675" s="1"/>
      <c r="BV1675" s="1"/>
      <c r="BW1675" s="1"/>
      <c r="BX1675" s="1"/>
      <c r="BY1675" s="1"/>
      <c r="BZ1675" s="1"/>
      <c r="CA1675" s="1"/>
      <c r="CB1675" s="1"/>
      <c r="CC1675" s="1"/>
      <c r="CD1675" s="1"/>
      <c r="CE1675" s="1"/>
      <c r="CF1675" s="1"/>
      <c r="CG1675" s="1"/>
      <c r="CH1675" s="1"/>
      <c r="CI1675" s="1"/>
      <c r="CJ1675" s="1"/>
      <c r="CK1675" s="1"/>
      <c r="CL1675" s="1"/>
      <c r="CM1675" s="1"/>
      <c r="CN1675" s="1"/>
      <c r="CO1675" s="1"/>
      <c r="CP1675" s="1"/>
      <c r="CQ1675" s="1"/>
      <c r="CR1675" s="1"/>
      <c r="CS1675" s="1"/>
      <c r="CT1675" s="1"/>
      <c r="CU1675" s="1"/>
      <c r="CV1675" s="1"/>
      <c r="CW1675" s="1"/>
      <c r="CX1675" s="1"/>
      <c r="CY1675" s="1"/>
      <c r="CZ1675" s="1"/>
      <c r="DA1675" s="1"/>
      <c r="DB1675" s="1"/>
      <c r="DC1675" s="1"/>
    </row>
    <row r="1676" spans="1:107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X1676" s="1"/>
      <c r="AY1676" s="1"/>
      <c r="AZ1676" s="1"/>
      <c r="BA1676" s="1"/>
      <c r="BB1676" s="1"/>
      <c r="BC1676" s="1"/>
      <c r="BD1676" s="1"/>
      <c r="BE1676" s="1"/>
      <c r="BF1676" s="1"/>
      <c r="BG1676" s="1"/>
      <c r="BH1676" s="1"/>
      <c r="BI1676" s="1"/>
      <c r="BJ1676" s="1"/>
      <c r="BK1676" s="1"/>
      <c r="BL1676" s="1"/>
      <c r="BM1676" s="1"/>
      <c r="BN1676" s="1"/>
      <c r="BO1676" s="1"/>
      <c r="BP1676" s="1"/>
      <c r="BQ1676" s="1"/>
      <c r="BR1676" s="1"/>
      <c r="BS1676" s="1"/>
      <c r="BT1676" s="1"/>
      <c r="BU1676" s="1"/>
      <c r="BV1676" s="1"/>
      <c r="BW1676" s="1"/>
      <c r="BX1676" s="1"/>
      <c r="BY1676" s="1"/>
      <c r="BZ1676" s="1"/>
      <c r="CA1676" s="1"/>
      <c r="CB1676" s="1"/>
      <c r="CC1676" s="1"/>
      <c r="CD1676" s="1"/>
      <c r="CE1676" s="1"/>
      <c r="CF1676" s="1"/>
      <c r="CG1676" s="1"/>
      <c r="CH1676" s="1"/>
      <c r="CI1676" s="1"/>
      <c r="CJ1676" s="1"/>
      <c r="CK1676" s="1"/>
      <c r="CL1676" s="1"/>
      <c r="CM1676" s="1"/>
      <c r="CN1676" s="1"/>
      <c r="CO1676" s="1"/>
      <c r="CP1676" s="1"/>
      <c r="CQ1676" s="1"/>
      <c r="CR1676" s="1"/>
      <c r="CS1676" s="1"/>
      <c r="CT1676" s="1"/>
      <c r="CU1676" s="1"/>
      <c r="CV1676" s="1"/>
      <c r="CW1676" s="1"/>
      <c r="CX1676" s="1"/>
      <c r="CY1676" s="1"/>
      <c r="CZ1676" s="1"/>
      <c r="DA1676" s="1"/>
      <c r="DB1676" s="1"/>
      <c r="DC1676" s="1"/>
    </row>
    <row r="1677" spans="1:107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/>
      <c r="AY1677" s="1"/>
      <c r="AZ1677" s="1"/>
      <c r="BA1677" s="1"/>
      <c r="BB1677" s="1"/>
      <c r="BC1677" s="1"/>
      <c r="BD1677" s="1"/>
      <c r="BE1677" s="1"/>
      <c r="BF1677" s="1"/>
      <c r="BG1677" s="1"/>
      <c r="BH1677" s="1"/>
      <c r="BI1677" s="1"/>
      <c r="BJ1677" s="1"/>
      <c r="BK1677" s="1"/>
      <c r="BL1677" s="1"/>
      <c r="BM1677" s="1"/>
      <c r="BN1677" s="1"/>
      <c r="BO1677" s="1"/>
      <c r="BP1677" s="1"/>
      <c r="BQ1677" s="1"/>
      <c r="BR1677" s="1"/>
      <c r="BS1677" s="1"/>
      <c r="BT1677" s="1"/>
      <c r="BU1677" s="1"/>
      <c r="BV1677" s="1"/>
      <c r="BW1677" s="1"/>
      <c r="BX1677" s="1"/>
      <c r="BY1677" s="1"/>
      <c r="BZ1677" s="1"/>
      <c r="CA1677" s="1"/>
      <c r="CB1677" s="1"/>
      <c r="CC1677" s="1"/>
      <c r="CD1677" s="1"/>
      <c r="CE1677" s="1"/>
      <c r="CF1677" s="1"/>
      <c r="CG1677" s="1"/>
      <c r="CH1677" s="1"/>
      <c r="CI1677" s="1"/>
      <c r="CJ1677" s="1"/>
      <c r="CK1677" s="1"/>
      <c r="CL1677" s="1"/>
      <c r="CM1677" s="1"/>
      <c r="CN1677" s="1"/>
      <c r="CO1677" s="1"/>
      <c r="CP1677" s="1"/>
      <c r="CQ1677" s="1"/>
      <c r="CR1677" s="1"/>
      <c r="CS1677" s="1"/>
      <c r="CT1677" s="1"/>
      <c r="CU1677" s="1"/>
      <c r="CV1677" s="1"/>
      <c r="CW1677" s="1"/>
      <c r="CX1677" s="1"/>
      <c r="CY1677" s="1"/>
      <c r="CZ1677" s="1"/>
      <c r="DA1677" s="1"/>
      <c r="DB1677" s="1"/>
      <c r="DC1677" s="1"/>
    </row>
    <row r="1678" spans="1:107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AW1678" s="1"/>
      <c r="AX1678" s="1"/>
      <c r="AY1678" s="1"/>
      <c r="AZ1678" s="1"/>
      <c r="BA1678" s="1"/>
      <c r="BB1678" s="1"/>
      <c r="BC1678" s="1"/>
      <c r="BD1678" s="1"/>
      <c r="BE1678" s="1"/>
      <c r="BF1678" s="1"/>
      <c r="BG1678" s="1"/>
      <c r="BH1678" s="1"/>
      <c r="BI1678" s="1"/>
      <c r="BJ1678" s="1"/>
      <c r="BK1678" s="1"/>
      <c r="BL1678" s="1"/>
      <c r="BM1678" s="1"/>
      <c r="BN1678" s="1"/>
      <c r="BO1678" s="1"/>
      <c r="BP1678" s="1"/>
      <c r="BQ1678" s="1"/>
      <c r="BR1678" s="1"/>
      <c r="BS1678" s="1"/>
      <c r="BT1678" s="1"/>
      <c r="BU1678" s="1"/>
      <c r="BV1678" s="1"/>
      <c r="BW1678" s="1"/>
      <c r="BX1678" s="1"/>
      <c r="BY1678" s="1"/>
      <c r="BZ1678" s="1"/>
      <c r="CA1678" s="1"/>
      <c r="CB1678" s="1"/>
      <c r="CC1678" s="1"/>
      <c r="CD1678" s="1"/>
      <c r="CE1678" s="1"/>
      <c r="CF1678" s="1"/>
      <c r="CG1678" s="1"/>
      <c r="CH1678" s="1"/>
      <c r="CI1678" s="1"/>
      <c r="CJ1678" s="1"/>
      <c r="CK1678" s="1"/>
      <c r="CL1678" s="1"/>
      <c r="CM1678" s="1"/>
      <c r="CN1678" s="1"/>
      <c r="CO1678" s="1"/>
      <c r="CP1678" s="1"/>
      <c r="CQ1678" s="1"/>
      <c r="CR1678" s="1"/>
      <c r="CS1678" s="1"/>
      <c r="CT1678" s="1"/>
      <c r="CU1678" s="1"/>
      <c r="CV1678" s="1"/>
      <c r="CW1678" s="1"/>
      <c r="CX1678" s="1"/>
      <c r="CY1678" s="1"/>
      <c r="CZ1678" s="1"/>
      <c r="DA1678" s="1"/>
      <c r="DB1678" s="1"/>
      <c r="DC1678" s="1"/>
    </row>
    <row r="1679" spans="1:107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  <c r="AX1679" s="1"/>
      <c r="AY1679" s="1"/>
      <c r="AZ1679" s="1"/>
      <c r="BA1679" s="1"/>
      <c r="BB1679" s="1"/>
      <c r="BC1679" s="1"/>
      <c r="BD1679" s="1"/>
      <c r="BE1679" s="1"/>
      <c r="BF1679" s="1"/>
      <c r="BG1679" s="1"/>
      <c r="BH1679" s="1"/>
      <c r="BI1679" s="1"/>
      <c r="BJ1679" s="1"/>
      <c r="BK1679" s="1"/>
      <c r="BL1679" s="1"/>
      <c r="BM1679" s="1"/>
      <c r="BN1679" s="1"/>
      <c r="BO1679" s="1"/>
      <c r="BP1679" s="1"/>
      <c r="BQ1679" s="1"/>
      <c r="BR1679" s="1"/>
      <c r="BS1679" s="1"/>
      <c r="BT1679" s="1"/>
      <c r="BU1679" s="1"/>
      <c r="BV1679" s="1"/>
      <c r="BW1679" s="1"/>
      <c r="BX1679" s="1"/>
      <c r="BY1679" s="1"/>
      <c r="BZ1679" s="1"/>
      <c r="CA1679" s="1"/>
      <c r="CB1679" s="1"/>
      <c r="CC1679" s="1"/>
      <c r="CD1679" s="1"/>
      <c r="CE1679" s="1"/>
      <c r="CF1679" s="1"/>
      <c r="CG1679" s="1"/>
      <c r="CH1679" s="1"/>
      <c r="CI1679" s="1"/>
      <c r="CJ1679" s="1"/>
      <c r="CK1679" s="1"/>
      <c r="CL1679" s="1"/>
      <c r="CM1679" s="1"/>
      <c r="CN1679" s="1"/>
      <c r="CO1679" s="1"/>
      <c r="CP1679" s="1"/>
      <c r="CQ1679" s="1"/>
      <c r="CR1679" s="1"/>
      <c r="CS1679" s="1"/>
      <c r="CT1679" s="1"/>
      <c r="CU1679" s="1"/>
      <c r="CV1679" s="1"/>
      <c r="CW1679" s="1"/>
      <c r="CX1679" s="1"/>
      <c r="CY1679" s="1"/>
      <c r="CZ1679" s="1"/>
      <c r="DA1679" s="1"/>
      <c r="DB1679" s="1"/>
      <c r="DC1679" s="1"/>
    </row>
    <row r="1680" spans="1:107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  <c r="AS1680" s="1"/>
      <c r="AT1680" s="1"/>
      <c r="AU1680" s="1"/>
      <c r="AV1680" s="1"/>
      <c r="AW1680" s="1"/>
      <c r="AX1680" s="1"/>
      <c r="AY1680" s="1"/>
      <c r="AZ1680" s="1"/>
      <c r="BA1680" s="1"/>
      <c r="BB1680" s="1"/>
      <c r="BC1680" s="1"/>
      <c r="BD1680" s="1"/>
      <c r="BE1680" s="1"/>
      <c r="BF1680" s="1"/>
      <c r="BG1680" s="1"/>
      <c r="BH1680" s="1"/>
      <c r="BI1680" s="1"/>
      <c r="BJ1680" s="1"/>
      <c r="BK1680" s="1"/>
      <c r="BL1680" s="1"/>
      <c r="BM1680" s="1"/>
      <c r="BN1680" s="1"/>
      <c r="BO1680" s="1"/>
      <c r="BP1680" s="1"/>
      <c r="BQ1680" s="1"/>
      <c r="BR1680" s="1"/>
      <c r="BS1680" s="1"/>
      <c r="BT1680" s="1"/>
      <c r="BU1680" s="1"/>
      <c r="BV1680" s="1"/>
      <c r="BW1680" s="1"/>
      <c r="BX1680" s="1"/>
      <c r="BY1680" s="1"/>
      <c r="BZ1680" s="1"/>
      <c r="CA1680" s="1"/>
      <c r="CB1680" s="1"/>
      <c r="CC1680" s="1"/>
      <c r="CD1680" s="1"/>
      <c r="CE1680" s="1"/>
      <c r="CF1680" s="1"/>
      <c r="CG1680" s="1"/>
      <c r="CH1680" s="1"/>
      <c r="CI1680" s="1"/>
      <c r="CJ1680" s="1"/>
      <c r="CK1680" s="1"/>
      <c r="CL1680" s="1"/>
      <c r="CM1680" s="1"/>
      <c r="CN1680" s="1"/>
      <c r="CO1680" s="1"/>
      <c r="CP1680" s="1"/>
      <c r="CQ1680" s="1"/>
      <c r="CR1680" s="1"/>
      <c r="CS1680" s="1"/>
      <c r="CT1680" s="1"/>
      <c r="CU1680" s="1"/>
      <c r="CV1680" s="1"/>
      <c r="CW1680" s="1"/>
      <c r="CX1680" s="1"/>
      <c r="CY1680" s="1"/>
      <c r="CZ1680" s="1"/>
      <c r="DA1680" s="1"/>
      <c r="DB1680" s="1"/>
      <c r="DC1680" s="1"/>
    </row>
    <row r="1681" spans="1:107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/>
      <c r="AX1681" s="1"/>
      <c r="AY1681" s="1"/>
      <c r="AZ1681" s="1"/>
      <c r="BA1681" s="1"/>
      <c r="BB1681" s="1"/>
      <c r="BC1681" s="1"/>
      <c r="BD1681" s="1"/>
      <c r="BE1681" s="1"/>
      <c r="BF1681" s="1"/>
      <c r="BG1681" s="1"/>
      <c r="BH1681" s="1"/>
      <c r="BI1681" s="1"/>
      <c r="BJ1681" s="1"/>
      <c r="BK1681" s="1"/>
      <c r="BL1681" s="1"/>
      <c r="BM1681" s="1"/>
      <c r="BN1681" s="1"/>
      <c r="BO1681" s="1"/>
      <c r="BP1681" s="1"/>
      <c r="BQ1681" s="1"/>
      <c r="BR1681" s="1"/>
      <c r="BS1681" s="1"/>
      <c r="BT1681" s="1"/>
      <c r="BU1681" s="1"/>
      <c r="BV1681" s="1"/>
      <c r="BW1681" s="1"/>
      <c r="BX1681" s="1"/>
      <c r="BY1681" s="1"/>
      <c r="BZ1681" s="1"/>
      <c r="CA1681" s="1"/>
      <c r="CB1681" s="1"/>
      <c r="CC1681" s="1"/>
      <c r="CD1681" s="1"/>
      <c r="CE1681" s="1"/>
      <c r="CF1681" s="1"/>
      <c r="CG1681" s="1"/>
      <c r="CH1681" s="1"/>
      <c r="CI1681" s="1"/>
      <c r="CJ1681" s="1"/>
      <c r="CK1681" s="1"/>
      <c r="CL1681" s="1"/>
      <c r="CM1681" s="1"/>
      <c r="CN1681" s="1"/>
      <c r="CO1681" s="1"/>
      <c r="CP1681" s="1"/>
      <c r="CQ1681" s="1"/>
      <c r="CR1681" s="1"/>
      <c r="CS1681" s="1"/>
      <c r="CT1681" s="1"/>
      <c r="CU1681" s="1"/>
      <c r="CV1681" s="1"/>
      <c r="CW1681" s="1"/>
      <c r="CX1681" s="1"/>
      <c r="CY1681" s="1"/>
      <c r="CZ1681" s="1"/>
      <c r="DA1681" s="1"/>
      <c r="DB1681" s="1"/>
      <c r="DC1681" s="1"/>
    </row>
    <row r="1682" spans="1:107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AW1682" s="1"/>
      <c r="AX1682" s="1"/>
      <c r="AY1682" s="1"/>
      <c r="AZ1682" s="1"/>
      <c r="BA1682" s="1"/>
      <c r="BB1682" s="1"/>
      <c r="BC1682" s="1"/>
      <c r="BD1682" s="1"/>
      <c r="BE1682" s="1"/>
      <c r="BF1682" s="1"/>
      <c r="BG1682" s="1"/>
      <c r="BH1682" s="1"/>
      <c r="BI1682" s="1"/>
      <c r="BJ1682" s="1"/>
      <c r="BK1682" s="1"/>
      <c r="BL1682" s="1"/>
      <c r="BM1682" s="1"/>
      <c r="BN1682" s="1"/>
      <c r="BO1682" s="1"/>
      <c r="BP1682" s="1"/>
      <c r="BQ1682" s="1"/>
      <c r="BR1682" s="1"/>
      <c r="BS1682" s="1"/>
      <c r="BT1682" s="1"/>
      <c r="BU1682" s="1"/>
      <c r="BV1682" s="1"/>
      <c r="BW1682" s="1"/>
      <c r="BX1682" s="1"/>
      <c r="BY1682" s="1"/>
      <c r="BZ1682" s="1"/>
      <c r="CA1682" s="1"/>
      <c r="CB1682" s="1"/>
      <c r="CC1682" s="1"/>
      <c r="CD1682" s="1"/>
      <c r="CE1682" s="1"/>
      <c r="CF1682" s="1"/>
      <c r="CG1682" s="1"/>
      <c r="CH1682" s="1"/>
      <c r="CI1682" s="1"/>
      <c r="CJ1682" s="1"/>
      <c r="CK1682" s="1"/>
      <c r="CL1682" s="1"/>
      <c r="CM1682" s="1"/>
      <c r="CN1682" s="1"/>
      <c r="CO1682" s="1"/>
      <c r="CP1682" s="1"/>
      <c r="CQ1682" s="1"/>
      <c r="CR1682" s="1"/>
      <c r="CS1682" s="1"/>
      <c r="CT1682" s="1"/>
      <c r="CU1682" s="1"/>
      <c r="CV1682" s="1"/>
      <c r="CW1682" s="1"/>
      <c r="CX1682" s="1"/>
      <c r="CY1682" s="1"/>
      <c r="CZ1682" s="1"/>
      <c r="DA1682" s="1"/>
      <c r="DB1682" s="1"/>
      <c r="DC1682" s="1"/>
    </row>
    <row r="1683" spans="1:107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  <c r="AS1683" s="1"/>
      <c r="AT1683" s="1"/>
      <c r="AU1683" s="1"/>
      <c r="AV1683" s="1"/>
      <c r="AW1683" s="1"/>
      <c r="AX1683" s="1"/>
      <c r="AY1683" s="1"/>
      <c r="AZ1683" s="1"/>
      <c r="BA1683" s="1"/>
      <c r="BB1683" s="1"/>
      <c r="BC1683" s="1"/>
      <c r="BD1683" s="1"/>
      <c r="BE1683" s="1"/>
      <c r="BF1683" s="1"/>
      <c r="BG1683" s="1"/>
      <c r="BH1683" s="1"/>
      <c r="BI1683" s="1"/>
      <c r="BJ1683" s="1"/>
      <c r="BK1683" s="1"/>
      <c r="BL1683" s="1"/>
      <c r="BM1683" s="1"/>
      <c r="BN1683" s="1"/>
      <c r="BO1683" s="1"/>
      <c r="BP1683" s="1"/>
      <c r="BQ1683" s="1"/>
      <c r="BR1683" s="1"/>
      <c r="BS1683" s="1"/>
      <c r="BT1683" s="1"/>
      <c r="BU1683" s="1"/>
      <c r="BV1683" s="1"/>
      <c r="BW1683" s="1"/>
      <c r="BX1683" s="1"/>
      <c r="BY1683" s="1"/>
      <c r="BZ1683" s="1"/>
      <c r="CA1683" s="1"/>
      <c r="CB1683" s="1"/>
      <c r="CC1683" s="1"/>
      <c r="CD1683" s="1"/>
      <c r="CE1683" s="1"/>
      <c r="CF1683" s="1"/>
      <c r="CG1683" s="1"/>
      <c r="CH1683" s="1"/>
      <c r="CI1683" s="1"/>
      <c r="CJ1683" s="1"/>
      <c r="CK1683" s="1"/>
      <c r="CL1683" s="1"/>
      <c r="CM1683" s="1"/>
      <c r="CN1683" s="1"/>
      <c r="CO1683" s="1"/>
      <c r="CP1683" s="1"/>
      <c r="CQ1683" s="1"/>
      <c r="CR1683" s="1"/>
      <c r="CS1683" s="1"/>
      <c r="CT1683" s="1"/>
      <c r="CU1683" s="1"/>
      <c r="CV1683" s="1"/>
      <c r="CW1683" s="1"/>
      <c r="CX1683" s="1"/>
      <c r="CY1683" s="1"/>
      <c r="CZ1683" s="1"/>
      <c r="DA1683" s="1"/>
      <c r="DB1683" s="1"/>
      <c r="DC1683" s="1"/>
    </row>
    <row r="1684" spans="1:107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  <c r="AR1684" s="1"/>
      <c r="AS1684" s="1"/>
      <c r="AT1684" s="1"/>
      <c r="AU1684" s="1"/>
      <c r="AV1684" s="1"/>
      <c r="AW1684" s="1"/>
      <c r="AX1684" s="1"/>
      <c r="AY1684" s="1"/>
      <c r="AZ1684" s="1"/>
      <c r="BA1684" s="1"/>
      <c r="BB1684" s="1"/>
      <c r="BC1684" s="1"/>
      <c r="BD1684" s="1"/>
      <c r="BE1684" s="1"/>
      <c r="BF1684" s="1"/>
      <c r="BG1684" s="1"/>
      <c r="BH1684" s="1"/>
      <c r="BI1684" s="1"/>
      <c r="BJ1684" s="1"/>
      <c r="BK1684" s="1"/>
      <c r="BL1684" s="1"/>
      <c r="BM1684" s="1"/>
      <c r="BN1684" s="1"/>
      <c r="BO1684" s="1"/>
      <c r="BP1684" s="1"/>
      <c r="BQ1684" s="1"/>
      <c r="BR1684" s="1"/>
      <c r="BS1684" s="1"/>
      <c r="BT1684" s="1"/>
      <c r="BU1684" s="1"/>
      <c r="BV1684" s="1"/>
      <c r="BW1684" s="1"/>
      <c r="BX1684" s="1"/>
      <c r="BY1684" s="1"/>
      <c r="BZ1684" s="1"/>
      <c r="CA1684" s="1"/>
      <c r="CB1684" s="1"/>
      <c r="CC1684" s="1"/>
      <c r="CD1684" s="1"/>
      <c r="CE1684" s="1"/>
      <c r="CF1684" s="1"/>
      <c r="CG1684" s="1"/>
      <c r="CH1684" s="1"/>
      <c r="CI1684" s="1"/>
      <c r="CJ1684" s="1"/>
      <c r="CK1684" s="1"/>
      <c r="CL1684" s="1"/>
      <c r="CM1684" s="1"/>
      <c r="CN1684" s="1"/>
      <c r="CO1684" s="1"/>
      <c r="CP1684" s="1"/>
      <c r="CQ1684" s="1"/>
      <c r="CR1684" s="1"/>
      <c r="CS1684" s="1"/>
      <c r="CT1684" s="1"/>
      <c r="CU1684" s="1"/>
      <c r="CV1684" s="1"/>
      <c r="CW1684" s="1"/>
      <c r="CX1684" s="1"/>
      <c r="CY1684" s="1"/>
      <c r="CZ1684" s="1"/>
      <c r="DA1684" s="1"/>
      <c r="DB1684" s="1"/>
      <c r="DC1684" s="1"/>
    </row>
    <row r="1685" spans="1:107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 s="1"/>
      <c r="AX1685" s="1"/>
      <c r="AY1685" s="1"/>
      <c r="AZ1685" s="1"/>
      <c r="BA1685" s="1"/>
      <c r="BB1685" s="1"/>
      <c r="BC1685" s="1"/>
      <c r="BD1685" s="1"/>
      <c r="BE1685" s="1"/>
      <c r="BF1685" s="1"/>
      <c r="BG1685" s="1"/>
      <c r="BH1685" s="1"/>
      <c r="BI1685" s="1"/>
      <c r="BJ1685" s="1"/>
      <c r="BK1685" s="1"/>
      <c r="BL1685" s="1"/>
      <c r="BM1685" s="1"/>
      <c r="BN1685" s="1"/>
      <c r="BO1685" s="1"/>
      <c r="BP1685" s="1"/>
      <c r="BQ1685" s="1"/>
      <c r="BR1685" s="1"/>
      <c r="BS1685" s="1"/>
      <c r="BT1685" s="1"/>
      <c r="BU1685" s="1"/>
      <c r="BV1685" s="1"/>
      <c r="BW1685" s="1"/>
      <c r="BX1685" s="1"/>
      <c r="BY1685" s="1"/>
      <c r="BZ1685" s="1"/>
      <c r="CA1685" s="1"/>
      <c r="CB1685" s="1"/>
      <c r="CC1685" s="1"/>
      <c r="CD1685" s="1"/>
      <c r="CE1685" s="1"/>
      <c r="CF1685" s="1"/>
      <c r="CG1685" s="1"/>
      <c r="CH1685" s="1"/>
      <c r="CI1685" s="1"/>
      <c r="CJ1685" s="1"/>
      <c r="CK1685" s="1"/>
      <c r="CL1685" s="1"/>
      <c r="CM1685" s="1"/>
      <c r="CN1685" s="1"/>
      <c r="CO1685" s="1"/>
      <c r="CP1685" s="1"/>
      <c r="CQ1685" s="1"/>
      <c r="CR1685" s="1"/>
      <c r="CS1685" s="1"/>
      <c r="CT1685" s="1"/>
      <c r="CU1685" s="1"/>
      <c r="CV1685" s="1"/>
      <c r="CW1685" s="1"/>
      <c r="CX1685" s="1"/>
      <c r="CY1685" s="1"/>
      <c r="CZ1685" s="1"/>
      <c r="DA1685" s="1"/>
      <c r="DB1685" s="1"/>
      <c r="DC1685" s="1"/>
    </row>
    <row r="1686" spans="1:107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  <c r="AR1686" s="1"/>
      <c r="AS1686" s="1"/>
      <c r="AT1686" s="1"/>
      <c r="AU1686" s="1"/>
      <c r="AV1686" s="1"/>
      <c r="AW1686" s="1"/>
      <c r="AX1686" s="1"/>
      <c r="AY1686" s="1"/>
      <c r="AZ1686" s="1"/>
      <c r="BA1686" s="1"/>
      <c r="BB1686" s="1"/>
      <c r="BC1686" s="1"/>
      <c r="BD1686" s="1"/>
      <c r="BE1686" s="1"/>
      <c r="BF1686" s="1"/>
      <c r="BG1686" s="1"/>
      <c r="BH1686" s="1"/>
      <c r="BI1686" s="1"/>
      <c r="BJ1686" s="1"/>
      <c r="BK1686" s="1"/>
      <c r="BL1686" s="1"/>
      <c r="BM1686" s="1"/>
      <c r="BN1686" s="1"/>
      <c r="BO1686" s="1"/>
      <c r="BP1686" s="1"/>
      <c r="BQ1686" s="1"/>
      <c r="BR1686" s="1"/>
      <c r="BS1686" s="1"/>
      <c r="BT1686" s="1"/>
      <c r="BU1686" s="1"/>
      <c r="BV1686" s="1"/>
      <c r="BW1686" s="1"/>
      <c r="BX1686" s="1"/>
      <c r="BY1686" s="1"/>
      <c r="BZ1686" s="1"/>
      <c r="CA1686" s="1"/>
      <c r="CB1686" s="1"/>
      <c r="CC1686" s="1"/>
      <c r="CD1686" s="1"/>
      <c r="CE1686" s="1"/>
      <c r="CF1686" s="1"/>
      <c r="CG1686" s="1"/>
      <c r="CH1686" s="1"/>
      <c r="CI1686" s="1"/>
      <c r="CJ1686" s="1"/>
      <c r="CK1686" s="1"/>
      <c r="CL1686" s="1"/>
      <c r="CM1686" s="1"/>
      <c r="CN1686" s="1"/>
      <c r="CO1686" s="1"/>
      <c r="CP1686" s="1"/>
      <c r="CQ1686" s="1"/>
      <c r="CR1686" s="1"/>
      <c r="CS1686" s="1"/>
      <c r="CT1686" s="1"/>
      <c r="CU1686" s="1"/>
      <c r="CV1686" s="1"/>
      <c r="CW1686" s="1"/>
      <c r="CX1686" s="1"/>
      <c r="CY1686" s="1"/>
      <c r="CZ1686" s="1"/>
      <c r="DA1686" s="1"/>
      <c r="DB1686" s="1"/>
      <c r="DC1686" s="1"/>
    </row>
    <row r="1687" spans="1:107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/>
      <c r="AX1687" s="1"/>
      <c r="AY1687" s="1"/>
      <c r="AZ1687" s="1"/>
      <c r="BA1687" s="1"/>
      <c r="BB1687" s="1"/>
      <c r="BC1687" s="1"/>
      <c r="BD1687" s="1"/>
      <c r="BE1687" s="1"/>
      <c r="BF1687" s="1"/>
      <c r="BG1687" s="1"/>
      <c r="BH1687" s="1"/>
      <c r="BI1687" s="1"/>
      <c r="BJ1687" s="1"/>
      <c r="BK1687" s="1"/>
      <c r="BL1687" s="1"/>
      <c r="BM1687" s="1"/>
      <c r="BN1687" s="1"/>
      <c r="BO1687" s="1"/>
      <c r="BP1687" s="1"/>
      <c r="BQ1687" s="1"/>
      <c r="BR1687" s="1"/>
      <c r="BS1687" s="1"/>
      <c r="BT1687" s="1"/>
      <c r="BU1687" s="1"/>
      <c r="BV1687" s="1"/>
      <c r="BW1687" s="1"/>
      <c r="BX1687" s="1"/>
      <c r="BY1687" s="1"/>
      <c r="BZ1687" s="1"/>
      <c r="CA1687" s="1"/>
      <c r="CB1687" s="1"/>
      <c r="CC1687" s="1"/>
      <c r="CD1687" s="1"/>
      <c r="CE1687" s="1"/>
      <c r="CF1687" s="1"/>
      <c r="CG1687" s="1"/>
      <c r="CH1687" s="1"/>
      <c r="CI1687" s="1"/>
      <c r="CJ1687" s="1"/>
      <c r="CK1687" s="1"/>
      <c r="CL1687" s="1"/>
      <c r="CM1687" s="1"/>
      <c r="CN1687" s="1"/>
      <c r="CO1687" s="1"/>
      <c r="CP1687" s="1"/>
      <c r="CQ1687" s="1"/>
      <c r="CR1687" s="1"/>
      <c r="CS1687" s="1"/>
      <c r="CT1687" s="1"/>
      <c r="CU1687" s="1"/>
      <c r="CV1687" s="1"/>
      <c r="CW1687" s="1"/>
      <c r="CX1687" s="1"/>
      <c r="CY1687" s="1"/>
      <c r="CZ1687" s="1"/>
      <c r="DA1687" s="1"/>
      <c r="DB1687" s="1"/>
      <c r="DC1687" s="1"/>
    </row>
    <row r="1688" spans="1:107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AW1688" s="1"/>
      <c r="AX1688" s="1"/>
      <c r="AY1688" s="1"/>
      <c r="AZ1688" s="1"/>
      <c r="BA1688" s="1"/>
      <c r="BB1688" s="1"/>
      <c r="BC1688" s="1"/>
      <c r="BD1688" s="1"/>
      <c r="BE1688" s="1"/>
      <c r="BF1688" s="1"/>
      <c r="BG1688" s="1"/>
      <c r="BH1688" s="1"/>
      <c r="BI1688" s="1"/>
      <c r="BJ1688" s="1"/>
      <c r="BK1688" s="1"/>
      <c r="BL1688" s="1"/>
      <c r="BM1688" s="1"/>
      <c r="BN1688" s="1"/>
      <c r="BO1688" s="1"/>
      <c r="BP1688" s="1"/>
      <c r="BQ1688" s="1"/>
      <c r="BR1688" s="1"/>
      <c r="BS1688" s="1"/>
      <c r="BT1688" s="1"/>
      <c r="BU1688" s="1"/>
      <c r="BV1688" s="1"/>
      <c r="BW1688" s="1"/>
      <c r="BX1688" s="1"/>
      <c r="BY1688" s="1"/>
      <c r="BZ1688" s="1"/>
      <c r="CA1688" s="1"/>
      <c r="CB1688" s="1"/>
      <c r="CC1688" s="1"/>
      <c r="CD1688" s="1"/>
      <c r="CE1688" s="1"/>
      <c r="CF1688" s="1"/>
      <c r="CG1688" s="1"/>
      <c r="CH1688" s="1"/>
      <c r="CI1688" s="1"/>
      <c r="CJ1688" s="1"/>
      <c r="CK1688" s="1"/>
      <c r="CL1688" s="1"/>
      <c r="CM1688" s="1"/>
      <c r="CN1688" s="1"/>
      <c r="CO1688" s="1"/>
      <c r="CP1688" s="1"/>
      <c r="CQ1688" s="1"/>
      <c r="CR1688" s="1"/>
      <c r="CS1688" s="1"/>
      <c r="CT1688" s="1"/>
      <c r="CU1688" s="1"/>
      <c r="CV1688" s="1"/>
      <c r="CW1688" s="1"/>
      <c r="CX1688" s="1"/>
      <c r="CY1688" s="1"/>
      <c r="CZ1688" s="1"/>
      <c r="DA1688" s="1"/>
      <c r="DB1688" s="1"/>
      <c r="DC1688" s="1"/>
    </row>
    <row r="1689" spans="1:107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  <c r="AS1689" s="1"/>
      <c r="AT1689" s="1"/>
      <c r="AU1689" s="1"/>
      <c r="AV1689" s="1"/>
      <c r="AW1689" s="1"/>
      <c r="AX1689" s="1"/>
      <c r="AY1689" s="1"/>
      <c r="AZ1689" s="1"/>
      <c r="BA1689" s="1"/>
      <c r="BB1689" s="1"/>
      <c r="BC1689" s="1"/>
      <c r="BD1689" s="1"/>
      <c r="BE1689" s="1"/>
      <c r="BF1689" s="1"/>
      <c r="BG1689" s="1"/>
      <c r="BH1689" s="1"/>
      <c r="BI1689" s="1"/>
      <c r="BJ1689" s="1"/>
      <c r="BK1689" s="1"/>
      <c r="BL1689" s="1"/>
      <c r="BM1689" s="1"/>
      <c r="BN1689" s="1"/>
      <c r="BO1689" s="1"/>
      <c r="BP1689" s="1"/>
      <c r="BQ1689" s="1"/>
      <c r="BR1689" s="1"/>
      <c r="BS1689" s="1"/>
      <c r="BT1689" s="1"/>
      <c r="BU1689" s="1"/>
      <c r="BV1689" s="1"/>
      <c r="BW1689" s="1"/>
      <c r="BX1689" s="1"/>
      <c r="BY1689" s="1"/>
      <c r="BZ1689" s="1"/>
      <c r="CA1689" s="1"/>
      <c r="CB1689" s="1"/>
      <c r="CC1689" s="1"/>
      <c r="CD1689" s="1"/>
      <c r="CE1689" s="1"/>
      <c r="CF1689" s="1"/>
      <c r="CG1689" s="1"/>
      <c r="CH1689" s="1"/>
      <c r="CI1689" s="1"/>
      <c r="CJ1689" s="1"/>
      <c r="CK1689" s="1"/>
      <c r="CL1689" s="1"/>
      <c r="CM1689" s="1"/>
      <c r="CN1689" s="1"/>
      <c r="CO1689" s="1"/>
      <c r="CP1689" s="1"/>
      <c r="CQ1689" s="1"/>
      <c r="CR1689" s="1"/>
      <c r="CS1689" s="1"/>
      <c r="CT1689" s="1"/>
      <c r="CU1689" s="1"/>
      <c r="CV1689" s="1"/>
      <c r="CW1689" s="1"/>
      <c r="CX1689" s="1"/>
      <c r="CY1689" s="1"/>
      <c r="CZ1689" s="1"/>
      <c r="DA1689" s="1"/>
      <c r="DB1689" s="1"/>
      <c r="DC1689" s="1"/>
    </row>
    <row r="1690" spans="1:107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  <c r="AS1690" s="1"/>
      <c r="AT1690" s="1"/>
      <c r="AU1690" s="1"/>
      <c r="AV1690" s="1"/>
      <c r="AW1690" s="1"/>
      <c r="AX1690" s="1"/>
      <c r="AY1690" s="1"/>
      <c r="AZ1690" s="1"/>
      <c r="BA1690" s="1"/>
      <c r="BB1690" s="1"/>
      <c r="BC1690" s="1"/>
      <c r="BD1690" s="1"/>
      <c r="BE1690" s="1"/>
      <c r="BF1690" s="1"/>
      <c r="BG1690" s="1"/>
      <c r="BH1690" s="1"/>
      <c r="BI1690" s="1"/>
      <c r="BJ1690" s="1"/>
      <c r="BK1690" s="1"/>
      <c r="BL1690" s="1"/>
      <c r="BM1690" s="1"/>
      <c r="BN1690" s="1"/>
      <c r="BO1690" s="1"/>
      <c r="BP1690" s="1"/>
      <c r="BQ1690" s="1"/>
      <c r="BR1690" s="1"/>
      <c r="BS1690" s="1"/>
      <c r="BT1690" s="1"/>
      <c r="BU1690" s="1"/>
      <c r="BV1690" s="1"/>
      <c r="BW1690" s="1"/>
      <c r="BX1690" s="1"/>
      <c r="BY1690" s="1"/>
      <c r="BZ1690" s="1"/>
      <c r="CA1690" s="1"/>
      <c r="CB1690" s="1"/>
      <c r="CC1690" s="1"/>
      <c r="CD1690" s="1"/>
      <c r="CE1690" s="1"/>
      <c r="CF1690" s="1"/>
      <c r="CG1690" s="1"/>
      <c r="CH1690" s="1"/>
      <c r="CI1690" s="1"/>
      <c r="CJ1690" s="1"/>
      <c r="CK1690" s="1"/>
      <c r="CL1690" s="1"/>
      <c r="CM1690" s="1"/>
      <c r="CN1690" s="1"/>
      <c r="CO1690" s="1"/>
      <c r="CP1690" s="1"/>
      <c r="CQ1690" s="1"/>
      <c r="CR1690" s="1"/>
      <c r="CS1690" s="1"/>
      <c r="CT1690" s="1"/>
      <c r="CU1690" s="1"/>
      <c r="CV1690" s="1"/>
      <c r="CW1690" s="1"/>
      <c r="CX1690" s="1"/>
      <c r="CY1690" s="1"/>
      <c r="CZ1690" s="1"/>
      <c r="DA1690" s="1"/>
      <c r="DB1690" s="1"/>
      <c r="DC1690" s="1"/>
    </row>
    <row r="1691" spans="1:107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  <c r="AS1691" s="1"/>
      <c r="AT1691" s="1"/>
      <c r="AU1691" s="1"/>
      <c r="AV1691" s="1"/>
      <c r="AW1691" s="1"/>
      <c r="AX1691" s="1"/>
      <c r="AY1691" s="1"/>
      <c r="AZ1691" s="1"/>
      <c r="BA1691" s="1"/>
      <c r="BB1691" s="1"/>
      <c r="BC1691" s="1"/>
      <c r="BD1691" s="1"/>
      <c r="BE1691" s="1"/>
      <c r="BF1691" s="1"/>
      <c r="BG1691" s="1"/>
      <c r="BH1691" s="1"/>
      <c r="BI1691" s="1"/>
      <c r="BJ1691" s="1"/>
      <c r="BK1691" s="1"/>
      <c r="BL1691" s="1"/>
      <c r="BM1691" s="1"/>
      <c r="BN1691" s="1"/>
      <c r="BO1691" s="1"/>
      <c r="BP1691" s="1"/>
      <c r="BQ1691" s="1"/>
      <c r="BR1691" s="1"/>
      <c r="BS1691" s="1"/>
      <c r="BT1691" s="1"/>
      <c r="BU1691" s="1"/>
      <c r="BV1691" s="1"/>
      <c r="BW1691" s="1"/>
      <c r="BX1691" s="1"/>
      <c r="BY1691" s="1"/>
      <c r="BZ1691" s="1"/>
      <c r="CA1691" s="1"/>
      <c r="CB1691" s="1"/>
      <c r="CC1691" s="1"/>
      <c r="CD1691" s="1"/>
      <c r="CE1691" s="1"/>
      <c r="CF1691" s="1"/>
      <c r="CG1691" s="1"/>
      <c r="CH1691" s="1"/>
      <c r="CI1691" s="1"/>
      <c r="CJ1691" s="1"/>
      <c r="CK1691" s="1"/>
      <c r="CL1691" s="1"/>
      <c r="CM1691" s="1"/>
      <c r="CN1691" s="1"/>
      <c r="CO1691" s="1"/>
      <c r="CP1691" s="1"/>
      <c r="CQ1691" s="1"/>
      <c r="CR1691" s="1"/>
      <c r="CS1691" s="1"/>
      <c r="CT1691" s="1"/>
      <c r="CU1691" s="1"/>
      <c r="CV1691" s="1"/>
      <c r="CW1691" s="1"/>
      <c r="CX1691" s="1"/>
      <c r="CY1691" s="1"/>
      <c r="CZ1691" s="1"/>
      <c r="DA1691" s="1"/>
      <c r="DB1691" s="1"/>
      <c r="DC1691" s="1"/>
    </row>
    <row r="1692" spans="1:107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1"/>
      <c r="AR1692" s="1"/>
      <c r="AS1692" s="1"/>
      <c r="AT1692" s="1"/>
      <c r="AU1692" s="1"/>
      <c r="AV1692" s="1"/>
      <c r="AW1692" s="1"/>
      <c r="AX1692" s="1"/>
      <c r="AY1692" s="1"/>
      <c r="AZ1692" s="1"/>
      <c r="BA1692" s="1"/>
      <c r="BB1692" s="1"/>
      <c r="BC1692" s="1"/>
      <c r="BD1692" s="1"/>
      <c r="BE1692" s="1"/>
      <c r="BF1692" s="1"/>
      <c r="BG1692" s="1"/>
      <c r="BH1692" s="1"/>
      <c r="BI1692" s="1"/>
      <c r="BJ1692" s="1"/>
      <c r="BK1692" s="1"/>
      <c r="BL1692" s="1"/>
      <c r="BM1692" s="1"/>
      <c r="BN1692" s="1"/>
      <c r="BO1692" s="1"/>
      <c r="BP1692" s="1"/>
      <c r="BQ1692" s="1"/>
      <c r="BR1692" s="1"/>
      <c r="BS1692" s="1"/>
      <c r="BT1692" s="1"/>
      <c r="BU1692" s="1"/>
      <c r="BV1692" s="1"/>
      <c r="BW1692" s="1"/>
      <c r="BX1692" s="1"/>
      <c r="BY1692" s="1"/>
      <c r="BZ1692" s="1"/>
      <c r="CA1692" s="1"/>
      <c r="CB1692" s="1"/>
      <c r="CC1692" s="1"/>
      <c r="CD1692" s="1"/>
      <c r="CE1692" s="1"/>
      <c r="CF1692" s="1"/>
      <c r="CG1692" s="1"/>
      <c r="CH1692" s="1"/>
      <c r="CI1692" s="1"/>
      <c r="CJ1692" s="1"/>
      <c r="CK1692" s="1"/>
      <c r="CL1692" s="1"/>
      <c r="CM1692" s="1"/>
      <c r="CN1692" s="1"/>
      <c r="CO1692" s="1"/>
      <c r="CP1692" s="1"/>
      <c r="CQ1692" s="1"/>
      <c r="CR1692" s="1"/>
      <c r="CS1692" s="1"/>
      <c r="CT1692" s="1"/>
      <c r="CU1692" s="1"/>
      <c r="CV1692" s="1"/>
      <c r="CW1692" s="1"/>
      <c r="CX1692" s="1"/>
      <c r="CY1692" s="1"/>
      <c r="CZ1692" s="1"/>
      <c r="DA1692" s="1"/>
      <c r="DB1692" s="1"/>
      <c r="DC1692" s="1"/>
    </row>
    <row r="1693" spans="1:107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AW1693" s="1"/>
      <c r="AX1693" s="1"/>
      <c r="AY1693" s="1"/>
      <c r="AZ1693" s="1"/>
      <c r="BA1693" s="1"/>
      <c r="BB1693" s="1"/>
      <c r="BC1693" s="1"/>
      <c r="BD1693" s="1"/>
      <c r="BE1693" s="1"/>
      <c r="BF1693" s="1"/>
      <c r="BG1693" s="1"/>
      <c r="BH1693" s="1"/>
      <c r="BI1693" s="1"/>
      <c r="BJ1693" s="1"/>
      <c r="BK1693" s="1"/>
      <c r="BL1693" s="1"/>
      <c r="BM1693" s="1"/>
      <c r="BN1693" s="1"/>
      <c r="BO1693" s="1"/>
      <c r="BP1693" s="1"/>
      <c r="BQ1693" s="1"/>
      <c r="BR1693" s="1"/>
      <c r="BS1693" s="1"/>
      <c r="BT1693" s="1"/>
      <c r="BU1693" s="1"/>
      <c r="BV1693" s="1"/>
      <c r="BW1693" s="1"/>
      <c r="BX1693" s="1"/>
      <c r="BY1693" s="1"/>
      <c r="BZ1693" s="1"/>
      <c r="CA1693" s="1"/>
      <c r="CB1693" s="1"/>
      <c r="CC1693" s="1"/>
      <c r="CD1693" s="1"/>
      <c r="CE1693" s="1"/>
      <c r="CF1693" s="1"/>
      <c r="CG1693" s="1"/>
      <c r="CH1693" s="1"/>
      <c r="CI1693" s="1"/>
      <c r="CJ1693" s="1"/>
      <c r="CK1693" s="1"/>
      <c r="CL1693" s="1"/>
      <c r="CM1693" s="1"/>
      <c r="CN1693" s="1"/>
      <c r="CO1693" s="1"/>
      <c r="CP1693" s="1"/>
      <c r="CQ1693" s="1"/>
      <c r="CR1693" s="1"/>
      <c r="CS1693" s="1"/>
      <c r="CT1693" s="1"/>
      <c r="CU1693" s="1"/>
      <c r="CV1693" s="1"/>
      <c r="CW1693" s="1"/>
      <c r="CX1693" s="1"/>
      <c r="CY1693" s="1"/>
      <c r="CZ1693" s="1"/>
      <c r="DA1693" s="1"/>
      <c r="DB1693" s="1"/>
      <c r="DC1693" s="1"/>
    </row>
    <row r="1694" spans="1:107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/>
      <c r="AX1694" s="1"/>
      <c r="AY1694" s="1"/>
      <c r="AZ1694" s="1"/>
      <c r="BA1694" s="1"/>
      <c r="BB1694" s="1"/>
      <c r="BC1694" s="1"/>
      <c r="BD1694" s="1"/>
      <c r="BE1694" s="1"/>
      <c r="BF1694" s="1"/>
      <c r="BG1694" s="1"/>
      <c r="BH1694" s="1"/>
      <c r="BI1694" s="1"/>
      <c r="BJ1694" s="1"/>
      <c r="BK1694" s="1"/>
      <c r="BL1694" s="1"/>
      <c r="BM1694" s="1"/>
      <c r="BN1694" s="1"/>
      <c r="BO1694" s="1"/>
      <c r="BP1694" s="1"/>
      <c r="BQ1694" s="1"/>
      <c r="BR1694" s="1"/>
      <c r="BS1694" s="1"/>
      <c r="BT1694" s="1"/>
      <c r="BU1694" s="1"/>
      <c r="BV1694" s="1"/>
      <c r="BW1694" s="1"/>
      <c r="BX1694" s="1"/>
      <c r="BY1694" s="1"/>
      <c r="BZ1694" s="1"/>
      <c r="CA1694" s="1"/>
      <c r="CB1694" s="1"/>
      <c r="CC1694" s="1"/>
      <c r="CD1694" s="1"/>
      <c r="CE1694" s="1"/>
      <c r="CF1694" s="1"/>
      <c r="CG1694" s="1"/>
      <c r="CH1694" s="1"/>
      <c r="CI1694" s="1"/>
      <c r="CJ1694" s="1"/>
      <c r="CK1694" s="1"/>
      <c r="CL1694" s="1"/>
      <c r="CM1694" s="1"/>
      <c r="CN1694" s="1"/>
      <c r="CO1694" s="1"/>
      <c r="CP1694" s="1"/>
      <c r="CQ1694" s="1"/>
      <c r="CR1694" s="1"/>
      <c r="CS1694" s="1"/>
      <c r="CT1694" s="1"/>
      <c r="CU1694" s="1"/>
      <c r="CV1694" s="1"/>
      <c r="CW1694" s="1"/>
      <c r="CX1694" s="1"/>
      <c r="CY1694" s="1"/>
      <c r="CZ1694" s="1"/>
      <c r="DA1694" s="1"/>
      <c r="DB1694" s="1"/>
      <c r="DC1694" s="1"/>
    </row>
    <row r="1695" spans="1:107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/>
      <c r="AX1695" s="1"/>
      <c r="AY1695" s="1"/>
      <c r="AZ1695" s="1"/>
      <c r="BA1695" s="1"/>
      <c r="BB1695" s="1"/>
      <c r="BC1695" s="1"/>
      <c r="BD1695" s="1"/>
      <c r="BE1695" s="1"/>
      <c r="BF1695" s="1"/>
      <c r="BG1695" s="1"/>
      <c r="BH1695" s="1"/>
      <c r="BI1695" s="1"/>
      <c r="BJ1695" s="1"/>
      <c r="BK1695" s="1"/>
      <c r="BL1695" s="1"/>
      <c r="BM1695" s="1"/>
      <c r="BN1695" s="1"/>
      <c r="BO1695" s="1"/>
      <c r="BP1695" s="1"/>
      <c r="BQ1695" s="1"/>
      <c r="BR1695" s="1"/>
      <c r="BS1695" s="1"/>
      <c r="BT1695" s="1"/>
      <c r="BU1695" s="1"/>
      <c r="BV1695" s="1"/>
      <c r="BW1695" s="1"/>
      <c r="BX1695" s="1"/>
      <c r="BY1695" s="1"/>
      <c r="BZ1695" s="1"/>
      <c r="CA1695" s="1"/>
      <c r="CB1695" s="1"/>
      <c r="CC1695" s="1"/>
      <c r="CD1695" s="1"/>
      <c r="CE1695" s="1"/>
      <c r="CF1695" s="1"/>
      <c r="CG1695" s="1"/>
      <c r="CH1695" s="1"/>
      <c r="CI1695" s="1"/>
      <c r="CJ1695" s="1"/>
      <c r="CK1695" s="1"/>
      <c r="CL1695" s="1"/>
      <c r="CM1695" s="1"/>
      <c r="CN1695" s="1"/>
      <c r="CO1695" s="1"/>
      <c r="CP1695" s="1"/>
      <c r="CQ1695" s="1"/>
      <c r="CR1695" s="1"/>
      <c r="CS1695" s="1"/>
      <c r="CT1695" s="1"/>
      <c r="CU1695" s="1"/>
      <c r="CV1695" s="1"/>
      <c r="CW1695" s="1"/>
      <c r="CX1695" s="1"/>
      <c r="CY1695" s="1"/>
      <c r="CZ1695" s="1"/>
      <c r="DA1695" s="1"/>
      <c r="DB1695" s="1"/>
      <c r="DC1695" s="1"/>
    </row>
    <row r="1696" spans="1:107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/>
      <c r="AW1696" s="1"/>
      <c r="AX1696" s="1"/>
      <c r="AY1696" s="1"/>
      <c r="AZ1696" s="1"/>
      <c r="BA1696" s="1"/>
      <c r="BB1696" s="1"/>
      <c r="BC1696" s="1"/>
      <c r="BD1696" s="1"/>
      <c r="BE1696" s="1"/>
      <c r="BF1696" s="1"/>
      <c r="BG1696" s="1"/>
      <c r="BH1696" s="1"/>
      <c r="BI1696" s="1"/>
      <c r="BJ1696" s="1"/>
      <c r="BK1696" s="1"/>
      <c r="BL1696" s="1"/>
      <c r="BM1696" s="1"/>
      <c r="BN1696" s="1"/>
      <c r="BO1696" s="1"/>
      <c r="BP1696" s="1"/>
      <c r="BQ1696" s="1"/>
      <c r="BR1696" s="1"/>
      <c r="BS1696" s="1"/>
      <c r="BT1696" s="1"/>
      <c r="BU1696" s="1"/>
      <c r="BV1696" s="1"/>
      <c r="BW1696" s="1"/>
      <c r="BX1696" s="1"/>
      <c r="BY1696" s="1"/>
      <c r="BZ1696" s="1"/>
      <c r="CA1696" s="1"/>
      <c r="CB1696" s="1"/>
      <c r="CC1696" s="1"/>
      <c r="CD1696" s="1"/>
      <c r="CE1696" s="1"/>
      <c r="CF1696" s="1"/>
      <c r="CG1696" s="1"/>
      <c r="CH1696" s="1"/>
      <c r="CI1696" s="1"/>
      <c r="CJ1696" s="1"/>
      <c r="CK1696" s="1"/>
      <c r="CL1696" s="1"/>
      <c r="CM1696" s="1"/>
      <c r="CN1696" s="1"/>
      <c r="CO1696" s="1"/>
      <c r="CP1696" s="1"/>
      <c r="CQ1696" s="1"/>
      <c r="CR1696" s="1"/>
      <c r="CS1696" s="1"/>
      <c r="CT1696" s="1"/>
      <c r="CU1696" s="1"/>
      <c r="CV1696" s="1"/>
      <c r="CW1696" s="1"/>
      <c r="CX1696" s="1"/>
      <c r="CY1696" s="1"/>
      <c r="CZ1696" s="1"/>
      <c r="DA1696" s="1"/>
      <c r="DB1696" s="1"/>
      <c r="DC1696" s="1"/>
    </row>
    <row r="1697" spans="1:107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/>
      <c r="AW1697" s="1"/>
      <c r="AX1697" s="1"/>
      <c r="AY1697" s="1"/>
      <c r="AZ1697" s="1"/>
      <c r="BA1697" s="1"/>
      <c r="BB1697" s="1"/>
      <c r="BC1697" s="1"/>
      <c r="BD1697" s="1"/>
      <c r="BE1697" s="1"/>
      <c r="BF1697" s="1"/>
      <c r="BG1697" s="1"/>
      <c r="BH1697" s="1"/>
      <c r="BI1697" s="1"/>
      <c r="BJ1697" s="1"/>
      <c r="BK1697" s="1"/>
      <c r="BL1697" s="1"/>
      <c r="BM1697" s="1"/>
      <c r="BN1697" s="1"/>
      <c r="BO1697" s="1"/>
      <c r="BP1697" s="1"/>
      <c r="BQ1697" s="1"/>
      <c r="BR1697" s="1"/>
      <c r="BS1697" s="1"/>
      <c r="BT1697" s="1"/>
      <c r="BU1697" s="1"/>
      <c r="BV1697" s="1"/>
      <c r="BW1697" s="1"/>
      <c r="BX1697" s="1"/>
      <c r="BY1697" s="1"/>
      <c r="BZ1697" s="1"/>
      <c r="CA1697" s="1"/>
      <c r="CB1697" s="1"/>
      <c r="CC1697" s="1"/>
      <c r="CD1697" s="1"/>
      <c r="CE1697" s="1"/>
      <c r="CF1697" s="1"/>
      <c r="CG1697" s="1"/>
      <c r="CH1697" s="1"/>
      <c r="CI1697" s="1"/>
      <c r="CJ1697" s="1"/>
      <c r="CK1697" s="1"/>
      <c r="CL1697" s="1"/>
      <c r="CM1697" s="1"/>
      <c r="CN1697" s="1"/>
      <c r="CO1697" s="1"/>
      <c r="CP1697" s="1"/>
      <c r="CQ1697" s="1"/>
      <c r="CR1697" s="1"/>
      <c r="CS1697" s="1"/>
      <c r="CT1697" s="1"/>
      <c r="CU1697" s="1"/>
      <c r="CV1697" s="1"/>
      <c r="CW1697" s="1"/>
      <c r="CX1697" s="1"/>
      <c r="CY1697" s="1"/>
      <c r="CZ1697" s="1"/>
      <c r="DA1697" s="1"/>
      <c r="DB1697" s="1"/>
      <c r="DC1697" s="1"/>
    </row>
    <row r="1698" spans="1:107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  <c r="AR1698" s="1"/>
      <c r="AS1698" s="1"/>
      <c r="AT1698" s="1"/>
      <c r="AU1698" s="1"/>
      <c r="AV1698" s="1"/>
      <c r="AW1698" s="1"/>
      <c r="AX1698" s="1"/>
      <c r="AY1698" s="1"/>
      <c r="AZ1698" s="1"/>
      <c r="BA1698" s="1"/>
      <c r="BB1698" s="1"/>
      <c r="BC1698" s="1"/>
      <c r="BD1698" s="1"/>
      <c r="BE1698" s="1"/>
      <c r="BF1698" s="1"/>
      <c r="BG1698" s="1"/>
      <c r="BH1698" s="1"/>
      <c r="BI1698" s="1"/>
      <c r="BJ1698" s="1"/>
      <c r="BK1698" s="1"/>
      <c r="BL1698" s="1"/>
      <c r="BM1698" s="1"/>
      <c r="BN1698" s="1"/>
      <c r="BO1698" s="1"/>
      <c r="BP1698" s="1"/>
      <c r="BQ1698" s="1"/>
      <c r="BR1698" s="1"/>
      <c r="BS1698" s="1"/>
      <c r="BT1698" s="1"/>
      <c r="BU1698" s="1"/>
      <c r="BV1698" s="1"/>
      <c r="BW1698" s="1"/>
      <c r="BX1698" s="1"/>
      <c r="BY1698" s="1"/>
      <c r="BZ1698" s="1"/>
      <c r="CA1698" s="1"/>
      <c r="CB1698" s="1"/>
      <c r="CC1698" s="1"/>
      <c r="CD1698" s="1"/>
      <c r="CE1698" s="1"/>
      <c r="CF1698" s="1"/>
      <c r="CG1698" s="1"/>
      <c r="CH1698" s="1"/>
      <c r="CI1698" s="1"/>
      <c r="CJ1698" s="1"/>
      <c r="CK1698" s="1"/>
      <c r="CL1698" s="1"/>
      <c r="CM1698" s="1"/>
      <c r="CN1698" s="1"/>
      <c r="CO1698" s="1"/>
      <c r="CP1698" s="1"/>
      <c r="CQ1698" s="1"/>
      <c r="CR1698" s="1"/>
      <c r="CS1698" s="1"/>
      <c r="CT1698" s="1"/>
      <c r="CU1698" s="1"/>
      <c r="CV1698" s="1"/>
      <c r="CW1698" s="1"/>
      <c r="CX1698" s="1"/>
      <c r="CY1698" s="1"/>
      <c r="CZ1698" s="1"/>
      <c r="DA1698" s="1"/>
      <c r="DB1698" s="1"/>
      <c r="DC1698" s="1"/>
    </row>
    <row r="1699" spans="1:107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  <c r="AS1699" s="1"/>
      <c r="AT1699" s="1"/>
      <c r="AU1699" s="1"/>
      <c r="AV1699" s="1"/>
      <c r="AW1699" s="1"/>
      <c r="AX1699" s="1"/>
      <c r="AY1699" s="1"/>
      <c r="AZ1699" s="1"/>
      <c r="BA1699" s="1"/>
      <c r="BB1699" s="1"/>
      <c r="BC1699" s="1"/>
      <c r="BD1699" s="1"/>
      <c r="BE1699" s="1"/>
      <c r="BF1699" s="1"/>
      <c r="BG1699" s="1"/>
      <c r="BH1699" s="1"/>
      <c r="BI1699" s="1"/>
      <c r="BJ1699" s="1"/>
      <c r="BK1699" s="1"/>
      <c r="BL1699" s="1"/>
      <c r="BM1699" s="1"/>
      <c r="BN1699" s="1"/>
      <c r="BO1699" s="1"/>
      <c r="BP1699" s="1"/>
      <c r="BQ1699" s="1"/>
      <c r="BR1699" s="1"/>
      <c r="BS1699" s="1"/>
      <c r="BT1699" s="1"/>
      <c r="BU1699" s="1"/>
      <c r="BV1699" s="1"/>
      <c r="BW1699" s="1"/>
      <c r="BX1699" s="1"/>
      <c r="BY1699" s="1"/>
      <c r="BZ1699" s="1"/>
      <c r="CA1699" s="1"/>
      <c r="CB1699" s="1"/>
      <c r="CC1699" s="1"/>
      <c r="CD1699" s="1"/>
      <c r="CE1699" s="1"/>
      <c r="CF1699" s="1"/>
      <c r="CG1699" s="1"/>
      <c r="CH1699" s="1"/>
      <c r="CI1699" s="1"/>
      <c r="CJ1699" s="1"/>
      <c r="CK1699" s="1"/>
      <c r="CL1699" s="1"/>
      <c r="CM1699" s="1"/>
      <c r="CN1699" s="1"/>
      <c r="CO1699" s="1"/>
      <c r="CP1699" s="1"/>
      <c r="CQ1699" s="1"/>
      <c r="CR1699" s="1"/>
      <c r="CS1699" s="1"/>
      <c r="CT1699" s="1"/>
      <c r="CU1699" s="1"/>
      <c r="CV1699" s="1"/>
      <c r="CW1699" s="1"/>
      <c r="CX1699" s="1"/>
      <c r="CY1699" s="1"/>
      <c r="CZ1699" s="1"/>
      <c r="DA1699" s="1"/>
      <c r="DB1699" s="1"/>
      <c r="DC1699" s="1"/>
    </row>
    <row r="1700" spans="1:107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/>
      <c r="AR1700" s="1"/>
      <c r="AS1700" s="1"/>
      <c r="AT1700" s="1"/>
      <c r="AU1700" s="1"/>
      <c r="AV1700" s="1"/>
      <c r="AW1700" s="1"/>
      <c r="AX1700" s="1"/>
      <c r="AY1700" s="1"/>
      <c r="AZ1700" s="1"/>
      <c r="BA1700" s="1"/>
      <c r="BB1700" s="1"/>
      <c r="BC1700" s="1"/>
      <c r="BD1700" s="1"/>
      <c r="BE1700" s="1"/>
      <c r="BF1700" s="1"/>
      <c r="BG1700" s="1"/>
      <c r="BH1700" s="1"/>
      <c r="BI1700" s="1"/>
      <c r="BJ1700" s="1"/>
      <c r="BK1700" s="1"/>
      <c r="BL1700" s="1"/>
      <c r="BM1700" s="1"/>
      <c r="BN1700" s="1"/>
      <c r="BO1700" s="1"/>
      <c r="BP1700" s="1"/>
      <c r="BQ1700" s="1"/>
      <c r="BR1700" s="1"/>
      <c r="BS1700" s="1"/>
      <c r="BT1700" s="1"/>
      <c r="BU1700" s="1"/>
      <c r="BV1700" s="1"/>
      <c r="BW1700" s="1"/>
      <c r="BX1700" s="1"/>
      <c r="BY1700" s="1"/>
      <c r="BZ1700" s="1"/>
      <c r="CA1700" s="1"/>
      <c r="CB1700" s="1"/>
      <c r="CC1700" s="1"/>
      <c r="CD1700" s="1"/>
      <c r="CE1700" s="1"/>
      <c r="CF1700" s="1"/>
      <c r="CG1700" s="1"/>
      <c r="CH1700" s="1"/>
      <c r="CI1700" s="1"/>
      <c r="CJ1700" s="1"/>
      <c r="CK1700" s="1"/>
      <c r="CL1700" s="1"/>
      <c r="CM1700" s="1"/>
      <c r="CN1700" s="1"/>
      <c r="CO1700" s="1"/>
      <c r="CP1700" s="1"/>
      <c r="CQ1700" s="1"/>
      <c r="CR1700" s="1"/>
      <c r="CS1700" s="1"/>
      <c r="CT1700" s="1"/>
      <c r="CU1700" s="1"/>
      <c r="CV1700" s="1"/>
      <c r="CW1700" s="1"/>
      <c r="CX1700" s="1"/>
      <c r="CY1700" s="1"/>
      <c r="CZ1700" s="1"/>
      <c r="DA1700" s="1"/>
      <c r="DB1700" s="1"/>
      <c r="DC1700" s="1"/>
    </row>
    <row r="1701" spans="1:107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  <c r="AS1701" s="1"/>
      <c r="AT1701" s="1"/>
      <c r="AU1701" s="1"/>
      <c r="AV1701" s="1"/>
      <c r="AW1701" s="1"/>
      <c r="AX1701" s="1"/>
      <c r="AY1701" s="1"/>
      <c r="AZ1701" s="1"/>
      <c r="BA1701" s="1"/>
      <c r="BB1701" s="1"/>
      <c r="BC1701" s="1"/>
      <c r="BD1701" s="1"/>
      <c r="BE1701" s="1"/>
      <c r="BF1701" s="1"/>
      <c r="BG1701" s="1"/>
      <c r="BH1701" s="1"/>
      <c r="BI1701" s="1"/>
      <c r="BJ1701" s="1"/>
      <c r="BK1701" s="1"/>
      <c r="BL1701" s="1"/>
      <c r="BM1701" s="1"/>
      <c r="BN1701" s="1"/>
      <c r="BO1701" s="1"/>
      <c r="BP1701" s="1"/>
      <c r="BQ1701" s="1"/>
      <c r="BR1701" s="1"/>
      <c r="BS1701" s="1"/>
      <c r="BT1701" s="1"/>
      <c r="BU1701" s="1"/>
      <c r="BV1701" s="1"/>
      <c r="BW1701" s="1"/>
      <c r="BX1701" s="1"/>
      <c r="BY1701" s="1"/>
      <c r="BZ1701" s="1"/>
      <c r="CA1701" s="1"/>
      <c r="CB1701" s="1"/>
      <c r="CC1701" s="1"/>
      <c r="CD1701" s="1"/>
      <c r="CE1701" s="1"/>
      <c r="CF1701" s="1"/>
      <c r="CG1701" s="1"/>
      <c r="CH1701" s="1"/>
      <c r="CI1701" s="1"/>
      <c r="CJ1701" s="1"/>
      <c r="CK1701" s="1"/>
      <c r="CL1701" s="1"/>
      <c r="CM1701" s="1"/>
      <c r="CN1701" s="1"/>
      <c r="CO1701" s="1"/>
      <c r="CP1701" s="1"/>
      <c r="CQ1701" s="1"/>
      <c r="CR1701" s="1"/>
      <c r="CS1701" s="1"/>
      <c r="CT1701" s="1"/>
      <c r="CU1701" s="1"/>
      <c r="CV1701" s="1"/>
      <c r="CW1701" s="1"/>
      <c r="CX1701" s="1"/>
      <c r="CY1701" s="1"/>
      <c r="CZ1701" s="1"/>
      <c r="DA1701" s="1"/>
      <c r="DB1701" s="1"/>
      <c r="DC1701" s="1"/>
    </row>
    <row r="1702" spans="1:107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AW1702" s="1"/>
      <c r="AX1702" s="1"/>
      <c r="AY1702" s="1"/>
      <c r="AZ1702" s="1"/>
      <c r="BA1702" s="1"/>
      <c r="BB1702" s="1"/>
      <c r="BC1702" s="1"/>
      <c r="BD1702" s="1"/>
      <c r="BE1702" s="1"/>
      <c r="BF1702" s="1"/>
      <c r="BG1702" s="1"/>
      <c r="BH1702" s="1"/>
      <c r="BI1702" s="1"/>
      <c r="BJ1702" s="1"/>
      <c r="BK1702" s="1"/>
      <c r="BL1702" s="1"/>
      <c r="BM1702" s="1"/>
      <c r="BN1702" s="1"/>
      <c r="BO1702" s="1"/>
      <c r="BP1702" s="1"/>
      <c r="BQ1702" s="1"/>
      <c r="BR1702" s="1"/>
      <c r="BS1702" s="1"/>
      <c r="BT1702" s="1"/>
      <c r="BU1702" s="1"/>
      <c r="BV1702" s="1"/>
      <c r="BW1702" s="1"/>
      <c r="BX1702" s="1"/>
      <c r="BY1702" s="1"/>
      <c r="BZ1702" s="1"/>
      <c r="CA1702" s="1"/>
      <c r="CB1702" s="1"/>
      <c r="CC1702" s="1"/>
      <c r="CD1702" s="1"/>
      <c r="CE1702" s="1"/>
      <c r="CF1702" s="1"/>
      <c r="CG1702" s="1"/>
      <c r="CH1702" s="1"/>
      <c r="CI1702" s="1"/>
      <c r="CJ1702" s="1"/>
      <c r="CK1702" s="1"/>
      <c r="CL1702" s="1"/>
      <c r="CM1702" s="1"/>
      <c r="CN1702" s="1"/>
      <c r="CO1702" s="1"/>
      <c r="CP1702" s="1"/>
      <c r="CQ1702" s="1"/>
      <c r="CR1702" s="1"/>
      <c r="CS1702" s="1"/>
      <c r="CT1702" s="1"/>
      <c r="CU1702" s="1"/>
      <c r="CV1702" s="1"/>
      <c r="CW1702" s="1"/>
      <c r="CX1702" s="1"/>
      <c r="CY1702" s="1"/>
      <c r="CZ1702" s="1"/>
      <c r="DA1702" s="1"/>
      <c r="DB1702" s="1"/>
      <c r="DC1702" s="1"/>
    </row>
    <row r="1703" spans="1:107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  <c r="AS1703" s="1"/>
      <c r="AT1703" s="1"/>
      <c r="AU1703" s="1"/>
      <c r="AV1703" s="1"/>
      <c r="AW1703" s="1"/>
      <c r="AX1703" s="1"/>
      <c r="AY1703" s="1"/>
      <c r="AZ1703" s="1"/>
      <c r="BA1703" s="1"/>
      <c r="BB1703" s="1"/>
      <c r="BC1703" s="1"/>
      <c r="BD1703" s="1"/>
      <c r="BE1703" s="1"/>
      <c r="BF1703" s="1"/>
      <c r="BG1703" s="1"/>
      <c r="BH1703" s="1"/>
      <c r="BI1703" s="1"/>
      <c r="BJ1703" s="1"/>
      <c r="BK1703" s="1"/>
      <c r="BL1703" s="1"/>
      <c r="BM1703" s="1"/>
      <c r="BN1703" s="1"/>
      <c r="BO1703" s="1"/>
      <c r="BP1703" s="1"/>
      <c r="BQ1703" s="1"/>
      <c r="BR1703" s="1"/>
      <c r="BS1703" s="1"/>
      <c r="BT1703" s="1"/>
      <c r="BU1703" s="1"/>
      <c r="BV1703" s="1"/>
      <c r="BW1703" s="1"/>
      <c r="BX1703" s="1"/>
      <c r="BY1703" s="1"/>
      <c r="BZ1703" s="1"/>
      <c r="CA1703" s="1"/>
      <c r="CB1703" s="1"/>
      <c r="CC1703" s="1"/>
      <c r="CD1703" s="1"/>
      <c r="CE1703" s="1"/>
      <c r="CF1703" s="1"/>
      <c r="CG1703" s="1"/>
      <c r="CH1703" s="1"/>
      <c r="CI1703" s="1"/>
      <c r="CJ1703" s="1"/>
      <c r="CK1703" s="1"/>
      <c r="CL1703" s="1"/>
      <c r="CM1703" s="1"/>
      <c r="CN1703" s="1"/>
      <c r="CO1703" s="1"/>
      <c r="CP1703" s="1"/>
      <c r="CQ1703" s="1"/>
      <c r="CR1703" s="1"/>
      <c r="CS1703" s="1"/>
      <c r="CT1703" s="1"/>
      <c r="CU1703" s="1"/>
      <c r="CV1703" s="1"/>
      <c r="CW1703" s="1"/>
      <c r="CX1703" s="1"/>
      <c r="CY1703" s="1"/>
      <c r="CZ1703" s="1"/>
      <c r="DA1703" s="1"/>
      <c r="DB1703" s="1"/>
      <c r="DC1703" s="1"/>
    </row>
    <row r="1704" spans="1:107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  <c r="AS1704" s="1"/>
      <c r="AT1704" s="1"/>
      <c r="AU1704" s="1"/>
      <c r="AV1704" s="1"/>
      <c r="AW1704" s="1"/>
      <c r="AX1704" s="1"/>
      <c r="AY1704" s="1"/>
      <c r="AZ1704" s="1"/>
      <c r="BA1704" s="1"/>
      <c r="BB1704" s="1"/>
      <c r="BC1704" s="1"/>
      <c r="BD1704" s="1"/>
      <c r="BE1704" s="1"/>
      <c r="BF1704" s="1"/>
      <c r="BG1704" s="1"/>
      <c r="BH1704" s="1"/>
      <c r="BI1704" s="1"/>
      <c r="BJ1704" s="1"/>
      <c r="BK1704" s="1"/>
      <c r="BL1704" s="1"/>
      <c r="BM1704" s="1"/>
      <c r="BN1704" s="1"/>
      <c r="BO1704" s="1"/>
      <c r="BP1704" s="1"/>
      <c r="BQ1704" s="1"/>
      <c r="BR1704" s="1"/>
      <c r="BS1704" s="1"/>
      <c r="BT1704" s="1"/>
      <c r="BU1704" s="1"/>
      <c r="BV1704" s="1"/>
      <c r="BW1704" s="1"/>
      <c r="BX1704" s="1"/>
      <c r="BY1704" s="1"/>
      <c r="BZ1704" s="1"/>
      <c r="CA1704" s="1"/>
      <c r="CB1704" s="1"/>
      <c r="CC1704" s="1"/>
      <c r="CD1704" s="1"/>
      <c r="CE1704" s="1"/>
      <c r="CF1704" s="1"/>
      <c r="CG1704" s="1"/>
      <c r="CH1704" s="1"/>
      <c r="CI1704" s="1"/>
      <c r="CJ1704" s="1"/>
      <c r="CK1704" s="1"/>
      <c r="CL1704" s="1"/>
      <c r="CM1704" s="1"/>
      <c r="CN1704" s="1"/>
      <c r="CO1704" s="1"/>
      <c r="CP1704" s="1"/>
      <c r="CQ1704" s="1"/>
      <c r="CR1704" s="1"/>
      <c r="CS1704" s="1"/>
      <c r="CT1704" s="1"/>
      <c r="CU1704" s="1"/>
      <c r="CV1704" s="1"/>
      <c r="CW1704" s="1"/>
      <c r="CX1704" s="1"/>
      <c r="CY1704" s="1"/>
      <c r="CZ1704" s="1"/>
      <c r="DA1704" s="1"/>
      <c r="DB1704" s="1"/>
      <c r="DC1704" s="1"/>
    </row>
    <row r="1705" spans="1:107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AW1705" s="1"/>
      <c r="AX1705" s="1"/>
      <c r="AY1705" s="1"/>
      <c r="AZ1705" s="1"/>
      <c r="BA1705" s="1"/>
      <c r="BB1705" s="1"/>
      <c r="BC1705" s="1"/>
      <c r="BD1705" s="1"/>
      <c r="BE1705" s="1"/>
      <c r="BF1705" s="1"/>
      <c r="BG1705" s="1"/>
      <c r="BH1705" s="1"/>
      <c r="BI1705" s="1"/>
      <c r="BJ1705" s="1"/>
      <c r="BK1705" s="1"/>
      <c r="BL1705" s="1"/>
      <c r="BM1705" s="1"/>
      <c r="BN1705" s="1"/>
      <c r="BO1705" s="1"/>
      <c r="BP1705" s="1"/>
      <c r="BQ1705" s="1"/>
      <c r="BR1705" s="1"/>
      <c r="BS1705" s="1"/>
      <c r="BT1705" s="1"/>
      <c r="BU1705" s="1"/>
      <c r="BV1705" s="1"/>
      <c r="BW1705" s="1"/>
      <c r="BX1705" s="1"/>
      <c r="BY1705" s="1"/>
      <c r="BZ1705" s="1"/>
      <c r="CA1705" s="1"/>
      <c r="CB1705" s="1"/>
      <c r="CC1705" s="1"/>
      <c r="CD1705" s="1"/>
      <c r="CE1705" s="1"/>
      <c r="CF1705" s="1"/>
      <c r="CG1705" s="1"/>
      <c r="CH1705" s="1"/>
      <c r="CI1705" s="1"/>
      <c r="CJ1705" s="1"/>
      <c r="CK1705" s="1"/>
      <c r="CL1705" s="1"/>
      <c r="CM1705" s="1"/>
      <c r="CN1705" s="1"/>
      <c r="CO1705" s="1"/>
      <c r="CP1705" s="1"/>
      <c r="CQ1705" s="1"/>
      <c r="CR1705" s="1"/>
      <c r="CS1705" s="1"/>
      <c r="CT1705" s="1"/>
      <c r="CU1705" s="1"/>
      <c r="CV1705" s="1"/>
      <c r="CW1705" s="1"/>
      <c r="CX1705" s="1"/>
      <c r="CY1705" s="1"/>
      <c r="CZ1705" s="1"/>
      <c r="DA1705" s="1"/>
      <c r="DB1705" s="1"/>
      <c r="DC1705" s="1"/>
    </row>
    <row r="1706" spans="1:107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  <c r="AS1706" s="1"/>
      <c r="AT1706" s="1"/>
      <c r="AU1706" s="1"/>
      <c r="AV1706" s="1"/>
      <c r="AW1706" s="1"/>
      <c r="AX1706" s="1"/>
      <c r="AY1706" s="1"/>
      <c r="AZ1706" s="1"/>
      <c r="BA1706" s="1"/>
      <c r="BB1706" s="1"/>
      <c r="BC1706" s="1"/>
      <c r="BD1706" s="1"/>
      <c r="BE1706" s="1"/>
      <c r="BF1706" s="1"/>
      <c r="BG1706" s="1"/>
      <c r="BH1706" s="1"/>
      <c r="BI1706" s="1"/>
      <c r="BJ1706" s="1"/>
      <c r="BK1706" s="1"/>
      <c r="BL1706" s="1"/>
      <c r="BM1706" s="1"/>
      <c r="BN1706" s="1"/>
      <c r="BO1706" s="1"/>
      <c r="BP1706" s="1"/>
      <c r="BQ1706" s="1"/>
      <c r="BR1706" s="1"/>
      <c r="BS1706" s="1"/>
      <c r="BT1706" s="1"/>
      <c r="BU1706" s="1"/>
      <c r="BV1706" s="1"/>
      <c r="BW1706" s="1"/>
      <c r="BX1706" s="1"/>
      <c r="BY1706" s="1"/>
      <c r="BZ1706" s="1"/>
      <c r="CA1706" s="1"/>
      <c r="CB1706" s="1"/>
      <c r="CC1706" s="1"/>
      <c r="CD1706" s="1"/>
      <c r="CE1706" s="1"/>
      <c r="CF1706" s="1"/>
      <c r="CG1706" s="1"/>
      <c r="CH1706" s="1"/>
      <c r="CI1706" s="1"/>
      <c r="CJ1706" s="1"/>
      <c r="CK1706" s="1"/>
      <c r="CL1706" s="1"/>
      <c r="CM1706" s="1"/>
      <c r="CN1706" s="1"/>
      <c r="CO1706" s="1"/>
      <c r="CP1706" s="1"/>
      <c r="CQ1706" s="1"/>
      <c r="CR1706" s="1"/>
      <c r="CS1706" s="1"/>
      <c r="CT1706" s="1"/>
      <c r="CU1706" s="1"/>
      <c r="CV1706" s="1"/>
      <c r="CW1706" s="1"/>
      <c r="CX1706" s="1"/>
      <c r="CY1706" s="1"/>
      <c r="CZ1706" s="1"/>
      <c r="DA1706" s="1"/>
      <c r="DB1706" s="1"/>
      <c r="DC1706" s="1"/>
    </row>
    <row r="1707" spans="1:107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  <c r="AR1707" s="1"/>
      <c r="AS1707" s="1"/>
      <c r="AT1707" s="1"/>
      <c r="AU1707" s="1"/>
      <c r="AV1707" s="1"/>
      <c r="AW1707" s="1"/>
      <c r="AX1707" s="1"/>
      <c r="AY1707" s="1"/>
      <c r="AZ1707" s="1"/>
      <c r="BA1707" s="1"/>
      <c r="BB1707" s="1"/>
      <c r="BC1707" s="1"/>
      <c r="BD1707" s="1"/>
      <c r="BE1707" s="1"/>
      <c r="BF1707" s="1"/>
      <c r="BG1707" s="1"/>
      <c r="BH1707" s="1"/>
      <c r="BI1707" s="1"/>
      <c r="BJ1707" s="1"/>
      <c r="BK1707" s="1"/>
      <c r="BL1707" s="1"/>
      <c r="BM1707" s="1"/>
      <c r="BN1707" s="1"/>
      <c r="BO1707" s="1"/>
      <c r="BP1707" s="1"/>
      <c r="BQ1707" s="1"/>
      <c r="BR1707" s="1"/>
      <c r="BS1707" s="1"/>
      <c r="BT1707" s="1"/>
      <c r="BU1707" s="1"/>
      <c r="BV1707" s="1"/>
      <c r="BW1707" s="1"/>
      <c r="BX1707" s="1"/>
      <c r="BY1707" s="1"/>
      <c r="BZ1707" s="1"/>
      <c r="CA1707" s="1"/>
      <c r="CB1707" s="1"/>
      <c r="CC1707" s="1"/>
      <c r="CD1707" s="1"/>
      <c r="CE1707" s="1"/>
      <c r="CF1707" s="1"/>
      <c r="CG1707" s="1"/>
      <c r="CH1707" s="1"/>
      <c r="CI1707" s="1"/>
      <c r="CJ1707" s="1"/>
      <c r="CK1707" s="1"/>
      <c r="CL1707" s="1"/>
      <c r="CM1707" s="1"/>
      <c r="CN1707" s="1"/>
      <c r="CO1707" s="1"/>
      <c r="CP1707" s="1"/>
      <c r="CQ1707" s="1"/>
      <c r="CR1707" s="1"/>
      <c r="CS1707" s="1"/>
      <c r="CT1707" s="1"/>
      <c r="CU1707" s="1"/>
      <c r="CV1707" s="1"/>
      <c r="CW1707" s="1"/>
      <c r="CX1707" s="1"/>
      <c r="CY1707" s="1"/>
      <c r="CZ1707" s="1"/>
      <c r="DA1707" s="1"/>
      <c r="DB1707" s="1"/>
      <c r="DC1707" s="1"/>
    </row>
    <row r="1708" spans="1:107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  <c r="AS1708" s="1"/>
      <c r="AT1708" s="1"/>
      <c r="AU1708" s="1"/>
      <c r="AV1708" s="1"/>
      <c r="AW1708" s="1"/>
      <c r="AX1708" s="1"/>
      <c r="AY1708" s="1"/>
      <c r="AZ1708" s="1"/>
      <c r="BA1708" s="1"/>
      <c r="BB1708" s="1"/>
      <c r="BC1708" s="1"/>
      <c r="BD1708" s="1"/>
      <c r="BE1708" s="1"/>
      <c r="BF1708" s="1"/>
      <c r="BG1708" s="1"/>
      <c r="BH1708" s="1"/>
      <c r="BI1708" s="1"/>
      <c r="BJ1708" s="1"/>
      <c r="BK1708" s="1"/>
      <c r="BL1708" s="1"/>
      <c r="BM1708" s="1"/>
      <c r="BN1708" s="1"/>
      <c r="BO1708" s="1"/>
      <c r="BP1708" s="1"/>
      <c r="BQ1708" s="1"/>
      <c r="BR1708" s="1"/>
      <c r="BS1708" s="1"/>
      <c r="BT1708" s="1"/>
      <c r="BU1708" s="1"/>
      <c r="BV1708" s="1"/>
      <c r="BW1708" s="1"/>
      <c r="BX1708" s="1"/>
      <c r="BY1708" s="1"/>
      <c r="BZ1708" s="1"/>
      <c r="CA1708" s="1"/>
      <c r="CB1708" s="1"/>
      <c r="CC1708" s="1"/>
      <c r="CD1708" s="1"/>
      <c r="CE1708" s="1"/>
      <c r="CF1708" s="1"/>
      <c r="CG1708" s="1"/>
      <c r="CH1708" s="1"/>
      <c r="CI1708" s="1"/>
      <c r="CJ1708" s="1"/>
      <c r="CK1708" s="1"/>
      <c r="CL1708" s="1"/>
      <c r="CM1708" s="1"/>
      <c r="CN1708" s="1"/>
      <c r="CO1708" s="1"/>
      <c r="CP1708" s="1"/>
      <c r="CQ1708" s="1"/>
      <c r="CR1708" s="1"/>
      <c r="CS1708" s="1"/>
      <c r="CT1708" s="1"/>
      <c r="CU1708" s="1"/>
      <c r="CV1708" s="1"/>
      <c r="CW1708" s="1"/>
      <c r="CX1708" s="1"/>
      <c r="CY1708" s="1"/>
      <c r="CZ1708" s="1"/>
      <c r="DA1708" s="1"/>
      <c r="DB1708" s="1"/>
      <c r="DC1708" s="1"/>
    </row>
    <row r="1709" spans="1:107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  <c r="AS1709" s="1"/>
      <c r="AT1709" s="1"/>
      <c r="AU1709" s="1"/>
      <c r="AV1709" s="1"/>
      <c r="AW1709" s="1"/>
      <c r="AX1709" s="1"/>
      <c r="AY1709" s="1"/>
      <c r="AZ1709" s="1"/>
      <c r="BA1709" s="1"/>
      <c r="BB1709" s="1"/>
      <c r="BC1709" s="1"/>
      <c r="BD1709" s="1"/>
      <c r="BE1709" s="1"/>
      <c r="BF1709" s="1"/>
      <c r="BG1709" s="1"/>
      <c r="BH1709" s="1"/>
      <c r="BI1709" s="1"/>
      <c r="BJ1709" s="1"/>
      <c r="BK1709" s="1"/>
      <c r="BL1709" s="1"/>
      <c r="BM1709" s="1"/>
      <c r="BN1709" s="1"/>
      <c r="BO1709" s="1"/>
      <c r="BP1709" s="1"/>
      <c r="BQ1709" s="1"/>
      <c r="BR1709" s="1"/>
      <c r="BS1709" s="1"/>
      <c r="BT1709" s="1"/>
      <c r="BU1709" s="1"/>
      <c r="BV1709" s="1"/>
      <c r="BW1709" s="1"/>
      <c r="BX1709" s="1"/>
      <c r="BY1709" s="1"/>
      <c r="BZ1709" s="1"/>
      <c r="CA1709" s="1"/>
      <c r="CB1709" s="1"/>
      <c r="CC1709" s="1"/>
      <c r="CD1709" s="1"/>
      <c r="CE1709" s="1"/>
      <c r="CF1709" s="1"/>
      <c r="CG1709" s="1"/>
      <c r="CH1709" s="1"/>
      <c r="CI1709" s="1"/>
      <c r="CJ1709" s="1"/>
      <c r="CK1709" s="1"/>
      <c r="CL1709" s="1"/>
      <c r="CM1709" s="1"/>
      <c r="CN1709" s="1"/>
      <c r="CO1709" s="1"/>
      <c r="CP1709" s="1"/>
      <c r="CQ1709" s="1"/>
      <c r="CR1709" s="1"/>
      <c r="CS1709" s="1"/>
      <c r="CT1709" s="1"/>
      <c r="CU1709" s="1"/>
      <c r="CV1709" s="1"/>
      <c r="CW1709" s="1"/>
      <c r="CX1709" s="1"/>
      <c r="CY1709" s="1"/>
      <c r="CZ1709" s="1"/>
      <c r="DA1709" s="1"/>
      <c r="DB1709" s="1"/>
      <c r="DC1709" s="1"/>
    </row>
    <row r="1710" spans="1:107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/>
      <c r="AW1710" s="1"/>
      <c r="AX1710" s="1"/>
      <c r="AY1710" s="1"/>
      <c r="AZ1710" s="1"/>
      <c r="BA1710" s="1"/>
      <c r="BB1710" s="1"/>
      <c r="BC1710" s="1"/>
      <c r="BD1710" s="1"/>
      <c r="BE1710" s="1"/>
      <c r="BF1710" s="1"/>
      <c r="BG1710" s="1"/>
      <c r="BH1710" s="1"/>
      <c r="BI1710" s="1"/>
      <c r="BJ1710" s="1"/>
      <c r="BK1710" s="1"/>
      <c r="BL1710" s="1"/>
      <c r="BM1710" s="1"/>
      <c r="BN1710" s="1"/>
      <c r="BO1710" s="1"/>
      <c r="BP1710" s="1"/>
      <c r="BQ1710" s="1"/>
      <c r="BR1710" s="1"/>
      <c r="BS1710" s="1"/>
      <c r="BT1710" s="1"/>
      <c r="BU1710" s="1"/>
      <c r="BV1710" s="1"/>
      <c r="BW1710" s="1"/>
      <c r="BX1710" s="1"/>
      <c r="BY1710" s="1"/>
      <c r="BZ1710" s="1"/>
      <c r="CA1710" s="1"/>
      <c r="CB1710" s="1"/>
      <c r="CC1710" s="1"/>
      <c r="CD1710" s="1"/>
      <c r="CE1710" s="1"/>
      <c r="CF1710" s="1"/>
      <c r="CG1710" s="1"/>
      <c r="CH1710" s="1"/>
      <c r="CI1710" s="1"/>
      <c r="CJ1710" s="1"/>
      <c r="CK1710" s="1"/>
      <c r="CL1710" s="1"/>
      <c r="CM1710" s="1"/>
      <c r="CN1710" s="1"/>
      <c r="CO1710" s="1"/>
      <c r="CP1710" s="1"/>
      <c r="CQ1710" s="1"/>
      <c r="CR1710" s="1"/>
      <c r="CS1710" s="1"/>
      <c r="CT1710" s="1"/>
      <c r="CU1710" s="1"/>
      <c r="CV1710" s="1"/>
      <c r="CW1710" s="1"/>
      <c r="CX1710" s="1"/>
      <c r="CY1710" s="1"/>
      <c r="CZ1710" s="1"/>
      <c r="DA1710" s="1"/>
      <c r="DB1710" s="1"/>
      <c r="DC1710" s="1"/>
    </row>
    <row r="1711" spans="1:107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AW1711" s="1"/>
      <c r="AX1711" s="1"/>
      <c r="AY1711" s="1"/>
      <c r="AZ1711" s="1"/>
      <c r="BA1711" s="1"/>
      <c r="BB1711" s="1"/>
      <c r="BC1711" s="1"/>
      <c r="BD1711" s="1"/>
      <c r="BE1711" s="1"/>
      <c r="BF1711" s="1"/>
      <c r="BG1711" s="1"/>
      <c r="BH1711" s="1"/>
      <c r="BI1711" s="1"/>
      <c r="BJ1711" s="1"/>
      <c r="BK1711" s="1"/>
      <c r="BL1711" s="1"/>
      <c r="BM1711" s="1"/>
      <c r="BN1711" s="1"/>
      <c r="BO1711" s="1"/>
      <c r="BP1711" s="1"/>
      <c r="BQ1711" s="1"/>
      <c r="BR1711" s="1"/>
      <c r="BS1711" s="1"/>
      <c r="BT1711" s="1"/>
      <c r="BU1711" s="1"/>
      <c r="BV1711" s="1"/>
      <c r="BW1711" s="1"/>
      <c r="BX1711" s="1"/>
      <c r="BY1711" s="1"/>
      <c r="BZ1711" s="1"/>
      <c r="CA1711" s="1"/>
      <c r="CB1711" s="1"/>
      <c r="CC1711" s="1"/>
      <c r="CD1711" s="1"/>
      <c r="CE1711" s="1"/>
      <c r="CF1711" s="1"/>
      <c r="CG1711" s="1"/>
      <c r="CH1711" s="1"/>
      <c r="CI1711" s="1"/>
      <c r="CJ1711" s="1"/>
      <c r="CK1711" s="1"/>
      <c r="CL1711" s="1"/>
      <c r="CM1711" s="1"/>
      <c r="CN1711" s="1"/>
      <c r="CO1711" s="1"/>
      <c r="CP1711" s="1"/>
      <c r="CQ1711" s="1"/>
      <c r="CR1711" s="1"/>
      <c r="CS1711" s="1"/>
      <c r="CT1711" s="1"/>
      <c r="CU1711" s="1"/>
      <c r="CV1711" s="1"/>
      <c r="CW1711" s="1"/>
      <c r="CX1711" s="1"/>
      <c r="CY1711" s="1"/>
      <c r="CZ1711" s="1"/>
      <c r="DA1711" s="1"/>
      <c r="DB1711" s="1"/>
      <c r="DC1711" s="1"/>
    </row>
    <row r="1712" spans="1:107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AW1712" s="1"/>
      <c r="AX1712" s="1"/>
      <c r="AY1712" s="1"/>
      <c r="AZ1712" s="1"/>
      <c r="BA1712" s="1"/>
      <c r="BB1712" s="1"/>
      <c r="BC1712" s="1"/>
      <c r="BD1712" s="1"/>
      <c r="BE1712" s="1"/>
      <c r="BF1712" s="1"/>
      <c r="BG1712" s="1"/>
      <c r="BH1712" s="1"/>
      <c r="BI1712" s="1"/>
      <c r="BJ1712" s="1"/>
      <c r="BK1712" s="1"/>
      <c r="BL1712" s="1"/>
      <c r="BM1712" s="1"/>
      <c r="BN1712" s="1"/>
      <c r="BO1712" s="1"/>
      <c r="BP1712" s="1"/>
      <c r="BQ1712" s="1"/>
      <c r="BR1712" s="1"/>
      <c r="BS1712" s="1"/>
      <c r="BT1712" s="1"/>
      <c r="BU1712" s="1"/>
      <c r="BV1712" s="1"/>
      <c r="BW1712" s="1"/>
      <c r="BX1712" s="1"/>
      <c r="BY1712" s="1"/>
      <c r="BZ1712" s="1"/>
      <c r="CA1712" s="1"/>
      <c r="CB1712" s="1"/>
      <c r="CC1712" s="1"/>
      <c r="CD1712" s="1"/>
      <c r="CE1712" s="1"/>
      <c r="CF1712" s="1"/>
      <c r="CG1712" s="1"/>
      <c r="CH1712" s="1"/>
      <c r="CI1712" s="1"/>
      <c r="CJ1712" s="1"/>
      <c r="CK1712" s="1"/>
      <c r="CL1712" s="1"/>
      <c r="CM1712" s="1"/>
      <c r="CN1712" s="1"/>
      <c r="CO1712" s="1"/>
      <c r="CP1712" s="1"/>
      <c r="CQ1712" s="1"/>
      <c r="CR1712" s="1"/>
      <c r="CS1712" s="1"/>
      <c r="CT1712" s="1"/>
      <c r="CU1712" s="1"/>
      <c r="CV1712" s="1"/>
      <c r="CW1712" s="1"/>
      <c r="CX1712" s="1"/>
      <c r="CY1712" s="1"/>
      <c r="CZ1712" s="1"/>
      <c r="DA1712" s="1"/>
      <c r="DB1712" s="1"/>
      <c r="DC1712" s="1"/>
    </row>
    <row r="1713" spans="1:107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  <c r="AS1713" s="1"/>
      <c r="AT1713" s="1"/>
      <c r="AU1713" s="1"/>
      <c r="AV1713" s="1"/>
      <c r="AW1713" s="1"/>
      <c r="AX1713" s="1"/>
      <c r="AY1713" s="1"/>
      <c r="AZ1713" s="1"/>
      <c r="BA1713" s="1"/>
      <c r="BB1713" s="1"/>
      <c r="BC1713" s="1"/>
      <c r="BD1713" s="1"/>
      <c r="BE1713" s="1"/>
      <c r="BF1713" s="1"/>
      <c r="BG1713" s="1"/>
      <c r="BH1713" s="1"/>
      <c r="BI1713" s="1"/>
      <c r="BJ1713" s="1"/>
      <c r="BK1713" s="1"/>
      <c r="BL1713" s="1"/>
      <c r="BM1713" s="1"/>
      <c r="BN1713" s="1"/>
      <c r="BO1713" s="1"/>
      <c r="BP1713" s="1"/>
      <c r="BQ1713" s="1"/>
      <c r="BR1713" s="1"/>
      <c r="BS1713" s="1"/>
      <c r="BT1713" s="1"/>
      <c r="BU1713" s="1"/>
      <c r="BV1713" s="1"/>
      <c r="BW1713" s="1"/>
      <c r="BX1713" s="1"/>
      <c r="BY1713" s="1"/>
      <c r="BZ1713" s="1"/>
      <c r="CA1713" s="1"/>
      <c r="CB1713" s="1"/>
      <c r="CC1713" s="1"/>
      <c r="CD1713" s="1"/>
      <c r="CE1713" s="1"/>
      <c r="CF1713" s="1"/>
      <c r="CG1713" s="1"/>
      <c r="CH1713" s="1"/>
      <c r="CI1713" s="1"/>
      <c r="CJ1713" s="1"/>
      <c r="CK1713" s="1"/>
      <c r="CL1713" s="1"/>
      <c r="CM1713" s="1"/>
      <c r="CN1713" s="1"/>
      <c r="CO1713" s="1"/>
      <c r="CP1713" s="1"/>
      <c r="CQ1713" s="1"/>
      <c r="CR1713" s="1"/>
      <c r="CS1713" s="1"/>
      <c r="CT1713" s="1"/>
      <c r="CU1713" s="1"/>
      <c r="CV1713" s="1"/>
      <c r="CW1713" s="1"/>
      <c r="CX1713" s="1"/>
      <c r="CY1713" s="1"/>
      <c r="CZ1713" s="1"/>
      <c r="DA1713" s="1"/>
      <c r="DB1713" s="1"/>
      <c r="DC1713" s="1"/>
    </row>
    <row r="1714" spans="1:107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  <c r="AR1714" s="1"/>
      <c r="AS1714" s="1"/>
      <c r="AT1714" s="1"/>
      <c r="AU1714" s="1"/>
      <c r="AV1714" s="1"/>
      <c r="AW1714" s="1"/>
      <c r="AX1714" s="1"/>
      <c r="AY1714" s="1"/>
      <c r="AZ1714" s="1"/>
      <c r="BA1714" s="1"/>
      <c r="BB1714" s="1"/>
      <c r="BC1714" s="1"/>
      <c r="BD1714" s="1"/>
      <c r="BE1714" s="1"/>
      <c r="BF1714" s="1"/>
      <c r="BG1714" s="1"/>
      <c r="BH1714" s="1"/>
      <c r="BI1714" s="1"/>
      <c r="BJ1714" s="1"/>
      <c r="BK1714" s="1"/>
      <c r="BL1714" s="1"/>
      <c r="BM1714" s="1"/>
      <c r="BN1714" s="1"/>
      <c r="BO1714" s="1"/>
      <c r="BP1714" s="1"/>
      <c r="BQ1714" s="1"/>
      <c r="BR1714" s="1"/>
      <c r="BS1714" s="1"/>
      <c r="BT1714" s="1"/>
      <c r="BU1714" s="1"/>
      <c r="BV1714" s="1"/>
      <c r="BW1714" s="1"/>
      <c r="BX1714" s="1"/>
      <c r="BY1714" s="1"/>
      <c r="BZ1714" s="1"/>
      <c r="CA1714" s="1"/>
      <c r="CB1714" s="1"/>
      <c r="CC1714" s="1"/>
      <c r="CD1714" s="1"/>
      <c r="CE1714" s="1"/>
      <c r="CF1714" s="1"/>
      <c r="CG1714" s="1"/>
      <c r="CH1714" s="1"/>
      <c r="CI1714" s="1"/>
      <c r="CJ1714" s="1"/>
      <c r="CK1714" s="1"/>
      <c r="CL1714" s="1"/>
      <c r="CM1714" s="1"/>
      <c r="CN1714" s="1"/>
      <c r="CO1714" s="1"/>
      <c r="CP1714" s="1"/>
      <c r="CQ1714" s="1"/>
      <c r="CR1714" s="1"/>
      <c r="CS1714" s="1"/>
      <c r="CT1714" s="1"/>
      <c r="CU1714" s="1"/>
      <c r="CV1714" s="1"/>
      <c r="CW1714" s="1"/>
      <c r="CX1714" s="1"/>
      <c r="CY1714" s="1"/>
      <c r="CZ1714" s="1"/>
      <c r="DA1714" s="1"/>
      <c r="DB1714" s="1"/>
      <c r="DC1714" s="1"/>
    </row>
    <row r="1715" spans="1:107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  <c r="AS1715" s="1"/>
      <c r="AT1715" s="1"/>
      <c r="AU1715" s="1"/>
      <c r="AV1715" s="1"/>
      <c r="AW1715" s="1"/>
      <c r="AX1715" s="1"/>
      <c r="AY1715" s="1"/>
      <c r="AZ1715" s="1"/>
      <c r="BA1715" s="1"/>
      <c r="BB1715" s="1"/>
      <c r="BC1715" s="1"/>
      <c r="BD1715" s="1"/>
      <c r="BE1715" s="1"/>
      <c r="BF1715" s="1"/>
      <c r="BG1715" s="1"/>
      <c r="BH1715" s="1"/>
      <c r="BI1715" s="1"/>
      <c r="BJ1715" s="1"/>
      <c r="BK1715" s="1"/>
      <c r="BL1715" s="1"/>
      <c r="BM1715" s="1"/>
      <c r="BN1715" s="1"/>
      <c r="BO1715" s="1"/>
      <c r="BP1715" s="1"/>
      <c r="BQ1715" s="1"/>
      <c r="BR1715" s="1"/>
      <c r="BS1715" s="1"/>
      <c r="BT1715" s="1"/>
      <c r="BU1715" s="1"/>
      <c r="BV1715" s="1"/>
      <c r="BW1715" s="1"/>
      <c r="BX1715" s="1"/>
      <c r="BY1715" s="1"/>
      <c r="BZ1715" s="1"/>
      <c r="CA1715" s="1"/>
      <c r="CB1715" s="1"/>
      <c r="CC1715" s="1"/>
      <c r="CD1715" s="1"/>
      <c r="CE1715" s="1"/>
      <c r="CF1715" s="1"/>
      <c r="CG1715" s="1"/>
      <c r="CH1715" s="1"/>
      <c r="CI1715" s="1"/>
      <c r="CJ1715" s="1"/>
      <c r="CK1715" s="1"/>
      <c r="CL1715" s="1"/>
      <c r="CM1715" s="1"/>
      <c r="CN1715" s="1"/>
      <c r="CO1715" s="1"/>
      <c r="CP1715" s="1"/>
      <c r="CQ1715" s="1"/>
      <c r="CR1715" s="1"/>
      <c r="CS1715" s="1"/>
      <c r="CT1715" s="1"/>
      <c r="CU1715" s="1"/>
      <c r="CV1715" s="1"/>
      <c r="CW1715" s="1"/>
      <c r="CX1715" s="1"/>
      <c r="CY1715" s="1"/>
      <c r="CZ1715" s="1"/>
      <c r="DA1715" s="1"/>
      <c r="DB1715" s="1"/>
      <c r="DC1715" s="1"/>
    </row>
    <row r="1716" spans="1:107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/>
      <c r="AW1716" s="1"/>
      <c r="AX1716" s="1"/>
      <c r="AY1716" s="1"/>
      <c r="AZ1716" s="1"/>
      <c r="BA1716" s="1"/>
      <c r="BB1716" s="1"/>
      <c r="BC1716" s="1"/>
      <c r="BD1716" s="1"/>
      <c r="BE1716" s="1"/>
      <c r="BF1716" s="1"/>
      <c r="BG1716" s="1"/>
      <c r="BH1716" s="1"/>
      <c r="BI1716" s="1"/>
      <c r="BJ1716" s="1"/>
      <c r="BK1716" s="1"/>
      <c r="BL1716" s="1"/>
      <c r="BM1716" s="1"/>
      <c r="BN1716" s="1"/>
      <c r="BO1716" s="1"/>
      <c r="BP1716" s="1"/>
      <c r="BQ1716" s="1"/>
      <c r="BR1716" s="1"/>
      <c r="BS1716" s="1"/>
      <c r="BT1716" s="1"/>
      <c r="BU1716" s="1"/>
      <c r="BV1716" s="1"/>
      <c r="BW1716" s="1"/>
      <c r="BX1716" s="1"/>
      <c r="BY1716" s="1"/>
      <c r="BZ1716" s="1"/>
      <c r="CA1716" s="1"/>
      <c r="CB1716" s="1"/>
      <c r="CC1716" s="1"/>
      <c r="CD1716" s="1"/>
      <c r="CE1716" s="1"/>
      <c r="CF1716" s="1"/>
      <c r="CG1716" s="1"/>
      <c r="CH1716" s="1"/>
      <c r="CI1716" s="1"/>
      <c r="CJ1716" s="1"/>
      <c r="CK1716" s="1"/>
      <c r="CL1716" s="1"/>
      <c r="CM1716" s="1"/>
      <c r="CN1716" s="1"/>
      <c r="CO1716" s="1"/>
      <c r="CP1716" s="1"/>
      <c r="CQ1716" s="1"/>
      <c r="CR1716" s="1"/>
      <c r="CS1716" s="1"/>
      <c r="CT1716" s="1"/>
      <c r="CU1716" s="1"/>
      <c r="CV1716" s="1"/>
      <c r="CW1716" s="1"/>
      <c r="CX1716" s="1"/>
      <c r="CY1716" s="1"/>
      <c r="CZ1716" s="1"/>
      <c r="DA1716" s="1"/>
      <c r="DB1716" s="1"/>
      <c r="DC1716" s="1"/>
    </row>
    <row r="1717" spans="1:107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  <c r="AS1717" s="1"/>
      <c r="AT1717" s="1"/>
      <c r="AU1717" s="1"/>
      <c r="AV1717" s="1"/>
      <c r="AW1717" s="1"/>
      <c r="AX1717" s="1"/>
      <c r="AY1717" s="1"/>
      <c r="AZ1717" s="1"/>
      <c r="BA1717" s="1"/>
      <c r="BB1717" s="1"/>
      <c r="BC1717" s="1"/>
      <c r="BD1717" s="1"/>
      <c r="BE1717" s="1"/>
      <c r="BF1717" s="1"/>
      <c r="BG1717" s="1"/>
      <c r="BH1717" s="1"/>
      <c r="BI1717" s="1"/>
      <c r="BJ1717" s="1"/>
      <c r="BK1717" s="1"/>
      <c r="BL1717" s="1"/>
      <c r="BM1717" s="1"/>
      <c r="BN1717" s="1"/>
      <c r="BO1717" s="1"/>
      <c r="BP1717" s="1"/>
      <c r="BQ1717" s="1"/>
      <c r="BR1717" s="1"/>
      <c r="BS1717" s="1"/>
      <c r="BT1717" s="1"/>
      <c r="BU1717" s="1"/>
      <c r="BV1717" s="1"/>
      <c r="BW1717" s="1"/>
      <c r="BX1717" s="1"/>
      <c r="BY1717" s="1"/>
      <c r="BZ1717" s="1"/>
      <c r="CA1717" s="1"/>
      <c r="CB1717" s="1"/>
      <c r="CC1717" s="1"/>
      <c r="CD1717" s="1"/>
      <c r="CE1717" s="1"/>
      <c r="CF1717" s="1"/>
      <c r="CG1717" s="1"/>
      <c r="CH1717" s="1"/>
      <c r="CI1717" s="1"/>
      <c r="CJ1717" s="1"/>
      <c r="CK1717" s="1"/>
      <c r="CL1717" s="1"/>
      <c r="CM1717" s="1"/>
      <c r="CN1717" s="1"/>
      <c r="CO1717" s="1"/>
      <c r="CP1717" s="1"/>
      <c r="CQ1717" s="1"/>
      <c r="CR1717" s="1"/>
      <c r="CS1717" s="1"/>
      <c r="CT1717" s="1"/>
      <c r="CU1717" s="1"/>
      <c r="CV1717" s="1"/>
      <c r="CW1717" s="1"/>
      <c r="CX1717" s="1"/>
      <c r="CY1717" s="1"/>
      <c r="CZ1717" s="1"/>
      <c r="DA1717" s="1"/>
      <c r="DB1717" s="1"/>
      <c r="DC1717" s="1"/>
    </row>
    <row r="1718" spans="1:107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  <c r="AT1718" s="1"/>
      <c r="AU1718" s="1"/>
      <c r="AV1718" s="1"/>
      <c r="AW1718" s="1"/>
      <c r="AX1718" s="1"/>
      <c r="AY1718" s="1"/>
      <c r="AZ1718" s="1"/>
      <c r="BA1718" s="1"/>
      <c r="BB1718" s="1"/>
      <c r="BC1718" s="1"/>
      <c r="BD1718" s="1"/>
      <c r="BE1718" s="1"/>
      <c r="BF1718" s="1"/>
      <c r="BG1718" s="1"/>
      <c r="BH1718" s="1"/>
      <c r="BI1718" s="1"/>
      <c r="BJ1718" s="1"/>
      <c r="BK1718" s="1"/>
      <c r="BL1718" s="1"/>
      <c r="BM1718" s="1"/>
      <c r="BN1718" s="1"/>
      <c r="BO1718" s="1"/>
      <c r="BP1718" s="1"/>
      <c r="BQ1718" s="1"/>
      <c r="BR1718" s="1"/>
      <c r="BS1718" s="1"/>
      <c r="BT1718" s="1"/>
      <c r="BU1718" s="1"/>
      <c r="BV1718" s="1"/>
      <c r="BW1718" s="1"/>
      <c r="BX1718" s="1"/>
      <c r="BY1718" s="1"/>
      <c r="BZ1718" s="1"/>
      <c r="CA1718" s="1"/>
      <c r="CB1718" s="1"/>
      <c r="CC1718" s="1"/>
      <c r="CD1718" s="1"/>
      <c r="CE1718" s="1"/>
      <c r="CF1718" s="1"/>
      <c r="CG1718" s="1"/>
      <c r="CH1718" s="1"/>
      <c r="CI1718" s="1"/>
      <c r="CJ1718" s="1"/>
      <c r="CK1718" s="1"/>
      <c r="CL1718" s="1"/>
      <c r="CM1718" s="1"/>
      <c r="CN1718" s="1"/>
      <c r="CO1718" s="1"/>
      <c r="CP1718" s="1"/>
      <c r="CQ1718" s="1"/>
      <c r="CR1718" s="1"/>
      <c r="CS1718" s="1"/>
      <c r="CT1718" s="1"/>
      <c r="CU1718" s="1"/>
      <c r="CV1718" s="1"/>
      <c r="CW1718" s="1"/>
      <c r="CX1718" s="1"/>
      <c r="CY1718" s="1"/>
      <c r="CZ1718" s="1"/>
      <c r="DA1718" s="1"/>
      <c r="DB1718" s="1"/>
      <c r="DC1718" s="1"/>
    </row>
    <row r="1719" spans="1:107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AW1719" s="1"/>
      <c r="AX1719" s="1"/>
      <c r="AY1719" s="1"/>
      <c r="AZ1719" s="1"/>
      <c r="BA1719" s="1"/>
      <c r="BB1719" s="1"/>
      <c r="BC1719" s="1"/>
      <c r="BD1719" s="1"/>
      <c r="BE1719" s="1"/>
      <c r="BF1719" s="1"/>
      <c r="BG1719" s="1"/>
      <c r="BH1719" s="1"/>
      <c r="BI1719" s="1"/>
      <c r="BJ1719" s="1"/>
      <c r="BK1719" s="1"/>
      <c r="BL1719" s="1"/>
      <c r="BM1719" s="1"/>
      <c r="BN1719" s="1"/>
      <c r="BO1719" s="1"/>
      <c r="BP1719" s="1"/>
      <c r="BQ1719" s="1"/>
      <c r="BR1719" s="1"/>
      <c r="BS1719" s="1"/>
      <c r="BT1719" s="1"/>
      <c r="BU1719" s="1"/>
      <c r="BV1719" s="1"/>
      <c r="BW1719" s="1"/>
      <c r="BX1719" s="1"/>
      <c r="BY1719" s="1"/>
      <c r="BZ1719" s="1"/>
      <c r="CA1719" s="1"/>
      <c r="CB1719" s="1"/>
      <c r="CC1719" s="1"/>
      <c r="CD1719" s="1"/>
      <c r="CE1719" s="1"/>
      <c r="CF1719" s="1"/>
      <c r="CG1719" s="1"/>
      <c r="CH1719" s="1"/>
      <c r="CI1719" s="1"/>
      <c r="CJ1719" s="1"/>
      <c r="CK1719" s="1"/>
      <c r="CL1719" s="1"/>
      <c r="CM1719" s="1"/>
      <c r="CN1719" s="1"/>
      <c r="CO1719" s="1"/>
      <c r="CP1719" s="1"/>
      <c r="CQ1719" s="1"/>
      <c r="CR1719" s="1"/>
      <c r="CS1719" s="1"/>
      <c r="CT1719" s="1"/>
      <c r="CU1719" s="1"/>
      <c r="CV1719" s="1"/>
      <c r="CW1719" s="1"/>
      <c r="CX1719" s="1"/>
      <c r="CY1719" s="1"/>
      <c r="CZ1719" s="1"/>
      <c r="DA1719" s="1"/>
      <c r="DB1719" s="1"/>
      <c r="DC1719" s="1"/>
    </row>
    <row r="1720" spans="1:107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AW1720" s="1"/>
      <c r="AX1720" s="1"/>
      <c r="AY1720" s="1"/>
      <c r="AZ1720" s="1"/>
      <c r="BA1720" s="1"/>
      <c r="BB1720" s="1"/>
      <c r="BC1720" s="1"/>
      <c r="BD1720" s="1"/>
      <c r="BE1720" s="1"/>
      <c r="BF1720" s="1"/>
      <c r="BG1720" s="1"/>
      <c r="BH1720" s="1"/>
      <c r="BI1720" s="1"/>
      <c r="BJ1720" s="1"/>
      <c r="BK1720" s="1"/>
      <c r="BL1720" s="1"/>
      <c r="BM1720" s="1"/>
      <c r="BN1720" s="1"/>
      <c r="BO1720" s="1"/>
      <c r="BP1720" s="1"/>
      <c r="BQ1720" s="1"/>
      <c r="BR1720" s="1"/>
      <c r="BS1720" s="1"/>
      <c r="BT1720" s="1"/>
      <c r="BU1720" s="1"/>
      <c r="BV1720" s="1"/>
      <c r="BW1720" s="1"/>
      <c r="BX1720" s="1"/>
      <c r="BY1720" s="1"/>
      <c r="BZ1720" s="1"/>
      <c r="CA1720" s="1"/>
      <c r="CB1720" s="1"/>
      <c r="CC1720" s="1"/>
      <c r="CD1720" s="1"/>
      <c r="CE1720" s="1"/>
      <c r="CF1720" s="1"/>
      <c r="CG1720" s="1"/>
      <c r="CH1720" s="1"/>
      <c r="CI1720" s="1"/>
      <c r="CJ1720" s="1"/>
      <c r="CK1720" s="1"/>
      <c r="CL1720" s="1"/>
      <c r="CM1720" s="1"/>
      <c r="CN1720" s="1"/>
      <c r="CO1720" s="1"/>
      <c r="CP1720" s="1"/>
      <c r="CQ1720" s="1"/>
      <c r="CR1720" s="1"/>
      <c r="CS1720" s="1"/>
      <c r="CT1720" s="1"/>
      <c r="CU1720" s="1"/>
      <c r="CV1720" s="1"/>
      <c r="CW1720" s="1"/>
      <c r="CX1720" s="1"/>
      <c r="CY1720" s="1"/>
      <c r="CZ1720" s="1"/>
      <c r="DA1720" s="1"/>
      <c r="DB1720" s="1"/>
      <c r="DC1720" s="1"/>
    </row>
    <row r="1721" spans="1:107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  <c r="AX1721" s="1"/>
      <c r="AY1721" s="1"/>
      <c r="AZ1721" s="1"/>
      <c r="BA1721" s="1"/>
      <c r="BB1721" s="1"/>
      <c r="BC1721" s="1"/>
      <c r="BD1721" s="1"/>
      <c r="BE1721" s="1"/>
      <c r="BF1721" s="1"/>
      <c r="BG1721" s="1"/>
      <c r="BH1721" s="1"/>
      <c r="BI1721" s="1"/>
      <c r="BJ1721" s="1"/>
      <c r="BK1721" s="1"/>
      <c r="BL1721" s="1"/>
      <c r="BM1721" s="1"/>
      <c r="BN1721" s="1"/>
      <c r="BO1721" s="1"/>
      <c r="BP1721" s="1"/>
      <c r="BQ1721" s="1"/>
      <c r="BR1721" s="1"/>
      <c r="BS1721" s="1"/>
      <c r="BT1721" s="1"/>
      <c r="BU1721" s="1"/>
      <c r="BV1721" s="1"/>
      <c r="BW1721" s="1"/>
      <c r="BX1721" s="1"/>
      <c r="BY1721" s="1"/>
      <c r="BZ1721" s="1"/>
      <c r="CA1721" s="1"/>
      <c r="CB1721" s="1"/>
      <c r="CC1721" s="1"/>
      <c r="CD1721" s="1"/>
      <c r="CE1721" s="1"/>
      <c r="CF1721" s="1"/>
      <c r="CG1721" s="1"/>
      <c r="CH1721" s="1"/>
      <c r="CI1721" s="1"/>
      <c r="CJ1721" s="1"/>
      <c r="CK1721" s="1"/>
      <c r="CL1721" s="1"/>
      <c r="CM1721" s="1"/>
      <c r="CN1721" s="1"/>
      <c r="CO1721" s="1"/>
      <c r="CP1721" s="1"/>
      <c r="CQ1721" s="1"/>
      <c r="CR1721" s="1"/>
      <c r="CS1721" s="1"/>
      <c r="CT1721" s="1"/>
      <c r="CU1721" s="1"/>
      <c r="CV1721" s="1"/>
      <c r="CW1721" s="1"/>
      <c r="CX1721" s="1"/>
      <c r="CY1721" s="1"/>
      <c r="CZ1721" s="1"/>
      <c r="DA1721" s="1"/>
      <c r="DB1721" s="1"/>
      <c r="DC1721" s="1"/>
    </row>
    <row r="1722" spans="1:107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  <c r="AS1722" s="1"/>
      <c r="AT1722" s="1"/>
      <c r="AU1722" s="1"/>
      <c r="AV1722" s="1"/>
      <c r="AW1722" s="1"/>
      <c r="AX1722" s="1"/>
      <c r="AY1722" s="1"/>
      <c r="AZ1722" s="1"/>
      <c r="BA1722" s="1"/>
      <c r="BB1722" s="1"/>
      <c r="BC1722" s="1"/>
      <c r="BD1722" s="1"/>
      <c r="BE1722" s="1"/>
      <c r="BF1722" s="1"/>
      <c r="BG1722" s="1"/>
      <c r="BH1722" s="1"/>
      <c r="BI1722" s="1"/>
      <c r="BJ1722" s="1"/>
      <c r="BK1722" s="1"/>
      <c r="BL1722" s="1"/>
      <c r="BM1722" s="1"/>
      <c r="BN1722" s="1"/>
      <c r="BO1722" s="1"/>
      <c r="BP1722" s="1"/>
      <c r="BQ1722" s="1"/>
      <c r="BR1722" s="1"/>
      <c r="BS1722" s="1"/>
      <c r="BT1722" s="1"/>
      <c r="BU1722" s="1"/>
      <c r="BV1722" s="1"/>
      <c r="BW1722" s="1"/>
      <c r="BX1722" s="1"/>
      <c r="BY1722" s="1"/>
      <c r="BZ1722" s="1"/>
      <c r="CA1722" s="1"/>
      <c r="CB1722" s="1"/>
      <c r="CC1722" s="1"/>
      <c r="CD1722" s="1"/>
      <c r="CE1722" s="1"/>
      <c r="CF1722" s="1"/>
      <c r="CG1722" s="1"/>
      <c r="CH1722" s="1"/>
      <c r="CI1722" s="1"/>
      <c r="CJ1722" s="1"/>
      <c r="CK1722" s="1"/>
      <c r="CL1722" s="1"/>
      <c r="CM1722" s="1"/>
      <c r="CN1722" s="1"/>
      <c r="CO1722" s="1"/>
      <c r="CP1722" s="1"/>
      <c r="CQ1722" s="1"/>
      <c r="CR1722" s="1"/>
      <c r="CS1722" s="1"/>
      <c r="CT1722" s="1"/>
      <c r="CU1722" s="1"/>
      <c r="CV1722" s="1"/>
      <c r="CW1722" s="1"/>
      <c r="CX1722" s="1"/>
      <c r="CY1722" s="1"/>
      <c r="CZ1722" s="1"/>
      <c r="DA1722" s="1"/>
      <c r="DB1722" s="1"/>
      <c r="DC1722" s="1"/>
    </row>
    <row r="1723" spans="1:107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  <c r="AS1723" s="1"/>
      <c r="AT1723" s="1"/>
      <c r="AU1723" s="1"/>
      <c r="AV1723" s="1"/>
      <c r="AW1723" s="1"/>
      <c r="AX1723" s="1"/>
      <c r="AY1723" s="1"/>
      <c r="AZ1723" s="1"/>
      <c r="BA1723" s="1"/>
      <c r="BB1723" s="1"/>
      <c r="BC1723" s="1"/>
      <c r="BD1723" s="1"/>
      <c r="BE1723" s="1"/>
      <c r="BF1723" s="1"/>
      <c r="BG1723" s="1"/>
      <c r="BH1723" s="1"/>
      <c r="BI1723" s="1"/>
      <c r="BJ1723" s="1"/>
      <c r="BK1723" s="1"/>
      <c r="BL1723" s="1"/>
      <c r="BM1723" s="1"/>
      <c r="BN1723" s="1"/>
      <c r="BO1723" s="1"/>
      <c r="BP1723" s="1"/>
      <c r="BQ1723" s="1"/>
      <c r="BR1723" s="1"/>
      <c r="BS1723" s="1"/>
      <c r="BT1723" s="1"/>
      <c r="BU1723" s="1"/>
      <c r="BV1723" s="1"/>
      <c r="BW1723" s="1"/>
      <c r="BX1723" s="1"/>
      <c r="BY1723" s="1"/>
      <c r="BZ1723" s="1"/>
      <c r="CA1723" s="1"/>
      <c r="CB1723" s="1"/>
      <c r="CC1723" s="1"/>
      <c r="CD1723" s="1"/>
      <c r="CE1723" s="1"/>
      <c r="CF1723" s="1"/>
      <c r="CG1723" s="1"/>
      <c r="CH1723" s="1"/>
      <c r="CI1723" s="1"/>
      <c r="CJ1723" s="1"/>
      <c r="CK1723" s="1"/>
      <c r="CL1723" s="1"/>
      <c r="CM1723" s="1"/>
      <c r="CN1723" s="1"/>
      <c r="CO1723" s="1"/>
      <c r="CP1723" s="1"/>
      <c r="CQ1723" s="1"/>
      <c r="CR1723" s="1"/>
      <c r="CS1723" s="1"/>
      <c r="CT1723" s="1"/>
      <c r="CU1723" s="1"/>
      <c r="CV1723" s="1"/>
      <c r="CW1723" s="1"/>
      <c r="CX1723" s="1"/>
      <c r="CY1723" s="1"/>
      <c r="CZ1723" s="1"/>
      <c r="DA1723" s="1"/>
      <c r="DB1723" s="1"/>
      <c r="DC1723" s="1"/>
    </row>
    <row r="1724" spans="1:107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  <c r="AS1724" s="1"/>
      <c r="AT1724" s="1"/>
      <c r="AU1724" s="1"/>
      <c r="AV1724" s="1"/>
      <c r="AW1724" s="1"/>
      <c r="AX1724" s="1"/>
      <c r="AY1724" s="1"/>
      <c r="AZ1724" s="1"/>
      <c r="BA1724" s="1"/>
      <c r="BB1724" s="1"/>
      <c r="BC1724" s="1"/>
      <c r="BD1724" s="1"/>
      <c r="BE1724" s="1"/>
      <c r="BF1724" s="1"/>
      <c r="BG1724" s="1"/>
      <c r="BH1724" s="1"/>
      <c r="BI1724" s="1"/>
      <c r="BJ1724" s="1"/>
      <c r="BK1724" s="1"/>
      <c r="BL1724" s="1"/>
      <c r="BM1724" s="1"/>
      <c r="BN1724" s="1"/>
      <c r="BO1724" s="1"/>
      <c r="BP1724" s="1"/>
      <c r="BQ1724" s="1"/>
      <c r="BR1724" s="1"/>
      <c r="BS1724" s="1"/>
      <c r="BT1724" s="1"/>
      <c r="BU1724" s="1"/>
      <c r="BV1724" s="1"/>
      <c r="BW1724" s="1"/>
      <c r="BX1724" s="1"/>
      <c r="BY1724" s="1"/>
      <c r="BZ1724" s="1"/>
      <c r="CA1724" s="1"/>
      <c r="CB1724" s="1"/>
      <c r="CC1724" s="1"/>
      <c r="CD1724" s="1"/>
      <c r="CE1724" s="1"/>
      <c r="CF1724" s="1"/>
      <c r="CG1724" s="1"/>
      <c r="CH1724" s="1"/>
      <c r="CI1724" s="1"/>
      <c r="CJ1724" s="1"/>
      <c r="CK1724" s="1"/>
      <c r="CL1724" s="1"/>
      <c r="CM1724" s="1"/>
      <c r="CN1724" s="1"/>
      <c r="CO1724" s="1"/>
      <c r="CP1724" s="1"/>
      <c r="CQ1724" s="1"/>
      <c r="CR1724" s="1"/>
      <c r="CS1724" s="1"/>
      <c r="CT1724" s="1"/>
      <c r="CU1724" s="1"/>
      <c r="CV1724" s="1"/>
      <c r="CW1724" s="1"/>
      <c r="CX1724" s="1"/>
      <c r="CY1724" s="1"/>
      <c r="CZ1724" s="1"/>
      <c r="DA1724" s="1"/>
      <c r="DB1724" s="1"/>
      <c r="DC1724" s="1"/>
    </row>
    <row r="1725" spans="1:107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/>
      <c r="AX1725" s="1"/>
      <c r="AY1725" s="1"/>
      <c r="AZ1725" s="1"/>
      <c r="BA1725" s="1"/>
      <c r="BB1725" s="1"/>
      <c r="BC1725" s="1"/>
      <c r="BD1725" s="1"/>
      <c r="BE1725" s="1"/>
      <c r="BF1725" s="1"/>
      <c r="BG1725" s="1"/>
      <c r="BH1725" s="1"/>
      <c r="BI1725" s="1"/>
      <c r="BJ1725" s="1"/>
      <c r="BK1725" s="1"/>
      <c r="BL1725" s="1"/>
      <c r="BM1725" s="1"/>
      <c r="BN1725" s="1"/>
      <c r="BO1725" s="1"/>
      <c r="BP1725" s="1"/>
      <c r="BQ1725" s="1"/>
      <c r="BR1725" s="1"/>
      <c r="BS1725" s="1"/>
      <c r="BT1725" s="1"/>
      <c r="BU1725" s="1"/>
      <c r="BV1725" s="1"/>
      <c r="BW1725" s="1"/>
      <c r="BX1725" s="1"/>
      <c r="BY1725" s="1"/>
      <c r="BZ1725" s="1"/>
      <c r="CA1725" s="1"/>
      <c r="CB1725" s="1"/>
      <c r="CC1725" s="1"/>
      <c r="CD1725" s="1"/>
      <c r="CE1725" s="1"/>
      <c r="CF1725" s="1"/>
      <c r="CG1725" s="1"/>
      <c r="CH1725" s="1"/>
      <c r="CI1725" s="1"/>
      <c r="CJ1725" s="1"/>
      <c r="CK1725" s="1"/>
      <c r="CL1725" s="1"/>
      <c r="CM1725" s="1"/>
      <c r="CN1725" s="1"/>
      <c r="CO1725" s="1"/>
      <c r="CP1725" s="1"/>
      <c r="CQ1725" s="1"/>
      <c r="CR1725" s="1"/>
      <c r="CS1725" s="1"/>
      <c r="CT1725" s="1"/>
      <c r="CU1725" s="1"/>
      <c r="CV1725" s="1"/>
      <c r="CW1725" s="1"/>
      <c r="CX1725" s="1"/>
      <c r="CY1725" s="1"/>
      <c r="CZ1725" s="1"/>
      <c r="DA1725" s="1"/>
      <c r="DB1725" s="1"/>
      <c r="DC1725" s="1"/>
    </row>
    <row r="1726" spans="1:107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  <c r="AS1726" s="1"/>
      <c r="AT1726" s="1"/>
      <c r="AU1726" s="1"/>
      <c r="AV1726" s="1"/>
      <c r="AW1726" s="1"/>
      <c r="AX1726" s="1"/>
      <c r="AY1726" s="1"/>
      <c r="AZ1726" s="1"/>
      <c r="BA1726" s="1"/>
      <c r="BB1726" s="1"/>
      <c r="BC1726" s="1"/>
      <c r="BD1726" s="1"/>
      <c r="BE1726" s="1"/>
      <c r="BF1726" s="1"/>
      <c r="BG1726" s="1"/>
      <c r="BH1726" s="1"/>
      <c r="BI1726" s="1"/>
      <c r="BJ1726" s="1"/>
      <c r="BK1726" s="1"/>
      <c r="BL1726" s="1"/>
      <c r="BM1726" s="1"/>
      <c r="BN1726" s="1"/>
      <c r="BO1726" s="1"/>
      <c r="BP1726" s="1"/>
      <c r="BQ1726" s="1"/>
      <c r="BR1726" s="1"/>
      <c r="BS1726" s="1"/>
      <c r="BT1726" s="1"/>
      <c r="BU1726" s="1"/>
      <c r="BV1726" s="1"/>
      <c r="BW1726" s="1"/>
      <c r="BX1726" s="1"/>
      <c r="BY1726" s="1"/>
      <c r="BZ1726" s="1"/>
      <c r="CA1726" s="1"/>
      <c r="CB1726" s="1"/>
      <c r="CC1726" s="1"/>
      <c r="CD1726" s="1"/>
      <c r="CE1726" s="1"/>
      <c r="CF1726" s="1"/>
      <c r="CG1726" s="1"/>
      <c r="CH1726" s="1"/>
      <c r="CI1726" s="1"/>
      <c r="CJ1726" s="1"/>
      <c r="CK1726" s="1"/>
      <c r="CL1726" s="1"/>
      <c r="CM1726" s="1"/>
      <c r="CN1726" s="1"/>
      <c r="CO1726" s="1"/>
      <c r="CP1726" s="1"/>
      <c r="CQ1726" s="1"/>
      <c r="CR1726" s="1"/>
      <c r="CS1726" s="1"/>
      <c r="CT1726" s="1"/>
      <c r="CU1726" s="1"/>
      <c r="CV1726" s="1"/>
      <c r="CW1726" s="1"/>
      <c r="CX1726" s="1"/>
      <c r="CY1726" s="1"/>
      <c r="CZ1726" s="1"/>
      <c r="DA1726" s="1"/>
      <c r="DB1726" s="1"/>
      <c r="DC1726" s="1"/>
    </row>
    <row r="1727" spans="1:107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  <c r="AS1727" s="1"/>
      <c r="AT1727" s="1"/>
      <c r="AU1727" s="1"/>
      <c r="AV1727" s="1"/>
      <c r="AW1727" s="1"/>
      <c r="AX1727" s="1"/>
      <c r="AY1727" s="1"/>
      <c r="AZ1727" s="1"/>
      <c r="BA1727" s="1"/>
      <c r="BB1727" s="1"/>
      <c r="BC1727" s="1"/>
      <c r="BD1727" s="1"/>
      <c r="BE1727" s="1"/>
      <c r="BF1727" s="1"/>
      <c r="BG1727" s="1"/>
      <c r="BH1727" s="1"/>
      <c r="BI1727" s="1"/>
      <c r="BJ1727" s="1"/>
      <c r="BK1727" s="1"/>
      <c r="BL1727" s="1"/>
      <c r="BM1727" s="1"/>
      <c r="BN1727" s="1"/>
      <c r="BO1727" s="1"/>
      <c r="BP1727" s="1"/>
      <c r="BQ1727" s="1"/>
      <c r="BR1727" s="1"/>
      <c r="BS1727" s="1"/>
      <c r="BT1727" s="1"/>
      <c r="BU1727" s="1"/>
      <c r="BV1727" s="1"/>
      <c r="BW1727" s="1"/>
      <c r="BX1727" s="1"/>
      <c r="BY1727" s="1"/>
      <c r="BZ1727" s="1"/>
      <c r="CA1727" s="1"/>
      <c r="CB1727" s="1"/>
      <c r="CC1727" s="1"/>
      <c r="CD1727" s="1"/>
      <c r="CE1727" s="1"/>
      <c r="CF1727" s="1"/>
      <c r="CG1727" s="1"/>
      <c r="CH1727" s="1"/>
      <c r="CI1727" s="1"/>
      <c r="CJ1727" s="1"/>
      <c r="CK1727" s="1"/>
      <c r="CL1727" s="1"/>
      <c r="CM1727" s="1"/>
      <c r="CN1727" s="1"/>
      <c r="CO1727" s="1"/>
      <c r="CP1727" s="1"/>
      <c r="CQ1727" s="1"/>
      <c r="CR1727" s="1"/>
      <c r="CS1727" s="1"/>
      <c r="CT1727" s="1"/>
      <c r="CU1727" s="1"/>
      <c r="CV1727" s="1"/>
      <c r="CW1727" s="1"/>
      <c r="CX1727" s="1"/>
      <c r="CY1727" s="1"/>
      <c r="CZ1727" s="1"/>
      <c r="DA1727" s="1"/>
      <c r="DB1727" s="1"/>
      <c r="DC1727" s="1"/>
    </row>
    <row r="1728" spans="1:107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  <c r="AX1728" s="1"/>
      <c r="AY1728" s="1"/>
      <c r="AZ1728" s="1"/>
      <c r="BA1728" s="1"/>
      <c r="BB1728" s="1"/>
      <c r="BC1728" s="1"/>
      <c r="BD1728" s="1"/>
      <c r="BE1728" s="1"/>
      <c r="BF1728" s="1"/>
      <c r="BG1728" s="1"/>
      <c r="BH1728" s="1"/>
      <c r="BI1728" s="1"/>
      <c r="BJ1728" s="1"/>
      <c r="BK1728" s="1"/>
      <c r="BL1728" s="1"/>
      <c r="BM1728" s="1"/>
      <c r="BN1728" s="1"/>
      <c r="BO1728" s="1"/>
      <c r="BP1728" s="1"/>
      <c r="BQ1728" s="1"/>
      <c r="BR1728" s="1"/>
      <c r="BS1728" s="1"/>
      <c r="BT1728" s="1"/>
      <c r="BU1728" s="1"/>
      <c r="BV1728" s="1"/>
      <c r="BW1728" s="1"/>
      <c r="BX1728" s="1"/>
      <c r="BY1728" s="1"/>
      <c r="BZ1728" s="1"/>
      <c r="CA1728" s="1"/>
      <c r="CB1728" s="1"/>
      <c r="CC1728" s="1"/>
      <c r="CD1728" s="1"/>
      <c r="CE1728" s="1"/>
      <c r="CF1728" s="1"/>
      <c r="CG1728" s="1"/>
      <c r="CH1728" s="1"/>
      <c r="CI1728" s="1"/>
      <c r="CJ1728" s="1"/>
      <c r="CK1728" s="1"/>
      <c r="CL1728" s="1"/>
      <c r="CM1728" s="1"/>
      <c r="CN1728" s="1"/>
      <c r="CO1728" s="1"/>
      <c r="CP1728" s="1"/>
      <c r="CQ1728" s="1"/>
      <c r="CR1728" s="1"/>
      <c r="CS1728" s="1"/>
      <c r="CT1728" s="1"/>
      <c r="CU1728" s="1"/>
      <c r="CV1728" s="1"/>
      <c r="CW1728" s="1"/>
      <c r="CX1728" s="1"/>
      <c r="CY1728" s="1"/>
      <c r="CZ1728" s="1"/>
      <c r="DA1728" s="1"/>
      <c r="DB1728" s="1"/>
      <c r="DC1728" s="1"/>
    </row>
    <row r="1729" spans="1:107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AW1729" s="1"/>
      <c r="AX1729" s="1"/>
      <c r="AY1729" s="1"/>
      <c r="AZ1729" s="1"/>
      <c r="BA1729" s="1"/>
      <c r="BB1729" s="1"/>
      <c r="BC1729" s="1"/>
      <c r="BD1729" s="1"/>
      <c r="BE1729" s="1"/>
      <c r="BF1729" s="1"/>
      <c r="BG1729" s="1"/>
      <c r="BH1729" s="1"/>
      <c r="BI1729" s="1"/>
      <c r="BJ1729" s="1"/>
      <c r="BK1729" s="1"/>
      <c r="BL1729" s="1"/>
      <c r="BM1729" s="1"/>
      <c r="BN1729" s="1"/>
      <c r="BO1729" s="1"/>
      <c r="BP1729" s="1"/>
      <c r="BQ1729" s="1"/>
      <c r="BR1729" s="1"/>
      <c r="BS1729" s="1"/>
      <c r="BT1729" s="1"/>
      <c r="BU1729" s="1"/>
      <c r="BV1729" s="1"/>
      <c r="BW1729" s="1"/>
      <c r="BX1729" s="1"/>
      <c r="BY1729" s="1"/>
      <c r="BZ1729" s="1"/>
      <c r="CA1729" s="1"/>
      <c r="CB1729" s="1"/>
      <c r="CC1729" s="1"/>
      <c r="CD1729" s="1"/>
      <c r="CE1729" s="1"/>
      <c r="CF1729" s="1"/>
      <c r="CG1729" s="1"/>
      <c r="CH1729" s="1"/>
      <c r="CI1729" s="1"/>
      <c r="CJ1729" s="1"/>
      <c r="CK1729" s="1"/>
      <c r="CL1729" s="1"/>
      <c r="CM1729" s="1"/>
      <c r="CN1729" s="1"/>
      <c r="CO1729" s="1"/>
      <c r="CP1729" s="1"/>
      <c r="CQ1729" s="1"/>
      <c r="CR1729" s="1"/>
      <c r="CS1729" s="1"/>
      <c r="CT1729" s="1"/>
      <c r="CU1729" s="1"/>
      <c r="CV1729" s="1"/>
      <c r="CW1729" s="1"/>
      <c r="CX1729" s="1"/>
      <c r="CY1729" s="1"/>
      <c r="CZ1729" s="1"/>
      <c r="DA1729" s="1"/>
      <c r="DB1729" s="1"/>
      <c r="DC1729" s="1"/>
    </row>
    <row r="1730" spans="1:107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AW1730" s="1"/>
      <c r="AX1730" s="1"/>
      <c r="AY1730" s="1"/>
      <c r="AZ1730" s="1"/>
      <c r="BA1730" s="1"/>
      <c r="BB1730" s="1"/>
      <c r="BC1730" s="1"/>
      <c r="BD1730" s="1"/>
      <c r="BE1730" s="1"/>
      <c r="BF1730" s="1"/>
      <c r="BG1730" s="1"/>
      <c r="BH1730" s="1"/>
      <c r="BI1730" s="1"/>
      <c r="BJ1730" s="1"/>
      <c r="BK1730" s="1"/>
      <c r="BL1730" s="1"/>
      <c r="BM1730" s="1"/>
      <c r="BN1730" s="1"/>
      <c r="BO1730" s="1"/>
      <c r="BP1730" s="1"/>
      <c r="BQ1730" s="1"/>
      <c r="BR1730" s="1"/>
      <c r="BS1730" s="1"/>
      <c r="BT1730" s="1"/>
      <c r="BU1730" s="1"/>
      <c r="BV1730" s="1"/>
      <c r="BW1730" s="1"/>
      <c r="BX1730" s="1"/>
      <c r="BY1730" s="1"/>
      <c r="BZ1730" s="1"/>
      <c r="CA1730" s="1"/>
      <c r="CB1730" s="1"/>
      <c r="CC1730" s="1"/>
      <c r="CD1730" s="1"/>
      <c r="CE1730" s="1"/>
      <c r="CF1730" s="1"/>
      <c r="CG1730" s="1"/>
      <c r="CH1730" s="1"/>
      <c r="CI1730" s="1"/>
      <c r="CJ1730" s="1"/>
      <c r="CK1730" s="1"/>
      <c r="CL1730" s="1"/>
      <c r="CM1730" s="1"/>
      <c r="CN1730" s="1"/>
      <c r="CO1730" s="1"/>
      <c r="CP1730" s="1"/>
      <c r="CQ1730" s="1"/>
      <c r="CR1730" s="1"/>
      <c r="CS1730" s="1"/>
      <c r="CT1730" s="1"/>
      <c r="CU1730" s="1"/>
      <c r="CV1730" s="1"/>
      <c r="CW1730" s="1"/>
      <c r="CX1730" s="1"/>
      <c r="CY1730" s="1"/>
      <c r="CZ1730" s="1"/>
      <c r="DA1730" s="1"/>
      <c r="DB1730" s="1"/>
      <c r="DC1730" s="1"/>
    </row>
    <row r="1731" spans="1:107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/>
      <c r="AV1731" s="1"/>
      <c r="AW1731" s="1"/>
      <c r="AX1731" s="1"/>
      <c r="AY1731" s="1"/>
      <c r="AZ1731" s="1"/>
      <c r="BA1731" s="1"/>
      <c r="BB1731" s="1"/>
      <c r="BC1731" s="1"/>
      <c r="BD1731" s="1"/>
      <c r="BE1731" s="1"/>
      <c r="BF1731" s="1"/>
      <c r="BG1731" s="1"/>
      <c r="BH1731" s="1"/>
      <c r="BI1731" s="1"/>
      <c r="BJ1731" s="1"/>
      <c r="BK1731" s="1"/>
      <c r="BL1731" s="1"/>
      <c r="BM1731" s="1"/>
      <c r="BN1731" s="1"/>
      <c r="BO1731" s="1"/>
      <c r="BP1731" s="1"/>
      <c r="BQ1731" s="1"/>
      <c r="BR1731" s="1"/>
      <c r="BS1731" s="1"/>
      <c r="BT1731" s="1"/>
      <c r="BU1731" s="1"/>
      <c r="BV1731" s="1"/>
      <c r="BW1731" s="1"/>
      <c r="BX1731" s="1"/>
      <c r="BY1731" s="1"/>
      <c r="BZ1731" s="1"/>
      <c r="CA1731" s="1"/>
      <c r="CB1731" s="1"/>
      <c r="CC1731" s="1"/>
      <c r="CD1731" s="1"/>
      <c r="CE1731" s="1"/>
      <c r="CF1731" s="1"/>
      <c r="CG1731" s="1"/>
      <c r="CH1731" s="1"/>
      <c r="CI1731" s="1"/>
      <c r="CJ1731" s="1"/>
      <c r="CK1731" s="1"/>
      <c r="CL1731" s="1"/>
      <c r="CM1731" s="1"/>
      <c r="CN1731" s="1"/>
      <c r="CO1731" s="1"/>
      <c r="CP1731" s="1"/>
      <c r="CQ1731" s="1"/>
      <c r="CR1731" s="1"/>
      <c r="CS1731" s="1"/>
      <c r="CT1731" s="1"/>
      <c r="CU1731" s="1"/>
      <c r="CV1731" s="1"/>
      <c r="CW1731" s="1"/>
      <c r="CX1731" s="1"/>
      <c r="CY1731" s="1"/>
      <c r="CZ1731" s="1"/>
      <c r="DA1731" s="1"/>
      <c r="DB1731" s="1"/>
      <c r="DC1731" s="1"/>
    </row>
    <row r="1732" spans="1:107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  <c r="AS1732" s="1"/>
      <c r="AT1732" s="1"/>
      <c r="AU1732" s="1"/>
      <c r="AV1732" s="1"/>
      <c r="AW1732" s="1"/>
      <c r="AX1732" s="1"/>
      <c r="AY1732" s="1"/>
      <c r="AZ1732" s="1"/>
      <c r="BA1732" s="1"/>
      <c r="BB1732" s="1"/>
      <c r="BC1732" s="1"/>
      <c r="BD1732" s="1"/>
      <c r="BE1732" s="1"/>
      <c r="BF1732" s="1"/>
      <c r="BG1732" s="1"/>
      <c r="BH1732" s="1"/>
      <c r="BI1732" s="1"/>
      <c r="BJ1732" s="1"/>
      <c r="BK1732" s="1"/>
      <c r="BL1732" s="1"/>
      <c r="BM1732" s="1"/>
      <c r="BN1732" s="1"/>
      <c r="BO1732" s="1"/>
      <c r="BP1732" s="1"/>
      <c r="BQ1732" s="1"/>
      <c r="BR1732" s="1"/>
      <c r="BS1732" s="1"/>
      <c r="BT1732" s="1"/>
      <c r="BU1732" s="1"/>
      <c r="BV1732" s="1"/>
      <c r="BW1732" s="1"/>
      <c r="BX1732" s="1"/>
      <c r="BY1732" s="1"/>
      <c r="BZ1732" s="1"/>
      <c r="CA1732" s="1"/>
      <c r="CB1732" s="1"/>
      <c r="CC1732" s="1"/>
      <c r="CD1732" s="1"/>
      <c r="CE1732" s="1"/>
      <c r="CF1732" s="1"/>
      <c r="CG1732" s="1"/>
      <c r="CH1732" s="1"/>
      <c r="CI1732" s="1"/>
      <c r="CJ1732" s="1"/>
      <c r="CK1732" s="1"/>
      <c r="CL1732" s="1"/>
      <c r="CM1732" s="1"/>
      <c r="CN1732" s="1"/>
      <c r="CO1732" s="1"/>
      <c r="CP1732" s="1"/>
      <c r="CQ1732" s="1"/>
      <c r="CR1732" s="1"/>
      <c r="CS1732" s="1"/>
      <c r="CT1732" s="1"/>
      <c r="CU1732" s="1"/>
      <c r="CV1732" s="1"/>
      <c r="CW1732" s="1"/>
      <c r="CX1732" s="1"/>
      <c r="CY1732" s="1"/>
      <c r="CZ1732" s="1"/>
      <c r="DA1732" s="1"/>
      <c r="DB1732" s="1"/>
      <c r="DC1732" s="1"/>
    </row>
    <row r="1733" spans="1:107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  <c r="AS1733" s="1"/>
      <c r="AT1733" s="1"/>
      <c r="AU1733" s="1"/>
      <c r="AV1733" s="1"/>
      <c r="AW1733" s="1"/>
      <c r="AX1733" s="1"/>
      <c r="AY1733" s="1"/>
      <c r="AZ1733" s="1"/>
      <c r="BA1733" s="1"/>
      <c r="BB1733" s="1"/>
      <c r="BC1733" s="1"/>
      <c r="BD1733" s="1"/>
      <c r="BE1733" s="1"/>
      <c r="BF1733" s="1"/>
      <c r="BG1733" s="1"/>
      <c r="BH1733" s="1"/>
      <c r="BI1733" s="1"/>
      <c r="BJ1733" s="1"/>
      <c r="BK1733" s="1"/>
      <c r="BL1733" s="1"/>
      <c r="BM1733" s="1"/>
      <c r="BN1733" s="1"/>
      <c r="BO1733" s="1"/>
      <c r="BP1733" s="1"/>
      <c r="BQ1733" s="1"/>
      <c r="BR1733" s="1"/>
      <c r="BS1733" s="1"/>
      <c r="BT1733" s="1"/>
      <c r="BU1733" s="1"/>
      <c r="BV1733" s="1"/>
      <c r="BW1733" s="1"/>
      <c r="BX1733" s="1"/>
      <c r="BY1733" s="1"/>
      <c r="BZ1733" s="1"/>
      <c r="CA1733" s="1"/>
      <c r="CB1733" s="1"/>
      <c r="CC1733" s="1"/>
      <c r="CD1733" s="1"/>
      <c r="CE1733" s="1"/>
      <c r="CF1733" s="1"/>
      <c r="CG1733" s="1"/>
      <c r="CH1733" s="1"/>
      <c r="CI1733" s="1"/>
      <c r="CJ1733" s="1"/>
      <c r="CK1733" s="1"/>
      <c r="CL1733" s="1"/>
      <c r="CM1733" s="1"/>
      <c r="CN1733" s="1"/>
      <c r="CO1733" s="1"/>
      <c r="CP1733" s="1"/>
      <c r="CQ1733" s="1"/>
      <c r="CR1733" s="1"/>
      <c r="CS1733" s="1"/>
      <c r="CT1733" s="1"/>
      <c r="CU1733" s="1"/>
      <c r="CV1733" s="1"/>
      <c r="CW1733" s="1"/>
      <c r="CX1733" s="1"/>
      <c r="CY1733" s="1"/>
      <c r="CZ1733" s="1"/>
      <c r="DA1733" s="1"/>
      <c r="DB1733" s="1"/>
      <c r="DC1733" s="1"/>
    </row>
    <row r="1734" spans="1:107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AW1734" s="1"/>
      <c r="AX1734" s="1"/>
      <c r="AY1734" s="1"/>
      <c r="AZ1734" s="1"/>
      <c r="BA1734" s="1"/>
      <c r="BB1734" s="1"/>
      <c r="BC1734" s="1"/>
      <c r="BD1734" s="1"/>
      <c r="BE1734" s="1"/>
      <c r="BF1734" s="1"/>
      <c r="BG1734" s="1"/>
      <c r="BH1734" s="1"/>
      <c r="BI1734" s="1"/>
      <c r="BJ1734" s="1"/>
      <c r="BK1734" s="1"/>
      <c r="BL1734" s="1"/>
      <c r="BM1734" s="1"/>
      <c r="BN1734" s="1"/>
      <c r="BO1734" s="1"/>
      <c r="BP1734" s="1"/>
      <c r="BQ1734" s="1"/>
      <c r="BR1734" s="1"/>
      <c r="BS1734" s="1"/>
      <c r="BT1734" s="1"/>
      <c r="BU1734" s="1"/>
      <c r="BV1734" s="1"/>
      <c r="BW1734" s="1"/>
      <c r="BX1734" s="1"/>
      <c r="BY1734" s="1"/>
      <c r="BZ1734" s="1"/>
      <c r="CA1734" s="1"/>
      <c r="CB1734" s="1"/>
      <c r="CC1734" s="1"/>
      <c r="CD1734" s="1"/>
      <c r="CE1734" s="1"/>
      <c r="CF1734" s="1"/>
      <c r="CG1734" s="1"/>
      <c r="CH1734" s="1"/>
      <c r="CI1734" s="1"/>
      <c r="CJ1734" s="1"/>
      <c r="CK1734" s="1"/>
      <c r="CL1734" s="1"/>
      <c r="CM1734" s="1"/>
      <c r="CN1734" s="1"/>
      <c r="CO1734" s="1"/>
      <c r="CP1734" s="1"/>
      <c r="CQ1734" s="1"/>
      <c r="CR1734" s="1"/>
      <c r="CS1734" s="1"/>
      <c r="CT1734" s="1"/>
      <c r="CU1734" s="1"/>
      <c r="CV1734" s="1"/>
      <c r="CW1734" s="1"/>
      <c r="CX1734" s="1"/>
      <c r="CY1734" s="1"/>
      <c r="CZ1734" s="1"/>
      <c r="DA1734" s="1"/>
      <c r="DB1734" s="1"/>
      <c r="DC1734" s="1"/>
    </row>
    <row r="1735" spans="1:107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1"/>
      <c r="AY1735" s="1"/>
      <c r="AZ1735" s="1"/>
      <c r="BA1735" s="1"/>
      <c r="BB1735" s="1"/>
      <c r="BC1735" s="1"/>
      <c r="BD1735" s="1"/>
      <c r="BE1735" s="1"/>
      <c r="BF1735" s="1"/>
      <c r="BG1735" s="1"/>
      <c r="BH1735" s="1"/>
      <c r="BI1735" s="1"/>
      <c r="BJ1735" s="1"/>
      <c r="BK1735" s="1"/>
      <c r="BL1735" s="1"/>
      <c r="BM1735" s="1"/>
      <c r="BN1735" s="1"/>
      <c r="BO1735" s="1"/>
      <c r="BP1735" s="1"/>
      <c r="BQ1735" s="1"/>
      <c r="BR1735" s="1"/>
      <c r="BS1735" s="1"/>
      <c r="BT1735" s="1"/>
      <c r="BU1735" s="1"/>
      <c r="BV1735" s="1"/>
      <c r="BW1735" s="1"/>
      <c r="BX1735" s="1"/>
      <c r="BY1735" s="1"/>
      <c r="BZ1735" s="1"/>
      <c r="CA1735" s="1"/>
      <c r="CB1735" s="1"/>
      <c r="CC1735" s="1"/>
      <c r="CD1735" s="1"/>
      <c r="CE1735" s="1"/>
      <c r="CF1735" s="1"/>
      <c r="CG1735" s="1"/>
      <c r="CH1735" s="1"/>
      <c r="CI1735" s="1"/>
      <c r="CJ1735" s="1"/>
      <c r="CK1735" s="1"/>
      <c r="CL1735" s="1"/>
      <c r="CM1735" s="1"/>
      <c r="CN1735" s="1"/>
      <c r="CO1735" s="1"/>
      <c r="CP1735" s="1"/>
      <c r="CQ1735" s="1"/>
      <c r="CR1735" s="1"/>
      <c r="CS1735" s="1"/>
      <c r="CT1735" s="1"/>
      <c r="CU1735" s="1"/>
      <c r="CV1735" s="1"/>
      <c r="CW1735" s="1"/>
      <c r="CX1735" s="1"/>
      <c r="CY1735" s="1"/>
      <c r="CZ1735" s="1"/>
      <c r="DA1735" s="1"/>
      <c r="DB1735" s="1"/>
      <c r="DC1735" s="1"/>
    </row>
    <row r="1736" spans="1:107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AW1736" s="1"/>
      <c r="AX1736" s="1"/>
      <c r="AY1736" s="1"/>
      <c r="AZ1736" s="1"/>
      <c r="BA1736" s="1"/>
      <c r="BB1736" s="1"/>
      <c r="BC1736" s="1"/>
      <c r="BD1736" s="1"/>
      <c r="BE1736" s="1"/>
      <c r="BF1736" s="1"/>
      <c r="BG1736" s="1"/>
      <c r="BH1736" s="1"/>
      <c r="BI1736" s="1"/>
      <c r="BJ1736" s="1"/>
      <c r="BK1736" s="1"/>
      <c r="BL1736" s="1"/>
      <c r="BM1736" s="1"/>
      <c r="BN1736" s="1"/>
      <c r="BO1736" s="1"/>
      <c r="BP1736" s="1"/>
      <c r="BQ1736" s="1"/>
      <c r="BR1736" s="1"/>
      <c r="BS1736" s="1"/>
      <c r="BT1736" s="1"/>
      <c r="BU1736" s="1"/>
      <c r="BV1736" s="1"/>
      <c r="BW1736" s="1"/>
      <c r="BX1736" s="1"/>
      <c r="BY1736" s="1"/>
      <c r="BZ1736" s="1"/>
      <c r="CA1736" s="1"/>
      <c r="CB1736" s="1"/>
      <c r="CC1736" s="1"/>
      <c r="CD1736" s="1"/>
      <c r="CE1736" s="1"/>
      <c r="CF1736" s="1"/>
      <c r="CG1736" s="1"/>
      <c r="CH1736" s="1"/>
      <c r="CI1736" s="1"/>
      <c r="CJ1736" s="1"/>
      <c r="CK1736" s="1"/>
      <c r="CL1736" s="1"/>
      <c r="CM1736" s="1"/>
      <c r="CN1736" s="1"/>
      <c r="CO1736" s="1"/>
      <c r="CP1736" s="1"/>
      <c r="CQ1736" s="1"/>
      <c r="CR1736" s="1"/>
      <c r="CS1736" s="1"/>
      <c r="CT1736" s="1"/>
      <c r="CU1736" s="1"/>
      <c r="CV1736" s="1"/>
      <c r="CW1736" s="1"/>
      <c r="CX1736" s="1"/>
      <c r="CY1736" s="1"/>
      <c r="CZ1736" s="1"/>
      <c r="DA1736" s="1"/>
      <c r="DB1736" s="1"/>
      <c r="DC1736" s="1"/>
    </row>
    <row r="1737" spans="1:107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  <c r="AS1737" s="1"/>
      <c r="AT1737" s="1"/>
      <c r="AU1737" s="1"/>
      <c r="AV1737" s="1"/>
      <c r="AW1737" s="1"/>
      <c r="AX1737" s="1"/>
      <c r="AY1737" s="1"/>
      <c r="AZ1737" s="1"/>
      <c r="BA1737" s="1"/>
      <c r="BB1737" s="1"/>
      <c r="BC1737" s="1"/>
      <c r="BD1737" s="1"/>
      <c r="BE1737" s="1"/>
      <c r="BF1737" s="1"/>
      <c r="BG1737" s="1"/>
      <c r="BH1737" s="1"/>
      <c r="BI1737" s="1"/>
      <c r="BJ1737" s="1"/>
      <c r="BK1737" s="1"/>
      <c r="BL1737" s="1"/>
      <c r="BM1737" s="1"/>
      <c r="BN1737" s="1"/>
      <c r="BO1737" s="1"/>
      <c r="BP1737" s="1"/>
      <c r="BQ1737" s="1"/>
      <c r="BR1737" s="1"/>
      <c r="BS1737" s="1"/>
      <c r="BT1737" s="1"/>
      <c r="BU1737" s="1"/>
      <c r="BV1737" s="1"/>
      <c r="BW1737" s="1"/>
      <c r="BX1737" s="1"/>
      <c r="BY1737" s="1"/>
      <c r="BZ1737" s="1"/>
      <c r="CA1737" s="1"/>
      <c r="CB1737" s="1"/>
      <c r="CC1737" s="1"/>
      <c r="CD1737" s="1"/>
      <c r="CE1737" s="1"/>
      <c r="CF1737" s="1"/>
      <c r="CG1737" s="1"/>
      <c r="CH1737" s="1"/>
      <c r="CI1737" s="1"/>
      <c r="CJ1737" s="1"/>
      <c r="CK1737" s="1"/>
      <c r="CL1737" s="1"/>
      <c r="CM1737" s="1"/>
      <c r="CN1737" s="1"/>
      <c r="CO1737" s="1"/>
      <c r="CP1737" s="1"/>
      <c r="CQ1737" s="1"/>
      <c r="CR1737" s="1"/>
      <c r="CS1737" s="1"/>
      <c r="CT1737" s="1"/>
      <c r="CU1737" s="1"/>
      <c r="CV1737" s="1"/>
      <c r="CW1737" s="1"/>
      <c r="CX1737" s="1"/>
      <c r="CY1737" s="1"/>
      <c r="CZ1737" s="1"/>
      <c r="DA1737" s="1"/>
      <c r="DB1737" s="1"/>
      <c r="DC1737" s="1"/>
    </row>
    <row r="1738" spans="1:107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  <c r="AS1738" s="1"/>
      <c r="AT1738" s="1"/>
      <c r="AU1738" s="1"/>
      <c r="AV1738" s="1"/>
      <c r="AW1738" s="1"/>
      <c r="AX1738" s="1"/>
      <c r="AY1738" s="1"/>
      <c r="AZ1738" s="1"/>
      <c r="BA1738" s="1"/>
      <c r="BB1738" s="1"/>
      <c r="BC1738" s="1"/>
      <c r="BD1738" s="1"/>
      <c r="BE1738" s="1"/>
      <c r="BF1738" s="1"/>
      <c r="BG1738" s="1"/>
      <c r="BH1738" s="1"/>
      <c r="BI1738" s="1"/>
      <c r="BJ1738" s="1"/>
      <c r="BK1738" s="1"/>
      <c r="BL1738" s="1"/>
      <c r="BM1738" s="1"/>
      <c r="BN1738" s="1"/>
      <c r="BO1738" s="1"/>
      <c r="BP1738" s="1"/>
      <c r="BQ1738" s="1"/>
      <c r="BR1738" s="1"/>
      <c r="BS1738" s="1"/>
      <c r="BT1738" s="1"/>
      <c r="BU1738" s="1"/>
      <c r="BV1738" s="1"/>
      <c r="BW1738" s="1"/>
      <c r="BX1738" s="1"/>
      <c r="BY1738" s="1"/>
      <c r="BZ1738" s="1"/>
      <c r="CA1738" s="1"/>
      <c r="CB1738" s="1"/>
      <c r="CC1738" s="1"/>
      <c r="CD1738" s="1"/>
      <c r="CE1738" s="1"/>
      <c r="CF1738" s="1"/>
      <c r="CG1738" s="1"/>
      <c r="CH1738" s="1"/>
      <c r="CI1738" s="1"/>
      <c r="CJ1738" s="1"/>
      <c r="CK1738" s="1"/>
      <c r="CL1738" s="1"/>
      <c r="CM1738" s="1"/>
      <c r="CN1738" s="1"/>
      <c r="CO1738" s="1"/>
      <c r="CP1738" s="1"/>
      <c r="CQ1738" s="1"/>
      <c r="CR1738" s="1"/>
      <c r="CS1738" s="1"/>
      <c r="CT1738" s="1"/>
      <c r="CU1738" s="1"/>
      <c r="CV1738" s="1"/>
      <c r="CW1738" s="1"/>
      <c r="CX1738" s="1"/>
      <c r="CY1738" s="1"/>
      <c r="CZ1738" s="1"/>
      <c r="DA1738" s="1"/>
      <c r="DB1738" s="1"/>
      <c r="DC1738" s="1"/>
    </row>
    <row r="1739" spans="1:107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  <c r="AS1739" s="1"/>
      <c r="AT1739" s="1"/>
      <c r="AU1739" s="1"/>
      <c r="AV1739" s="1"/>
      <c r="AW1739" s="1"/>
      <c r="AX1739" s="1"/>
      <c r="AY1739" s="1"/>
      <c r="AZ1739" s="1"/>
      <c r="BA1739" s="1"/>
      <c r="BB1739" s="1"/>
      <c r="BC1739" s="1"/>
      <c r="BD1739" s="1"/>
      <c r="BE1739" s="1"/>
      <c r="BF1739" s="1"/>
      <c r="BG1739" s="1"/>
      <c r="BH1739" s="1"/>
      <c r="BI1739" s="1"/>
      <c r="BJ1739" s="1"/>
      <c r="BK1739" s="1"/>
      <c r="BL1739" s="1"/>
      <c r="BM1739" s="1"/>
      <c r="BN1739" s="1"/>
      <c r="BO1739" s="1"/>
      <c r="BP1739" s="1"/>
      <c r="BQ1739" s="1"/>
      <c r="BR1739" s="1"/>
      <c r="BS1739" s="1"/>
      <c r="BT1739" s="1"/>
      <c r="BU1739" s="1"/>
      <c r="BV1739" s="1"/>
      <c r="BW1739" s="1"/>
      <c r="BX1739" s="1"/>
      <c r="BY1739" s="1"/>
      <c r="BZ1739" s="1"/>
      <c r="CA1739" s="1"/>
      <c r="CB1739" s="1"/>
      <c r="CC1739" s="1"/>
      <c r="CD1739" s="1"/>
      <c r="CE1739" s="1"/>
      <c r="CF1739" s="1"/>
      <c r="CG1739" s="1"/>
      <c r="CH1739" s="1"/>
      <c r="CI1739" s="1"/>
      <c r="CJ1739" s="1"/>
      <c r="CK1739" s="1"/>
      <c r="CL1739" s="1"/>
      <c r="CM1739" s="1"/>
      <c r="CN1739" s="1"/>
      <c r="CO1739" s="1"/>
      <c r="CP1739" s="1"/>
      <c r="CQ1739" s="1"/>
      <c r="CR1739" s="1"/>
      <c r="CS1739" s="1"/>
      <c r="CT1739" s="1"/>
      <c r="CU1739" s="1"/>
      <c r="CV1739" s="1"/>
      <c r="CW1739" s="1"/>
      <c r="CX1739" s="1"/>
      <c r="CY1739" s="1"/>
      <c r="CZ1739" s="1"/>
      <c r="DA1739" s="1"/>
      <c r="DB1739" s="1"/>
      <c r="DC1739" s="1"/>
    </row>
    <row r="1740" spans="1:107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/>
      <c r="AV1740" s="1"/>
      <c r="AW1740" s="1"/>
      <c r="AX1740" s="1"/>
      <c r="AY1740" s="1"/>
      <c r="AZ1740" s="1"/>
      <c r="BA1740" s="1"/>
      <c r="BB1740" s="1"/>
      <c r="BC1740" s="1"/>
      <c r="BD1740" s="1"/>
      <c r="BE1740" s="1"/>
      <c r="BF1740" s="1"/>
      <c r="BG1740" s="1"/>
      <c r="BH1740" s="1"/>
      <c r="BI1740" s="1"/>
      <c r="BJ1740" s="1"/>
      <c r="BK1740" s="1"/>
      <c r="BL1740" s="1"/>
      <c r="BM1740" s="1"/>
      <c r="BN1740" s="1"/>
      <c r="BO1740" s="1"/>
      <c r="BP1740" s="1"/>
      <c r="BQ1740" s="1"/>
      <c r="BR1740" s="1"/>
      <c r="BS1740" s="1"/>
      <c r="BT1740" s="1"/>
      <c r="BU1740" s="1"/>
      <c r="BV1740" s="1"/>
      <c r="BW1740" s="1"/>
      <c r="BX1740" s="1"/>
      <c r="BY1740" s="1"/>
      <c r="BZ1740" s="1"/>
      <c r="CA1740" s="1"/>
      <c r="CB1740" s="1"/>
      <c r="CC1740" s="1"/>
      <c r="CD1740" s="1"/>
      <c r="CE1740" s="1"/>
      <c r="CF1740" s="1"/>
      <c r="CG1740" s="1"/>
      <c r="CH1740" s="1"/>
      <c r="CI1740" s="1"/>
      <c r="CJ1740" s="1"/>
      <c r="CK1740" s="1"/>
      <c r="CL1740" s="1"/>
      <c r="CM1740" s="1"/>
      <c r="CN1740" s="1"/>
      <c r="CO1740" s="1"/>
      <c r="CP1740" s="1"/>
      <c r="CQ1740" s="1"/>
      <c r="CR1740" s="1"/>
      <c r="CS1740" s="1"/>
      <c r="CT1740" s="1"/>
      <c r="CU1740" s="1"/>
      <c r="CV1740" s="1"/>
      <c r="CW1740" s="1"/>
      <c r="CX1740" s="1"/>
      <c r="CY1740" s="1"/>
      <c r="CZ1740" s="1"/>
      <c r="DA1740" s="1"/>
      <c r="DB1740" s="1"/>
      <c r="DC1740" s="1"/>
    </row>
    <row r="1741" spans="1:107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"/>
      <c r="AV1741" s="1"/>
      <c r="AW1741" s="1"/>
      <c r="AX1741" s="1"/>
      <c r="AY1741" s="1"/>
      <c r="AZ1741" s="1"/>
      <c r="BA1741" s="1"/>
      <c r="BB1741" s="1"/>
      <c r="BC1741" s="1"/>
      <c r="BD1741" s="1"/>
      <c r="BE1741" s="1"/>
      <c r="BF1741" s="1"/>
      <c r="BG1741" s="1"/>
      <c r="BH1741" s="1"/>
      <c r="BI1741" s="1"/>
      <c r="BJ1741" s="1"/>
      <c r="BK1741" s="1"/>
      <c r="BL1741" s="1"/>
      <c r="BM1741" s="1"/>
      <c r="BN1741" s="1"/>
      <c r="BO1741" s="1"/>
      <c r="BP1741" s="1"/>
      <c r="BQ1741" s="1"/>
      <c r="BR1741" s="1"/>
      <c r="BS1741" s="1"/>
      <c r="BT1741" s="1"/>
      <c r="BU1741" s="1"/>
      <c r="BV1741" s="1"/>
      <c r="BW1741" s="1"/>
      <c r="BX1741" s="1"/>
      <c r="BY1741" s="1"/>
      <c r="BZ1741" s="1"/>
      <c r="CA1741" s="1"/>
      <c r="CB1741" s="1"/>
      <c r="CC1741" s="1"/>
      <c r="CD1741" s="1"/>
      <c r="CE1741" s="1"/>
      <c r="CF1741" s="1"/>
      <c r="CG1741" s="1"/>
      <c r="CH1741" s="1"/>
      <c r="CI1741" s="1"/>
      <c r="CJ1741" s="1"/>
      <c r="CK1741" s="1"/>
      <c r="CL1741" s="1"/>
      <c r="CM1741" s="1"/>
      <c r="CN1741" s="1"/>
      <c r="CO1741" s="1"/>
      <c r="CP1741" s="1"/>
      <c r="CQ1741" s="1"/>
      <c r="CR1741" s="1"/>
      <c r="CS1741" s="1"/>
      <c r="CT1741" s="1"/>
      <c r="CU1741" s="1"/>
      <c r="CV1741" s="1"/>
      <c r="CW1741" s="1"/>
      <c r="CX1741" s="1"/>
      <c r="CY1741" s="1"/>
      <c r="CZ1741" s="1"/>
      <c r="DA1741" s="1"/>
      <c r="DB1741" s="1"/>
      <c r="DC1741" s="1"/>
    </row>
    <row r="1742" spans="1:107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  <c r="AS1742" s="1"/>
      <c r="AT1742" s="1"/>
      <c r="AU1742" s="1"/>
      <c r="AV1742" s="1"/>
      <c r="AW1742" s="1"/>
      <c r="AX1742" s="1"/>
      <c r="AY1742" s="1"/>
      <c r="AZ1742" s="1"/>
      <c r="BA1742" s="1"/>
      <c r="BB1742" s="1"/>
      <c r="BC1742" s="1"/>
      <c r="BD1742" s="1"/>
      <c r="BE1742" s="1"/>
      <c r="BF1742" s="1"/>
      <c r="BG1742" s="1"/>
      <c r="BH1742" s="1"/>
      <c r="BI1742" s="1"/>
      <c r="BJ1742" s="1"/>
      <c r="BK1742" s="1"/>
      <c r="BL1742" s="1"/>
      <c r="BM1742" s="1"/>
      <c r="BN1742" s="1"/>
      <c r="BO1742" s="1"/>
      <c r="BP1742" s="1"/>
      <c r="BQ1742" s="1"/>
      <c r="BR1742" s="1"/>
      <c r="BS1742" s="1"/>
      <c r="BT1742" s="1"/>
      <c r="BU1742" s="1"/>
      <c r="BV1742" s="1"/>
      <c r="BW1742" s="1"/>
      <c r="BX1742" s="1"/>
      <c r="BY1742" s="1"/>
      <c r="BZ1742" s="1"/>
      <c r="CA1742" s="1"/>
      <c r="CB1742" s="1"/>
      <c r="CC1742" s="1"/>
      <c r="CD1742" s="1"/>
      <c r="CE1742" s="1"/>
      <c r="CF1742" s="1"/>
      <c r="CG1742" s="1"/>
      <c r="CH1742" s="1"/>
      <c r="CI1742" s="1"/>
      <c r="CJ1742" s="1"/>
      <c r="CK1742" s="1"/>
      <c r="CL1742" s="1"/>
      <c r="CM1742" s="1"/>
      <c r="CN1742" s="1"/>
      <c r="CO1742" s="1"/>
      <c r="CP1742" s="1"/>
      <c r="CQ1742" s="1"/>
      <c r="CR1742" s="1"/>
      <c r="CS1742" s="1"/>
      <c r="CT1742" s="1"/>
      <c r="CU1742" s="1"/>
      <c r="CV1742" s="1"/>
      <c r="CW1742" s="1"/>
      <c r="CX1742" s="1"/>
      <c r="CY1742" s="1"/>
      <c r="CZ1742" s="1"/>
      <c r="DA1742" s="1"/>
      <c r="DB1742" s="1"/>
      <c r="DC1742" s="1"/>
    </row>
    <row r="1743" spans="1:107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  <c r="AS1743" s="1"/>
      <c r="AT1743" s="1"/>
      <c r="AU1743" s="1"/>
      <c r="AV1743" s="1"/>
      <c r="AW1743" s="1"/>
      <c r="AX1743" s="1"/>
      <c r="AY1743" s="1"/>
      <c r="AZ1743" s="1"/>
      <c r="BA1743" s="1"/>
      <c r="BB1743" s="1"/>
      <c r="BC1743" s="1"/>
      <c r="BD1743" s="1"/>
      <c r="BE1743" s="1"/>
      <c r="BF1743" s="1"/>
      <c r="BG1743" s="1"/>
      <c r="BH1743" s="1"/>
      <c r="BI1743" s="1"/>
      <c r="BJ1743" s="1"/>
      <c r="BK1743" s="1"/>
      <c r="BL1743" s="1"/>
      <c r="BM1743" s="1"/>
      <c r="BN1743" s="1"/>
      <c r="BO1743" s="1"/>
      <c r="BP1743" s="1"/>
      <c r="BQ1743" s="1"/>
      <c r="BR1743" s="1"/>
      <c r="BS1743" s="1"/>
      <c r="BT1743" s="1"/>
      <c r="BU1743" s="1"/>
      <c r="BV1743" s="1"/>
      <c r="BW1743" s="1"/>
      <c r="BX1743" s="1"/>
      <c r="BY1743" s="1"/>
      <c r="BZ1743" s="1"/>
      <c r="CA1743" s="1"/>
      <c r="CB1743" s="1"/>
      <c r="CC1743" s="1"/>
      <c r="CD1743" s="1"/>
      <c r="CE1743" s="1"/>
      <c r="CF1743" s="1"/>
      <c r="CG1743" s="1"/>
      <c r="CH1743" s="1"/>
      <c r="CI1743" s="1"/>
      <c r="CJ1743" s="1"/>
      <c r="CK1743" s="1"/>
      <c r="CL1743" s="1"/>
      <c r="CM1743" s="1"/>
      <c r="CN1743" s="1"/>
      <c r="CO1743" s="1"/>
      <c r="CP1743" s="1"/>
      <c r="CQ1743" s="1"/>
      <c r="CR1743" s="1"/>
      <c r="CS1743" s="1"/>
      <c r="CT1743" s="1"/>
      <c r="CU1743" s="1"/>
      <c r="CV1743" s="1"/>
      <c r="CW1743" s="1"/>
      <c r="CX1743" s="1"/>
      <c r="CY1743" s="1"/>
      <c r="CZ1743" s="1"/>
      <c r="DA1743" s="1"/>
      <c r="DB1743" s="1"/>
      <c r="DC1743" s="1"/>
    </row>
    <row r="1744" spans="1:107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/>
      <c r="AW1744" s="1"/>
      <c r="AX1744" s="1"/>
      <c r="AY1744" s="1"/>
      <c r="AZ1744" s="1"/>
      <c r="BA1744" s="1"/>
      <c r="BB1744" s="1"/>
      <c r="BC1744" s="1"/>
      <c r="BD1744" s="1"/>
      <c r="BE1744" s="1"/>
      <c r="BF1744" s="1"/>
      <c r="BG1744" s="1"/>
      <c r="BH1744" s="1"/>
      <c r="BI1744" s="1"/>
      <c r="BJ1744" s="1"/>
      <c r="BK1744" s="1"/>
      <c r="BL1744" s="1"/>
      <c r="BM1744" s="1"/>
      <c r="BN1744" s="1"/>
      <c r="BO1744" s="1"/>
      <c r="BP1744" s="1"/>
      <c r="BQ1744" s="1"/>
      <c r="BR1744" s="1"/>
      <c r="BS1744" s="1"/>
      <c r="BT1744" s="1"/>
      <c r="BU1744" s="1"/>
      <c r="BV1744" s="1"/>
      <c r="BW1744" s="1"/>
      <c r="BX1744" s="1"/>
      <c r="BY1744" s="1"/>
      <c r="BZ1744" s="1"/>
      <c r="CA1744" s="1"/>
      <c r="CB1744" s="1"/>
      <c r="CC1744" s="1"/>
      <c r="CD1744" s="1"/>
      <c r="CE1744" s="1"/>
      <c r="CF1744" s="1"/>
      <c r="CG1744" s="1"/>
      <c r="CH1744" s="1"/>
      <c r="CI1744" s="1"/>
      <c r="CJ1744" s="1"/>
      <c r="CK1744" s="1"/>
      <c r="CL1744" s="1"/>
      <c r="CM1744" s="1"/>
      <c r="CN1744" s="1"/>
      <c r="CO1744" s="1"/>
      <c r="CP1744" s="1"/>
      <c r="CQ1744" s="1"/>
      <c r="CR1744" s="1"/>
      <c r="CS1744" s="1"/>
      <c r="CT1744" s="1"/>
      <c r="CU1744" s="1"/>
      <c r="CV1744" s="1"/>
      <c r="CW1744" s="1"/>
      <c r="CX1744" s="1"/>
      <c r="CY1744" s="1"/>
      <c r="CZ1744" s="1"/>
      <c r="DA1744" s="1"/>
      <c r="DB1744" s="1"/>
      <c r="DC1744" s="1"/>
    </row>
    <row r="1745" spans="1:107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1"/>
      <c r="AW1745" s="1"/>
      <c r="AX1745" s="1"/>
      <c r="AY1745" s="1"/>
      <c r="AZ1745" s="1"/>
      <c r="BA1745" s="1"/>
      <c r="BB1745" s="1"/>
      <c r="BC1745" s="1"/>
      <c r="BD1745" s="1"/>
      <c r="BE1745" s="1"/>
      <c r="BF1745" s="1"/>
      <c r="BG1745" s="1"/>
      <c r="BH1745" s="1"/>
      <c r="BI1745" s="1"/>
      <c r="BJ1745" s="1"/>
      <c r="BK1745" s="1"/>
      <c r="BL1745" s="1"/>
      <c r="BM1745" s="1"/>
      <c r="BN1745" s="1"/>
      <c r="BO1745" s="1"/>
      <c r="BP1745" s="1"/>
      <c r="BQ1745" s="1"/>
      <c r="BR1745" s="1"/>
      <c r="BS1745" s="1"/>
      <c r="BT1745" s="1"/>
      <c r="BU1745" s="1"/>
      <c r="BV1745" s="1"/>
      <c r="BW1745" s="1"/>
      <c r="BX1745" s="1"/>
      <c r="BY1745" s="1"/>
      <c r="BZ1745" s="1"/>
      <c r="CA1745" s="1"/>
      <c r="CB1745" s="1"/>
      <c r="CC1745" s="1"/>
      <c r="CD1745" s="1"/>
      <c r="CE1745" s="1"/>
      <c r="CF1745" s="1"/>
      <c r="CG1745" s="1"/>
      <c r="CH1745" s="1"/>
      <c r="CI1745" s="1"/>
      <c r="CJ1745" s="1"/>
      <c r="CK1745" s="1"/>
      <c r="CL1745" s="1"/>
      <c r="CM1745" s="1"/>
      <c r="CN1745" s="1"/>
      <c r="CO1745" s="1"/>
      <c r="CP1745" s="1"/>
      <c r="CQ1745" s="1"/>
      <c r="CR1745" s="1"/>
      <c r="CS1745" s="1"/>
      <c r="CT1745" s="1"/>
      <c r="CU1745" s="1"/>
      <c r="CV1745" s="1"/>
      <c r="CW1745" s="1"/>
      <c r="CX1745" s="1"/>
      <c r="CY1745" s="1"/>
      <c r="CZ1745" s="1"/>
      <c r="DA1745" s="1"/>
      <c r="DB1745" s="1"/>
      <c r="DC1745" s="1"/>
    </row>
    <row r="1746" spans="1:107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AW1746" s="1"/>
      <c r="AX1746" s="1"/>
      <c r="AY1746" s="1"/>
      <c r="AZ1746" s="1"/>
      <c r="BA1746" s="1"/>
      <c r="BB1746" s="1"/>
      <c r="BC1746" s="1"/>
      <c r="BD1746" s="1"/>
      <c r="BE1746" s="1"/>
      <c r="BF1746" s="1"/>
      <c r="BG1746" s="1"/>
      <c r="BH1746" s="1"/>
      <c r="BI1746" s="1"/>
      <c r="BJ1746" s="1"/>
      <c r="BK1746" s="1"/>
      <c r="BL1746" s="1"/>
      <c r="BM1746" s="1"/>
      <c r="BN1746" s="1"/>
      <c r="BO1746" s="1"/>
      <c r="BP1746" s="1"/>
      <c r="BQ1746" s="1"/>
      <c r="BR1746" s="1"/>
      <c r="BS1746" s="1"/>
      <c r="BT1746" s="1"/>
      <c r="BU1746" s="1"/>
      <c r="BV1746" s="1"/>
      <c r="BW1746" s="1"/>
      <c r="BX1746" s="1"/>
      <c r="BY1746" s="1"/>
      <c r="BZ1746" s="1"/>
      <c r="CA1746" s="1"/>
      <c r="CB1746" s="1"/>
      <c r="CC1746" s="1"/>
      <c r="CD1746" s="1"/>
      <c r="CE1746" s="1"/>
      <c r="CF1746" s="1"/>
      <c r="CG1746" s="1"/>
      <c r="CH1746" s="1"/>
      <c r="CI1746" s="1"/>
      <c r="CJ1746" s="1"/>
      <c r="CK1746" s="1"/>
      <c r="CL1746" s="1"/>
      <c r="CM1746" s="1"/>
      <c r="CN1746" s="1"/>
      <c r="CO1746" s="1"/>
      <c r="CP1746" s="1"/>
      <c r="CQ1746" s="1"/>
      <c r="CR1746" s="1"/>
      <c r="CS1746" s="1"/>
      <c r="CT1746" s="1"/>
      <c r="CU1746" s="1"/>
      <c r="CV1746" s="1"/>
      <c r="CW1746" s="1"/>
      <c r="CX1746" s="1"/>
      <c r="CY1746" s="1"/>
      <c r="CZ1746" s="1"/>
      <c r="DA1746" s="1"/>
      <c r="DB1746" s="1"/>
      <c r="DC1746" s="1"/>
    </row>
    <row r="1747" spans="1:107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  <c r="AX1747" s="1"/>
      <c r="AY1747" s="1"/>
      <c r="AZ1747" s="1"/>
      <c r="BA1747" s="1"/>
      <c r="BB1747" s="1"/>
      <c r="BC1747" s="1"/>
      <c r="BD1747" s="1"/>
      <c r="BE1747" s="1"/>
      <c r="BF1747" s="1"/>
      <c r="BG1747" s="1"/>
      <c r="BH1747" s="1"/>
      <c r="BI1747" s="1"/>
      <c r="BJ1747" s="1"/>
      <c r="BK1747" s="1"/>
      <c r="BL1747" s="1"/>
      <c r="BM1747" s="1"/>
      <c r="BN1747" s="1"/>
      <c r="BO1747" s="1"/>
      <c r="BP1747" s="1"/>
      <c r="BQ1747" s="1"/>
      <c r="BR1747" s="1"/>
      <c r="BS1747" s="1"/>
      <c r="BT1747" s="1"/>
      <c r="BU1747" s="1"/>
      <c r="BV1747" s="1"/>
      <c r="BW1747" s="1"/>
      <c r="BX1747" s="1"/>
      <c r="BY1747" s="1"/>
      <c r="BZ1747" s="1"/>
      <c r="CA1747" s="1"/>
      <c r="CB1747" s="1"/>
      <c r="CC1747" s="1"/>
      <c r="CD1747" s="1"/>
      <c r="CE1747" s="1"/>
      <c r="CF1747" s="1"/>
      <c r="CG1747" s="1"/>
      <c r="CH1747" s="1"/>
      <c r="CI1747" s="1"/>
      <c r="CJ1747" s="1"/>
      <c r="CK1747" s="1"/>
      <c r="CL1747" s="1"/>
      <c r="CM1747" s="1"/>
      <c r="CN1747" s="1"/>
      <c r="CO1747" s="1"/>
      <c r="CP1747" s="1"/>
      <c r="CQ1747" s="1"/>
      <c r="CR1747" s="1"/>
      <c r="CS1747" s="1"/>
      <c r="CT1747" s="1"/>
      <c r="CU1747" s="1"/>
      <c r="CV1747" s="1"/>
      <c r="CW1747" s="1"/>
      <c r="CX1747" s="1"/>
      <c r="CY1747" s="1"/>
      <c r="CZ1747" s="1"/>
      <c r="DA1747" s="1"/>
      <c r="DB1747" s="1"/>
      <c r="DC1747" s="1"/>
    </row>
    <row r="1748" spans="1:107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/>
      <c r="AX1748" s="1"/>
      <c r="AY1748" s="1"/>
      <c r="AZ1748" s="1"/>
      <c r="BA1748" s="1"/>
      <c r="BB1748" s="1"/>
      <c r="BC1748" s="1"/>
      <c r="BD1748" s="1"/>
      <c r="BE1748" s="1"/>
      <c r="BF1748" s="1"/>
      <c r="BG1748" s="1"/>
      <c r="BH1748" s="1"/>
      <c r="BI1748" s="1"/>
      <c r="BJ1748" s="1"/>
      <c r="BK1748" s="1"/>
      <c r="BL1748" s="1"/>
      <c r="BM1748" s="1"/>
      <c r="BN1748" s="1"/>
      <c r="BO1748" s="1"/>
      <c r="BP1748" s="1"/>
      <c r="BQ1748" s="1"/>
      <c r="BR1748" s="1"/>
      <c r="BS1748" s="1"/>
      <c r="BT1748" s="1"/>
      <c r="BU1748" s="1"/>
      <c r="BV1748" s="1"/>
      <c r="BW1748" s="1"/>
      <c r="BX1748" s="1"/>
      <c r="BY1748" s="1"/>
      <c r="BZ1748" s="1"/>
      <c r="CA1748" s="1"/>
      <c r="CB1748" s="1"/>
      <c r="CC1748" s="1"/>
      <c r="CD1748" s="1"/>
      <c r="CE1748" s="1"/>
      <c r="CF1748" s="1"/>
      <c r="CG1748" s="1"/>
      <c r="CH1748" s="1"/>
      <c r="CI1748" s="1"/>
      <c r="CJ1748" s="1"/>
      <c r="CK1748" s="1"/>
      <c r="CL1748" s="1"/>
      <c r="CM1748" s="1"/>
      <c r="CN1748" s="1"/>
      <c r="CO1748" s="1"/>
      <c r="CP1748" s="1"/>
      <c r="CQ1748" s="1"/>
      <c r="CR1748" s="1"/>
      <c r="CS1748" s="1"/>
      <c r="CT1748" s="1"/>
      <c r="CU1748" s="1"/>
      <c r="CV1748" s="1"/>
      <c r="CW1748" s="1"/>
      <c r="CX1748" s="1"/>
      <c r="CY1748" s="1"/>
      <c r="CZ1748" s="1"/>
      <c r="DA1748" s="1"/>
      <c r="DB1748" s="1"/>
      <c r="DC1748" s="1"/>
    </row>
    <row r="1749" spans="1:107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/>
      <c r="AX1749" s="1"/>
      <c r="AY1749" s="1"/>
      <c r="AZ1749" s="1"/>
      <c r="BA1749" s="1"/>
      <c r="BB1749" s="1"/>
      <c r="BC1749" s="1"/>
      <c r="BD1749" s="1"/>
      <c r="BE1749" s="1"/>
      <c r="BF1749" s="1"/>
      <c r="BG1749" s="1"/>
      <c r="BH1749" s="1"/>
      <c r="BI1749" s="1"/>
      <c r="BJ1749" s="1"/>
      <c r="BK1749" s="1"/>
      <c r="BL1749" s="1"/>
      <c r="BM1749" s="1"/>
      <c r="BN1749" s="1"/>
      <c r="BO1749" s="1"/>
      <c r="BP1749" s="1"/>
      <c r="BQ1749" s="1"/>
      <c r="BR1749" s="1"/>
      <c r="BS1749" s="1"/>
      <c r="BT1749" s="1"/>
      <c r="BU1749" s="1"/>
      <c r="BV1749" s="1"/>
      <c r="BW1749" s="1"/>
      <c r="BX1749" s="1"/>
      <c r="BY1749" s="1"/>
      <c r="BZ1749" s="1"/>
      <c r="CA1749" s="1"/>
      <c r="CB1749" s="1"/>
      <c r="CC1749" s="1"/>
      <c r="CD1749" s="1"/>
      <c r="CE1749" s="1"/>
      <c r="CF1749" s="1"/>
      <c r="CG1749" s="1"/>
      <c r="CH1749" s="1"/>
      <c r="CI1749" s="1"/>
      <c r="CJ1749" s="1"/>
      <c r="CK1749" s="1"/>
      <c r="CL1749" s="1"/>
      <c r="CM1749" s="1"/>
      <c r="CN1749" s="1"/>
      <c r="CO1749" s="1"/>
      <c r="CP1749" s="1"/>
      <c r="CQ1749" s="1"/>
      <c r="CR1749" s="1"/>
      <c r="CS1749" s="1"/>
      <c r="CT1749" s="1"/>
      <c r="CU1749" s="1"/>
      <c r="CV1749" s="1"/>
      <c r="CW1749" s="1"/>
      <c r="CX1749" s="1"/>
      <c r="CY1749" s="1"/>
      <c r="CZ1749" s="1"/>
      <c r="DA1749" s="1"/>
      <c r="DB1749" s="1"/>
      <c r="DC1749" s="1"/>
    </row>
    <row r="1750" spans="1:107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  <c r="AS1750" s="1"/>
      <c r="AT1750" s="1"/>
      <c r="AU1750" s="1"/>
      <c r="AV1750" s="1"/>
      <c r="AW1750" s="1"/>
      <c r="AX1750" s="1"/>
      <c r="AY1750" s="1"/>
      <c r="AZ1750" s="1"/>
      <c r="BA1750" s="1"/>
      <c r="BB1750" s="1"/>
      <c r="BC1750" s="1"/>
      <c r="BD1750" s="1"/>
      <c r="BE1750" s="1"/>
      <c r="BF1750" s="1"/>
      <c r="BG1750" s="1"/>
      <c r="BH1750" s="1"/>
      <c r="BI1750" s="1"/>
      <c r="BJ1750" s="1"/>
      <c r="BK1750" s="1"/>
      <c r="BL1750" s="1"/>
      <c r="BM1750" s="1"/>
      <c r="BN1750" s="1"/>
      <c r="BO1750" s="1"/>
      <c r="BP1750" s="1"/>
      <c r="BQ1750" s="1"/>
      <c r="BR1750" s="1"/>
      <c r="BS1750" s="1"/>
      <c r="BT1750" s="1"/>
      <c r="BU1750" s="1"/>
      <c r="BV1750" s="1"/>
      <c r="BW1750" s="1"/>
      <c r="BX1750" s="1"/>
      <c r="BY1750" s="1"/>
      <c r="BZ1750" s="1"/>
      <c r="CA1750" s="1"/>
      <c r="CB1750" s="1"/>
      <c r="CC1750" s="1"/>
      <c r="CD1750" s="1"/>
      <c r="CE1750" s="1"/>
      <c r="CF1750" s="1"/>
      <c r="CG1750" s="1"/>
      <c r="CH1750" s="1"/>
      <c r="CI1750" s="1"/>
      <c r="CJ1750" s="1"/>
      <c r="CK1750" s="1"/>
      <c r="CL1750" s="1"/>
      <c r="CM1750" s="1"/>
      <c r="CN1750" s="1"/>
      <c r="CO1750" s="1"/>
      <c r="CP1750" s="1"/>
      <c r="CQ1750" s="1"/>
      <c r="CR1750" s="1"/>
      <c r="CS1750" s="1"/>
      <c r="CT1750" s="1"/>
      <c r="CU1750" s="1"/>
      <c r="CV1750" s="1"/>
      <c r="CW1750" s="1"/>
      <c r="CX1750" s="1"/>
      <c r="CY1750" s="1"/>
      <c r="CZ1750" s="1"/>
      <c r="DA1750" s="1"/>
      <c r="DB1750" s="1"/>
      <c r="DC1750" s="1"/>
    </row>
    <row r="1751" spans="1:107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  <c r="AS1751" s="1"/>
      <c r="AT1751" s="1"/>
      <c r="AU1751" s="1"/>
      <c r="AV1751" s="1"/>
      <c r="AW1751" s="1"/>
      <c r="AX1751" s="1"/>
      <c r="AY1751" s="1"/>
      <c r="AZ1751" s="1"/>
      <c r="BA1751" s="1"/>
      <c r="BB1751" s="1"/>
      <c r="BC1751" s="1"/>
      <c r="BD1751" s="1"/>
      <c r="BE1751" s="1"/>
      <c r="BF1751" s="1"/>
      <c r="BG1751" s="1"/>
      <c r="BH1751" s="1"/>
      <c r="BI1751" s="1"/>
      <c r="BJ1751" s="1"/>
      <c r="BK1751" s="1"/>
      <c r="BL1751" s="1"/>
      <c r="BM1751" s="1"/>
      <c r="BN1751" s="1"/>
      <c r="BO1751" s="1"/>
      <c r="BP1751" s="1"/>
      <c r="BQ1751" s="1"/>
      <c r="BR1751" s="1"/>
      <c r="BS1751" s="1"/>
      <c r="BT1751" s="1"/>
      <c r="BU1751" s="1"/>
      <c r="BV1751" s="1"/>
      <c r="BW1751" s="1"/>
      <c r="BX1751" s="1"/>
      <c r="BY1751" s="1"/>
      <c r="BZ1751" s="1"/>
      <c r="CA1751" s="1"/>
      <c r="CB1751" s="1"/>
      <c r="CC1751" s="1"/>
      <c r="CD1751" s="1"/>
      <c r="CE1751" s="1"/>
      <c r="CF1751" s="1"/>
      <c r="CG1751" s="1"/>
      <c r="CH1751" s="1"/>
      <c r="CI1751" s="1"/>
      <c r="CJ1751" s="1"/>
      <c r="CK1751" s="1"/>
      <c r="CL1751" s="1"/>
      <c r="CM1751" s="1"/>
      <c r="CN1751" s="1"/>
      <c r="CO1751" s="1"/>
      <c r="CP1751" s="1"/>
      <c r="CQ1751" s="1"/>
      <c r="CR1751" s="1"/>
      <c r="CS1751" s="1"/>
      <c r="CT1751" s="1"/>
      <c r="CU1751" s="1"/>
      <c r="CV1751" s="1"/>
      <c r="CW1751" s="1"/>
      <c r="CX1751" s="1"/>
      <c r="CY1751" s="1"/>
      <c r="CZ1751" s="1"/>
      <c r="DA1751" s="1"/>
      <c r="DB1751" s="1"/>
      <c r="DC1751" s="1"/>
    </row>
    <row r="1752" spans="1:107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  <c r="AS1752" s="1"/>
      <c r="AT1752" s="1"/>
      <c r="AU1752" s="1"/>
      <c r="AV1752" s="1"/>
      <c r="AW1752" s="1"/>
      <c r="AX1752" s="1"/>
      <c r="AY1752" s="1"/>
      <c r="AZ1752" s="1"/>
      <c r="BA1752" s="1"/>
      <c r="BB1752" s="1"/>
      <c r="BC1752" s="1"/>
      <c r="BD1752" s="1"/>
      <c r="BE1752" s="1"/>
      <c r="BF1752" s="1"/>
      <c r="BG1752" s="1"/>
      <c r="BH1752" s="1"/>
      <c r="BI1752" s="1"/>
      <c r="BJ1752" s="1"/>
      <c r="BK1752" s="1"/>
      <c r="BL1752" s="1"/>
      <c r="BM1752" s="1"/>
      <c r="BN1752" s="1"/>
      <c r="BO1752" s="1"/>
      <c r="BP1752" s="1"/>
      <c r="BQ1752" s="1"/>
      <c r="BR1752" s="1"/>
      <c r="BS1752" s="1"/>
      <c r="BT1752" s="1"/>
      <c r="BU1752" s="1"/>
      <c r="BV1752" s="1"/>
      <c r="BW1752" s="1"/>
      <c r="BX1752" s="1"/>
      <c r="BY1752" s="1"/>
      <c r="BZ1752" s="1"/>
      <c r="CA1752" s="1"/>
      <c r="CB1752" s="1"/>
      <c r="CC1752" s="1"/>
      <c r="CD1752" s="1"/>
      <c r="CE1752" s="1"/>
      <c r="CF1752" s="1"/>
      <c r="CG1752" s="1"/>
      <c r="CH1752" s="1"/>
      <c r="CI1752" s="1"/>
      <c r="CJ1752" s="1"/>
      <c r="CK1752" s="1"/>
      <c r="CL1752" s="1"/>
      <c r="CM1752" s="1"/>
      <c r="CN1752" s="1"/>
      <c r="CO1752" s="1"/>
      <c r="CP1752" s="1"/>
      <c r="CQ1752" s="1"/>
      <c r="CR1752" s="1"/>
      <c r="CS1752" s="1"/>
      <c r="CT1752" s="1"/>
      <c r="CU1752" s="1"/>
      <c r="CV1752" s="1"/>
      <c r="CW1752" s="1"/>
      <c r="CX1752" s="1"/>
      <c r="CY1752" s="1"/>
      <c r="CZ1752" s="1"/>
      <c r="DA1752" s="1"/>
      <c r="DB1752" s="1"/>
      <c r="DC1752" s="1"/>
    </row>
    <row r="1753" spans="1:107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U1753" s="1"/>
      <c r="AV1753" s="1"/>
      <c r="AW1753" s="1"/>
      <c r="AX1753" s="1"/>
      <c r="AY1753" s="1"/>
      <c r="AZ1753" s="1"/>
      <c r="BA1753" s="1"/>
      <c r="BB1753" s="1"/>
      <c r="BC1753" s="1"/>
      <c r="BD1753" s="1"/>
      <c r="BE1753" s="1"/>
      <c r="BF1753" s="1"/>
      <c r="BG1753" s="1"/>
      <c r="BH1753" s="1"/>
      <c r="BI1753" s="1"/>
      <c r="BJ1753" s="1"/>
      <c r="BK1753" s="1"/>
      <c r="BL1753" s="1"/>
      <c r="BM1753" s="1"/>
      <c r="BN1753" s="1"/>
      <c r="BO1753" s="1"/>
      <c r="BP1753" s="1"/>
      <c r="BQ1753" s="1"/>
      <c r="BR1753" s="1"/>
      <c r="BS1753" s="1"/>
      <c r="BT1753" s="1"/>
      <c r="BU1753" s="1"/>
      <c r="BV1753" s="1"/>
      <c r="BW1753" s="1"/>
      <c r="BX1753" s="1"/>
      <c r="BY1753" s="1"/>
      <c r="BZ1753" s="1"/>
      <c r="CA1753" s="1"/>
      <c r="CB1753" s="1"/>
      <c r="CC1753" s="1"/>
      <c r="CD1753" s="1"/>
      <c r="CE1753" s="1"/>
      <c r="CF1753" s="1"/>
      <c r="CG1753" s="1"/>
      <c r="CH1753" s="1"/>
      <c r="CI1753" s="1"/>
      <c r="CJ1753" s="1"/>
      <c r="CK1753" s="1"/>
      <c r="CL1753" s="1"/>
      <c r="CM1753" s="1"/>
      <c r="CN1753" s="1"/>
      <c r="CO1753" s="1"/>
      <c r="CP1753" s="1"/>
      <c r="CQ1753" s="1"/>
      <c r="CR1753" s="1"/>
      <c r="CS1753" s="1"/>
      <c r="CT1753" s="1"/>
      <c r="CU1753" s="1"/>
      <c r="CV1753" s="1"/>
      <c r="CW1753" s="1"/>
      <c r="CX1753" s="1"/>
      <c r="CY1753" s="1"/>
      <c r="CZ1753" s="1"/>
      <c r="DA1753" s="1"/>
      <c r="DB1753" s="1"/>
      <c r="DC1753" s="1"/>
    </row>
    <row r="1754" spans="1:107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  <c r="AS1754" s="1"/>
      <c r="AT1754" s="1"/>
      <c r="AU1754" s="1"/>
      <c r="AV1754" s="1"/>
      <c r="AW1754" s="1"/>
      <c r="AX1754" s="1"/>
      <c r="AY1754" s="1"/>
      <c r="AZ1754" s="1"/>
      <c r="BA1754" s="1"/>
      <c r="BB1754" s="1"/>
      <c r="BC1754" s="1"/>
      <c r="BD1754" s="1"/>
      <c r="BE1754" s="1"/>
      <c r="BF1754" s="1"/>
      <c r="BG1754" s="1"/>
      <c r="BH1754" s="1"/>
      <c r="BI1754" s="1"/>
      <c r="BJ1754" s="1"/>
      <c r="BK1754" s="1"/>
      <c r="BL1754" s="1"/>
      <c r="BM1754" s="1"/>
      <c r="BN1754" s="1"/>
      <c r="BO1754" s="1"/>
      <c r="BP1754" s="1"/>
      <c r="BQ1754" s="1"/>
      <c r="BR1754" s="1"/>
      <c r="BS1754" s="1"/>
      <c r="BT1754" s="1"/>
      <c r="BU1754" s="1"/>
      <c r="BV1754" s="1"/>
      <c r="BW1754" s="1"/>
      <c r="BX1754" s="1"/>
      <c r="BY1754" s="1"/>
      <c r="BZ1754" s="1"/>
      <c r="CA1754" s="1"/>
      <c r="CB1754" s="1"/>
      <c r="CC1754" s="1"/>
      <c r="CD1754" s="1"/>
      <c r="CE1754" s="1"/>
      <c r="CF1754" s="1"/>
      <c r="CG1754" s="1"/>
      <c r="CH1754" s="1"/>
      <c r="CI1754" s="1"/>
      <c r="CJ1754" s="1"/>
      <c r="CK1754" s="1"/>
      <c r="CL1754" s="1"/>
      <c r="CM1754" s="1"/>
      <c r="CN1754" s="1"/>
      <c r="CO1754" s="1"/>
      <c r="CP1754" s="1"/>
      <c r="CQ1754" s="1"/>
      <c r="CR1754" s="1"/>
      <c r="CS1754" s="1"/>
      <c r="CT1754" s="1"/>
      <c r="CU1754" s="1"/>
      <c r="CV1754" s="1"/>
      <c r="CW1754" s="1"/>
      <c r="CX1754" s="1"/>
      <c r="CY1754" s="1"/>
      <c r="CZ1754" s="1"/>
      <c r="DA1754" s="1"/>
      <c r="DB1754" s="1"/>
      <c r="DC1754" s="1"/>
    </row>
    <row r="1755" spans="1:107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1"/>
      <c r="AW1755" s="1"/>
      <c r="AX1755" s="1"/>
      <c r="AY1755" s="1"/>
      <c r="AZ1755" s="1"/>
      <c r="BA1755" s="1"/>
      <c r="BB1755" s="1"/>
      <c r="BC1755" s="1"/>
      <c r="BD1755" s="1"/>
      <c r="BE1755" s="1"/>
      <c r="BF1755" s="1"/>
      <c r="BG1755" s="1"/>
      <c r="BH1755" s="1"/>
      <c r="BI1755" s="1"/>
      <c r="BJ1755" s="1"/>
      <c r="BK1755" s="1"/>
      <c r="BL1755" s="1"/>
      <c r="BM1755" s="1"/>
      <c r="BN1755" s="1"/>
      <c r="BO1755" s="1"/>
      <c r="BP1755" s="1"/>
      <c r="BQ1755" s="1"/>
      <c r="BR1755" s="1"/>
      <c r="BS1755" s="1"/>
      <c r="BT1755" s="1"/>
      <c r="BU1755" s="1"/>
      <c r="BV1755" s="1"/>
      <c r="BW1755" s="1"/>
      <c r="BX1755" s="1"/>
      <c r="BY1755" s="1"/>
      <c r="BZ1755" s="1"/>
      <c r="CA1755" s="1"/>
      <c r="CB1755" s="1"/>
      <c r="CC1755" s="1"/>
      <c r="CD1755" s="1"/>
      <c r="CE1755" s="1"/>
      <c r="CF1755" s="1"/>
      <c r="CG1755" s="1"/>
      <c r="CH1755" s="1"/>
      <c r="CI1755" s="1"/>
      <c r="CJ1755" s="1"/>
      <c r="CK1755" s="1"/>
      <c r="CL1755" s="1"/>
      <c r="CM1755" s="1"/>
      <c r="CN1755" s="1"/>
      <c r="CO1755" s="1"/>
      <c r="CP1755" s="1"/>
      <c r="CQ1755" s="1"/>
      <c r="CR1755" s="1"/>
      <c r="CS1755" s="1"/>
      <c r="CT1755" s="1"/>
      <c r="CU1755" s="1"/>
      <c r="CV1755" s="1"/>
      <c r="CW1755" s="1"/>
      <c r="CX1755" s="1"/>
      <c r="CY1755" s="1"/>
      <c r="CZ1755" s="1"/>
      <c r="DA1755" s="1"/>
      <c r="DB1755" s="1"/>
      <c r="DC1755" s="1"/>
    </row>
    <row r="1756" spans="1:107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/>
      <c r="AR1756" s="1"/>
      <c r="AS1756" s="1"/>
      <c r="AT1756" s="1"/>
      <c r="AU1756" s="1"/>
      <c r="AV1756" s="1"/>
      <c r="AW1756" s="1"/>
      <c r="AX1756" s="1"/>
      <c r="AY1756" s="1"/>
      <c r="AZ1756" s="1"/>
      <c r="BA1756" s="1"/>
      <c r="BB1756" s="1"/>
      <c r="BC1756" s="1"/>
      <c r="BD1756" s="1"/>
      <c r="BE1756" s="1"/>
      <c r="BF1756" s="1"/>
      <c r="BG1756" s="1"/>
      <c r="BH1756" s="1"/>
      <c r="BI1756" s="1"/>
      <c r="BJ1756" s="1"/>
      <c r="BK1756" s="1"/>
      <c r="BL1756" s="1"/>
      <c r="BM1756" s="1"/>
      <c r="BN1756" s="1"/>
      <c r="BO1756" s="1"/>
      <c r="BP1756" s="1"/>
      <c r="BQ1756" s="1"/>
      <c r="BR1756" s="1"/>
      <c r="BS1756" s="1"/>
      <c r="BT1756" s="1"/>
      <c r="BU1756" s="1"/>
      <c r="BV1756" s="1"/>
      <c r="BW1756" s="1"/>
      <c r="BX1756" s="1"/>
      <c r="BY1756" s="1"/>
      <c r="BZ1756" s="1"/>
      <c r="CA1756" s="1"/>
      <c r="CB1756" s="1"/>
      <c r="CC1756" s="1"/>
      <c r="CD1756" s="1"/>
      <c r="CE1756" s="1"/>
      <c r="CF1756" s="1"/>
      <c r="CG1756" s="1"/>
      <c r="CH1756" s="1"/>
      <c r="CI1756" s="1"/>
      <c r="CJ1756" s="1"/>
      <c r="CK1756" s="1"/>
      <c r="CL1756" s="1"/>
      <c r="CM1756" s="1"/>
      <c r="CN1756" s="1"/>
      <c r="CO1756" s="1"/>
      <c r="CP1756" s="1"/>
      <c r="CQ1756" s="1"/>
      <c r="CR1756" s="1"/>
      <c r="CS1756" s="1"/>
      <c r="CT1756" s="1"/>
      <c r="CU1756" s="1"/>
      <c r="CV1756" s="1"/>
      <c r="CW1756" s="1"/>
      <c r="CX1756" s="1"/>
      <c r="CY1756" s="1"/>
      <c r="CZ1756" s="1"/>
      <c r="DA1756" s="1"/>
      <c r="DB1756" s="1"/>
      <c r="DC1756" s="1"/>
    </row>
    <row r="1757" spans="1:107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  <c r="AS1757" s="1"/>
      <c r="AT1757" s="1"/>
      <c r="AU1757" s="1"/>
      <c r="AV1757" s="1"/>
      <c r="AW1757" s="1"/>
      <c r="AX1757" s="1"/>
      <c r="AY1757" s="1"/>
      <c r="AZ1757" s="1"/>
      <c r="BA1757" s="1"/>
      <c r="BB1757" s="1"/>
      <c r="BC1757" s="1"/>
      <c r="BD1757" s="1"/>
      <c r="BE1757" s="1"/>
      <c r="BF1757" s="1"/>
      <c r="BG1757" s="1"/>
      <c r="BH1757" s="1"/>
      <c r="BI1757" s="1"/>
      <c r="BJ1757" s="1"/>
      <c r="BK1757" s="1"/>
      <c r="BL1757" s="1"/>
      <c r="BM1757" s="1"/>
      <c r="BN1757" s="1"/>
      <c r="BO1757" s="1"/>
      <c r="BP1757" s="1"/>
      <c r="BQ1757" s="1"/>
      <c r="BR1757" s="1"/>
      <c r="BS1757" s="1"/>
      <c r="BT1757" s="1"/>
      <c r="BU1757" s="1"/>
      <c r="BV1757" s="1"/>
      <c r="BW1757" s="1"/>
      <c r="BX1757" s="1"/>
      <c r="BY1757" s="1"/>
      <c r="BZ1757" s="1"/>
      <c r="CA1757" s="1"/>
      <c r="CB1757" s="1"/>
      <c r="CC1757" s="1"/>
      <c r="CD1757" s="1"/>
      <c r="CE1757" s="1"/>
      <c r="CF1757" s="1"/>
      <c r="CG1757" s="1"/>
      <c r="CH1757" s="1"/>
      <c r="CI1757" s="1"/>
      <c r="CJ1757" s="1"/>
      <c r="CK1757" s="1"/>
      <c r="CL1757" s="1"/>
      <c r="CM1757" s="1"/>
      <c r="CN1757" s="1"/>
      <c r="CO1757" s="1"/>
      <c r="CP1757" s="1"/>
      <c r="CQ1757" s="1"/>
      <c r="CR1757" s="1"/>
      <c r="CS1757" s="1"/>
      <c r="CT1757" s="1"/>
      <c r="CU1757" s="1"/>
      <c r="CV1757" s="1"/>
      <c r="CW1757" s="1"/>
      <c r="CX1757" s="1"/>
      <c r="CY1757" s="1"/>
      <c r="CZ1757" s="1"/>
      <c r="DA1757" s="1"/>
      <c r="DB1757" s="1"/>
      <c r="DC1757" s="1"/>
    </row>
    <row r="1758" spans="1:107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/>
      <c r="AW1758" s="1"/>
      <c r="AX1758" s="1"/>
      <c r="AY1758" s="1"/>
      <c r="AZ1758" s="1"/>
      <c r="BA1758" s="1"/>
      <c r="BB1758" s="1"/>
      <c r="BC1758" s="1"/>
      <c r="BD1758" s="1"/>
      <c r="BE1758" s="1"/>
      <c r="BF1758" s="1"/>
      <c r="BG1758" s="1"/>
      <c r="BH1758" s="1"/>
      <c r="BI1758" s="1"/>
      <c r="BJ1758" s="1"/>
      <c r="BK1758" s="1"/>
      <c r="BL1758" s="1"/>
      <c r="BM1758" s="1"/>
      <c r="BN1758" s="1"/>
      <c r="BO1758" s="1"/>
      <c r="BP1758" s="1"/>
      <c r="BQ1758" s="1"/>
      <c r="BR1758" s="1"/>
      <c r="BS1758" s="1"/>
      <c r="BT1758" s="1"/>
      <c r="BU1758" s="1"/>
      <c r="BV1758" s="1"/>
      <c r="BW1758" s="1"/>
      <c r="BX1758" s="1"/>
      <c r="BY1758" s="1"/>
      <c r="BZ1758" s="1"/>
      <c r="CA1758" s="1"/>
      <c r="CB1758" s="1"/>
      <c r="CC1758" s="1"/>
      <c r="CD1758" s="1"/>
      <c r="CE1758" s="1"/>
      <c r="CF1758" s="1"/>
      <c r="CG1758" s="1"/>
      <c r="CH1758" s="1"/>
      <c r="CI1758" s="1"/>
      <c r="CJ1758" s="1"/>
      <c r="CK1758" s="1"/>
      <c r="CL1758" s="1"/>
      <c r="CM1758" s="1"/>
      <c r="CN1758" s="1"/>
      <c r="CO1758" s="1"/>
      <c r="CP1758" s="1"/>
      <c r="CQ1758" s="1"/>
      <c r="CR1758" s="1"/>
      <c r="CS1758" s="1"/>
      <c r="CT1758" s="1"/>
      <c r="CU1758" s="1"/>
      <c r="CV1758" s="1"/>
      <c r="CW1758" s="1"/>
      <c r="CX1758" s="1"/>
      <c r="CY1758" s="1"/>
      <c r="CZ1758" s="1"/>
      <c r="DA1758" s="1"/>
      <c r="DB1758" s="1"/>
      <c r="DC1758" s="1"/>
    </row>
    <row r="1759" spans="1:107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1"/>
      <c r="AV1759" s="1"/>
      <c r="AW1759" s="1"/>
      <c r="AX1759" s="1"/>
      <c r="AY1759" s="1"/>
      <c r="AZ1759" s="1"/>
      <c r="BA1759" s="1"/>
      <c r="BB1759" s="1"/>
      <c r="BC1759" s="1"/>
      <c r="BD1759" s="1"/>
      <c r="BE1759" s="1"/>
      <c r="BF1759" s="1"/>
      <c r="BG1759" s="1"/>
      <c r="BH1759" s="1"/>
      <c r="BI1759" s="1"/>
      <c r="BJ1759" s="1"/>
      <c r="BK1759" s="1"/>
      <c r="BL1759" s="1"/>
      <c r="BM1759" s="1"/>
      <c r="BN1759" s="1"/>
      <c r="BO1759" s="1"/>
      <c r="BP1759" s="1"/>
      <c r="BQ1759" s="1"/>
      <c r="BR1759" s="1"/>
      <c r="BS1759" s="1"/>
      <c r="BT1759" s="1"/>
      <c r="BU1759" s="1"/>
      <c r="BV1759" s="1"/>
      <c r="BW1759" s="1"/>
      <c r="BX1759" s="1"/>
      <c r="BY1759" s="1"/>
      <c r="BZ1759" s="1"/>
      <c r="CA1759" s="1"/>
      <c r="CB1759" s="1"/>
      <c r="CC1759" s="1"/>
      <c r="CD1759" s="1"/>
      <c r="CE1759" s="1"/>
      <c r="CF1759" s="1"/>
      <c r="CG1759" s="1"/>
      <c r="CH1759" s="1"/>
      <c r="CI1759" s="1"/>
      <c r="CJ1759" s="1"/>
      <c r="CK1759" s="1"/>
      <c r="CL1759" s="1"/>
      <c r="CM1759" s="1"/>
      <c r="CN1759" s="1"/>
      <c r="CO1759" s="1"/>
      <c r="CP1759" s="1"/>
      <c r="CQ1759" s="1"/>
      <c r="CR1759" s="1"/>
      <c r="CS1759" s="1"/>
      <c r="CT1759" s="1"/>
      <c r="CU1759" s="1"/>
      <c r="CV1759" s="1"/>
      <c r="CW1759" s="1"/>
      <c r="CX1759" s="1"/>
      <c r="CY1759" s="1"/>
      <c r="CZ1759" s="1"/>
      <c r="DA1759" s="1"/>
      <c r="DB1759" s="1"/>
      <c r="DC1759" s="1"/>
    </row>
    <row r="1760" spans="1:107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  <c r="AS1760" s="1"/>
      <c r="AT1760" s="1"/>
      <c r="AU1760" s="1"/>
      <c r="AV1760" s="1"/>
      <c r="AW1760" s="1"/>
      <c r="AX1760" s="1"/>
      <c r="AY1760" s="1"/>
      <c r="AZ1760" s="1"/>
      <c r="BA1760" s="1"/>
      <c r="BB1760" s="1"/>
      <c r="BC1760" s="1"/>
      <c r="BD1760" s="1"/>
      <c r="BE1760" s="1"/>
      <c r="BF1760" s="1"/>
      <c r="BG1760" s="1"/>
      <c r="BH1760" s="1"/>
      <c r="BI1760" s="1"/>
      <c r="BJ1760" s="1"/>
      <c r="BK1760" s="1"/>
      <c r="BL1760" s="1"/>
      <c r="BM1760" s="1"/>
      <c r="BN1760" s="1"/>
      <c r="BO1760" s="1"/>
      <c r="BP1760" s="1"/>
      <c r="BQ1760" s="1"/>
      <c r="BR1760" s="1"/>
      <c r="BS1760" s="1"/>
      <c r="BT1760" s="1"/>
      <c r="BU1760" s="1"/>
      <c r="BV1760" s="1"/>
      <c r="BW1760" s="1"/>
      <c r="BX1760" s="1"/>
      <c r="BY1760" s="1"/>
      <c r="BZ1760" s="1"/>
      <c r="CA1760" s="1"/>
      <c r="CB1760" s="1"/>
      <c r="CC1760" s="1"/>
      <c r="CD1760" s="1"/>
      <c r="CE1760" s="1"/>
      <c r="CF1760" s="1"/>
      <c r="CG1760" s="1"/>
      <c r="CH1760" s="1"/>
      <c r="CI1760" s="1"/>
      <c r="CJ1760" s="1"/>
      <c r="CK1760" s="1"/>
      <c r="CL1760" s="1"/>
      <c r="CM1760" s="1"/>
      <c r="CN1760" s="1"/>
      <c r="CO1760" s="1"/>
      <c r="CP1760" s="1"/>
      <c r="CQ1760" s="1"/>
      <c r="CR1760" s="1"/>
      <c r="CS1760" s="1"/>
      <c r="CT1760" s="1"/>
      <c r="CU1760" s="1"/>
      <c r="CV1760" s="1"/>
      <c r="CW1760" s="1"/>
      <c r="CX1760" s="1"/>
      <c r="CY1760" s="1"/>
      <c r="CZ1760" s="1"/>
      <c r="DA1760" s="1"/>
      <c r="DB1760" s="1"/>
      <c r="DC1760" s="1"/>
    </row>
    <row r="1761" spans="1:107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  <c r="AS1761" s="1"/>
      <c r="AT1761" s="1"/>
      <c r="AU1761" s="1"/>
      <c r="AV1761" s="1"/>
      <c r="AW1761" s="1"/>
      <c r="AX1761" s="1"/>
      <c r="AY1761" s="1"/>
      <c r="AZ1761" s="1"/>
      <c r="BA1761" s="1"/>
      <c r="BB1761" s="1"/>
      <c r="BC1761" s="1"/>
      <c r="BD1761" s="1"/>
      <c r="BE1761" s="1"/>
      <c r="BF1761" s="1"/>
      <c r="BG1761" s="1"/>
      <c r="BH1761" s="1"/>
      <c r="BI1761" s="1"/>
      <c r="BJ1761" s="1"/>
      <c r="BK1761" s="1"/>
      <c r="BL1761" s="1"/>
      <c r="BM1761" s="1"/>
      <c r="BN1761" s="1"/>
      <c r="BO1761" s="1"/>
      <c r="BP1761" s="1"/>
      <c r="BQ1761" s="1"/>
      <c r="BR1761" s="1"/>
      <c r="BS1761" s="1"/>
      <c r="BT1761" s="1"/>
      <c r="BU1761" s="1"/>
      <c r="BV1761" s="1"/>
      <c r="BW1761" s="1"/>
      <c r="BX1761" s="1"/>
      <c r="BY1761" s="1"/>
      <c r="BZ1761" s="1"/>
      <c r="CA1761" s="1"/>
      <c r="CB1761" s="1"/>
      <c r="CC1761" s="1"/>
      <c r="CD1761" s="1"/>
      <c r="CE1761" s="1"/>
      <c r="CF1761" s="1"/>
      <c r="CG1761" s="1"/>
      <c r="CH1761" s="1"/>
      <c r="CI1761" s="1"/>
      <c r="CJ1761" s="1"/>
      <c r="CK1761" s="1"/>
      <c r="CL1761" s="1"/>
      <c r="CM1761" s="1"/>
      <c r="CN1761" s="1"/>
      <c r="CO1761" s="1"/>
      <c r="CP1761" s="1"/>
      <c r="CQ1761" s="1"/>
      <c r="CR1761" s="1"/>
      <c r="CS1761" s="1"/>
      <c r="CT1761" s="1"/>
      <c r="CU1761" s="1"/>
      <c r="CV1761" s="1"/>
      <c r="CW1761" s="1"/>
      <c r="CX1761" s="1"/>
      <c r="CY1761" s="1"/>
      <c r="CZ1761" s="1"/>
      <c r="DA1761" s="1"/>
      <c r="DB1761" s="1"/>
      <c r="DC1761" s="1"/>
    </row>
    <row r="1762" spans="1:107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  <c r="AS1762" s="1"/>
      <c r="AT1762" s="1"/>
      <c r="AU1762" s="1"/>
      <c r="AV1762" s="1"/>
      <c r="AW1762" s="1"/>
      <c r="AX1762" s="1"/>
      <c r="AY1762" s="1"/>
      <c r="AZ1762" s="1"/>
      <c r="BA1762" s="1"/>
      <c r="BB1762" s="1"/>
      <c r="BC1762" s="1"/>
      <c r="BD1762" s="1"/>
      <c r="BE1762" s="1"/>
      <c r="BF1762" s="1"/>
      <c r="BG1762" s="1"/>
      <c r="BH1762" s="1"/>
      <c r="BI1762" s="1"/>
      <c r="BJ1762" s="1"/>
      <c r="BK1762" s="1"/>
      <c r="BL1762" s="1"/>
      <c r="BM1762" s="1"/>
      <c r="BN1762" s="1"/>
      <c r="BO1762" s="1"/>
      <c r="BP1762" s="1"/>
      <c r="BQ1762" s="1"/>
      <c r="BR1762" s="1"/>
      <c r="BS1762" s="1"/>
      <c r="BT1762" s="1"/>
      <c r="BU1762" s="1"/>
      <c r="BV1762" s="1"/>
      <c r="BW1762" s="1"/>
      <c r="BX1762" s="1"/>
      <c r="BY1762" s="1"/>
      <c r="BZ1762" s="1"/>
      <c r="CA1762" s="1"/>
      <c r="CB1762" s="1"/>
      <c r="CC1762" s="1"/>
      <c r="CD1762" s="1"/>
      <c r="CE1762" s="1"/>
      <c r="CF1762" s="1"/>
      <c r="CG1762" s="1"/>
      <c r="CH1762" s="1"/>
      <c r="CI1762" s="1"/>
      <c r="CJ1762" s="1"/>
      <c r="CK1762" s="1"/>
      <c r="CL1762" s="1"/>
      <c r="CM1762" s="1"/>
      <c r="CN1762" s="1"/>
      <c r="CO1762" s="1"/>
      <c r="CP1762" s="1"/>
      <c r="CQ1762" s="1"/>
      <c r="CR1762" s="1"/>
      <c r="CS1762" s="1"/>
      <c r="CT1762" s="1"/>
      <c r="CU1762" s="1"/>
      <c r="CV1762" s="1"/>
      <c r="CW1762" s="1"/>
      <c r="CX1762" s="1"/>
      <c r="CY1762" s="1"/>
      <c r="CZ1762" s="1"/>
      <c r="DA1762" s="1"/>
      <c r="DB1762" s="1"/>
      <c r="DC1762" s="1"/>
    </row>
    <row r="1763" spans="1:107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  <c r="AS1763" s="1"/>
      <c r="AT1763" s="1"/>
      <c r="AU1763" s="1"/>
      <c r="AV1763" s="1"/>
      <c r="AW1763" s="1"/>
      <c r="AX1763" s="1"/>
      <c r="AY1763" s="1"/>
      <c r="AZ1763" s="1"/>
      <c r="BA1763" s="1"/>
      <c r="BB1763" s="1"/>
      <c r="BC1763" s="1"/>
      <c r="BD1763" s="1"/>
      <c r="BE1763" s="1"/>
      <c r="BF1763" s="1"/>
      <c r="BG1763" s="1"/>
      <c r="BH1763" s="1"/>
      <c r="BI1763" s="1"/>
      <c r="BJ1763" s="1"/>
      <c r="BK1763" s="1"/>
      <c r="BL1763" s="1"/>
      <c r="BM1763" s="1"/>
      <c r="BN1763" s="1"/>
      <c r="BO1763" s="1"/>
      <c r="BP1763" s="1"/>
      <c r="BQ1763" s="1"/>
      <c r="BR1763" s="1"/>
      <c r="BS1763" s="1"/>
      <c r="BT1763" s="1"/>
      <c r="BU1763" s="1"/>
      <c r="BV1763" s="1"/>
      <c r="BW1763" s="1"/>
      <c r="BX1763" s="1"/>
      <c r="BY1763" s="1"/>
      <c r="BZ1763" s="1"/>
      <c r="CA1763" s="1"/>
      <c r="CB1763" s="1"/>
      <c r="CC1763" s="1"/>
      <c r="CD1763" s="1"/>
      <c r="CE1763" s="1"/>
      <c r="CF1763" s="1"/>
      <c r="CG1763" s="1"/>
      <c r="CH1763" s="1"/>
      <c r="CI1763" s="1"/>
      <c r="CJ1763" s="1"/>
      <c r="CK1763" s="1"/>
      <c r="CL1763" s="1"/>
      <c r="CM1763" s="1"/>
      <c r="CN1763" s="1"/>
      <c r="CO1763" s="1"/>
      <c r="CP1763" s="1"/>
      <c r="CQ1763" s="1"/>
      <c r="CR1763" s="1"/>
      <c r="CS1763" s="1"/>
      <c r="CT1763" s="1"/>
      <c r="CU1763" s="1"/>
      <c r="CV1763" s="1"/>
      <c r="CW1763" s="1"/>
      <c r="CX1763" s="1"/>
      <c r="CY1763" s="1"/>
      <c r="CZ1763" s="1"/>
      <c r="DA1763" s="1"/>
      <c r="DB1763" s="1"/>
      <c r="DC1763" s="1"/>
    </row>
    <row r="1764" spans="1:107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  <c r="AP1764" s="1"/>
      <c r="AQ1764" s="1"/>
      <c r="AR1764" s="1"/>
      <c r="AS1764" s="1"/>
      <c r="AT1764" s="1"/>
      <c r="AU1764" s="1"/>
      <c r="AV1764" s="1"/>
      <c r="AW1764" s="1"/>
      <c r="AX1764" s="1"/>
      <c r="AY1764" s="1"/>
      <c r="AZ1764" s="1"/>
      <c r="BA1764" s="1"/>
      <c r="BB1764" s="1"/>
      <c r="BC1764" s="1"/>
      <c r="BD1764" s="1"/>
      <c r="BE1764" s="1"/>
      <c r="BF1764" s="1"/>
      <c r="BG1764" s="1"/>
      <c r="BH1764" s="1"/>
      <c r="BI1764" s="1"/>
      <c r="BJ1764" s="1"/>
      <c r="BK1764" s="1"/>
      <c r="BL1764" s="1"/>
      <c r="BM1764" s="1"/>
      <c r="BN1764" s="1"/>
      <c r="BO1764" s="1"/>
      <c r="BP1764" s="1"/>
      <c r="BQ1764" s="1"/>
      <c r="BR1764" s="1"/>
      <c r="BS1764" s="1"/>
      <c r="BT1764" s="1"/>
      <c r="BU1764" s="1"/>
      <c r="BV1764" s="1"/>
      <c r="BW1764" s="1"/>
      <c r="BX1764" s="1"/>
      <c r="BY1764" s="1"/>
      <c r="BZ1764" s="1"/>
      <c r="CA1764" s="1"/>
      <c r="CB1764" s="1"/>
      <c r="CC1764" s="1"/>
      <c r="CD1764" s="1"/>
      <c r="CE1764" s="1"/>
      <c r="CF1764" s="1"/>
      <c r="CG1764" s="1"/>
      <c r="CH1764" s="1"/>
      <c r="CI1764" s="1"/>
      <c r="CJ1764" s="1"/>
      <c r="CK1764" s="1"/>
      <c r="CL1764" s="1"/>
      <c r="CM1764" s="1"/>
      <c r="CN1764" s="1"/>
      <c r="CO1764" s="1"/>
      <c r="CP1764" s="1"/>
      <c r="CQ1764" s="1"/>
      <c r="CR1764" s="1"/>
      <c r="CS1764" s="1"/>
      <c r="CT1764" s="1"/>
      <c r="CU1764" s="1"/>
      <c r="CV1764" s="1"/>
      <c r="CW1764" s="1"/>
      <c r="CX1764" s="1"/>
      <c r="CY1764" s="1"/>
      <c r="CZ1764" s="1"/>
      <c r="DA1764" s="1"/>
      <c r="DB1764" s="1"/>
      <c r="DC1764" s="1"/>
    </row>
    <row r="1765" spans="1:107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  <c r="AS1765" s="1"/>
      <c r="AT1765" s="1"/>
      <c r="AU1765" s="1"/>
      <c r="AV1765" s="1"/>
      <c r="AW1765" s="1"/>
      <c r="AX1765" s="1"/>
      <c r="AY1765" s="1"/>
      <c r="AZ1765" s="1"/>
      <c r="BA1765" s="1"/>
      <c r="BB1765" s="1"/>
      <c r="BC1765" s="1"/>
      <c r="BD1765" s="1"/>
      <c r="BE1765" s="1"/>
      <c r="BF1765" s="1"/>
      <c r="BG1765" s="1"/>
      <c r="BH1765" s="1"/>
      <c r="BI1765" s="1"/>
      <c r="BJ1765" s="1"/>
      <c r="BK1765" s="1"/>
      <c r="BL1765" s="1"/>
      <c r="BM1765" s="1"/>
      <c r="BN1765" s="1"/>
      <c r="BO1765" s="1"/>
      <c r="BP1765" s="1"/>
      <c r="BQ1765" s="1"/>
      <c r="BR1765" s="1"/>
      <c r="BS1765" s="1"/>
      <c r="BT1765" s="1"/>
      <c r="BU1765" s="1"/>
      <c r="BV1765" s="1"/>
      <c r="BW1765" s="1"/>
      <c r="BX1765" s="1"/>
      <c r="BY1765" s="1"/>
      <c r="BZ1765" s="1"/>
      <c r="CA1765" s="1"/>
      <c r="CB1765" s="1"/>
      <c r="CC1765" s="1"/>
      <c r="CD1765" s="1"/>
      <c r="CE1765" s="1"/>
      <c r="CF1765" s="1"/>
      <c r="CG1765" s="1"/>
      <c r="CH1765" s="1"/>
      <c r="CI1765" s="1"/>
      <c r="CJ1765" s="1"/>
      <c r="CK1765" s="1"/>
      <c r="CL1765" s="1"/>
      <c r="CM1765" s="1"/>
      <c r="CN1765" s="1"/>
      <c r="CO1765" s="1"/>
      <c r="CP1765" s="1"/>
      <c r="CQ1765" s="1"/>
      <c r="CR1765" s="1"/>
      <c r="CS1765" s="1"/>
      <c r="CT1765" s="1"/>
      <c r="CU1765" s="1"/>
      <c r="CV1765" s="1"/>
      <c r="CW1765" s="1"/>
      <c r="CX1765" s="1"/>
      <c r="CY1765" s="1"/>
      <c r="CZ1765" s="1"/>
      <c r="DA1765" s="1"/>
      <c r="DB1765" s="1"/>
      <c r="DC1765" s="1"/>
    </row>
    <row r="1766" spans="1:107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  <c r="AS1766" s="1"/>
      <c r="AT1766" s="1"/>
      <c r="AU1766" s="1"/>
      <c r="AV1766" s="1"/>
      <c r="AW1766" s="1"/>
      <c r="AX1766" s="1"/>
      <c r="AY1766" s="1"/>
      <c r="AZ1766" s="1"/>
      <c r="BA1766" s="1"/>
      <c r="BB1766" s="1"/>
      <c r="BC1766" s="1"/>
      <c r="BD1766" s="1"/>
      <c r="BE1766" s="1"/>
      <c r="BF1766" s="1"/>
      <c r="BG1766" s="1"/>
      <c r="BH1766" s="1"/>
      <c r="BI1766" s="1"/>
      <c r="BJ1766" s="1"/>
      <c r="BK1766" s="1"/>
      <c r="BL1766" s="1"/>
      <c r="BM1766" s="1"/>
      <c r="BN1766" s="1"/>
      <c r="BO1766" s="1"/>
      <c r="BP1766" s="1"/>
      <c r="BQ1766" s="1"/>
      <c r="BR1766" s="1"/>
      <c r="BS1766" s="1"/>
      <c r="BT1766" s="1"/>
      <c r="BU1766" s="1"/>
      <c r="BV1766" s="1"/>
      <c r="BW1766" s="1"/>
      <c r="BX1766" s="1"/>
      <c r="BY1766" s="1"/>
      <c r="BZ1766" s="1"/>
      <c r="CA1766" s="1"/>
      <c r="CB1766" s="1"/>
      <c r="CC1766" s="1"/>
      <c r="CD1766" s="1"/>
      <c r="CE1766" s="1"/>
      <c r="CF1766" s="1"/>
      <c r="CG1766" s="1"/>
      <c r="CH1766" s="1"/>
      <c r="CI1766" s="1"/>
      <c r="CJ1766" s="1"/>
      <c r="CK1766" s="1"/>
      <c r="CL1766" s="1"/>
      <c r="CM1766" s="1"/>
      <c r="CN1766" s="1"/>
      <c r="CO1766" s="1"/>
      <c r="CP1766" s="1"/>
      <c r="CQ1766" s="1"/>
      <c r="CR1766" s="1"/>
      <c r="CS1766" s="1"/>
      <c r="CT1766" s="1"/>
      <c r="CU1766" s="1"/>
      <c r="CV1766" s="1"/>
      <c r="CW1766" s="1"/>
      <c r="CX1766" s="1"/>
      <c r="CY1766" s="1"/>
      <c r="CZ1766" s="1"/>
      <c r="DA1766" s="1"/>
      <c r="DB1766" s="1"/>
      <c r="DC1766" s="1"/>
    </row>
    <row r="1767" spans="1:107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/>
      <c r="AW1767" s="1"/>
      <c r="AX1767" s="1"/>
      <c r="AY1767" s="1"/>
      <c r="AZ1767" s="1"/>
      <c r="BA1767" s="1"/>
      <c r="BB1767" s="1"/>
      <c r="BC1767" s="1"/>
      <c r="BD1767" s="1"/>
      <c r="BE1767" s="1"/>
      <c r="BF1767" s="1"/>
      <c r="BG1767" s="1"/>
      <c r="BH1767" s="1"/>
      <c r="BI1767" s="1"/>
      <c r="BJ1767" s="1"/>
      <c r="BK1767" s="1"/>
      <c r="BL1767" s="1"/>
      <c r="BM1767" s="1"/>
      <c r="BN1767" s="1"/>
      <c r="BO1767" s="1"/>
      <c r="BP1767" s="1"/>
      <c r="BQ1767" s="1"/>
      <c r="BR1767" s="1"/>
      <c r="BS1767" s="1"/>
      <c r="BT1767" s="1"/>
      <c r="BU1767" s="1"/>
      <c r="BV1767" s="1"/>
      <c r="BW1767" s="1"/>
      <c r="BX1767" s="1"/>
      <c r="BY1767" s="1"/>
      <c r="BZ1767" s="1"/>
      <c r="CA1767" s="1"/>
      <c r="CB1767" s="1"/>
      <c r="CC1767" s="1"/>
      <c r="CD1767" s="1"/>
      <c r="CE1767" s="1"/>
      <c r="CF1767" s="1"/>
      <c r="CG1767" s="1"/>
      <c r="CH1767" s="1"/>
      <c r="CI1767" s="1"/>
      <c r="CJ1767" s="1"/>
      <c r="CK1767" s="1"/>
      <c r="CL1767" s="1"/>
      <c r="CM1767" s="1"/>
      <c r="CN1767" s="1"/>
      <c r="CO1767" s="1"/>
      <c r="CP1767" s="1"/>
      <c r="CQ1767" s="1"/>
      <c r="CR1767" s="1"/>
      <c r="CS1767" s="1"/>
      <c r="CT1767" s="1"/>
      <c r="CU1767" s="1"/>
      <c r="CV1767" s="1"/>
      <c r="CW1767" s="1"/>
      <c r="CX1767" s="1"/>
      <c r="CY1767" s="1"/>
      <c r="CZ1767" s="1"/>
      <c r="DA1767" s="1"/>
      <c r="DB1767" s="1"/>
      <c r="DC1767" s="1"/>
    </row>
    <row r="1768" spans="1:107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  <c r="AS1768" s="1"/>
      <c r="AT1768" s="1"/>
      <c r="AU1768" s="1"/>
      <c r="AV1768" s="1"/>
      <c r="AW1768" s="1"/>
      <c r="AX1768" s="1"/>
      <c r="AY1768" s="1"/>
      <c r="AZ1768" s="1"/>
      <c r="BA1768" s="1"/>
      <c r="BB1768" s="1"/>
      <c r="BC1768" s="1"/>
      <c r="BD1768" s="1"/>
      <c r="BE1768" s="1"/>
      <c r="BF1768" s="1"/>
      <c r="BG1768" s="1"/>
      <c r="BH1768" s="1"/>
      <c r="BI1768" s="1"/>
      <c r="BJ1768" s="1"/>
      <c r="BK1768" s="1"/>
      <c r="BL1768" s="1"/>
      <c r="BM1768" s="1"/>
      <c r="BN1768" s="1"/>
      <c r="BO1768" s="1"/>
      <c r="BP1768" s="1"/>
      <c r="BQ1768" s="1"/>
      <c r="BR1768" s="1"/>
      <c r="BS1768" s="1"/>
      <c r="BT1768" s="1"/>
      <c r="BU1768" s="1"/>
      <c r="BV1768" s="1"/>
      <c r="BW1768" s="1"/>
      <c r="BX1768" s="1"/>
      <c r="BY1768" s="1"/>
      <c r="BZ1768" s="1"/>
      <c r="CA1768" s="1"/>
      <c r="CB1768" s="1"/>
      <c r="CC1768" s="1"/>
      <c r="CD1768" s="1"/>
      <c r="CE1768" s="1"/>
      <c r="CF1768" s="1"/>
      <c r="CG1768" s="1"/>
      <c r="CH1768" s="1"/>
      <c r="CI1768" s="1"/>
      <c r="CJ1768" s="1"/>
      <c r="CK1768" s="1"/>
      <c r="CL1768" s="1"/>
      <c r="CM1768" s="1"/>
      <c r="CN1768" s="1"/>
      <c r="CO1768" s="1"/>
      <c r="CP1768" s="1"/>
      <c r="CQ1768" s="1"/>
      <c r="CR1768" s="1"/>
      <c r="CS1768" s="1"/>
      <c r="CT1768" s="1"/>
      <c r="CU1768" s="1"/>
      <c r="CV1768" s="1"/>
      <c r="CW1768" s="1"/>
      <c r="CX1768" s="1"/>
      <c r="CY1768" s="1"/>
      <c r="CZ1768" s="1"/>
      <c r="DA1768" s="1"/>
      <c r="DB1768" s="1"/>
      <c r="DC1768" s="1"/>
    </row>
    <row r="1769" spans="1:107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  <c r="AP1769" s="1"/>
      <c r="AQ1769" s="1"/>
      <c r="AR1769" s="1"/>
      <c r="AS1769" s="1"/>
      <c r="AT1769" s="1"/>
      <c r="AU1769" s="1"/>
      <c r="AV1769" s="1"/>
      <c r="AW1769" s="1"/>
      <c r="AX1769" s="1"/>
      <c r="AY1769" s="1"/>
      <c r="AZ1769" s="1"/>
      <c r="BA1769" s="1"/>
      <c r="BB1769" s="1"/>
      <c r="BC1769" s="1"/>
      <c r="BD1769" s="1"/>
      <c r="BE1769" s="1"/>
      <c r="BF1769" s="1"/>
      <c r="BG1769" s="1"/>
      <c r="BH1769" s="1"/>
      <c r="BI1769" s="1"/>
      <c r="BJ1769" s="1"/>
      <c r="BK1769" s="1"/>
      <c r="BL1769" s="1"/>
      <c r="BM1769" s="1"/>
      <c r="BN1769" s="1"/>
      <c r="BO1769" s="1"/>
      <c r="BP1769" s="1"/>
      <c r="BQ1769" s="1"/>
      <c r="BR1769" s="1"/>
      <c r="BS1769" s="1"/>
      <c r="BT1769" s="1"/>
      <c r="BU1769" s="1"/>
      <c r="BV1769" s="1"/>
      <c r="BW1769" s="1"/>
      <c r="BX1769" s="1"/>
      <c r="BY1769" s="1"/>
      <c r="BZ1769" s="1"/>
      <c r="CA1769" s="1"/>
      <c r="CB1769" s="1"/>
      <c r="CC1769" s="1"/>
      <c r="CD1769" s="1"/>
      <c r="CE1769" s="1"/>
      <c r="CF1769" s="1"/>
      <c r="CG1769" s="1"/>
      <c r="CH1769" s="1"/>
      <c r="CI1769" s="1"/>
      <c r="CJ1769" s="1"/>
      <c r="CK1769" s="1"/>
      <c r="CL1769" s="1"/>
      <c r="CM1769" s="1"/>
      <c r="CN1769" s="1"/>
      <c r="CO1769" s="1"/>
      <c r="CP1769" s="1"/>
      <c r="CQ1769" s="1"/>
      <c r="CR1769" s="1"/>
      <c r="CS1769" s="1"/>
      <c r="CT1769" s="1"/>
      <c r="CU1769" s="1"/>
      <c r="CV1769" s="1"/>
      <c r="CW1769" s="1"/>
      <c r="CX1769" s="1"/>
      <c r="CY1769" s="1"/>
      <c r="CZ1769" s="1"/>
      <c r="DA1769" s="1"/>
      <c r="DB1769" s="1"/>
      <c r="DC1769" s="1"/>
    </row>
    <row r="1770" spans="1:107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  <c r="AS1770" s="1"/>
      <c r="AT1770" s="1"/>
      <c r="AU1770" s="1"/>
      <c r="AV1770" s="1"/>
      <c r="AW1770" s="1"/>
      <c r="AX1770" s="1"/>
      <c r="AY1770" s="1"/>
      <c r="AZ1770" s="1"/>
      <c r="BA1770" s="1"/>
      <c r="BB1770" s="1"/>
      <c r="BC1770" s="1"/>
      <c r="BD1770" s="1"/>
      <c r="BE1770" s="1"/>
      <c r="BF1770" s="1"/>
      <c r="BG1770" s="1"/>
      <c r="BH1770" s="1"/>
      <c r="BI1770" s="1"/>
      <c r="BJ1770" s="1"/>
      <c r="BK1770" s="1"/>
      <c r="BL1770" s="1"/>
      <c r="BM1770" s="1"/>
      <c r="BN1770" s="1"/>
      <c r="BO1770" s="1"/>
      <c r="BP1770" s="1"/>
      <c r="BQ1770" s="1"/>
      <c r="BR1770" s="1"/>
      <c r="BS1770" s="1"/>
      <c r="BT1770" s="1"/>
      <c r="BU1770" s="1"/>
      <c r="BV1770" s="1"/>
      <c r="BW1770" s="1"/>
      <c r="BX1770" s="1"/>
      <c r="BY1770" s="1"/>
      <c r="BZ1770" s="1"/>
      <c r="CA1770" s="1"/>
      <c r="CB1770" s="1"/>
      <c r="CC1770" s="1"/>
      <c r="CD1770" s="1"/>
      <c r="CE1770" s="1"/>
      <c r="CF1770" s="1"/>
      <c r="CG1770" s="1"/>
      <c r="CH1770" s="1"/>
      <c r="CI1770" s="1"/>
      <c r="CJ1770" s="1"/>
      <c r="CK1770" s="1"/>
      <c r="CL1770" s="1"/>
      <c r="CM1770" s="1"/>
      <c r="CN1770" s="1"/>
      <c r="CO1770" s="1"/>
      <c r="CP1770" s="1"/>
      <c r="CQ1770" s="1"/>
      <c r="CR1770" s="1"/>
      <c r="CS1770" s="1"/>
      <c r="CT1770" s="1"/>
      <c r="CU1770" s="1"/>
      <c r="CV1770" s="1"/>
      <c r="CW1770" s="1"/>
      <c r="CX1770" s="1"/>
      <c r="CY1770" s="1"/>
      <c r="CZ1770" s="1"/>
      <c r="DA1770" s="1"/>
      <c r="DB1770" s="1"/>
      <c r="DC1770" s="1"/>
    </row>
    <row r="1771" spans="1:107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AW1771" s="1"/>
      <c r="AX1771" s="1"/>
      <c r="AY1771" s="1"/>
      <c r="AZ1771" s="1"/>
      <c r="BA1771" s="1"/>
      <c r="BB1771" s="1"/>
      <c r="BC1771" s="1"/>
      <c r="BD1771" s="1"/>
      <c r="BE1771" s="1"/>
      <c r="BF1771" s="1"/>
      <c r="BG1771" s="1"/>
      <c r="BH1771" s="1"/>
      <c r="BI1771" s="1"/>
      <c r="BJ1771" s="1"/>
      <c r="BK1771" s="1"/>
      <c r="BL1771" s="1"/>
      <c r="BM1771" s="1"/>
      <c r="BN1771" s="1"/>
      <c r="BO1771" s="1"/>
      <c r="BP1771" s="1"/>
      <c r="BQ1771" s="1"/>
      <c r="BR1771" s="1"/>
      <c r="BS1771" s="1"/>
      <c r="BT1771" s="1"/>
      <c r="BU1771" s="1"/>
      <c r="BV1771" s="1"/>
      <c r="BW1771" s="1"/>
      <c r="BX1771" s="1"/>
      <c r="BY1771" s="1"/>
      <c r="BZ1771" s="1"/>
      <c r="CA1771" s="1"/>
      <c r="CB1771" s="1"/>
      <c r="CC1771" s="1"/>
      <c r="CD1771" s="1"/>
      <c r="CE1771" s="1"/>
      <c r="CF1771" s="1"/>
      <c r="CG1771" s="1"/>
      <c r="CH1771" s="1"/>
      <c r="CI1771" s="1"/>
      <c r="CJ1771" s="1"/>
      <c r="CK1771" s="1"/>
      <c r="CL1771" s="1"/>
      <c r="CM1771" s="1"/>
      <c r="CN1771" s="1"/>
      <c r="CO1771" s="1"/>
      <c r="CP1771" s="1"/>
      <c r="CQ1771" s="1"/>
      <c r="CR1771" s="1"/>
      <c r="CS1771" s="1"/>
      <c r="CT1771" s="1"/>
      <c r="CU1771" s="1"/>
      <c r="CV1771" s="1"/>
      <c r="CW1771" s="1"/>
      <c r="CX1771" s="1"/>
      <c r="CY1771" s="1"/>
      <c r="CZ1771" s="1"/>
      <c r="DA1771" s="1"/>
      <c r="DB1771" s="1"/>
      <c r="DC1771" s="1"/>
    </row>
    <row r="1772" spans="1:107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  <c r="AS1772" s="1"/>
      <c r="AT1772" s="1"/>
      <c r="AU1772" s="1"/>
      <c r="AV1772" s="1"/>
      <c r="AW1772" s="1"/>
      <c r="AX1772" s="1"/>
      <c r="AY1772" s="1"/>
      <c r="AZ1772" s="1"/>
      <c r="BA1772" s="1"/>
      <c r="BB1772" s="1"/>
      <c r="BC1772" s="1"/>
      <c r="BD1772" s="1"/>
      <c r="BE1772" s="1"/>
      <c r="BF1772" s="1"/>
      <c r="BG1772" s="1"/>
      <c r="BH1772" s="1"/>
      <c r="BI1772" s="1"/>
      <c r="BJ1772" s="1"/>
      <c r="BK1772" s="1"/>
      <c r="BL1772" s="1"/>
      <c r="BM1772" s="1"/>
      <c r="BN1772" s="1"/>
      <c r="BO1772" s="1"/>
      <c r="BP1772" s="1"/>
      <c r="BQ1772" s="1"/>
      <c r="BR1772" s="1"/>
      <c r="BS1772" s="1"/>
      <c r="BT1772" s="1"/>
      <c r="BU1772" s="1"/>
      <c r="BV1772" s="1"/>
      <c r="BW1772" s="1"/>
      <c r="BX1772" s="1"/>
      <c r="BY1772" s="1"/>
      <c r="BZ1772" s="1"/>
      <c r="CA1772" s="1"/>
      <c r="CB1772" s="1"/>
      <c r="CC1772" s="1"/>
      <c r="CD1772" s="1"/>
      <c r="CE1772" s="1"/>
      <c r="CF1772" s="1"/>
      <c r="CG1772" s="1"/>
      <c r="CH1772" s="1"/>
      <c r="CI1772" s="1"/>
      <c r="CJ1772" s="1"/>
      <c r="CK1772" s="1"/>
      <c r="CL1772" s="1"/>
      <c r="CM1772" s="1"/>
      <c r="CN1772" s="1"/>
      <c r="CO1772" s="1"/>
      <c r="CP1772" s="1"/>
      <c r="CQ1772" s="1"/>
      <c r="CR1772" s="1"/>
      <c r="CS1772" s="1"/>
      <c r="CT1772" s="1"/>
      <c r="CU1772" s="1"/>
      <c r="CV1772" s="1"/>
      <c r="CW1772" s="1"/>
      <c r="CX1772" s="1"/>
      <c r="CY1772" s="1"/>
      <c r="CZ1772" s="1"/>
      <c r="DA1772" s="1"/>
      <c r="DB1772" s="1"/>
      <c r="DC1772" s="1"/>
    </row>
    <row r="1773" spans="1:107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  <c r="AS1773" s="1"/>
      <c r="AT1773" s="1"/>
      <c r="AU1773" s="1"/>
      <c r="AV1773" s="1"/>
      <c r="AW1773" s="1"/>
      <c r="AX1773" s="1"/>
      <c r="AY1773" s="1"/>
      <c r="AZ1773" s="1"/>
      <c r="BA1773" s="1"/>
      <c r="BB1773" s="1"/>
      <c r="BC1773" s="1"/>
      <c r="BD1773" s="1"/>
      <c r="BE1773" s="1"/>
      <c r="BF1773" s="1"/>
      <c r="BG1773" s="1"/>
      <c r="BH1773" s="1"/>
      <c r="BI1773" s="1"/>
      <c r="BJ1773" s="1"/>
      <c r="BK1773" s="1"/>
      <c r="BL1773" s="1"/>
      <c r="BM1773" s="1"/>
      <c r="BN1773" s="1"/>
      <c r="BO1773" s="1"/>
      <c r="BP1773" s="1"/>
      <c r="BQ1773" s="1"/>
      <c r="BR1773" s="1"/>
      <c r="BS1773" s="1"/>
      <c r="BT1773" s="1"/>
      <c r="BU1773" s="1"/>
      <c r="BV1773" s="1"/>
      <c r="BW1773" s="1"/>
      <c r="BX1773" s="1"/>
      <c r="BY1773" s="1"/>
      <c r="BZ1773" s="1"/>
      <c r="CA1773" s="1"/>
      <c r="CB1773" s="1"/>
      <c r="CC1773" s="1"/>
      <c r="CD1773" s="1"/>
      <c r="CE1773" s="1"/>
      <c r="CF1773" s="1"/>
      <c r="CG1773" s="1"/>
      <c r="CH1773" s="1"/>
      <c r="CI1773" s="1"/>
      <c r="CJ1773" s="1"/>
      <c r="CK1773" s="1"/>
      <c r="CL1773" s="1"/>
      <c r="CM1773" s="1"/>
      <c r="CN1773" s="1"/>
      <c r="CO1773" s="1"/>
      <c r="CP1773" s="1"/>
      <c r="CQ1773" s="1"/>
      <c r="CR1773" s="1"/>
      <c r="CS1773" s="1"/>
      <c r="CT1773" s="1"/>
      <c r="CU1773" s="1"/>
      <c r="CV1773" s="1"/>
      <c r="CW1773" s="1"/>
      <c r="CX1773" s="1"/>
      <c r="CY1773" s="1"/>
      <c r="CZ1773" s="1"/>
      <c r="DA1773" s="1"/>
      <c r="DB1773" s="1"/>
      <c r="DC1773" s="1"/>
    </row>
    <row r="1774" spans="1:107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/>
      <c r="AV1774" s="1"/>
      <c r="AW1774" s="1"/>
      <c r="AX1774" s="1"/>
      <c r="AY1774" s="1"/>
      <c r="AZ1774" s="1"/>
      <c r="BA1774" s="1"/>
      <c r="BB1774" s="1"/>
      <c r="BC1774" s="1"/>
      <c r="BD1774" s="1"/>
      <c r="BE1774" s="1"/>
      <c r="BF1774" s="1"/>
      <c r="BG1774" s="1"/>
      <c r="BH1774" s="1"/>
      <c r="BI1774" s="1"/>
      <c r="BJ1774" s="1"/>
      <c r="BK1774" s="1"/>
      <c r="BL1774" s="1"/>
      <c r="BM1774" s="1"/>
      <c r="BN1774" s="1"/>
      <c r="BO1774" s="1"/>
      <c r="BP1774" s="1"/>
      <c r="BQ1774" s="1"/>
      <c r="BR1774" s="1"/>
      <c r="BS1774" s="1"/>
      <c r="BT1774" s="1"/>
      <c r="BU1774" s="1"/>
      <c r="BV1774" s="1"/>
      <c r="BW1774" s="1"/>
      <c r="BX1774" s="1"/>
      <c r="BY1774" s="1"/>
      <c r="BZ1774" s="1"/>
      <c r="CA1774" s="1"/>
      <c r="CB1774" s="1"/>
      <c r="CC1774" s="1"/>
      <c r="CD1774" s="1"/>
      <c r="CE1774" s="1"/>
      <c r="CF1774" s="1"/>
      <c r="CG1774" s="1"/>
      <c r="CH1774" s="1"/>
      <c r="CI1774" s="1"/>
      <c r="CJ1774" s="1"/>
      <c r="CK1774" s="1"/>
      <c r="CL1774" s="1"/>
      <c r="CM1774" s="1"/>
      <c r="CN1774" s="1"/>
      <c r="CO1774" s="1"/>
      <c r="CP1774" s="1"/>
      <c r="CQ1774" s="1"/>
      <c r="CR1774" s="1"/>
      <c r="CS1774" s="1"/>
      <c r="CT1774" s="1"/>
      <c r="CU1774" s="1"/>
      <c r="CV1774" s="1"/>
      <c r="CW1774" s="1"/>
      <c r="CX1774" s="1"/>
      <c r="CY1774" s="1"/>
      <c r="CZ1774" s="1"/>
      <c r="DA1774" s="1"/>
      <c r="DB1774" s="1"/>
      <c r="DC1774" s="1"/>
    </row>
    <row r="1775" spans="1:107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  <c r="AS1775" s="1"/>
      <c r="AT1775" s="1"/>
      <c r="AU1775" s="1"/>
      <c r="AV1775" s="1"/>
      <c r="AW1775" s="1"/>
      <c r="AX1775" s="1"/>
      <c r="AY1775" s="1"/>
      <c r="AZ1775" s="1"/>
      <c r="BA1775" s="1"/>
      <c r="BB1775" s="1"/>
      <c r="BC1775" s="1"/>
      <c r="BD1775" s="1"/>
      <c r="BE1775" s="1"/>
      <c r="BF1775" s="1"/>
      <c r="BG1775" s="1"/>
      <c r="BH1775" s="1"/>
      <c r="BI1775" s="1"/>
      <c r="BJ1775" s="1"/>
      <c r="BK1775" s="1"/>
      <c r="BL1775" s="1"/>
      <c r="BM1775" s="1"/>
      <c r="BN1775" s="1"/>
      <c r="BO1775" s="1"/>
      <c r="BP1775" s="1"/>
      <c r="BQ1775" s="1"/>
      <c r="BR1775" s="1"/>
      <c r="BS1775" s="1"/>
      <c r="BT1775" s="1"/>
      <c r="BU1775" s="1"/>
      <c r="BV1775" s="1"/>
      <c r="BW1775" s="1"/>
      <c r="BX1775" s="1"/>
      <c r="BY1775" s="1"/>
      <c r="BZ1775" s="1"/>
      <c r="CA1775" s="1"/>
      <c r="CB1775" s="1"/>
      <c r="CC1775" s="1"/>
      <c r="CD1775" s="1"/>
      <c r="CE1775" s="1"/>
      <c r="CF1775" s="1"/>
      <c r="CG1775" s="1"/>
      <c r="CH1775" s="1"/>
      <c r="CI1775" s="1"/>
      <c r="CJ1775" s="1"/>
      <c r="CK1775" s="1"/>
      <c r="CL1775" s="1"/>
      <c r="CM1775" s="1"/>
      <c r="CN1775" s="1"/>
      <c r="CO1775" s="1"/>
      <c r="CP1775" s="1"/>
      <c r="CQ1775" s="1"/>
      <c r="CR1775" s="1"/>
      <c r="CS1775" s="1"/>
      <c r="CT1775" s="1"/>
      <c r="CU1775" s="1"/>
      <c r="CV1775" s="1"/>
      <c r="CW1775" s="1"/>
      <c r="CX1775" s="1"/>
      <c r="CY1775" s="1"/>
      <c r="CZ1775" s="1"/>
      <c r="DA1775" s="1"/>
      <c r="DB1775" s="1"/>
      <c r="DC1775" s="1"/>
    </row>
    <row r="1776" spans="1:107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  <c r="AS1776" s="1"/>
      <c r="AT1776" s="1"/>
      <c r="AU1776" s="1"/>
      <c r="AV1776" s="1"/>
      <c r="AW1776" s="1"/>
      <c r="AX1776" s="1"/>
      <c r="AY1776" s="1"/>
      <c r="AZ1776" s="1"/>
      <c r="BA1776" s="1"/>
      <c r="BB1776" s="1"/>
      <c r="BC1776" s="1"/>
      <c r="BD1776" s="1"/>
      <c r="BE1776" s="1"/>
      <c r="BF1776" s="1"/>
      <c r="BG1776" s="1"/>
      <c r="BH1776" s="1"/>
      <c r="BI1776" s="1"/>
      <c r="BJ1776" s="1"/>
      <c r="BK1776" s="1"/>
      <c r="BL1776" s="1"/>
      <c r="BM1776" s="1"/>
      <c r="BN1776" s="1"/>
      <c r="BO1776" s="1"/>
      <c r="BP1776" s="1"/>
      <c r="BQ1776" s="1"/>
      <c r="BR1776" s="1"/>
      <c r="BS1776" s="1"/>
      <c r="BT1776" s="1"/>
      <c r="BU1776" s="1"/>
      <c r="BV1776" s="1"/>
      <c r="BW1776" s="1"/>
      <c r="BX1776" s="1"/>
      <c r="BY1776" s="1"/>
      <c r="BZ1776" s="1"/>
      <c r="CA1776" s="1"/>
      <c r="CB1776" s="1"/>
      <c r="CC1776" s="1"/>
      <c r="CD1776" s="1"/>
      <c r="CE1776" s="1"/>
      <c r="CF1776" s="1"/>
      <c r="CG1776" s="1"/>
      <c r="CH1776" s="1"/>
      <c r="CI1776" s="1"/>
      <c r="CJ1776" s="1"/>
      <c r="CK1776" s="1"/>
      <c r="CL1776" s="1"/>
      <c r="CM1776" s="1"/>
      <c r="CN1776" s="1"/>
      <c r="CO1776" s="1"/>
      <c r="CP1776" s="1"/>
      <c r="CQ1776" s="1"/>
      <c r="CR1776" s="1"/>
      <c r="CS1776" s="1"/>
      <c r="CT1776" s="1"/>
      <c r="CU1776" s="1"/>
      <c r="CV1776" s="1"/>
      <c r="CW1776" s="1"/>
      <c r="CX1776" s="1"/>
      <c r="CY1776" s="1"/>
      <c r="CZ1776" s="1"/>
      <c r="DA1776" s="1"/>
      <c r="DB1776" s="1"/>
      <c r="DC1776" s="1"/>
    </row>
    <row r="1777" spans="1:107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  <c r="AS1777" s="1"/>
      <c r="AT1777" s="1"/>
      <c r="AU1777" s="1"/>
      <c r="AV1777" s="1"/>
      <c r="AW1777" s="1"/>
      <c r="AX1777" s="1"/>
      <c r="AY1777" s="1"/>
      <c r="AZ1777" s="1"/>
      <c r="BA1777" s="1"/>
      <c r="BB1777" s="1"/>
      <c r="BC1777" s="1"/>
      <c r="BD1777" s="1"/>
      <c r="BE1777" s="1"/>
      <c r="BF1777" s="1"/>
      <c r="BG1777" s="1"/>
      <c r="BH1777" s="1"/>
      <c r="BI1777" s="1"/>
      <c r="BJ1777" s="1"/>
      <c r="BK1777" s="1"/>
      <c r="BL1777" s="1"/>
      <c r="BM1777" s="1"/>
      <c r="BN1777" s="1"/>
      <c r="BO1777" s="1"/>
      <c r="BP1777" s="1"/>
      <c r="BQ1777" s="1"/>
      <c r="BR1777" s="1"/>
      <c r="BS1777" s="1"/>
      <c r="BT1777" s="1"/>
      <c r="BU1777" s="1"/>
      <c r="BV1777" s="1"/>
      <c r="BW1777" s="1"/>
      <c r="BX1777" s="1"/>
      <c r="BY1777" s="1"/>
      <c r="BZ1777" s="1"/>
      <c r="CA1777" s="1"/>
      <c r="CB1777" s="1"/>
      <c r="CC1777" s="1"/>
      <c r="CD1777" s="1"/>
      <c r="CE1777" s="1"/>
      <c r="CF1777" s="1"/>
      <c r="CG1777" s="1"/>
      <c r="CH1777" s="1"/>
      <c r="CI1777" s="1"/>
      <c r="CJ1777" s="1"/>
      <c r="CK1777" s="1"/>
      <c r="CL1777" s="1"/>
      <c r="CM1777" s="1"/>
      <c r="CN1777" s="1"/>
      <c r="CO1777" s="1"/>
      <c r="CP1777" s="1"/>
      <c r="CQ1777" s="1"/>
      <c r="CR1777" s="1"/>
      <c r="CS1777" s="1"/>
      <c r="CT1777" s="1"/>
      <c r="CU1777" s="1"/>
      <c r="CV1777" s="1"/>
      <c r="CW1777" s="1"/>
      <c r="CX1777" s="1"/>
      <c r="CY1777" s="1"/>
      <c r="CZ1777" s="1"/>
      <c r="DA1777" s="1"/>
      <c r="DB1777" s="1"/>
      <c r="DC1777" s="1"/>
    </row>
    <row r="1778" spans="1:107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  <c r="AS1778" s="1"/>
      <c r="AT1778" s="1"/>
      <c r="AU1778" s="1"/>
      <c r="AV1778" s="1"/>
      <c r="AW1778" s="1"/>
      <c r="AX1778" s="1"/>
      <c r="AY1778" s="1"/>
      <c r="AZ1778" s="1"/>
      <c r="BA1778" s="1"/>
      <c r="BB1778" s="1"/>
      <c r="BC1778" s="1"/>
      <c r="BD1778" s="1"/>
      <c r="BE1778" s="1"/>
      <c r="BF1778" s="1"/>
      <c r="BG1778" s="1"/>
      <c r="BH1778" s="1"/>
      <c r="BI1778" s="1"/>
      <c r="BJ1778" s="1"/>
      <c r="BK1778" s="1"/>
      <c r="BL1778" s="1"/>
      <c r="BM1778" s="1"/>
      <c r="BN1778" s="1"/>
      <c r="BO1778" s="1"/>
      <c r="BP1778" s="1"/>
      <c r="BQ1778" s="1"/>
      <c r="BR1778" s="1"/>
      <c r="BS1778" s="1"/>
      <c r="BT1778" s="1"/>
      <c r="BU1778" s="1"/>
      <c r="BV1778" s="1"/>
      <c r="BW1778" s="1"/>
      <c r="BX1778" s="1"/>
      <c r="BY1778" s="1"/>
      <c r="BZ1778" s="1"/>
      <c r="CA1778" s="1"/>
      <c r="CB1778" s="1"/>
      <c r="CC1778" s="1"/>
      <c r="CD1778" s="1"/>
      <c r="CE1778" s="1"/>
      <c r="CF1778" s="1"/>
      <c r="CG1778" s="1"/>
      <c r="CH1778" s="1"/>
      <c r="CI1778" s="1"/>
      <c r="CJ1778" s="1"/>
      <c r="CK1778" s="1"/>
      <c r="CL1778" s="1"/>
      <c r="CM1778" s="1"/>
      <c r="CN1778" s="1"/>
      <c r="CO1778" s="1"/>
      <c r="CP1778" s="1"/>
      <c r="CQ1778" s="1"/>
      <c r="CR1778" s="1"/>
      <c r="CS1778" s="1"/>
      <c r="CT1778" s="1"/>
      <c r="CU1778" s="1"/>
      <c r="CV1778" s="1"/>
      <c r="CW1778" s="1"/>
      <c r="CX1778" s="1"/>
      <c r="CY1778" s="1"/>
      <c r="CZ1778" s="1"/>
      <c r="DA1778" s="1"/>
      <c r="DB1778" s="1"/>
      <c r="DC1778" s="1"/>
    </row>
    <row r="1779" spans="1:107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  <c r="AS1779" s="1"/>
      <c r="AT1779" s="1"/>
      <c r="AU1779" s="1"/>
      <c r="AV1779" s="1"/>
      <c r="AW1779" s="1"/>
      <c r="AX1779" s="1"/>
      <c r="AY1779" s="1"/>
      <c r="AZ1779" s="1"/>
      <c r="BA1779" s="1"/>
      <c r="BB1779" s="1"/>
      <c r="BC1779" s="1"/>
      <c r="BD1779" s="1"/>
      <c r="BE1779" s="1"/>
      <c r="BF1779" s="1"/>
      <c r="BG1779" s="1"/>
      <c r="BH1779" s="1"/>
      <c r="BI1779" s="1"/>
      <c r="BJ1779" s="1"/>
      <c r="BK1779" s="1"/>
      <c r="BL1779" s="1"/>
      <c r="BM1779" s="1"/>
      <c r="BN1779" s="1"/>
      <c r="BO1779" s="1"/>
      <c r="BP1779" s="1"/>
      <c r="BQ1779" s="1"/>
      <c r="BR1779" s="1"/>
      <c r="BS1779" s="1"/>
      <c r="BT1779" s="1"/>
      <c r="BU1779" s="1"/>
      <c r="BV1779" s="1"/>
      <c r="BW1779" s="1"/>
      <c r="BX1779" s="1"/>
      <c r="BY1779" s="1"/>
      <c r="BZ1779" s="1"/>
      <c r="CA1779" s="1"/>
      <c r="CB1779" s="1"/>
      <c r="CC1779" s="1"/>
      <c r="CD1779" s="1"/>
      <c r="CE1779" s="1"/>
      <c r="CF1779" s="1"/>
      <c r="CG1779" s="1"/>
      <c r="CH1779" s="1"/>
      <c r="CI1779" s="1"/>
      <c r="CJ1779" s="1"/>
      <c r="CK1779" s="1"/>
      <c r="CL1779" s="1"/>
      <c r="CM1779" s="1"/>
      <c r="CN1779" s="1"/>
      <c r="CO1779" s="1"/>
      <c r="CP1779" s="1"/>
      <c r="CQ1779" s="1"/>
      <c r="CR1779" s="1"/>
      <c r="CS1779" s="1"/>
      <c r="CT1779" s="1"/>
      <c r="CU1779" s="1"/>
      <c r="CV1779" s="1"/>
      <c r="CW1779" s="1"/>
      <c r="CX1779" s="1"/>
      <c r="CY1779" s="1"/>
      <c r="CZ1779" s="1"/>
      <c r="DA1779" s="1"/>
      <c r="DB1779" s="1"/>
      <c r="DC1779" s="1"/>
    </row>
    <row r="1780" spans="1:107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  <c r="AS1780" s="1"/>
      <c r="AT1780" s="1"/>
      <c r="AU1780" s="1"/>
      <c r="AV1780" s="1"/>
      <c r="AW1780" s="1"/>
      <c r="AX1780" s="1"/>
      <c r="AY1780" s="1"/>
      <c r="AZ1780" s="1"/>
      <c r="BA1780" s="1"/>
      <c r="BB1780" s="1"/>
      <c r="BC1780" s="1"/>
      <c r="BD1780" s="1"/>
      <c r="BE1780" s="1"/>
      <c r="BF1780" s="1"/>
      <c r="BG1780" s="1"/>
      <c r="BH1780" s="1"/>
      <c r="BI1780" s="1"/>
      <c r="BJ1780" s="1"/>
      <c r="BK1780" s="1"/>
      <c r="BL1780" s="1"/>
      <c r="BM1780" s="1"/>
      <c r="BN1780" s="1"/>
      <c r="BO1780" s="1"/>
      <c r="BP1780" s="1"/>
      <c r="BQ1780" s="1"/>
      <c r="BR1780" s="1"/>
      <c r="BS1780" s="1"/>
      <c r="BT1780" s="1"/>
      <c r="BU1780" s="1"/>
      <c r="BV1780" s="1"/>
      <c r="BW1780" s="1"/>
      <c r="BX1780" s="1"/>
      <c r="BY1780" s="1"/>
      <c r="BZ1780" s="1"/>
      <c r="CA1780" s="1"/>
      <c r="CB1780" s="1"/>
      <c r="CC1780" s="1"/>
      <c r="CD1780" s="1"/>
      <c r="CE1780" s="1"/>
      <c r="CF1780" s="1"/>
      <c r="CG1780" s="1"/>
      <c r="CH1780" s="1"/>
      <c r="CI1780" s="1"/>
      <c r="CJ1780" s="1"/>
      <c r="CK1780" s="1"/>
      <c r="CL1780" s="1"/>
      <c r="CM1780" s="1"/>
      <c r="CN1780" s="1"/>
      <c r="CO1780" s="1"/>
      <c r="CP1780" s="1"/>
      <c r="CQ1780" s="1"/>
      <c r="CR1780" s="1"/>
      <c r="CS1780" s="1"/>
      <c r="CT1780" s="1"/>
      <c r="CU1780" s="1"/>
      <c r="CV1780" s="1"/>
      <c r="CW1780" s="1"/>
      <c r="CX1780" s="1"/>
      <c r="CY1780" s="1"/>
      <c r="CZ1780" s="1"/>
      <c r="DA1780" s="1"/>
      <c r="DB1780" s="1"/>
      <c r="DC1780" s="1"/>
    </row>
    <row r="1781" spans="1:107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1"/>
      <c r="AX1781" s="1"/>
      <c r="AY1781" s="1"/>
      <c r="AZ1781" s="1"/>
      <c r="BA1781" s="1"/>
      <c r="BB1781" s="1"/>
      <c r="BC1781" s="1"/>
      <c r="BD1781" s="1"/>
      <c r="BE1781" s="1"/>
      <c r="BF1781" s="1"/>
      <c r="BG1781" s="1"/>
      <c r="BH1781" s="1"/>
      <c r="BI1781" s="1"/>
      <c r="BJ1781" s="1"/>
      <c r="BK1781" s="1"/>
      <c r="BL1781" s="1"/>
      <c r="BM1781" s="1"/>
      <c r="BN1781" s="1"/>
      <c r="BO1781" s="1"/>
      <c r="BP1781" s="1"/>
      <c r="BQ1781" s="1"/>
      <c r="BR1781" s="1"/>
      <c r="BS1781" s="1"/>
      <c r="BT1781" s="1"/>
      <c r="BU1781" s="1"/>
      <c r="BV1781" s="1"/>
      <c r="BW1781" s="1"/>
      <c r="BX1781" s="1"/>
      <c r="BY1781" s="1"/>
      <c r="BZ1781" s="1"/>
      <c r="CA1781" s="1"/>
      <c r="CB1781" s="1"/>
      <c r="CC1781" s="1"/>
      <c r="CD1781" s="1"/>
      <c r="CE1781" s="1"/>
      <c r="CF1781" s="1"/>
      <c r="CG1781" s="1"/>
      <c r="CH1781" s="1"/>
      <c r="CI1781" s="1"/>
      <c r="CJ1781" s="1"/>
      <c r="CK1781" s="1"/>
      <c r="CL1781" s="1"/>
      <c r="CM1781" s="1"/>
      <c r="CN1781" s="1"/>
      <c r="CO1781" s="1"/>
      <c r="CP1781" s="1"/>
      <c r="CQ1781" s="1"/>
      <c r="CR1781" s="1"/>
      <c r="CS1781" s="1"/>
      <c r="CT1781" s="1"/>
      <c r="CU1781" s="1"/>
      <c r="CV1781" s="1"/>
      <c r="CW1781" s="1"/>
      <c r="CX1781" s="1"/>
      <c r="CY1781" s="1"/>
      <c r="CZ1781" s="1"/>
      <c r="DA1781" s="1"/>
      <c r="DB1781" s="1"/>
      <c r="DC1781" s="1"/>
    </row>
    <row r="1782" spans="1:107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  <c r="AR1782" s="1"/>
      <c r="AS1782" s="1"/>
      <c r="AT1782" s="1"/>
      <c r="AU1782" s="1"/>
      <c r="AV1782" s="1"/>
      <c r="AW1782" s="1"/>
      <c r="AX1782" s="1"/>
      <c r="AY1782" s="1"/>
      <c r="AZ1782" s="1"/>
      <c r="BA1782" s="1"/>
      <c r="BB1782" s="1"/>
      <c r="BC1782" s="1"/>
      <c r="BD1782" s="1"/>
      <c r="BE1782" s="1"/>
      <c r="BF1782" s="1"/>
      <c r="BG1782" s="1"/>
      <c r="BH1782" s="1"/>
      <c r="BI1782" s="1"/>
      <c r="BJ1782" s="1"/>
      <c r="BK1782" s="1"/>
      <c r="BL1782" s="1"/>
      <c r="BM1782" s="1"/>
      <c r="BN1782" s="1"/>
      <c r="BO1782" s="1"/>
      <c r="BP1782" s="1"/>
      <c r="BQ1782" s="1"/>
      <c r="BR1782" s="1"/>
      <c r="BS1782" s="1"/>
      <c r="BT1782" s="1"/>
      <c r="BU1782" s="1"/>
      <c r="BV1782" s="1"/>
      <c r="BW1782" s="1"/>
      <c r="BX1782" s="1"/>
      <c r="BY1782" s="1"/>
      <c r="BZ1782" s="1"/>
      <c r="CA1782" s="1"/>
      <c r="CB1782" s="1"/>
      <c r="CC1782" s="1"/>
      <c r="CD1782" s="1"/>
      <c r="CE1782" s="1"/>
      <c r="CF1782" s="1"/>
      <c r="CG1782" s="1"/>
      <c r="CH1782" s="1"/>
      <c r="CI1782" s="1"/>
      <c r="CJ1782" s="1"/>
      <c r="CK1782" s="1"/>
      <c r="CL1782" s="1"/>
      <c r="CM1782" s="1"/>
      <c r="CN1782" s="1"/>
      <c r="CO1782" s="1"/>
      <c r="CP1782" s="1"/>
      <c r="CQ1782" s="1"/>
      <c r="CR1782" s="1"/>
      <c r="CS1782" s="1"/>
      <c r="CT1782" s="1"/>
      <c r="CU1782" s="1"/>
      <c r="CV1782" s="1"/>
      <c r="CW1782" s="1"/>
      <c r="CX1782" s="1"/>
      <c r="CY1782" s="1"/>
      <c r="CZ1782" s="1"/>
      <c r="DA1782" s="1"/>
      <c r="DB1782" s="1"/>
      <c r="DC1782" s="1"/>
    </row>
    <row r="1783" spans="1:107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  <c r="AS1783" s="1"/>
      <c r="AT1783" s="1"/>
      <c r="AU1783" s="1"/>
      <c r="AV1783" s="1"/>
      <c r="AW1783" s="1"/>
      <c r="AX1783" s="1"/>
      <c r="AY1783" s="1"/>
      <c r="AZ1783" s="1"/>
      <c r="BA1783" s="1"/>
      <c r="BB1783" s="1"/>
      <c r="BC1783" s="1"/>
      <c r="BD1783" s="1"/>
      <c r="BE1783" s="1"/>
      <c r="BF1783" s="1"/>
      <c r="BG1783" s="1"/>
      <c r="BH1783" s="1"/>
      <c r="BI1783" s="1"/>
      <c r="BJ1783" s="1"/>
      <c r="BK1783" s="1"/>
      <c r="BL1783" s="1"/>
      <c r="BM1783" s="1"/>
      <c r="BN1783" s="1"/>
      <c r="BO1783" s="1"/>
      <c r="BP1783" s="1"/>
      <c r="BQ1783" s="1"/>
      <c r="BR1783" s="1"/>
      <c r="BS1783" s="1"/>
      <c r="BT1783" s="1"/>
      <c r="BU1783" s="1"/>
      <c r="BV1783" s="1"/>
      <c r="BW1783" s="1"/>
      <c r="BX1783" s="1"/>
      <c r="BY1783" s="1"/>
      <c r="BZ1783" s="1"/>
      <c r="CA1783" s="1"/>
      <c r="CB1783" s="1"/>
      <c r="CC1783" s="1"/>
      <c r="CD1783" s="1"/>
      <c r="CE1783" s="1"/>
      <c r="CF1783" s="1"/>
      <c r="CG1783" s="1"/>
      <c r="CH1783" s="1"/>
      <c r="CI1783" s="1"/>
      <c r="CJ1783" s="1"/>
      <c r="CK1783" s="1"/>
      <c r="CL1783" s="1"/>
      <c r="CM1783" s="1"/>
      <c r="CN1783" s="1"/>
      <c r="CO1783" s="1"/>
      <c r="CP1783" s="1"/>
      <c r="CQ1783" s="1"/>
      <c r="CR1783" s="1"/>
      <c r="CS1783" s="1"/>
      <c r="CT1783" s="1"/>
      <c r="CU1783" s="1"/>
      <c r="CV1783" s="1"/>
      <c r="CW1783" s="1"/>
      <c r="CX1783" s="1"/>
      <c r="CY1783" s="1"/>
      <c r="CZ1783" s="1"/>
      <c r="DA1783" s="1"/>
      <c r="DB1783" s="1"/>
      <c r="DC1783" s="1"/>
    </row>
    <row r="1784" spans="1:107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  <c r="AR1784" s="1"/>
      <c r="AS1784" s="1"/>
      <c r="AT1784" s="1"/>
      <c r="AU1784" s="1"/>
      <c r="AV1784" s="1"/>
      <c r="AW1784" s="1"/>
      <c r="AX1784" s="1"/>
      <c r="AY1784" s="1"/>
      <c r="AZ1784" s="1"/>
      <c r="BA1784" s="1"/>
      <c r="BB1784" s="1"/>
      <c r="BC1784" s="1"/>
      <c r="BD1784" s="1"/>
      <c r="BE1784" s="1"/>
      <c r="BF1784" s="1"/>
      <c r="BG1784" s="1"/>
      <c r="BH1784" s="1"/>
      <c r="BI1784" s="1"/>
      <c r="BJ1784" s="1"/>
      <c r="BK1784" s="1"/>
      <c r="BL1784" s="1"/>
      <c r="BM1784" s="1"/>
      <c r="BN1784" s="1"/>
      <c r="BO1784" s="1"/>
      <c r="BP1784" s="1"/>
      <c r="BQ1784" s="1"/>
      <c r="BR1784" s="1"/>
      <c r="BS1784" s="1"/>
      <c r="BT1784" s="1"/>
      <c r="BU1784" s="1"/>
      <c r="BV1784" s="1"/>
      <c r="BW1784" s="1"/>
      <c r="BX1784" s="1"/>
      <c r="BY1784" s="1"/>
      <c r="BZ1784" s="1"/>
      <c r="CA1784" s="1"/>
      <c r="CB1784" s="1"/>
      <c r="CC1784" s="1"/>
      <c r="CD1784" s="1"/>
      <c r="CE1784" s="1"/>
      <c r="CF1784" s="1"/>
      <c r="CG1784" s="1"/>
      <c r="CH1784" s="1"/>
      <c r="CI1784" s="1"/>
      <c r="CJ1784" s="1"/>
      <c r="CK1784" s="1"/>
      <c r="CL1784" s="1"/>
      <c r="CM1784" s="1"/>
      <c r="CN1784" s="1"/>
      <c r="CO1784" s="1"/>
      <c r="CP1784" s="1"/>
      <c r="CQ1784" s="1"/>
      <c r="CR1784" s="1"/>
      <c r="CS1784" s="1"/>
      <c r="CT1784" s="1"/>
      <c r="CU1784" s="1"/>
      <c r="CV1784" s="1"/>
      <c r="CW1784" s="1"/>
      <c r="CX1784" s="1"/>
      <c r="CY1784" s="1"/>
      <c r="CZ1784" s="1"/>
      <c r="DA1784" s="1"/>
      <c r="DB1784" s="1"/>
      <c r="DC1784" s="1"/>
    </row>
    <row r="1785" spans="1:107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  <c r="AU1785" s="1"/>
      <c r="AV1785" s="1"/>
      <c r="AW1785" s="1"/>
      <c r="AX1785" s="1"/>
      <c r="AY1785" s="1"/>
      <c r="AZ1785" s="1"/>
      <c r="BA1785" s="1"/>
      <c r="BB1785" s="1"/>
      <c r="BC1785" s="1"/>
      <c r="BD1785" s="1"/>
      <c r="BE1785" s="1"/>
      <c r="BF1785" s="1"/>
      <c r="BG1785" s="1"/>
      <c r="BH1785" s="1"/>
      <c r="BI1785" s="1"/>
      <c r="BJ1785" s="1"/>
      <c r="BK1785" s="1"/>
      <c r="BL1785" s="1"/>
      <c r="BM1785" s="1"/>
      <c r="BN1785" s="1"/>
      <c r="BO1785" s="1"/>
      <c r="BP1785" s="1"/>
      <c r="BQ1785" s="1"/>
      <c r="BR1785" s="1"/>
      <c r="BS1785" s="1"/>
      <c r="BT1785" s="1"/>
      <c r="BU1785" s="1"/>
      <c r="BV1785" s="1"/>
      <c r="BW1785" s="1"/>
      <c r="BX1785" s="1"/>
      <c r="BY1785" s="1"/>
      <c r="BZ1785" s="1"/>
      <c r="CA1785" s="1"/>
      <c r="CB1785" s="1"/>
      <c r="CC1785" s="1"/>
      <c r="CD1785" s="1"/>
      <c r="CE1785" s="1"/>
      <c r="CF1785" s="1"/>
      <c r="CG1785" s="1"/>
      <c r="CH1785" s="1"/>
      <c r="CI1785" s="1"/>
      <c r="CJ1785" s="1"/>
      <c r="CK1785" s="1"/>
      <c r="CL1785" s="1"/>
      <c r="CM1785" s="1"/>
      <c r="CN1785" s="1"/>
      <c r="CO1785" s="1"/>
      <c r="CP1785" s="1"/>
      <c r="CQ1785" s="1"/>
      <c r="CR1785" s="1"/>
      <c r="CS1785" s="1"/>
      <c r="CT1785" s="1"/>
      <c r="CU1785" s="1"/>
      <c r="CV1785" s="1"/>
      <c r="CW1785" s="1"/>
      <c r="CX1785" s="1"/>
      <c r="CY1785" s="1"/>
      <c r="CZ1785" s="1"/>
      <c r="DA1785" s="1"/>
      <c r="DB1785" s="1"/>
      <c r="DC1785" s="1"/>
    </row>
    <row r="1786" spans="1:107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  <c r="AP1786" s="1"/>
      <c r="AQ1786" s="1"/>
      <c r="AR1786" s="1"/>
      <c r="AS1786" s="1"/>
      <c r="AT1786" s="1"/>
      <c r="AU1786" s="1"/>
      <c r="AV1786" s="1"/>
      <c r="AW1786" s="1"/>
      <c r="AX1786" s="1"/>
      <c r="AY1786" s="1"/>
      <c r="AZ1786" s="1"/>
      <c r="BA1786" s="1"/>
      <c r="BB1786" s="1"/>
      <c r="BC1786" s="1"/>
      <c r="BD1786" s="1"/>
      <c r="BE1786" s="1"/>
      <c r="BF1786" s="1"/>
      <c r="BG1786" s="1"/>
      <c r="BH1786" s="1"/>
      <c r="BI1786" s="1"/>
      <c r="BJ1786" s="1"/>
      <c r="BK1786" s="1"/>
      <c r="BL1786" s="1"/>
      <c r="BM1786" s="1"/>
      <c r="BN1786" s="1"/>
      <c r="BO1786" s="1"/>
      <c r="BP1786" s="1"/>
      <c r="BQ1786" s="1"/>
      <c r="BR1786" s="1"/>
      <c r="BS1786" s="1"/>
      <c r="BT1786" s="1"/>
      <c r="BU1786" s="1"/>
      <c r="BV1786" s="1"/>
      <c r="BW1786" s="1"/>
      <c r="BX1786" s="1"/>
      <c r="BY1786" s="1"/>
      <c r="BZ1786" s="1"/>
      <c r="CA1786" s="1"/>
      <c r="CB1786" s="1"/>
      <c r="CC1786" s="1"/>
      <c r="CD1786" s="1"/>
      <c r="CE1786" s="1"/>
      <c r="CF1786" s="1"/>
      <c r="CG1786" s="1"/>
      <c r="CH1786" s="1"/>
      <c r="CI1786" s="1"/>
      <c r="CJ1786" s="1"/>
      <c r="CK1786" s="1"/>
      <c r="CL1786" s="1"/>
      <c r="CM1786" s="1"/>
      <c r="CN1786" s="1"/>
      <c r="CO1786" s="1"/>
      <c r="CP1786" s="1"/>
      <c r="CQ1786" s="1"/>
      <c r="CR1786" s="1"/>
      <c r="CS1786" s="1"/>
      <c r="CT1786" s="1"/>
      <c r="CU1786" s="1"/>
      <c r="CV1786" s="1"/>
      <c r="CW1786" s="1"/>
      <c r="CX1786" s="1"/>
      <c r="CY1786" s="1"/>
      <c r="CZ1786" s="1"/>
      <c r="DA1786" s="1"/>
      <c r="DB1786" s="1"/>
      <c r="DC1786" s="1"/>
    </row>
    <row r="1787" spans="1:107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  <c r="AS1787" s="1"/>
      <c r="AT1787" s="1"/>
      <c r="AU1787" s="1"/>
      <c r="AV1787" s="1"/>
      <c r="AW1787" s="1"/>
      <c r="AX1787" s="1"/>
      <c r="AY1787" s="1"/>
      <c r="AZ1787" s="1"/>
      <c r="BA1787" s="1"/>
      <c r="BB1787" s="1"/>
      <c r="BC1787" s="1"/>
      <c r="BD1787" s="1"/>
      <c r="BE1787" s="1"/>
      <c r="BF1787" s="1"/>
      <c r="BG1787" s="1"/>
      <c r="BH1787" s="1"/>
      <c r="BI1787" s="1"/>
      <c r="BJ1787" s="1"/>
      <c r="BK1787" s="1"/>
      <c r="BL1787" s="1"/>
      <c r="BM1787" s="1"/>
      <c r="BN1787" s="1"/>
      <c r="BO1787" s="1"/>
      <c r="BP1787" s="1"/>
      <c r="BQ1787" s="1"/>
      <c r="BR1787" s="1"/>
      <c r="BS1787" s="1"/>
      <c r="BT1787" s="1"/>
      <c r="BU1787" s="1"/>
      <c r="BV1787" s="1"/>
      <c r="BW1787" s="1"/>
      <c r="BX1787" s="1"/>
      <c r="BY1787" s="1"/>
      <c r="BZ1787" s="1"/>
      <c r="CA1787" s="1"/>
      <c r="CB1787" s="1"/>
      <c r="CC1787" s="1"/>
      <c r="CD1787" s="1"/>
      <c r="CE1787" s="1"/>
      <c r="CF1787" s="1"/>
      <c r="CG1787" s="1"/>
      <c r="CH1787" s="1"/>
      <c r="CI1787" s="1"/>
      <c r="CJ1787" s="1"/>
      <c r="CK1787" s="1"/>
      <c r="CL1787" s="1"/>
      <c r="CM1787" s="1"/>
      <c r="CN1787" s="1"/>
      <c r="CO1787" s="1"/>
      <c r="CP1787" s="1"/>
      <c r="CQ1787" s="1"/>
      <c r="CR1787" s="1"/>
      <c r="CS1787" s="1"/>
      <c r="CT1787" s="1"/>
      <c r="CU1787" s="1"/>
      <c r="CV1787" s="1"/>
      <c r="CW1787" s="1"/>
      <c r="CX1787" s="1"/>
      <c r="CY1787" s="1"/>
      <c r="CZ1787" s="1"/>
      <c r="DA1787" s="1"/>
      <c r="DB1787" s="1"/>
      <c r="DC1787" s="1"/>
    </row>
    <row r="1788" spans="1:107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  <c r="AS1788" s="1"/>
      <c r="AT1788" s="1"/>
      <c r="AU1788" s="1"/>
      <c r="AV1788" s="1"/>
      <c r="AW1788" s="1"/>
      <c r="AX1788" s="1"/>
      <c r="AY1788" s="1"/>
      <c r="AZ1788" s="1"/>
      <c r="BA1788" s="1"/>
      <c r="BB1788" s="1"/>
      <c r="BC1788" s="1"/>
      <c r="BD1788" s="1"/>
      <c r="BE1788" s="1"/>
      <c r="BF1788" s="1"/>
      <c r="BG1788" s="1"/>
      <c r="BH1788" s="1"/>
      <c r="BI1788" s="1"/>
      <c r="BJ1788" s="1"/>
      <c r="BK1788" s="1"/>
      <c r="BL1788" s="1"/>
      <c r="BM1788" s="1"/>
      <c r="BN1788" s="1"/>
      <c r="BO1788" s="1"/>
      <c r="BP1788" s="1"/>
      <c r="BQ1788" s="1"/>
      <c r="BR1788" s="1"/>
      <c r="BS1788" s="1"/>
      <c r="BT1788" s="1"/>
      <c r="BU1788" s="1"/>
      <c r="BV1788" s="1"/>
      <c r="BW1788" s="1"/>
      <c r="BX1788" s="1"/>
      <c r="BY1788" s="1"/>
      <c r="BZ1788" s="1"/>
      <c r="CA1788" s="1"/>
      <c r="CB1788" s="1"/>
      <c r="CC1788" s="1"/>
      <c r="CD1788" s="1"/>
      <c r="CE1788" s="1"/>
      <c r="CF1788" s="1"/>
      <c r="CG1788" s="1"/>
      <c r="CH1788" s="1"/>
      <c r="CI1788" s="1"/>
      <c r="CJ1788" s="1"/>
      <c r="CK1788" s="1"/>
      <c r="CL1788" s="1"/>
      <c r="CM1788" s="1"/>
      <c r="CN1788" s="1"/>
      <c r="CO1788" s="1"/>
      <c r="CP1788" s="1"/>
      <c r="CQ1788" s="1"/>
      <c r="CR1788" s="1"/>
      <c r="CS1788" s="1"/>
      <c r="CT1788" s="1"/>
      <c r="CU1788" s="1"/>
      <c r="CV1788" s="1"/>
      <c r="CW1788" s="1"/>
      <c r="CX1788" s="1"/>
      <c r="CY1788" s="1"/>
      <c r="CZ1788" s="1"/>
      <c r="DA1788" s="1"/>
      <c r="DB1788" s="1"/>
      <c r="DC1788" s="1"/>
    </row>
    <row r="1789" spans="1:107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  <c r="AS1789" s="1"/>
      <c r="AT1789" s="1"/>
      <c r="AU1789" s="1"/>
      <c r="AV1789" s="1"/>
      <c r="AW1789" s="1"/>
      <c r="AX1789" s="1"/>
      <c r="AY1789" s="1"/>
      <c r="AZ1789" s="1"/>
      <c r="BA1789" s="1"/>
      <c r="BB1789" s="1"/>
      <c r="BC1789" s="1"/>
      <c r="BD1789" s="1"/>
      <c r="BE1789" s="1"/>
      <c r="BF1789" s="1"/>
      <c r="BG1789" s="1"/>
      <c r="BH1789" s="1"/>
      <c r="BI1789" s="1"/>
      <c r="BJ1789" s="1"/>
      <c r="BK1789" s="1"/>
      <c r="BL1789" s="1"/>
      <c r="BM1789" s="1"/>
      <c r="BN1789" s="1"/>
      <c r="BO1789" s="1"/>
      <c r="BP1789" s="1"/>
      <c r="BQ1789" s="1"/>
      <c r="BR1789" s="1"/>
      <c r="BS1789" s="1"/>
      <c r="BT1789" s="1"/>
      <c r="BU1789" s="1"/>
      <c r="BV1789" s="1"/>
      <c r="BW1789" s="1"/>
      <c r="BX1789" s="1"/>
      <c r="BY1789" s="1"/>
      <c r="BZ1789" s="1"/>
      <c r="CA1789" s="1"/>
      <c r="CB1789" s="1"/>
      <c r="CC1789" s="1"/>
      <c r="CD1789" s="1"/>
      <c r="CE1789" s="1"/>
      <c r="CF1789" s="1"/>
      <c r="CG1789" s="1"/>
      <c r="CH1789" s="1"/>
      <c r="CI1789" s="1"/>
      <c r="CJ1789" s="1"/>
      <c r="CK1789" s="1"/>
      <c r="CL1789" s="1"/>
      <c r="CM1789" s="1"/>
      <c r="CN1789" s="1"/>
      <c r="CO1789" s="1"/>
      <c r="CP1789" s="1"/>
      <c r="CQ1789" s="1"/>
      <c r="CR1789" s="1"/>
      <c r="CS1789" s="1"/>
      <c r="CT1789" s="1"/>
      <c r="CU1789" s="1"/>
      <c r="CV1789" s="1"/>
      <c r="CW1789" s="1"/>
      <c r="CX1789" s="1"/>
      <c r="CY1789" s="1"/>
      <c r="CZ1789" s="1"/>
      <c r="DA1789" s="1"/>
      <c r="DB1789" s="1"/>
      <c r="DC1789" s="1"/>
    </row>
    <row r="1790" spans="1:107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  <c r="AS1790" s="1"/>
      <c r="AT1790" s="1"/>
      <c r="AU1790" s="1"/>
      <c r="AV1790" s="1"/>
      <c r="AW1790" s="1"/>
      <c r="AX1790" s="1"/>
      <c r="AY1790" s="1"/>
      <c r="AZ1790" s="1"/>
      <c r="BA1790" s="1"/>
      <c r="BB1790" s="1"/>
      <c r="BC1790" s="1"/>
      <c r="BD1790" s="1"/>
      <c r="BE1790" s="1"/>
      <c r="BF1790" s="1"/>
      <c r="BG1790" s="1"/>
      <c r="BH1790" s="1"/>
      <c r="BI1790" s="1"/>
      <c r="BJ1790" s="1"/>
      <c r="BK1790" s="1"/>
      <c r="BL1790" s="1"/>
      <c r="BM1790" s="1"/>
      <c r="BN1790" s="1"/>
      <c r="BO1790" s="1"/>
      <c r="BP1790" s="1"/>
      <c r="BQ1790" s="1"/>
      <c r="BR1790" s="1"/>
      <c r="BS1790" s="1"/>
      <c r="BT1790" s="1"/>
      <c r="BU1790" s="1"/>
      <c r="BV1790" s="1"/>
      <c r="BW1790" s="1"/>
      <c r="BX1790" s="1"/>
      <c r="BY1790" s="1"/>
      <c r="BZ1790" s="1"/>
      <c r="CA1790" s="1"/>
      <c r="CB1790" s="1"/>
      <c r="CC1790" s="1"/>
      <c r="CD1790" s="1"/>
      <c r="CE1790" s="1"/>
      <c r="CF1790" s="1"/>
      <c r="CG1790" s="1"/>
      <c r="CH1790" s="1"/>
      <c r="CI1790" s="1"/>
      <c r="CJ1790" s="1"/>
      <c r="CK1790" s="1"/>
      <c r="CL1790" s="1"/>
      <c r="CM1790" s="1"/>
      <c r="CN1790" s="1"/>
      <c r="CO1790" s="1"/>
      <c r="CP1790" s="1"/>
      <c r="CQ1790" s="1"/>
      <c r="CR1790" s="1"/>
      <c r="CS1790" s="1"/>
      <c r="CT1790" s="1"/>
      <c r="CU1790" s="1"/>
      <c r="CV1790" s="1"/>
      <c r="CW1790" s="1"/>
      <c r="CX1790" s="1"/>
      <c r="CY1790" s="1"/>
      <c r="CZ1790" s="1"/>
      <c r="DA1790" s="1"/>
      <c r="DB1790" s="1"/>
      <c r="DC1790" s="1"/>
    </row>
    <row r="1791" spans="1:107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  <c r="AS1791" s="1"/>
      <c r="AT1791" s="1"/>
      <c r="AU1791" s="1"/>
      <c r="AV1791" s="1"/>
      <c r="AW1791" s="1"/>
      <c r="AX1791" s="1"/>
      <c r="AY1791" s="1"/>
      <c r="AZ1791" s="1"/>
      <c r="BA1791" s="1"/>
      <c r="BB1791" s="1"/>
      <c r="BC1791" s="1"/>
      <c r="BD1791" s="1"/>
      <c r="BE1791" s="1"/>
      <c r="BF1791" s="1"/>
      <c r="BG1791" s="1"/>
      <c r="BH1791" s="1"/>
      <c r="BI1791" s="1"/>
      <c r="BJ1791" s="1"/>
      <c r="BK1791" s="1"/>
      <c r="BL1791" s="1"/>
      <c r="BM1791" s="1"/>
      <c r="BN1791" s="1"/>
      <c r="BO1791" s="1"/>
      <c r="BP1791" s="1"/>
      <c r="BQ1791" s="1"/>
      <c r="BR1791" s="1"/>
      <c r="BS1791" s="1"/>
      <c r="BT1791" s="1"/>
      <c r="BU1791" s="1"/>
      <c r="BV1791" s="1"/>
      <c r="BW1791" s="1"/>
      <c r="BX1791" s="1"/>
      <c r="BY1791" s="1"/>
      <c r="BZ1791" s="1"/>
      <c r="CA1791" s="1"/>
      <c r="CB1791" s="1"/>
      <c r="CC1791" s="1"/>
      <c r="CD1791" s="1"/>
      <c r="CE1791" s="1"/>
      <c r="CF1791" s="1"/>
      <c r="CG1791" s="1"/>
      <c r="CH1791" s="1"/>
      <c r="CI1791" s="1"/>
      <c r="CJ1791" s="1"/>
      <c r="CK1791" s="1"/>
      <c r="CL1791" s="1"/>
      <c r="CM1791" s="1"/>
      <c r="CN1791" s="1"/>
      <c r="CO1791" s="1"/>
      <c r="CP1791" s="1"/>
      <c r="CQ1791" s="1"/>
      <c r="CR1791" s="1"/>
      <c r="CS1791" s="1"/>
      <c r="CT1791" s="1"/>
      <c r="CU1791" s="1"/>
      <c r="CV1791" s="1"/>
      <c r="CW1791" s="1"/>
      <c r="CX1791" s="1"/>
      <c r="CY1791" s="1"/>
      <c r="CZ1791" s="1"/>
      <c r="DA1791" s="1"/>
      <c r="DB1791" s="1"/>
      <c r="DC1791" s="1"/>
    </row>
    <row r="1792" spans="1:107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  <c r="AP1792" s="1"/>
      <c r="AQ1792" s="1"/>
      <c r="AR1792" s="1"/>
      <c r="AS1792" s="1"/>
      <c r="AT1792" s="1"/>
      <c r="AU1792" s="1"/>
      <c r="AV1792" s="1"/>
      <c r="AW1792" s="1"/>
      <c r="AX1792" s="1"/>
      <c r="AY1792" s="1"/>
      <c r="AZ1792" s="1"/>
      <c r="BA1792" s="1"/>
      <c r="BB1792" s="1"/>
      <c r="BC1792" s="1"/>
      <c r="BD1792" s="1"/>
      <c r="BE1792" s="1"/>
      <c r="BF1792" s="1"/>
      <c r="BG1792" s="1"/>
      <c r="BH1792" s="1"/>
      <c r="BI1792" s="1"/>
      <c r="BJ1792" s="1"/>
      <c r="BK1792" s="1"/>
      <c r="BL1792" s="1"/>
      <c r="BM1792" s="1"/>
      <c r="BN1792" s="1"/>
      <c r="BO1792" s="1"/>
      <c r="BP1792" s="1"/>
      <c r="BQ1792" s="1"/>
      <c r="BR1792" s="1"/>
      <c r="BS1792" s="1"/>
      <c r="BT1792" s="1"/>
      <c r="BU1792" s="1"/>
      <c r="BV1792" s="1"/>
      <c r="BW1792" s="1"/>
      <c r="BX1792" s="1"/>
      <c r="BY1792" s="1"/>
      <c r="BZ1792" s="1"/>
      <c r="CA1792" s="1"/>
      <c r="CB1792" s="1"/>
      <c r="CC1792" s="1"/>
      <c r="CD1792" s="1"/>
      <c r="CE1792" s="1"/>
      <c r="CF1792" s="1"/>
      <c r="CG1792" s="1"/>
      <c r="CH1792" s="1"/>
      <c r="CI1792" s="1"/>
      <c r="CJ1792" s="1"/>
      <c r="CK1792" s="1"/>
      <c r="CL1792" s="1"/>
      <c r="CM1792" s="1"/>
      <c r="CN1792" s="1"/>
      <c r="CO1792" s="1"/>
      <c r="CP1792" s="1"/>
      <c r="CQ1792" s="1"/>
      <c r="CR1792" s="1"/>
      <c r="CS1792" s="1"/>
      <c r="CT1792" s="1"/>
      <c r="CU1792" s="1"/>
      <c r="CV1792" s="1"/>
      <c r="CW1792" s="1"/>
      <c r="CX1792" s="1"/>
      <c r="CY1792" s="1"/>
      <c r="CZ1792" s="1"/>
      <c r="DA1792" s="1"/>
      <c r="DB1792" s="1"/>
      <c r="DC1792" s="1"/>
    </row>
    <row r="1793" spans="1:107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  <c r="AS1793" s="1"/>
      <c r="AT1793" s="1"/>
      <c r="AU1793" s="1"/>
      <c r="AV1793" s="1"/>
      <c r="AW1793" s="1"/>
      <c r="AX1793" s="1"/>
      <c r="AY1793" s="1"/>
      <c r="AZ1793" s="1"/>
      <c r="BA1793" s="1"/>
      <c r="BB1793" s="1"/>
      <c r="BC1793" s="1"/>
      <c r="BD1793" s="1"/>
      <c r="BE1793" s="1"/>
      <c r="BF1793" s="1"/>
      <c r="BG1793" s="1"/>
      <c r="BH1793" s="1"/>
      <c r="BI1793" s="1"/>
      <c r="BJ1793" s="1"/>
      <c r="BK1793" s="1"/>
      <c r="BL1793" s="1"/>
      <c r="BM1793" s="1"/>
      <c r="BN1793" s="1"/>
      <c r="BO1793" s="1"/>
      <c r="BP1793" s="1"/>
      <c r="BQ1793" s="1"/>
      <c r="BR1793" s="1"/>
      <c r="BS1793" s="1"/>
      <c r="BT1793" s="1"/>
      <c r="BU1793" s="1"/>
      <c r="BV1793" s="1"/>
      <c r="BW1793" s="1"/>
      <c r="BX1793" s="1"/>
      <c r="BY1793" s="1"/>
      <c r="BZ1793" s="1"/>
      <c r="CA1793" s="1"/>
      <c r="CB1793" s="1"/>
      <c r="CC1793" s="1"/>
      <c r="CD1793" s="1"/>
      <c r="CE1793" s="1"/>
      <c r="CF1793" s="1"/>
      <c r="CG1793" s="1"/>
      <c r="CH1793" s="1"/>
      <c r="CI1793" s="1"/>
      <c r="CJ1793" s="1"/>
      <c r="CK1793" s="1"/>
      <c r="CL1793" s="1"/>
      <c r="CM1793" s="1"/>
      <c r="CN1793" s="1"/>
      <c r="CO1793" s="1"/>
      <c r="CP1793" s="1"/>
      <c r="CQ1793" s="1"/>
      <c r="CR1793" s="1"/>
      <c r="CS1793" s="1"/>
      <c r="CT1793" s="1"/>
      <c r="CU1793" s="1"/>
      <c r="CV1793" s="1"/>
      <c r="CW1793" s="1"/>
      <c r="CX1793" s="1"/>
      <c r="CY1793" s="1"/>
      <c r="CZ1793" s="1"/>
      <c r="DA1793" s="1"/>
      <c r="DB1793" s="1"/>
      <c r="DC1793" s="1"/>
    </row>
    <row r="1794" spans="1:107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  <c r="AS1794" s="1"/>
      <c r="AT1794" s="1"/>
      <c r="AU1794" s="1"/>
      <c r="AV1794" s="1"/>
      <c r="AW1794" s="1"/>
      <c r="AX1794" s="1"/>
      <c r="AY1794" s="1"/>
      <c r="AZ1794" s="1"/>
      <c r="BA1794" s="1"/>
      <c r="BB1794" s="1"/>
      <c r="BC1794" s="1"/>
      <c r="BD1794" s="1"/>
      <c r="BE1794" s="1"/>
      <c r="BF1794" s="1"/>
      <c r="BG1794" s="1"/>
      <c r="BH1794" s="1"/>
      <c r="BI1794" s="1"/>
      <c r="BJ1794" s="1"/>
      <c r="BK1794" s="1"/>
      <c r="BL1794" s="1"/>
      <c r="BM1794" s="1"/>
      <c r="BN1794" s="1"/>
      <c r="BO1794" s="1"/>
      <c r="BP1794" s="1"/>
      <c r="BQ1794" s="1"/>
      <c r="BR1794" s="1"/>
      <c r="BS1794" s="1"/>
      <c r="BT1794" s="1"/>
      <c r="BU1794" s="1"/>
      <c r="BV1794" s="1"/>
      <c r="BW1794" s="1"/>
      <c r="BX1794" s="1"/>
      <c r="BY1794" s="1"/>
      <c r="BZ1794" s="1"/>
      <c r="CA1794" s="1"/>
      <c r="CB1794" s="1"/>
      <c r="CC1794" s="1"/>
      <c r="CD1794" s="1"/>
      <c r="CE1794" s="1"/>
      <c r="CF1794" s="1"/>
      <c r="CG1794" s="1"/>
      <c r="CH1794" s="1"/>
      <c r="CI1794" s="1"/>
      <c r="CJ1794" s="1"/>
      <c r="CK1794" s="1"/>
      <c r="CL1794" s="1"/>
      <c r="CM1794" s="1"/>
      <c r="CN1794" s="1"/>
      <c r="CO1794" s="1"/>
      <c r="CP1794" s="1"/>
      <c r="CQ1794" s="1"/>
      <c r="CR1794" s="1"/>
      <c r="CS1794" s="1"/>
      <c r="CT1794" s="1"/>
      <c r="CU1794" s="1"/>
      <c r="CV1794" s="1"/>
      <c r="CW1794" s="1"/>
      <c r="CX1794" s="1"/>
      <c r="CY1794" s="1"/>
      <c r="CZ1794" s="1"/>
      <c r="DA1794" s="1"/>
      <c r="DB1794" s="1"/>
      <c r="DC1794" s="1"/>
    </row>
    <row r="1795" spans="1:107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/>
      <c r="AW1795" s="1"/>
      <c r="AX1795" s="1"/>
      <c r="AY1795" s="1"/>
      <c r="AZ1795" s="1"/>
      <c r="BA1795" s="1"/>
      <c r="BB1795" s="1"/>
      <c r="BC1795" s="1"/>
      <c r="BD1795" s="1"/>
      <c r="BE1795" s="1"/>
      <c r="BF1795" s="1"/>
      <c r="BG1795" s="1"/>
      <c r="BH1795" s="1"/>
      <c r="BI1795" s="1"/>
      <c r="BJ1795" s="1"/>
      <c r="BK1795" s="1"/>
      <c r="BL1795" s="1"/>
      <c r="BM1795" s="1"/>
      <c r="BN1795" s="1"/>
      <c r="BO1795" s="1"/>
      <c r="BP1795" s="1"/>
      <c r="BQ1795" s="1"/>
      <c r="BR1795" s="1"/>
      <c r="BS1795" s="1"/>
      <c r="BT1795" s="1"/>
      <c r="BU1795" s="1"/>
      <c r="BV1795" s="1"/>
      <c r="BW1795" s="1"/>
      <c r="BX1795" s="1"/>
      <c r="BY1795" s="1"/>
      <c r="BZ1795" s="1"/>
      <c r="CA1795" s="1"/>
      <c r="CB1795" s="1"/>
      <c r="CC1795" s="1"/>
      <c r="CD1795" s="1"/>
      <c r="CE1795" s="1"/>
      <c r="CF1795" s="1"/>
      <c r="CG1795" s="1"/>
      <c r="CH1795" s="1"/>
      <c r="CI1795" s="1"/>
      <c r="CJ1795" s="1"/>
      <c r="CK1795" s="1"/>
      <c r="CL1795" s="1"/>
      <c r="CM1795" s="1"/>
      <c r="CN1795" s="1"/>
      <c r="CO1795" s="1"/>
      <c r="CP1795" s="1"/>
      <c r="CQ1795" s="1"/>
      <c r="CR1795" s="1"/>
      <c r="CS1795" s="1"/>
      <c r="CT1795" s="1"/>
      <c r="CU1795" s="1"/>
      <c r="CV1795" s="1"/>
      <c r="CW1795" s="1"/>
      <c r="CX1795" s="1"/>
      <c r="CY1795" s="1"/>
      <c r="CZ1795" s="1"/>
      <c r="DA1795" s="1"/>
      <c r="DB1795" s="1"/>
      <c r="DC1795" s="1"/>
    </row>
    <row r="1796" spans="1:107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  <c r="AS1796" s="1"/>
      <c r="AT1796" s="1"/>
      <c r="AU1796" s="1"/>
      <c r="AV1796" s="1"/>
      <c r="AW1796" s="1"/>
      <c r="AX1796" s="1"/>
      <c r="AY1796" s="1"/>
      <c r="AZ1796" s="1"/>
      <c r="BA1796" s="1"/>
      <c r="BB1796" s="1"/>
      <c r="BC1796" s="1"/>
      <c r="BD1796" s="1"/>
      <c r="BE1796" s="1"/>
      <c r="BF1796" s="1"/>
      <c r="BG1796" s="1"/>
      <c r="BH1796" s="1"/>
      <c r="BI1796" s="1"/>
      <c r="BJ1796" s="1"/>
      <c r="BK1796" s="1"/>
      <c r="BL1796" s="1"/>
      <c r="BM1796" s="1"/>
      <c r="BN1796" s="1"/>
      <c r="BO1796" s="1"/>
      <c r="BP1796" s="1"/>
      <c r="BQ1796" s="1"/>
      <c r="BR1796" s="1"/>
      <c r="BS1796" s="1"/>
      <c r="BT1796" s="1"/>
      <c r="BU1796" s="1"/>
      <c r="BV1796" s="1"/>
      <c r="BW1796" s="1"/>
      <c r="BX1796" s="1"/>
      <c r="BY1796" s="1"/>
      <c r="BZ1796" s="1"/>
      <c r="CA1796" s="1"/>
      <c r="CB1796" s="1"/>
      <c r="CC1796" s="1"/>
      <c r="CD1796" s="1"/>
      <c r="CE1796" s="1"/>
      <c r="CF1796" s="1"/>
      <c r="CG1796" s="1"/>
      <c r="CH1796" s="1"/>
      <c r="CI1796" s="1"/>
      <c r="CJ1796" s="1"/>
      <c r="CK1796" s="1"/>
      <c r="CL1796" s="1"/>
      <c r="CM1796" s="1"/>
      <c r="CN1796" s="1"/>
      <c r="CO1796" s="1"/>
      <c r="CP1796" s="1"/>
      <c r="CQ1796" s="1"/>
      <c r="CR1796" s="1"/>
      <c r="CS1796" s="1"/>
      <c r="CT1796" s="1"/>
      <c r="CU1796" s="1"/>
      <c r="CV1796" s="1"/>
      <c r="CW1796" s="1"/>
      <c r="CX1796" s="1"/>
      <c r="CY1796" s="1"/>
      <c r="CZ1796" s="1"/>
      <c r="DA1796" s="1"/>
      <c r="DB1796" s="1"/>
      <c r="DC1796" s="1"/>
    </row>
    <row r="1797" spans="1:107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  <c r="AU1797" s="1"/>
      <c r="AV1797" s="1"/>
      <c r="AW1797" s="1"/>
      <c r="AX1797" s="1"/>
      <c r="AY1797" s="1"/>
      <c r="AZ1797" s="1"/>
      <c r="BA1797" s="1"/>
      <c r="BB1797" s="1"/>
      <c r="BC1797" s="1"/>
      <c r="BD1797" s="1"/>
      <c r="BE1797" s="1"/>
      <c r="BF1797" s="1"/>
      <c r="BG1797" s="1"/>
      <c r="BH1797" s="1"/>
      <c r="BI1797" s="1"/>
      <c r="BJ1797" s="1"/>
      <c r="BK1797" s="1"/>
      <c r="BL1797" s="1"/>
      <c r="BM1797" s="1"/>
      <c r="BN1797" s="1"/>
      <c r="BO1797" s="1"/>
      <c r="BP1797" s="1"/>
      <c r="BQ1797" s="1"/>
      <c r="BR1797" s="1"/>
      <c r="BS1797" s="1"/>
      <c r="BT1797" s="1"/>
      <c r="BU1797" s="1"/>
      <c r="BV1797" s="1"/>
      <c r="BW1797" s="1"/>
      <c r="BX1797" s="1"/>
      <c r="BY1797" s="1"/>
      <c r="BZ1797" s="1"/>
      <c r="CA1797" s="1"/>
      <c r="CB1797" s="1"/>
      <c r="CC1797" s="1"/>
      <c r="CD1797" s="1"/>
      <c r="CE1797" s="1"/>
      <c r="CF1797" s="1"/>
      <c r="CG1797" s="1"/>
      <c r="CH1797" s="1"/>
      <c r="CI1797" s="1"/>
      <c r="CJ1797" s="1"/>
      <c r="CK1797" s="1"/>
      <c r="CL1797" s="1"/>
      <c r="CM1797" s="1"/>
      <c r="CN1797" s="1"/>
      <c r="CO1797" s="1"/>
      <c r="CP1797" s="1"/>
      <c r="CQ1797" s="1"/>
      <c r="CR1797" s="1"/>
      <c r="CS1797" s="1"/>
      <c r="CT1797" s="1"/>
      <c r="CU1797" s="1"/>
      <c r="CV1797" s="1"/>
      <c r="CW1797" s="1"/>
      <c r="CX1797" s="1"/>
      <c r="CY1797" s="1"/>
      <c r="CZ1797" s="1"/>
      <c r="DA1797" s="1"/>
      <c r="DB1797" s="1"/>
      <c r="DC1797" s="1"/>
    </row>
    <row r="1798" spans="1:107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  <c r="AP1798" s="1"/>
      <c r="AQ1798" s="1"/>
      <c r="AR1798" s="1"/>
      <c r="AS1798" s="1"/>
      <c r="AT1798" s="1"/>
      <c r="AU1798" s="1"/>
      <c r="AV1798" s="1"/>
      <c r="AW1798" s="1"/>
      <c r="AX1798" s="1"/>
      <c r="AY1798" s="1"/>
      <c r="AZ1798" s="1"/>
      <c r="BA1798" s="1"/>
      <c r="BB1798" s="1"/>
      <c r="BC1798" s="1"/>
      <c r="BD1798" s="1"/>
      <c r="BE1798" s="1"/>
      <c r="BF1798" s="1"/>
      <c r="BG1798" s="1"/>
      <c r="BH1798" s="1"/>
      <c r="BI1798" s="1"/>
      <c r="BJ1798" s="1"/>
      <c r="BK1798" s="1"/>
      <c r="BL1798" s="1"/>
      <c r="BM1798" s="1"/>
      <c r="BN1798" s="1"/>
      <c r="BO1798" s="1"/>
      <c r="BP1798" s="1"/>
      <c r="BQ1798" s="1"/>
      <c r="BR1798" s="1"/>
      <c r="BS1798" s="1"/>
      <c r="BT1798" s="1"/>
      <c r="BU1798" s="1"/>
      <c r="BV1798" s="1"/>
      <c r="BW1798" s="1"/>
      <c r="BX1798" s="1"/>
      <c r="BY1798" s="1"/>
      <c r="BZ1798" s="1"/>
      <c r="CA1798" s="1"/>
      <c r="CB1798" s="1"/>
      <c r="CC1798" s="1"/>
      <c r="CD1798" s="1"/>
      <c r="CE1798" s="1"/>
      <c r="CF1798" s="1"/>
      <c r="CG1798" s="1"/>
      <c r="CH1798" s="1"/>
      <c r="CI1798" s="1"/>
      <c r="CJ1798" s="1"/>
      <c r="CK1798" s="1"/>
      <c r="CL1798" s="1"/>
      <c r="CM1798" s="1"/>
      <c r="CN1798" s="1"/>
      <c r="CO1798" s="1"/>
      <c r="CP1798" s="1"/>
      <c r="CQ1798" s="1"/>
      <c r="CR1798" s="1"/>
      <c r="CS1798" s="1"/>
      <c r="CT1798" s="1"/>
      <c r="CU1798" s="1"/>
      <c r="CV1798" s="1"/>
      <c r="CW1798" s="1"/>
      <c r="CX1798" s="1"/>
      <c r="CY1798" s="1"/>
      <c r="CZ1798" s="1"/>
      <c r="DA1798" s="1"/>
      <c r="DB1798" s="1"/>
      <c r="DC1798" s="1"/>
    </row>
    <row r="1799" spans="1:107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  <c r="AS1799" s="1"/>
      <c r="AT1799" s="1"/>
      <c r="AU1799" s="1"/>
      <c r="AV1799" s="1"/>
      <c r="AW1799" s="1"/>
      <c r="AX1799" s="1"/>
      <c r="AY1799" s="1"/>
      <c r="AZ1799" s="1"/>
      <c r="BA1799" s="1"/>
      <c r="BB1799" s="1"/>
      <c r="BC1799" s="1"/>
      <c r="BD1799" s="1"/>
      <c r="BE1799" s="1"/>
      <c r="BF1799" s="1"/>
      <c r="BG1799" s="1"/>
      <c r="BH1799" s="1"/>
      <c r="BI1799" s="1"/>
      <c r="BJ1799" s="1"/>
      <c r="BK1799" s="1"/>
      <c r="BL1799" s="1"/>
      <c r="BM1799" s="1"/>
      <c r="BN1799" s="1"/>
      <c r="BO1799" s="1"/>
      <c r="BP1799" s="1"/>
      <c r="BQ1799" s="1"/>
      <c r="BR1799" s="1"/>
      <c r="BS1799" s="1"/>
      <c r="BT1799" s="1"/>
      <c r="BU1799" s="1"/>
      <c r="BV1799" s="1"/>
      <c r="BW1799" s="1"/>
      <c r="BX1799" s="1"/>
      <c r="BY1799" s="1"/>
      <c r="BZ1799" s="1"/>
      <c r="CA1799" s="1"/>
      <c r="CB1799" s="1"/>
      <c r="CC1799" s="1"/>
      <c r="CD1799" s="1"/>
      <c r="CE1799" s="1"/>
      <c r="CF1799" s="1"/>
      <c r="CG1799" s="1"/>
      <c r="CH1799" s="1"/>
      <c r="CI1799" s="1"/>
      <c r="CJ1799" s="1"/>
      <c r="CK1799" s="1"/>
      <c r="CL1799" s="1"/>
      <c r="CM1799" s="1"/>
      <c r="CN1799" s="1"/>
      <c r="CO1799" s="1"/>
      <c r="CP1799" s="1"/>
      <c r="CQ1799" s="1"/>
      <c r="CR1799" s="1"/>
      <c r="CS1799" s="1"/>
      <c r="CT1799" s="1"/>
      <c r="CU1799" s="1"/>
      <c r="CV1799" s="1"/>
      <c r="CW1799" s="1"/>
      <c r="CX1799" s="1"/>
      <c r="CY1799" s="1"/>
      <c r="CZ1799" s="1"/>
      <c r="DA1799" s="1"/>
      <c r="DB1799" s="1"/>
      <c r="DC1799" s="1"/>
    </row>
    <row r="1800" spans="1:107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  <c r="AR1800" s="1"/>
      <c r="AS1800" s="1"/>
      <c r="AT1800" s="1"/>
      <c r="AU1800" s="1"/>
      <c r="AV1800" s="1"/>
      <c r="AW1800" s="1"/>
      <c r="AX1800" s="1"/>
      <c r="AY1800" s="1"/>
      <c r="AZ1800" s="1"/>
      <c r="BA1800" s="1"/>
      <c r="BB1800" s="1"/>
      <c r="BC1800" s="1"/>
      <c r="BD1800" s="1"/>
      <c r="BE1800" s="1"/>
      <c r="BF1800" s="1"/>
      <c r="BG1800" s="1"/>
      <c r="BH1800" s="1"/>
      <c r="BI1800" s="1"/>
      <c r="BJ1800" s="1"/>
      <c r="BK1800" s="1"/>
      <c r="BL1800" s="1"/>
      <c r="BM1800" s="1"/>
      <c r="BN1800" s="1"/>
      <c r="BO1800" s="1"/>
      <c r="BP1800" s="1"/>
      <c r="BQ1800" s="1"/>
      <c r="BR1800" s="1"/>
      <c r="BS1800" s="1"/>
      <c r="BT1800" s="1"/>
      <c r="BU1800" s="1"/>
      <c r="BV1800" s="1"/>
      <c r="BW1800" s="1"/>
      <c r="BX1800" s="1"/>
      <c r="BY1800" s="1"/>
      <c r="BZ1800" s="1"/>
      <c r="CA1800" s="1"/>
      <c r="CB1800" s="1"/>
      <c r="CC1800" s="1"/>
      <c r="CD1800" s="1"/>
      <c r="CE1800" s="1"/>
      <c r="CF1800" s="1"/>
      <c r="CG1800" s="1"/>
      <c r="CH1800" s="1"/>
      <c r="CI1800" s="1"/>
      <c r="CJ1800" s="1"/>
      <c r="CK1800" s="1"/>
      <c r="CL1800" s="1"/>
      <c r="CM1800" s="1"/>
      <c r="CN1800" s="1"/>
      <c r="CO1800" s="1"/>
      <c r="CP1800" s="1"/>
      <c r="CQ1800" s="1"/>
      <c r="CR1800" s="1"/>
      <c r="CS1800" s="1"/>
      <c r="CT1800" s="1"/>
      <c r="CU1800" s="1"/>
      <c r="CV1800" s="1"/>
      <c r="CW1800" s="1"/>
      <c r="CX1800" s="1"/>
      <c r="CY1800" s="1"/>
      <c r="CZ1800" s="1"/>
      <c r="DA1800" s="1"/>
      <c r="DB1800" s="1"/>
      <c r="DC1800" s="1"/>
    </row>
    <row r="1801" spans="1:107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  <c r="AS1801" s="1"/>
      <c r="AT1801" s="1"/>
      <c r="AU1801" s="1"/>
      <c r="AV1801" s="1"/>
      <c r="AW1801" s="1"/>
      <c r="AX1801" s="1"/>
      <c r="AY1801" s="1"/>
      <c r="AZ1801" s="1"/>
      <c r="BA1801" s="1"/>
      <c r="BB1801" s="1"/>
      <c r="BC1801" s="1"/>
      <c r="BD1801" s="1"/>
      <c r="BE1801" s="1"/>
      <c r="BF1801" s="1"/>
      <c r="BG1801" s="1"/>
      <c r="BH1801" s="1"/>
      <c r="BI1801" s="1"/>
      <c r="BJ1801" s="1"/>
      <c r="BK1801" s="1"/>
      <c r="BL1801" s="1"/>
      <c r="BM1801" s="1"/>
      <c r="BN1801" s="1"/>
      <c r="BO1801" s="1"/>
      <c r="BP1801" s="1"/>
      <c r="BQ1801" s="1"/>
      <c r="BR1801" s="1"/>
      <c r="BS1801" s="1"/>
      <c r="BT1801" s="1"/>
      <c r="BU1801" s="1"/>
      <c r="BV1801" s="1"/>
      <c r="BW1801" s="1"/>
      <c r="BX1801" s="1"/>
      <c r="BY1801" s="1"/>
      <c r="BZ1801" s="1"/>
      <c r="CA1801" s="1"/>
      <c r="CB1801" s="1"/>
      <c r="CC1801" s="1"/>
      <c r="CD1801" s="1"/>
      <c r="CE1801" s="1"/>
      <c r="CF1801" s="1"/>
      <c r="CG1801" s="1"/>
      <c r="CH1801" s="1"/>
      <c r="CI1801" s="1"/>
      <c r="CJ1801" s="1"/>
      <c r="CK1801" s="1"/>
      <c r="CL1801" s="1"/>
      <c r="CM1801" s="1"/>
      <c r="CN1801" s="1"/>
      <c r="CO1801" s="1"/>
      <c r="CP1801" s="1"/>
      <c r="CQ1801" s="1"/>
      <c r="CR1801" s="1"/>
      <c r="CS1801" s="1"/>
      <c r="CT1801" s="1"/>
      <c r="CU1801" s="1"/>
      <c r="CV1801" s="1"/>
      <c r="CW1801" s="1"/>
      <c r="CX1801" s="1"/>
      <c r="CY1801" s="1"/>
      <c r="CZ1801" s="1"/>
      <c r="DA1801" s="1"/>
      <c r="DB1801" s="1"/>
      <c r="DC1801" s="1"/>
    </row>
    <row r="1802" spans="1:107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  <c r="AP1802" s="1"/>
      <c r="AQ1802" s="1"/>
      <c r="AR1802" s="1"/>
      <c r="AS1802" s="1"/>
      <c r="AT1802" s="1"/>
      <c r="AU1802" s="1"/>
      <c r="AV1802" s="1"/>
      <c r="AW1802" s="1"/>
      <c r="AX1802" s="1"/>
      <c r="AY1802" s="1"/>
      <c r="AZ1802" s="1"/>
      <c r="BA1802" s="1"/>
      <c r="BB1802" s="1"/>
      <c r="BC1802" s="1"/>
      <c r="BD1802" s="1"/>
      <c r="BE1802" s="1"/>
      <c r="BF1802" s="1"/>
      <c r="BG1802" s="1"/>
      <c r="BH1802" s="1"/>
      <c r="BI1802" s="1"/>
      <c r="BJ1802" s="1"/>
      <c r="BK1802" s="1"/>
      <c r="BL1802" s="1"/>
      <c r="BM1802" s="1"/>
      <c r="BN1802" s="1"/>
      <c r="BO1802" s="1"/>
      <c r="BP1802" s="1"/>
      <c r="BQ1802" s="1"/>
      <c r="BR1802" s="1"/>
      <c r="BS1802" s="1"/>
      <c r="BT1802" s="1"/>
      <c r="BU1802" s="1"/>
      <c r="BV1802" s="1"/>
      <c r="BW1802" s="1"/>
      <c r="BX1802" s="1"/>
      <c r="BY1802" s="1"/>
      <c r="BZ1802" s="1"/>
      <c r="CA1802" s="1"/>
      <c r="CB1802" s="1"/>
      <c r="CC1802" s="1"/>
      <c r="CD1802" s="1"/>
      <c r="CE1802" s="1"/>
      <c r="CF1802" s="1"/>
      <c r="CG1802" s="1"/>
      <c r="CH1802" s="1"/>
      <c r="CI1802" s="1"/>
      <c r="CJ1802" s="1"/>
      <c r="CK1802" s="1"/>
      <c r="CL1802" s="1"/>
      <c r="CM1802" s="1"/>
      <c r="CN1802" s="1"/>
      <c r="CO1802" s="1"/>
      <c r="CP1802" s="1"/>
      <c r="CQ1802" s="1"/>
      <c r="CR1802" s="1"/>
      <c r="CS1802" s="1"/>
      <c r="CT1802" s="1"/>
      <c r="CU1802" s="1"/>
      <c r="CV1802" s="1"/>
      <c r="CW1802" s="1"/>
      <c r="CX1802" s="1"/>
      <c r="CY1802" s="1"/>
      <c r="CZ1802" s="1"/>
      <c r="DA1802" s="1"/>
      <c r="DB1802" s="1"/>
      <c r="DC1802" s="1"/>
    </row>
    <row r="1803" spans="1:107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  <c r="AS1803" s="1"/>
      <c r="AT1803" s="1"/>
      <c r="AU1803" s="1"/>
      <c r="AV1803" s="1"/>
      <c r="AW1803" s="1"/>
      <c r="AX1803" s="1"/>
      <c r="AY1803" s="1"/>
      <c r="AZ1803" s="1"/>
      <c r="BA1803" s="1"/>
      <c r="BB1803" s="1"/>
      <c r="BC1803" s="1"/>
      <c r="BD1803" s="1"/>
      <c r="BE1803" s="1"/>
      <c r="BF1803" s="1"/>
      <c r="BG1803" s="1"/>
      <c r="BH1803" s="1"/>
      <c r="BI1803" s="1"/>
      <c r="BJ1803" s="1"/>
      <c r="BK1803" s="1"/>
      <c r="BL1803" s="1"/>
      <c r="BM1803" s="1"/>
      <c r="BN1803" s="1"/>
      <c r="BO1803" s="1"/>
      <c r="BP1803" s="1"/>
      <c r="BQ1803" s="1"/>
      <c r="BR1803" s="1"/>
      <c r="BS1803" s="1"/>
      <c r="BT1803" s="1"/>
      <c r="BU1803" s="1"/>
      <c r="BV1803" s="1"/>
      <c r="BW1803" s="1"/>
      <c r="BX1803" s="1"/>
      <c r="BY1803" s="1"/>
      <c r="BZ1803" s="1"/>
      <c r="CA1803" s="1"/>
      <c r="CB1803" s="1"/>
      <c r="CC1803" s="1"/>
      <c r="CD1803" s="1"/>
      <c r="CE1803" s="1"/>
      <c r="CF1803" s="1"/>
      <c r="CG1803" s="1"/>
      <c r="CH1803" s="1"/>
      <c r="CI1803" s="1"/>
      <c r="CJ1803" s="1"/>
      <c r="CK1803" s="1"/>
      <c r="CL1803" s="1"/>
      <c r="CM1803" s="1"/>
      <c r="CN1803" s="1"/>
      <c r="CO1803" s="1"/>
      <c r="CP1803" s="1"/>
      <c r="CQ1803" s="1"/>
      <c r="CR1803" s="1"/>
      <c r="CS1803" s="1"/>
      <c r="CT1803" s="1"/>
      <c r="CU1803" s="1"/>
      <c r="CV1803" s="1"/>
      <c r="CW1803" s="1"/>
      <c r="CX1803" s="1"/>
      <c r="CY1803" s="1"/>
      <c r="CZ1803" s="1"/>
      <c r="DA1803" s="1"/>
      <c r="DB1803" s="1"/>
      <c r="DC1803" s="1"/>
    </row>
    <row r="1804" spans="1:107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1"/>
      <c r="AQ1804" s="1"/>
      <c r="AR1804" s="1"/>
      <c r="AS1804" s="1"/>
      <c r="AT1804" s="1"/>
      <c r="AU1804" s="1"/>
      <c r="AV1804" s="1"/>
      <c r="AW1804" s="1"/>
      <c r="AX1804" s="1"/>
      <c r="AY1804" s="1"/>
      <c r="AZ1804" s="1"/>
      <c r="BA1804" s="1"/>
      <c r="BB1804" s="1"/>
      <c r="BC1804" s="1"/>
      <c r="BD1804" s="1"/>
      <c r="BE1804" s="1"/>
      <c r="BF1804" s="1"/>
      <c r="BG1804" s="1"/>
      <c r="BH1804" s="1"/>
      <c r="BI1804" s="1"/>
      <c r="BJ1804" s="1"/>
      <c r="BK1804" s="1"/>
      <c r="BL1804" s="1"/>
      <c r="BM1804" s="1"/>
      <c r="BN1804" s="1"/>
      <c r="BO1804" s="1"/>
      <c r="BP1804" s="1"/>
      <c r="BQ1804" s="1"/>
      <c r="BR1804" s="1"/>
      <c r="BS1804" s="1"/>
      <c r="BT1804" s="1"/>
      <c r="BU1804" s="1"/>
      <c r="BV1804" s="1"/>
      <c r="BW1804" s="1"/>
      <c r="BX1804" s="1"/>
      <c r="BY1804" s="1"/>
      <c r="BZ1804" s="1"/>
      <c r="CA1804" s="1"/>
      <c r="CB1804" s="1"/>
      <c r="CC1804" s="1"/>
      <c r="CD1804" s="1"/>
      <c r="CE1804" s="1"/>
      <c r="CF1804" s="1"/>
      <c r="CG1804" s="1"/>
      <c r="CH1804" s="1"/>
      <c r="CI1804" s="1"/>
      <c r="CJ1804" s="1"/>
      <c r="CK1804" s="1"/>
      <c r="CL1804" s="1"/>
      <c r="CM1804" s="1"/>
      <c r="CN1804" s="1"/>
      <c r="CO1804" s="1"/>
      <c r="CP1804" s="1"/>
      <c r="CQ1804" s="1"/>
      <c r="CR1804" s="1"/>
      <c r="CS1804" s="1"/>
      <c r="CT1804" s="1"/>
      <c r="CU1804" s="1"/>
      <c r="CV1804" s="1"/>
      <c r="CW1804" s="1"/>
      <c r="CX1804" s="1"/>
      <c r="CY1804" s="1"/>
      <c r="CZ1804" s="1"/>
      <c r="DA1804" s="1"/>
      <c r="DB1804" s="1"/>
      <c r="DC1804" s="1"/>
    </row>
    <row r="1805" spans="1:107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S1805" s="1"/>
      <c r="AT1805" s="1"/>
      <c r="AU1805" s="1"/>
      <c r="AV1805" s="1"/>
      <c r="AW1805" s="1"/>
      <c r="AX1805" s="1"/>
      <c r="AY1805" s="1"/>
      <c r="AZ1805" s="1"/>
      <c r="BA1805" s="1"/>
      <c r="BB1805" s="1"/>
      <c r="BC1805" s="1"/>
      <c r="BD1805" s="1"/>
      <c r="BE1805" s="1"/>
      <c r="BF1805" s="1"/>
      <c r="BG1805" s="1"/>
      <c r="BH1805" s="1"/>
      <c r="BI1805" s="1"/>
      <c r="BJ1805" s="1"/>
      <c r="BK1805" s="1"/>
      <c r="BL1805" s="1"/>
      <c r="BM1805" s="1"/>
      <c r="BN1805" s="1"/>
      <c r="BO1805" s="1"/>
      <c r="BP1805" s="1"/>
      <c r="BQ1805" s="1"/>
      <c r="BR1805" s="1"/>
      <c r="BS1805" s="1"/>
      <c r="BT1805" s="1"/>
      <c r="BU1805" s="1"/>
      <c r="BV1805" s="1"/>
      <c r="BW1805" s="1"/>
      <c r="BX1805" s="1"/>
      <c r="BY1805" s="1"/>
      <c r="BZ1805" s="1"/>
      <c r="CA1805" s="1"/>
      <c r="CB1805" s="1"/>
      <c r="CC1805" s="1"/>
      <c r="CD1805" s="1"/>
      <c r="CE1805" s="1"/>
      <c r="CF1805" s="1"/>
      <c r="CG1805" s="1"/>
      <c r="CH1805" s="1"/>
      <c r="CI1805" s="1"/>
      <c r="CJ1805" s="1"/>
      <c r="CK1805" s="1"/>
      <c r="CL1805" s="1"/>
      <c r="CM1805" s="1"/>
      <c r="CN1805" s="1"/>
      <c r="CO1805" s="1"/>
      <c r="CP1805" s="1"/>
      <c r="CQ1805" s="1"/>
      <c r="CR1805" s="1"/>
      <c r="CS1805" s="1"/>
      <c r="CT1805" s="1"/>
      <c r="CU1805" s="1"/>
      <c r="CV1805" s="1"/>
      <c r="CW1805" s="1"/>
      <c r="CX1805" s="1"/>
      <c r="CY1805" s="1"/>
      <c r="CZ1805" s="1"/>
      <c r="DA1805" s="1"/>
      <c r="DB1805" s="1"/>
      <c r="DC1805" s="1"/>
    </row>
    <row r="1806" spans="1:107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  <c r="AS1806" s="1"/>
      <c r="AT1806" s="1"/>
      <c r="AU1806" s="1"/>
      <c r="AV1806" s="1"/>
      <c r="AW1806" s="1"/>
      <c r="AX1806" s="1"/>
      <c r="AY1806" s="1"/>
      <c r="AZ1806" s="1"/>
      <c r="BA1806" s="1"/>
      <c r="BB1806" s="1"/>
      <c r="BC1806" s="1"/>
      <c r="BD1806" s="1"/>
      <c r="BE1806" s="1"/>
      <c r="BF1806" s="1"/>
      <c r="BG1806" s="1"/>
      <c r="BH1806" s="1"/>
      <c r="BI1806" s="1"/>
      <c r="BJ1806" s="1"/>
      <c r="BK1806" s="1"/>
      <c r="BL1806" s="1"/>
      <c r="BM1806" s="1"/>
      <c r="BN1806" s="1"/>
      <c r="BO1806" s="1"/>
      <c r="BP1806" s="1"/>
      <c r="BQ1806" s="1"/>
      <c r="BR1806" s="1"/>
      <c r="BS1806" s="1"/>
      <c r="BT1806" s="1"/>
      <c r="BU1806" s="1"/>
      <c r="BV1806" s="1"/>
      <c r="BW1806" s="1"/>
      <c r="BX1806" s="1"/>
      <c r="BY1806" s="1"/>
      <c r="BZ1806" s="1"/>
      <c r="CA1806" s="1"/>
      <c r="CB1806" s="1"/>
      <c r="CC1806" s="1"/>
      <c r="CD1806" s="1"/>
      <c r="CE1806" s="1"/>
      <c r="CF1806" s="1"/>
      <c r="CG1806" s="1"/>
      <c r="CH1806" s="1"/>
      <c r="CI1806" s="1"/>
      <c r="CJ1806" s="1"/>
      <c r="CK1806" s="1"/>
      <c r="CL1806" s="1"/>
      <c r="CM1806" s="1"/>
      <c r="CN1806" s="1"/>
      <c r="CO1806" s="1"/>
      <c r="CP1806" s="1"/>
      <c r="CQ1806" s="1"/>
      <c r="CR1806" s="1"/>
      <c r="CS1806" s="1"/>
      <c r="CT1806" s="1"/>
      <c r="CU1806" s="1"/>
      <c r="CV1806" s="1"/>
      <c r="CW1806" s="1"/>
      <c r="CX1806" s="1"/>
      <c r="CY1806" s="1"/>
      <c r="CZ1806" s="1"/>
      <c r="DA1806" s="1"/>
      <c r="DB1806" s="1"/>
      <c r="DC1806" s="1"/>
    </row>
    <row r="1807" spans="1:107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  <c r="AS1807" s="1"/>
      <c r="AT1807" s="1"/>
      <c r="AU1807" s="1"/>
      <c r="AV1807" s="1"/>
      <c r="AW1807" s="1"/>
      <c r="AX1807" s="1"/>
      <c r="AY1807" s="1"/>
      <c r="AZ1807" s="1"/>
      <c r="BA1807" s="1"/>
      <c r="BB1807" s="1"/>
      <c r="BC1807" s="1"/>
      <c r="BD1807" s="1"/>
      <c r="BE1807" s="1"/>
      <c r="BF1807" s="1"/>
      <c r="BG1807" s="1"/>
      <c r="BH1807" s="1"/>
      <c r="BI1807" s="1"/>
      <c r="BJ1807" s="1"/>
      <c r="BK1807" s="1"/>
      <c r="BL1807" s="1"/>
      <c r="BM1807" s="1"/>
      <c r="BN1807" s="1"/>
      <c r="BO1807" s="1"/>
      <c r="BP1807" s="1"/>
      <c r="BQ1807" s="1"/>
      <c r="BR1807" s="1"/>
      <c r="BS1807" s="1"/>
      <c r="BT1807" s="1"/>
      <c r="BU1807" s="1"/>
      <c r="BV1807" s="1"/>
      <c r="BW1807" s="1"/>
      <c r="BX1807" s="1"/>
      <c r="BY1807" s="1"/>
      <c r="BZ1807" s="1"/>
      <c r="CA1807" s="1"/>
      <c r="CB1807" s="1"/>
      <c r="CC1807" s="1"/>
      <c r="CD1807" s="1"/>
      <c r="CE1807" s="1"/>
      <c r="CF1807" s="1"/>
      <c r="CG1807" s="1"/>
      <c r="CH1807" s="1"/>
      <c r="CI1807" s="1"/>
      <c r="CJ1807" s="1"/>
      <c r="CK1807" s="1"/>
      <c r="CL1807" s="1"/>
      <c r="CM1807" s="1"/>
      <c r="CN1807" s="1"/>
      <c r="CO1807" s="1"/>
      <c r="CP1807" s="1"/>
      <c r="CQ1807" s="1"/>
      <c r="CR1807" s="1"/>
      <c r="CS1807" s="1"/>
      <c r="CT1807" s="1"/>
      <c r="CU1807" s="1"/>
      <c r="CV1807" s="1"/>
      <c r="CW1807" s="1"/>
      <c r="CX1807" s="1"/>
      <c r="CY1807" s="1"/>
      <c r="CZ1807" s="1"/>
      <c r="DA1807" s="1"/>
      <c r="DB1807" s="1"/>
      <c r="DC1807" s="1"/>
    </row>
    <row r="1808" spans="1:107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  <c r="AP1808" s="1"/>
      <c r="AQ1808" s="1"/>
      <c r="AR1808" s="1"/>
      <c r="AS1808" s="1"/>
      <c r="AT1808" s="1"/>
      <c r="AU1808" s="1"/>
      <c r="AV1808" s="1"/>
      <c r="AW1808" s="1"/>
      <c r="AX1808" s="1"/>
      <c r="AY1808" s="1"/>
      <c r="AZ1808" s="1"/>
      <c r="BA1808" s="1"/>
      <c r="BB1808" s="1"/>
      <c r="BC1808" s="1"/>
      <c r="BD1808" s="1"/>
      <c r="BE1808" s="1"/>
      <c r="BF1808" s="1"/>
      <c r="BG1808" s="1"/>
      <c r="BH1808" s="1"/>
      <c r="BI1808" s="1"/>
      <c r="BJ1808" s="1"/>
      <c r="BK1808" s="1"/>
      <c r="BL1808" s="1"/>
      <c r="BM1808" s="1"/>
      <c r="BN1808" s="1"/>
      <c r="BO1808" s="1"/>
      <c r="BP1808" s="1"/>
      <c r="BQ1808" s="1"/>
      <c r="BR1808" s="1"/>
      <c r="BS1808" s="1"/>
      <c r="BT1808" s="1"/>
      <c r="BU1808" s="1"/>
      <c r="BV1808" s="1"/>
      <c r="BW1808" s="1"/>
      <c r="BX1808" s="1"/>
      <c r="BY1808" s="1"/>
      <c r="BZ1808" s="1"/>
      <c r="CA1808" s="1"/>
      <c r="CB1808" s="1"/>
      <c r="CC1808" s="1"/>
      <c r="CD1808" s="1"/>
      <c r="CE1808" s="1"/>
      <c r="CF1808" s="1"/>
      <c r="CG1808" s="1"/>
      <c r="CH1808" s="1"/>
      <c r="CI1808" s="1"/>
      <c r="CJ1808" s="1"/>
      <c r="CK1808" s="1"/>
      <c r="CL1808" s="1"/>
      <c r="CM1808" s="1"/>
      <c r="CN1808" s="1"/>
      <c r="CO1808" s="1"/>
      <c r="CP1808" s="1"/>
      <c r="CQ1808" s="1"/>
      <c r="CR1808" s="1"/>
      <c r="CS1808" s="1"/>
      <c r="CT1808" s="1"/>
      <c r="CU1808" s="1"/>
      <c r="CV1808" s="1"/>
      <c r="CW1808" s="1"/>
      <c r="CX1808" s="1"/>
      <c r="CY1808" s="1"/>
      <c r="CZ1808" s="1"/>
      <c r="DA1808" s="1"/>
      <c r="DB1808" s="1"/>
      <c r="DC1808" s="1"/>
    </row>
    <row r="1809" spans="1:107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  <c r="AS1809" s="1"/>
      <c r="AT1809" s="1"/>
      <c r="AU1809" s="1"/>
      <c r="AV1809" s="1"/>
      <c r="AW1809" s="1"/>
      <c r="AX1809" s="1"/>
      <c r="AY1809" s="1"/>
      <c r="AZ1809" s="1"/>
      <c r="BA1809" s="1"/>
      <c r="BB1809" s="1"/>
      <c r="BC1809" s="1"/>
      <c r="BD1809" s="1"/>
      <c r="BE1809" s="1"/>
      <c r="BF1809" s="1"/>
      <c r="BG1809" s="1"/>
      <c r="BH1809" s="1"/>
      <c r="BI1809" s="1"/>
      <c r="BJ1809" s="1"/>
      <c r="BK1809" s="1"/>
      <c r="BL1809" s="1"/>
      <c r="BM1809" s="1"/>
      <c r="BN1809" s="1"/>
      <c r="BO1809" s="1"/>
      <c r="BP1809" s="1"/>
      <c r="BQ1809" s="1"/>
      <c r="BR1809" s="1"/>
      <c r="BS1809" s="1"/>
      <c r="BT1809" s="1"/>
      <c r="BU1809" s="1"/>
      <c r="BV1809" s="1"/>
      <c r="BW1809" s="1"/>
      <c r="BX1809" s="1"/>
      <c r="BY1809" s="1"/>
      <c r="BZ1809" s="1"/>
      <c r="CA1809" s="1"/>
      <c r="CB1809" s="1"/>
      <c r="CC1809" s="1"/>
      <c r="CD1809" s="1"/>
      <c r="CE1809" s="1"/>
      <c r="CF1809" s="1"/>
      <c r="CG1809" s="1"/>
      <c r="CH1809" s="1"/>
      <c r="CI1809" s="1"/>
      <c r="CJ1809" s="1"/>
      <c r="CK1809" s="1"/>
      <c r="CL1809" s="1"/>
      <c r="CM1809" s="1"/>
      <c r="CN1809" s="1"/>
      <c r="CO1809" s="1"/>
      <c r="CP1809" s="1"/>
      <c r="CQ1809" s="1"/>
      <c r="CR1809" s="1"/>
      <c r="CS1809" s="1"/>
      <c r="CT1809" s="1"/>
      <c r="CU1809" s="1"/>
      <c r="CV1809" s="1"/>
      <c r="CW1809" s="1"/>
      <c r="CX1809" s="1"/>
      <c r="CY1809" s="1"/>
      <c r="CZ1809" s="1"/>
      <c r="DA1809" s="1"/>
      <c r="DB1809" s="1"/>
      <c r="DC1809" s="1"/>
    </row>
    <row r="1810" spans="1:107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  <c r="AS1810" s="1"/>
      <c r="AT1810" s="1"/>
      <c r="AU1810" s="1"/>
      <c r="AV1810" s="1"/>
      <c r="AW1810" s="1"/>
      <c r="AX1810" s="1"/>
      <c r="AY1810" s="1"/>
      <c r="AZ1810" s="1"/>
      <c r="BA1810" s="1"/>
      <c r="BB1810" s="1"/>
      <c r="BC1810" s="1"/>
      <c r="BD1810" s="1"/>
      <c r="BE1810" s="1"/>
      <c r="BF1810" s="1"/>
      <c r="BG1810" s="1"/>
      <c r="BH1810" s="1"/>
      <c r="BI1810" s="1"/>
      <c r="BJ1810" s="1"/>
      <c r="BK1810" s="1"/>
      <c r="BL1810" s="1"/>
      <c r="BM1810" s="1"/>
      <c r="BN1810" s="1"/>
      <c r="BO1810" s="1"/>
      <c r="BP1810" s="1"/>
      <c r="BQ1810" s="1"/>
      <c r="BR1810" s="1"/>
      <c r="BS1810" s="1"/>
      <c r="BT1810" s="1"/>
      <c r="BU1810" s="1"/>
      <c r="BV1810" s="1"/>
      <c r="BW1810" s="1"/>
      <c r="BX1810" s="1"/>
      <c r="BY1810" s="1"/>
      <c r="BZ1810" s="1"/>
      <c r="CA1810" s="1"/>
      <c r="CB1810" s="1"/>
      <c r="CC1810" s="1"/>
      <c r="CD1810" s="1"/>
      <c r="CE1810" s="1"/>
      <c r="CF1810" s="1"/>
      <c r="CG1810" s="1"/>
      <c r="CH1810" s="1"/>
      <c r="CI1810" s="1"/>
      <c r="CJ1810" s="1"/>
      <c r="CK1810" s="1"/>
      <c r="CL1810" s="1"/>
      <c r="CM1810" s="1"/>
      <c r="CN1810" s="1"/>
      <c r="CO1810" s="1"/>
      <c r="CP1810" s="1"/>
      <c r="CQ1810" s="1"/>
      <c r="CR1810" s="1"/>
      <c r="CS1810" s="1"/>
      <c r="CT1810" s="1"/>
      <c r="CU1810" s="1"/>
      <c r="CV1810" s="1"/>
      <c r="CW1810" s="1"/>
      <c r="CX1810" s="1"/>
      <c r="CY1810" s="1"/>
      <c r="CZ1810" s="1"/>
      <c r="DA1810" s="1"/>
      <c r="DB1810" s="1"/>
      <c r="DC1810" s="1"/>
    </row>
    <row r="1811" spans="1:107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  <c r="AR1811" s="1"/>
      <c r="AS1811" s="1"/>
      <c r="AT1811" s="1"/>
      <c r="AU1811" s="1"/>
      <c r="AV1811" s="1"/>
      <c r="AW1811" s="1"/>
      <c r="AX1811" s="1"/>
      <c r="AY1811" s="1"/>
      <c r="AZ1811" s="1"/>
      <c r="BA1811" s="1"/>
      <c r="BB1811" s="1"/>
      <c r="BC1811" s="1"/>
      <c r="BD1811" s="1"/>
      <c r="BE1811" s="1"/>
      <c r="BF1811" s="1"/>
      <c r="BG1811" s="1"/>
      <c r="BH1811" s="1"/>
      <c r="BI1811" s="1"/>
      <c r="BJ1811" s="1"/>
      <c r="BK1811" s="1"/>
      <c r="BL1811" s="1"/>
      <c r="BM1811" s="1"/>
      <c r="BN1811" s="1"/>
      <c r="BO1811" s="1"/>
      <c r="BP1811" s="1"/>
      <c r="BQ1811" s="1"/>
      <c r="BR1811" s="1"/>
      <c r="BS1811" s="1"/>
      <c r="BT1811" s="1"/>
      <c r="BU1811" s="1"/>
      <c r="BV1811" s="1"/>
      <c r="BW1811" s="1"/>
      <c r="BX1811" s="1"/>
      <c r="BY1811" s="1"/>
      <c r="BZ1811" s="1"/>
      <c r="CA1811" s="1"/>
      <c r="CB1811" s="1"/>
      <c r="CC1811" s="1"/>
      <c r="CD1811" s="1"/>
      <c r="CE1811" s="1"/>
      <c r="CF1811" s="1"/>
      <c r="CG1811" s="1"/>
      <c r="CH1811" s="1"/>
      <c r="CI1811" s="1"/>
      <c r="CJ1811" s="1"/>
      <c r="CK1811" s="1"/>
      <c r="CL1811" s="1"/>
      <c r="CM1811" s="1"/>
      <c r="CN1811" s="1"/>
      <c r="CO1811" s="1"/>
      <c r="CP1811" s="1"/>
      <c r="CQ1811" s="1"/>
      <c r="CR1811" s="1"/>
      <c r="CS1811" s="1"/>
      <c r="CT1811" s="1"/>
      <c r="CU1811" s="1"/>
      <c r="CV1811" s="1"/>
      <c r="CW1811" s="1"/>
      <c r="CX1811" s="1"/>
      <c r="CY1811" s="1"/>
      <c r="CZ1811" s="1"/>
      <c r="DA1811" s="1"/>
      <c r="DB1811" s="1"/>
      <c r="DC1811" s="1"/>
    </row>
    <row r="1812" spans="1:107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  <c r="AP1812" s="1"/>
      <c r="AQ1812" s="1"/>
      <c r="AR1812" s="1"/>
      <c r="AS1812" s="1"/>
      <c r="AT1812" s="1"/>
      <c r="AU1812" s="1"/>
      <c r="AV1812" s="1"/>
      <c r="AW1812" s="1"/>
      <c r="AX1812" s="1"/>
      <c r="AY1812" s="1"/>
      <c r="AZ1812" s="1"/>
      <c r="BA1812" s="1"/>
      <c r="BB1812" s="1"/>
      <c r="BC1812" s="1"/>
      <c r="BD1812" s="1"/>
      <c r="BE1812" s="1"/>
      <c r="BF1812" s="1"/>
      <c r="BG1812" s="1"/>
      <c r="BH1812" s="1"/>
      <c r="BI1812" s="1"/>
      <c r="BJ1812" s="1"/>
      <c r="BK1812" s="1"/>
      <c r="BL1812" s="1"/>
      <c r="BM1812" s="1"/>
      <c r="BN1812" s="1"/>
      <c r="BO1812" s="1"/>
      <c r="BP1812" s="1"/>
      <c r="BQ1812" s="1"/>
      <c r="BR1812" s="1"/>
      <c r="BS1812" s="1"/>
      <c r="BT1812" s="1"/>
      <c r="BU1812" s="1"/>
      <c r="BV1812" s="1"/>
      <c r="BW1812" s="1"/>
      <c r="BX1812" s="1"/>
      <c r="BY1812" s="1"/>
      <c r="BZ1812" s="1"/>
      <c r="CA1812" s="1"/>
      <c r="CB1812" s="1"/>
      <c r="CC1812" s="1"/>
      <c r="CD1812" s="1"/>
      <c r="CE1812" s="1"/>
      <c r="CF1812" s="1"/>
      <c r="CG1812" s="1"/>
      <c r="CH1812" s="1"/>
      <c r="CI1812" s="1"/>
      <c r="CJ1812" s="1"/>
      <c r="CK1812" s="1"/>
      <c r="CL1812" s="1"/>
      <c r="CM1812" s="1"/>
      <c r="CN1812" s="1"/>
      <c r="CO1812" s="1"/>
      <c r="CP1812" s="1"/>
      <c r="CQ1812" s="1"/>
      <c r="CR1812" s="1"/>
      <c r="CS1812" s="1"/>
      <c r="CT1812" s="1"/>
      <c r="CU1812" s="1"/>
      <c r="CV1812" s="1"/>
      <c r="CW1812" s="1"/>
      <c r="CX1812" s="1"/>
      <c r="CY1812" s="1"/>
      <c r="CZ1812" s="1"/>
      <c r="DA1812" s="1"/>
      <c r="DB1812" s="1"/>
      <c r="DC1812" s="1"/>
    </row>
    <row r="1813" spans="1:107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  <c r="AS1813" s="1"/>
      <c r="AT1813" s="1"/>
      <c r="AU1813" s="1"/>
      <c r="AV1813" s="1"/>
      <c r="AW1813" s="1"/>
      <c r="AX1813" s="1"/>
      <c r="AY1813" s="1"/>
      <c r="AZ1813" s="1"/>
      <c r="BA1813" s="1"/>
      <c r="BB1813" s="1"/>
      <c r="BC1813" s="1"/>
      <c r="BD1813" s="1"/>
      <c r="BE1813" s="1"/>
      <c r="BF1813" s="1"/>
      <c r="BG1813" s="1"/>
      <c r="BH1813" s="1"/>
      <c r="BI1813" s="1"/>
      <c r="BJ1813" s="1"/>
      <c r="BK1813" s="1"/>
      <c r="BL1813" s="1"/>
      <c r="BM1813" s="1"/>
      <c r="BN1813" s="1"/>
      <c r="BO1813" s="1"/>
      <c r="BP1813" s="1"/>
      <c r="BQ1813" s="1"/>
      <c r="BR1813" s="1"/>
      <c r="BS1813" s="1"/>
      <c r="BT1813" s="1"/>
      <c r="BU1813" s="1"/>
      <c r="BV1813" s="1"/>
      <c r="BW1813" s="1"/>
      <c r="BX1813" s="1"/>
      <c r="BY1813" s="1"/>
      <c r="BZ1813" s="1"/>
      <c r="CA1813" s="1"/>
      <c r="CB1813" s="1"/>
      <c r="CC1813" s="1"/>
      <c r="CD1813" s="1"/>
      <c r="CE1813" s="1"/>
      <c r="CF1813" s="1"/>
      <c r="CG1813" s="1"/>
      <c r="CH1813" s="1"/>
      <c r="CI1813" s="1"/>
      <c r="CJ1813" s="1"/>
      <c r="CK1813" s="1"/>
      <c r="CL1813" s="1"/>
      <c r="CM1813" s="1"/>
      <c r="CN1813" s="1"/>
      <c r="CO1813" s="1"/>
      <c r="CP1813" s="1"/>
      <c r="CQ1813" s="1"/>
      <c r="CR1813" s="1"/>
      <c r="CS1813" s="1"/>
      <c r="CT1813" s="1"/>
      <c r="CU1813" s="1"/>
      <c r="CV1813" s="1"/>
      <c r="CW1813" s="1"/>
      <c r="CX1813" s="1"/>
      <c r="CY1813" s="1"/>
      <c r="CZ1813" s="1"/>
      <c r="DA1813" s="1"/>
      <c r="DB1813" s="1"/>
      <c r="DC1813" s="1"/>
    </row>
    <row r="1814" spans="1:107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  <c r="AP1814" s="1"/>
      <c r="AQ1814" s="1"/>
      <c r="AR1814" s="1"/>
      <c r="AS1814" s="1"/>
      <c r="AT1814" s="1"/>
      <c r="AU1814" s="1"/>
      <c r="AV1814" s="1"/>
      <c r="AW1814" s="1"/>
      <c r="AX1814" s="1"/>
      <c r="AY1814" s="1"/>
      <c r="AZ1814" s="1"/>
      <c r="BA1814" s="1"/>
      <c r="BB1814" s="1"/>
      <c r="BC1814" s="1"/>
      <c r="BD1814" s="1"/>
      <c r="BE1814" s="1"/>
      <c r="BF1814" s="1"/>
      <c r="BG1814" s="1"/>
      <c r="BH1814" s="1"/>
      <c r="BI1814" s="1"/>
      <c r="BJ1814" s="1"/>
      <c r="BK1814" s="1"/>
      <c r="BL1814" s="1"/>
      <c r="BM1814" s="1"/>
      <c r="BN1814" s="1"/>
      <c r="BO1814" s="1"/>
      <c r="BP1814" s="1"/>
      <c r="BQ1814" s="1"/>
      <c r="BR1814" s="1"/>
      <c r="BS1814" s="1"/>
      <c r="BT1814" s="1"/>
      <c r="BU1814" s="1"/>
      <c r="BV1814" s="1"/>
      <c r="BW1814" s="1"/>
      <c r="BX1814" s="1"/>
      <c r="BY1814" s="1"/>
      <c r="BZ1814" s="1"/>
      <c r="CA1814" s="1"/>
      <c r="CB1814" s="1"/>
      <c r="CC1814" s="1"/>
      <c r="CD1814" s="1"/>
      <c r="CE1814" s="1"/>
      <c r="CF1814" s="1"/>
      <c r="CG1814" s="1"/>
      <c r="CH1814" s="1"/>
      <c r="CI1814" s="1"/>
      <c r="CJ1814" s="1"/>
      <c r="CK1814" s="1"/>
      <c r="CL1814" s="1"/>
      <c r="CM1814" s="1"/>
      <c r="CN1814" s="1"/>
      <c r="CO1814" s="1"/>
      <c r="CP1814" s="1"/>
      <c r="CQ1814" s="1"/>
      <c r="CR1814" s="1"/>
      <c r="CS1814" s="1"/>
      <c r="CT1814" s="1"/>
      <c r="CU1814" s="1"/>
      <c r="CV1814" s="1"/>
      <c r="CW1814" s="1"/>
      <c r="CX1814" s="1"/>
      <c r="CY1814" s="1"/>
      <c r="CZ1814" s="1"/>
      <c r="DA1814" s="1"/>
      <c r="DB1814" s="1"/>
      <c r="DC1814" s="1"/>
    </row>
    <row r="1815" spans="1:107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  <c r="AP1815" s="1"/>
      <c r="AQ1815" s="1"/>
      <c r="AR1815" s="1"/>
      <c r="AS1815" s="1"/>
      <c r="AT1815" s="1"/>
      <c r="AU1815" s="1"/>
      <c r="AV1815" s="1"/>
      <c r="AW1815" s="1"/>
      <c r="AX1815" s="1"/>
      <c r="AY1815" s="1"/>
      <c r="AZ1815" s="1"/>
      <c r="BA1815" s="1"/>
      <c r="BB1815" s="1"/>
      <c r="BC1815" s="1"/>
      <c r="BD1815" s="1"/>
      <c r="BE1815" s="1"/>
      <c r="BF1815" s="1"/>
      <c r="BG1815" s="1"/>
      <c r="BH1815" s="1"/>
      <c r="BI1815" s="1"/>
      <c r="BJ1815" s="1"/>
      <c r="BK1815" s="1"/>
      <c r="BL1815" s="1"/>
      <c r="BM1815" s="1"/>
      <c r="BN1815" s="1"/>
      <c r="BO1815" s="1"/>
      <c r="BP1815" s="1"/>
      <c r="BQ1815" s="1"/>
      <c r="BR1815" s="1"/>
      <c r="BS1815" s="1"/>
      <c r="BT1815" s="1"/>
      <c r="BU1815" s="1"/>
      <c r="BV1815" s="1"/>
      <c r="BW1815" s="1"/>
      <c r="BX1815" s="1"/>
      <c r="BY1815" s="1"/>
      <c r="BZ1815" s="1"/>
      <c r="CA1815" s="1"/>
      <c r="CB1815" s="1"/>
      <c r="CC1815" s="1"/>
      <c r="CD1815" s="1"/>
      <c r="CE1815" s="1"/>
      <c r="CF1815" s="1"/>
      <c r="CG1815" s="1"/>
      <c r="CH1815" s="1"/>
      <c r="CI1815" s="1"/>
      <c r="CJ1815" s="1"/>
      <c r="CK1815" s="1"/>
      <c r="CL1815" s="1"/>
      <c r="CM1815" s="1"/>
      <c r="CN1815" s="1"/>
      <c r="CO1815" s="1"/>
      <c r="CP1815" s="1"/>
      <c r="CQ1815" s="1"/>
      <c r="CR1815" s="1"/>
      <c r="CS1815" s="1"/>
      <c r="CT1815" s="1"/>
      <c r="CU1815" s="1"/>
      <c r="CV1815" s="1"/>
      <c r="CW1815" s="1"/>
      <c r="CX1815" s="1"/>
      <c r="CY1815" s="1"/>
      <c r="CZ1815" s="1"/>
      <c r="DA1815" s="1"/>
      <c r="DB1815" s="1"/>
      <c r="DC1815" s="1"/>
    </row>
    <row r="1816" spans="1:107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  <c r="AN1816" s="1"/>
      <c r="AO1816" s="1"/>
      <c r="AP1816" s="1"/>
      <c r="AQ1816" s="1"/>
      <c r="AR1816" s="1"/>
      <c r="AS1816" s="1"/>
      <c r="AT1816" s="1"/>
      <c r="AU1816" s="1"/>
      <c r="AV1816" s="1"/>
      <c r="AW1816" s="1"/>
      <c r="AX1816" s="1"/>
      <c r="AY1816" s="1"/>
      <c r="AZ1816" s="1"/>
      <c r="BA1816" s="1"/>
      <c r="BB1816" s="1"/>
      <c r="BC1816" s="1"/>
      <c r="BD1816" s="1"/>
      <c r="BE1816" s="1"/>
      <c r="BF1816" s="1"/>
      <c r="BG1816" s="1"/>
      <c r="BH1816" s="1"/>
      <c r="BI1816" s="1"/>
      <c r="BJ1816" s="1"/>
      <c r="BK1816" s="1"/>
      <c r="BL1816" s="1"/>
      <c r="BM1816" s="1"/>
      <c r="BN1816" s="1"/>
      <c r="BO1816" s="1"/>
      <c r="BP1816" s="1"/>
      <c r="BQ1816" s="1"/>
      <c r="BR1816" s="1"/>
      <c r="BS1816" s="1"/>
      <c r="BT1816" s="1"/>
      <c r="BU1816" s="1"/>
      <c r="BV1816" s="1"/>
      <c r="BW1816" s="1"/>
      <c r="BX1816" s="1"/>
      <c r="BY1816" s="1"/>
      <c r="BZ1816" s="1"/>
      <c r="CA1816" s="1"/>
      <c r="CB1816" s="1"/>
      <c r="CC1816" s="1"/>
      <c r="CD1816" s="1"/>
      <c r="CE1816" s="1"/>
      <c r="CF1816" s="1"/>
      <c r="CG1816" s="1"/>
      <c r="CH1816" s="1"/>
      <c r="CI1816" s="1"/>
      <c r="CJ1816" s="1"/>
      <c r="CK1816" s="1"/>
      <c r="CL1816" s="1"/>
      <c r="CM1816" s="1"/>
      <c r="CN1816" s="1"/>
      <c r="CO1816" s="1"/>
      <c r="CP1816" s="1"/>
      <c r="CQ1816" s="1"/>
      <c r="CR1816" s="1"/>
      <c r="CS1816" s="1"/>
      <c r="CT1816" s="1"/>
      <c r="CU1816" s="1"/>
      <c r="CV1816" s="1"/>
      <c r="CW1816" s="1"/>
      <c r="CX1816" s="1"/>
      <c r="CY1816" s="1"/>
      <c r="CZ1816" s="1"/>
      <c r="DA1816" s="1"/>
      <c r="DB1816" s="1"/>
      <c r="DC1816" s="1"/>
    </row>
    <row r="1817" spans="1:107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  <c r="AS1817" s="1"/>
      <c r="AT1817" s="1"/>
      <c r="AU1817" s="1"/>
      <c r="AV1817" s="1"/>
      <c r="AW1817" s="1"/>
      <c r="AX1817" s="1"/>
      <c r="AY1817" s="1"/>
      <c r="AZ1817" s="1"/>
      <c r="BA1817" s="1"/>
      <c r="BB1817" s="1"/>
      <c r="BC1817" s="1"/>
      <c r="BD1817" s="1"/>
      <c r="BE1817" s="1"/>
      <c r="BF1817" s="1"/>
      <c r="BG1817" s="1"/>
      <c r="BH1817" s="1"/>
      <c r="BI1817" s="1"/>
      <c r="BJ1817" s="1"/>
      <c r="BK1817" s="1"/>
      <c r="BL1817" s="1"/>
      <c r="BM1817" s="1"/>
      <c r="BN1817" s="1"/>
      <c r="BO1817" s="1"/>
      <c r="BP1817" s="1"/>
      <c r="BQ1817" s="1"/>
      <c r="BR1817" s="1"/>
      <c r="BS1817" s="1"/>
      <c r="BT1817" s="1"/>
      <c r="BU1817" s="1"/>
      <c r="BV1817" s="1"/>
      <c r="BW1817" s="1"/>
      <c r="BX1817" s="1"/>
      <c r="BY1817" s="1"/>
      <c r="BZ1817" s="1"/>
      <c r="CA1817" s="1"/>
      <c r="CB1817" s="1"/>
      <c r="CC1817" s="1"/>
      <c r="CD1817" s="1"/>
      <c r="CE1817" s="1"/>
      <c r="CF1817" s="1"/>
      <c r="CG1817" s="1"/>
      <c r="CH1817" s="1"/>
      <c r="CI1817" s="1"/>
      <c r="CJ1817" s="1"/>
      <c r="CK1817" s="1"/>
      <c r="CL1817" s="1"/>
      <c r="CM1817" s="1"/>
      <c r="CN1817" s="1"/>
      <c r="CO1817" s="1"/>
      <c r="CP1817" s="1"/>
      <c r="CQ1817" s="1"/>
      <c r="CR1817" s="1"/>
      <c r="CS1817" s="1"/>
      <c r="CT1817" s="1"/>
      <c r="CU1817" s="1"/>
      <c r="CV1817" s="1"/>
      <c r="CW1817" s="1"/>
      <c r="CX1817" s="1"/>
      <c r="CY1817" s="1"/>
      <c r="CZ1817" s="1"/>
      <c r="DA1817" s="1"/>
      <c r="DB1817" s="1"/>
      <c r="DC1817" s="1"/>
    </row>
    <row r="1818" spans="1:107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  <c r="AP1818" s="1"/>
      <c r="AQ1818" s="1"/>
      <c r="AR1818" s="1"/>
      <c r="AS1818" s="1"/>
      <c r="AT1818" s="1"/>
      <c r="AU1818" s="1"/>
      <c r="AV1818" s="1"/>
      <c r="AW1818" s="1"/>
      <c r="AX1818" s="1"/>
      <c r="AY1818" s="1"/>
      <c r="AZ1818" s="1"/>
      <c r="BA1818" s="1"/>
      <c r="BB1818" s="1"/>
      <c r="BC1818" s="1"/>
      <c r="BD1818" s="1"/>
      <c r="BE1818" s="1"/>
      <c r="BF1818" s="1"/>
      <c r="BG1818" s="1"/>
      <c r="BH1818" s="1"/>
      <c r="BI1818" s="1"/>
      <c r="BJ1818" s="1"/>
      <c r="BK1818" s="1"/>
      <c r="BL1818" s="1"/>
      <c r="BM1818" s="1"/>
      <c r="BN1818" s="1"/>
      <c r="BO1818" s="1"/>
      <c r="BP1818" s="1"/>
      <c r="BQ1818" s="1"/>
      <c r="BR1818" s="1"/>
      <c r="BS1818" s="1"/>
      <c r="BT1818" s="1"/>
      <c r="BU1818" s="1"/>
      <c r="BV1818" s="1"/>
      <c r="BW1818" s="1"/>
      <c r="BX1818" s="1"/>
      <c r="BY1818" s="1"/>
      <c r="BZ1818" s="1"/>
      <c r="CA1818" s="1"/>
      <c r="CB1818" s="1"/>
      <c r="CC1818" s="1"/>
      <c r="CD1818" s="1"/>
      <c r="CE1818" s="1"/>
      <c r="CF1818" s="1"/>
      <c r="CG1818" s="1"/>
      <c r="CH1818" s="1"/>
      <c r="CI1818" s="1"/>
      <c r="CJ1818" s="1"/>
      <c r="CK1818" s="1"/>
      <c r="CL1818" s="1"/>
      <c r="CM1818" s="1"/>
      <c r="CN1818" s="1"/>
      <c r="CO1818" s="1"/>
      <c r="CP1818" s="1"/>
      <c r="CQ1818" s="1"/>
      <c r="CR1818" s="1"/>
      <c r="CS1818" s="1"/>
      <c r="CT1818" s="1"/>
      <c r="CU1818" s="1"/>
      <c r="CV1818" s="1"/>
      <c r="CW1818" s="1"/>
      <c r="CX1818" s="1"/>
      <c r="CY1818" s="1"/>
      <c r="CZ1818" s="1"/>
      <c r="DA1818" s="1"/>
      <c r="DB1818" s="1"/>
      <c r="DC1818" s="1"/>
    </row>
    <row r="1819" spans="1:107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  <c r="AT1819" s="1"/>
      <c r="AU1819" s="1"/>
      <c r="AV1819" s="1"/>
      <c r="AW1819" s="1"/>
      <c r="AX1819" s="1"/>
      <c r="AY1819" s="1"/>
      <c r="AZ1819" s="1"/>
      <c r="BA1819" s="1"/>
      <c r="BB1819" s="1"/>
      <c r="BC1819" s="1"/>
      <c r="BD1819" s="1"/>
      <c r="BE1819" s="1"/>
      <c r="BF1819" s="1"/>
      <c r="BG1819" s="1"/>
      <c r="BH1819" s="1"/>
      <c r="BI1819" s="1"/>
      <c r="BJ1819" s="1"/>
      <c r="BK1819" s="1"/>
      <c r="BL1819" s="1"/>
      <c r="BM1819" s="1"/>
      <c r="BN1819" s="1"/>
      <c r="BO1819" s="1"/>
      <c r="BP1819" s="1"/>
      <c r="BQ1819" s="1"/>
      <c r="BR1819" s="1"/>
      <c r="BS1819" s="1"/>
      <c r="BT1819" s="1"/>
      <c r="BU1819" s="1"/>
      <c r="BV1819" s="1"/>
      <c r="BW1819" s="1"/>
      <c r="BX1819" s="1"/>
      <c r="BY1819" s="1"/>
      <c r="BZ1819" s="1"/>
      <c r="CA1819" s="1"/>
      <c r="CB1819" s="1"/>
      <c r="CC1819" s="1"/>
      <c r="CD1819" s="1"/>
      <c r="CE1819" s="1"/>
      <c r="CF1819" s="1"/>
      <c r="CG1819" s="1"/>
      <c r="CH1819" s="1"/>
      <c r="CI1819" s="1"/>
      <c r="CJ1819" s="1"/>
      <c r="CK1819" s="1"/>
      <c r="CL1819" s="1"/>
      <c r="CM1819" s="1"/>
      <c r="CN1819" s="1"/>
      <c r="CO1819" s="1"/>
      <c r="CP1819" s="1"/>
      <c r="CQ1819" s="1"/>
      <c r="CR1819" s="1"/>
      <c r="CS1819" s="1"/>
      <c r="CT1819" s="1"/>
      <c r="CU1819" s="1"/>
      <c r="CV1819" s="1"/>
      <c r="CW1819" s="1"/>
      <c r="CX1819" s="1"/>
      <c r="CY1819" s="1"/>
      <c r="CZ1819" s="1"/>
      <c r="DA1819" s="1"/>
      <c r="DB1819" s="1"/>
      <c r="DC1819" s="1"/>
    </row>
    <row r="1820" spans="1:107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  <c r="AP1820" s="1"/>
      <c r="AQ1820" s="1"/>
      <c r="AR1820" s="1"/>
      <c r="AS1820" s="1"/>
      <c r="AT1820" s="1"/>
      <c r="AU1820" s="1"/>
      <c r="AV1820" s="1"/>
      <c r="AW1820" s="1"/>
      <c r="AX1820" s="1"/>
      <c r="AY1820" s="1"/>
      <c r="AZ1820" s="1"/>
      <c r="BA1820" s="1"/>
      <c r="BB1820" s="1"/>
      <c r="BC1820" s="1"/>
      <c r="BD1820" s="1"/>
      <c r="BE1820" s="1"/>
      <c r="BF1820" s="1"/>
      <c r="BG1820" s="1"/>
      <c r="BH1820" s="1"/>
      <c r="BI1820" s="1"/>
      <c r="BJ1820" s="1"/>
      <c r="BK1820" s="1"/>
      <c r="BL1820" s="1"/>
      <c r="BM1820" s="1"/>
      <c r="BN1820" s="1"/>
      <c r="BO1820" s="1"/>
      <c r="BP1820" s="1"/>
      <c r="BQ1820" s="1"/>
      <c r="BR1820" s="1"/>
      <c r="BS1820" s="1"/>
      <c r="BT1820" s="1"/>
      <c r="BU1820" s="1"/>
      <c r="BV1820" s="1"/>
      <c r="BW1820" s="1"/>
      <c r="BX1820" s="1"/>
      <c r="BY1820" s="1"/>
      <c r="BZ1820" s="1"/>
      <c r="CA1820" s="1"/>
      <c r="CB1820" s="1"/>
      <c r="CC1820" s="1"/>
      <c r="CD1820" s="1"/>
      <c r="CE1820" s="1"/>
      <c r="CF1820" s="1"/>
      <c r="CG1820" s="1"/>
      <c r="CH1820" s="1"/>
      <c r="CI1820" s="1"/>
      <c r="CJ1820" s="1"/>
      <c r="CK1820" s="1"/>
      <c r="CL1820" s="1"/>
      <c r="CM1820" s="1"/>
      <c r="CN1820" s="1"/>
      <c r="CO1820" s="1"/>
      <c r="CP1820" s="1"/>
      <c r="CQ1820" s="1"/>
      <c r="CR1820" s="1"/>
      <c r="CS1820" s="1"/>
      <c r="CT1820" s="1"/>
      <c r="CU1820" s="1"/>
      <c r="CV1820" s="1"/>
      <c r="CW1820" s="1"/>
      <c r="CX1820" s="1"/>
      <c r="CY1820" s="1"/>
      <c r="CZ1820" s="1"/>
      <c r="DA1820" s="1"/>
      <c r="DB1820" s="1"/>
      <c r="DC1820" s="1"/>
    </row>
    <row r="1821" spans="1:107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AW1821" s="1"/>
      <c r="AX1821" s="1"/>
      <c r="AY1821" s="1"/>
      <c r="AZ1821" s="1"/>
      <c r="BA1821" s="1"/>
      <c r="BB1821" s="1"/>
      <c r="BC1821" s="1"/>
      <c r="BD1821" s="1"/>
      <c r="BE1821" s="1"/>
      <c r="BF1821" s="1"/>
      <c r="BG1821" s="1"/>
      <c r="BH1821" s="1"/>
      <c r="BI1821" s="1"/>
      <c r="BJ1821" s="1"/>
      <c r="BK1821" s="1"/>
      <c r="BL1821" s="1"/>
      <c r="BM1821" s="1"/>
      <c r="BN1821" s="1"/>
      <c r="BO1821" s="1"/>
      <c r="BP1821" s="1"/>
      <c r="BQ1821" s="1"/>
      <c r="BR1821" s="1"/>
      <c r="BS1821" s="1"/>
      <c r="BT1821" s="1"/>
      <c r="BU1821" s="1"/>
      <c r="BV1821" s="1"/>
      <c r="BW1821" s="1"/>
      <c r="BX1821" s="1"/>
      <c r="BY1821" s="1"/>
      <c r="BZ1821" s="1"/>
      <c r="CA1821" s="1"/>
      <c r="CB1821" s="1"/>
      <c r="CC1821" s="1"/>
      <c r="CD1821" s="1"/>
      <c r="CE1821" s="1"/>
      <c r="CF1821" s="1"/>
      <c r="CG1821" s="1"/>
      <c r="CH1821" s="1"/>
      <c r="CI1821" s="1"/>
      <c r="CJ1821" s="1"/>
      <c r="CK1821" s="1"/>
      <c r="CL1821" s="1"/>
      <c r="CM1821" s="1"/>
      <c r="CN1821" s="1"/>
      <c r="CO1821" s="1"/>
      <c r="CP1821" s="1"/>
      <c r="CQ1821" s="1"/>
      <c r="CR1821" s="1"/>
      <c r="CS1821" s="1"/>
      <c r="CT1821" s="1"/>
      <c r="CU1821" s="1"/>
      <c r="CV1821" s="1"/>
      <c r="CW1821" s="1"/>
      <c r="CX1821" s="1"/>
      <c r="CY1821" s="1"/>
      <c r="CZ1821" s="1"/>
      <c r="DA1821" s="1"/>
      <c r="DB1821" s="1"/>
      <c r="DC1821" s="1"/>
    </row>
    <row r="1822" spans="1:107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  <c r="AS1822" s="1"/>
      <c r="AT1822" s="1"/>
      <c r="AU1822" s="1"/>
      <c r="AV1822" s="1"/>
      <c r="AW1822" s="1"/>
      <c r="AX1822" s="1"/>
      <c r="AY1822" s="1"/>
      <c r="AZ1822" s="1"/>
      <c r="BA1822" s="1"/>
      <c r="BB1822" s="1"/>
      <c r="BC1822" s="1"/>
      <c r="BD1822" s="1"/>
      <c r="BE1822" s="1"/>
      <c r="BF1822" s="1"/>
      <c r="BG1822" s="1"/>
      <c r="BH1822" s="1"/>
      <c r="BI1822" s="1"/>
      <c r="BJ1822" s="1"/>
      <c r="BK1822" s="1"/>
      <c r="BL1822" s="1"/>
      <c r="BM1822" s="1"/>
      <c r="BN1822" s="1"/>
      <c r="BO1822" s="1"/>
      <c r="BP1822" s="1"/>
      <c r="BQ1822" s="1"/>
      <c r="BR1822" s="1"/>
      <c r="BS1822" s="1"/>
      <c r="BT1822" s="1"/>
      <c r="BU1822" s="1"/>
      <c r="BV1822" s="1"/>
      <c r="BW1822" s="1"/>
      <c r="BX1822" s="1"/>
      <c r="BY1822" s="1"/>
      <c r="BZ1822" s="1"/>
      <c r="CA1822" s="1"/>
      <c r="CB1822" s="1"/>
      <c r="CC1822" s="1"/>
      <c r="CD1822" s="1"/>
      <c r="CE1822" s="1"/>
      <c r="CF1822" s="1"/>
      <c r="CG1822" s="1"/>
      <c r="CH1822" s="1"/>
      <c r="CI1822" s="1"/>
      <c r="CJ1822" s="1"/>
      <c r="CK1822" s="1"/>
      <c r="CL1822" s="1"/>
      <c r="CM1822" s="1"/>
      <c r="CN1822" s="1"/>
      <c r="CO1822" s="1"/>
      <c r="CP1822" s="1"/>
      <c r="CQ1822" s="1"/>
      <c r="CR1822" s="1"/>
      <c r="CS1822" s="1"/>
      <c r="CT1822" s="1"/>
      <c r="CU1822" s="1"/>
      <c r="CV1822" s="1"/>
      <c r="CW1822" s="1"/>
      <c r="CX1822" s="1"/>
      <c r="CY1822" s="1"/>
      <c r="CZ1822" s="1"/>
      <c r="DA1822" s="1"/>
      <c r="DB1822" s="1"/>
      <c r="DC1822" s="1"/>
    </row>
    <row r="1823" spans="1:107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  <c r="AS1823" s="1"/>
      <c r="AT1823" s="1"/>
      <c r="AU1823" s="1"/>
      <c r="AV1823" s="1"/>
      <c r="AW1823" s="1"/>
      <c r="AX1823" s="1"/>
      <c r="AY1823" s="1"/>
      <c r="AZ1823" s="1"/>
      <c r="BA1823" s="1"/>
      <c r="BB1823" s="1"/>
      <c r="BC1823" s="1"/>
      <c r="BD1823" s="1"/>
      <c r="BE1823" s="1"/>
      <c r="BF1823" s="1"/>
      <c r="BG1823" s="1"/>
      <c r="BH1823" s="1"/>
      <c r="BI1823" s="1"/>
      <c r="BJ1823" s="1"/>
      <c r="BK1823" s="1"/>
      <c r="BL1823" s="1"/>
      <c r="BM1823" s="1"/>
      <c r="BN1823" s="1"/>
      <c r="BO1823" s="1"/>
      <c r="BP1823" s="1"/>
      <c r="BQ1823" s="1"/>
      <c r="BR1823" s="1"/>
      <c r="BS1823" s="1"/>
      <c r="BT1823" s="1"/>
      <c r="BU1823" s="1"/>
      <c r="BV1823" s="1"/>
      <c r="BW1823" s="1"/>
      <c r="BX1823" s="1"/>
      <c r="BY1823" s="1"/>
      <c r="BZ1823" s="1"/>
      <c r="CA1823" s="1"/>
      <c r="CB1823" s="1"/>
      <c r="CC1823" s="1"/>
      <c r="CD1823" s="1"/>
      <c r="CE1823" s="1"/>
      <c r="CF1823" s="1"/>
      <c r="CG1823" s="1"/>
      <c r="CH1823" s="1"/>
      <c r="CI1823" s="1"/>
      <c r="CJ1823" s="1"/>
      <c r="CK1823" s="1"/>
      <c r="CL1823" s="1"/>
      <c r="CM1823" s="1"/>
      <c r="CN1823" s="1"/>
      <c r="CO1823" s="1"/>
      <c r="CP1823" s="1"/>
      <c r="CQ1823" s="1"/>
      <c r="CR1823" s="1"/>
      <c r="CS1823" s="1"/>
      <c r="CT1823" s="1"/>
      <c r="CU1823" s="1"/>
      <c r="CV1823" s="1"/>
      <c r="CW1823" s="1"/>
      <c r="CX1823" s="1"/>
      <c r="CY1823" s="1"/>
      <c r="CZ1823" s="1"/>
      <c r="DA1823" s="1"/>
      <c r="DB1823" s="1"/>
      <c r="DC1823" s="1"/>
    </row>
    <row r="1824" spans="1:107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  <c r="AS1824" s="1"/>
      <c r="AT1824" s="1"/>
      <c r="AU1824" s="1"/>
      <c r="AV1824" s="1"/>
      <c r="AW1824" s="1"/>
      <c r="AX1824" s="1"/>
      <c r="AY1824" s="1"/>
      <c r="AZ1824" s="1"/>
      <c r="BA1824" s="1"/>
      <c r="BB1824" s="1"/>
      <c r="BC1824" s="1"/>
      <c r="BD1824" s="1"/>
      <c r="BE1824" s="1"/>
      <c r="BF1824" s="1"/>
      <c r="BG1824" s="1"/>
      <c r="BH1824" s="1"/>
      <c r="BI1824" s="1"/>
      <c r="BJ1824" s="1"/>
      <c r="BK1824" s="1"/>
      <c r="BL1824" s="1"/>
      <c r="BM1824" s="1"/>
      <c r="BN1824" s="1"/>
      <c r="BO1824" s="1"/>
      <c r="BP1824" s="1"/>
      <c r="BQ1824" s="1"/>
      <c r="BR1824" s="1"/>
      <c r="BS1824" s="1"/>
      <c r="BT1824" s="1"/>
      <c r="BU1824" s="1"/>
      <c r="BV1824" s="1"/>
      <c r="BW1824" s="1"/>
      <c r="BX1824" s="1"/>
      <c r="BY1824" s="1"/>
      <c r="BZ1824" s="1"/>
      <c r="CA1824" s="1"/>
      <c r="CB1824" s="1"/>
      <c r="CC1824" s="1"/>
      <c r="CD1824" s="1"/>
      <c r="CE1824" s="1"/>
      <c r="CF1824" s="1"/>
      <c r="CG1824" s="1"/>
      <c r="CH1824" s="1"/>
      <c r="CI1824" s="1"/>
      <c r="CJ1824" s="1"/>
      <c r="CK1824" s="1"/>
      <c r="CL1824" s="1"/>
      <c r="CM1824" s="1"/>
      <c r="CN1824" s="1"/>
      <c r="CO1824" s="1"/>
      <c r="CP1824" s="1"/>
      <c r="CQ1824" s="1"/>
      <c r="CR1824" s="1"/>
      <c r="CS1824" s="1"/>
      <c r="CT1824" s="1"/>
      <c r="CU1824" s="1"/>
      <c r="CV1824" s="1"/>
      <c r="CW1824" s="1"/>
      <c r="CX1824" s="1"/>
      <c r="CY1824" s="1"/>
      <c r="CZ1824" s="1"/>
      <c r="DA1824" s="1"/>
      <c r="DB1824" s="1"/>
      <c r="DC1824" s="1"/>
    </row>
    <row r="1825" spans="1:107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  <c r="AU1825" s="1"/>
      <c r="AV1825" s="1"/>
      <c r="AW1825" s="1"/>
      <c r="AX1825" s="1"/>
      <c r="AY1825" s="1"/>
      <c r="AZ1825" s="1"/>
      <c r="BA1825" s="1"/>
      <c r="BB1825" s="1"/>
      <c r="BC1825" s="1"/>
      <c r="BD1825" s="1"/>
      <c r="BE1825" s="1"/>
      <c r="BF1825" s="1"/>
      <c r="BG1825" s="1"/>
      <c r="BH1825" s="1"/>
      <c r="BI1825" s="1"/>
      <c r="BJ1825" s="1"/>
      <c r="BK1825" s="1"/>
      <c r="BL1825" s="1"/>
      <c r="BM1825" s="1"/>
      <c r="BN1825" s="1"/>
      <c r="BO1825" s="1"/>
      <c r="BP1825" s="1"/>
      <c r="BQ1825" s="1"/>
      <c r="BR1825" s="1"/>
      <c r="BS1825" s="1"/>
      <c r="BT1825" s="1"/>
      <c r="BU1825" s="1"/>
      <c r="BV1825" s="1"/>
      <c r="BW1825" s="1"/>
      <c r="BX1825" s="1"/>
      <c r="BY1825" s="1"/>
      <c r="BZ1825" s="1"/>
      <c r="CA1825" s="1"/>
      <c r="CB1825" s="1"/>
      <c r="CC1825" s="1"/>
      <c r="CD1825" s="1"/>
      <c r="CE1825" s="1"/>
      <c r="CF1825" s="1"/>
      <c r="CG1825" s="1"/>
      <c r="CH1825" s="1"/>
      <c r="CI1825" s="1"/>
      <c r="CJ1825" s="1"/>
      <c r="CK1825" s="1"/>
      <c r="CL1825" s="1"/>
      <c r="CM1825" s="1"/>
      <c r="CN1825" s="1"/>
      <c r="CO1825" s="1"/>
      <c r="CP1825" s="1"/>
      <c r="CQ1825" s="1"/>
      <c r="CR1825" s="1"/>
      <c r="CS1825" s="1"/>
      <c r="CT1825" s="1"/>
      <c r="CU1825" s="1"/>
      <c r="CV1825" s="1"/>
      <c r="CW1825" s="1"/>
      <c r="CX1825" s="1"/>
      <c r="CY1825" s="1"/>
      <c r="CZ1825" s="1"/>
      <c r="DA1825" s="1"/>
      <c r="DB1825" s="1"/>
      <c r="DC1825" s="1"/>
    </row>
    <row r="1826" spans="1:107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  <c r="AR1826" s="1"/>
      <c r="AS1826" s="1"/>
      <c r="AT1826" s="1"/>
      <c r="AU1826" s="1"/>
      <c r="AV1826" s="1"/>
      <c r="AW1826" s="1"/>
      <c r="AX1826" s="1"/>
      <c r="AY1826" s="1"/>
      <c r="AZ1826" s="1"/>
      <c r="BA1826" s="1"/>
      <c r="BB1826" s="1"/>
      <c r="BC1826" s="1"/>
      <c r="BD1826" s="1"/>
      <c r="BE1826" s="1"/>
      <c r="BF1826" s="1"/>
      <c r="BG1826" s="1"/>
      <c r="BH1826" s="1"/>
      <c r="BI1826" s="1"/>
      <c r="BJ1826" s="1"/>
      <c r="BK1826" s="1"/>
      <c r="BL1826" s="1"/>
      <c r="BM1826" s="1"/>
      <c r="BN1826" s="1"/>
      <c r="BO1826" s="1"/>
      <c r="BP1826" s="1"/>
      <c r="BQ1826" s="1"/>
      <c r="BR1826" s="1"/>
      <c r="BS1826" s="1"/>
      <c r="BT1826" s="1"/>
      <c r="BU1826" s="1"/>
      <c r="BV1826" s="1"/>
      <c r="BW1826" s="1"/>
      <c r="BX1826" s="1"/>
      <c r="BY1826" s="1"/>
      <c r="BZ1826" s="1"/>
      <c r="CA1826" s="1"/>
      <c r="CB1826" s="1"/>
      <c r="CC1826" s="1"/>
      <c r="CD1826" s="1"/>
      <c r="CE1826" s="1"/>
      <c r="CF1826" s="1"/>
      <c r="CG1826" s="1"/>
      <c r="CH1826" s="1"/>
      <c r="CI1826" s="1"/>
      <c r="CJ1826" s="1"/>
      <c r="CK1826" s="1"/>
      <c r="CL1826" s="1"/>
      <c r="CM1826" s="1"/>
      <c r="CN1826" s="1"/>
      <c r="CO1826" s="1"/>
      <c r="CP1826" s="1"/>
      <c r="CQ1826" s="1"/>
      <c r="CR1826" s="1"/>
      <c r="CS1826" s="1"/>
      <c r="CT1826" s="1"/>
      <c r="CU1826" s="1"/>
      <c r="CV1826" s="1"/>
      <c r="CW1826" s="1"/>
      <c r="CX1826" s="1"/>
      <c r="CY1826" s="1"/>
      <c r="CZ1826" s="1"/>
      <c r="DA1826" s="1"/>
      <c r="DB1826" s="1"/>
      <c r="DC1826" s="1"/>
    </row>
    <row r="1827" spans="1:107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  <c r="AS1827" s="1"/>
      <c r="AT1827" s="1"/>
      <c r="AU1827" s="1"/>
      <c r="AV1827" s="1"/>
      <c r="AW1827" s="1"/>
      <c r="AX1827" s="1"/>
      <c r="AY1827" s="1"/>
      <c r="AZ1827" s="1"/>
      <c r="BA1827" s="1"/>
      <c r="BB1827" s="1"/>
      <c r="BC1827" s="1"/>
      <c r="BD1827" s="1"/>
      <c r="BE1827" s="1"/>
      <c r="BF1827" s="1"/>
      <c r="BG1827" s="1"/>
      <c r="BH1827" s="1"/>
      <c r="BI1827" s="1"/>
      <c r="BJ1827" s="1"/>
      <c r="BK1827" s="1"/>
      <c r="BL1827" s="1"/>
      <c r="BM1827" s="1"/>
      <c r="BN1827" s="1"/>
      <c r="BO1827" s="1"/>
      <c r="BP1827" s="1"/>
      <c r="BQ1827" s="1"/>
      <c r="BR1827" s="1"/>
      <c r="BS1827" s="1"/>
      <c r="BT1827" s="1"/>
      <c r="BU1827" s="1"/>
      <c r="BV1827" s="1"/>
      <c r="BW1827" s="1"/>
      <c r="BX1827" s="1"/>
      <c r="BY1827" s="1"/>
      <c r="BZ1827" s="1"/>
      <c r="CA1827" s="1"/>
      <c r="CB1827" s="1"/>
      <c r="CC1827" s="1"/>
      <c r="CD1827" s="1"/>
      <c r="CE1827" s="1"/>
      <c r="CF1827" s="1"/>
      <c r="CG1827" s="1"/>
      <c r="CH1827" s="1"/>
      <c r="CI1827" s="1"/>
      <c r="CJ1827" s="1"/>
      <c r="CK1827" s="1"/>
      <c r="CL1827" s="1"/>
      <c r="CM1827" s="1"/>
      <c r="CN1827" s="1"/>
      <c r="CO1827" s="1"/>
      <c r="CP1827" s="1"/>
      <c r="CQ1827" s="1"/>
      <c r="CR1827" s="1"/>
      <c r="CS1827" s="1"/>
      <c r="CT1827" s="1"/>
      <c r="CU1827" s="1"/>
      <c r="CV1827" s="1"/>
      <c r="CW1827" s="1"/>
      <c r="CX1827" s="1"/>
      <c r="CY1827" s="1"/>
      <c r="CZ1827" s="1"/>
      <c r="DA1827" s="1"/>
      <c r="DB1827" s="1"/>
      <c r="DC1827" s="1"/>
    </row>
    <row r="1828" spans="1:107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  <c r="AS1828" s="1"/>
      <c r="AT1828" s="1"/>
      <c r="AU1828" s="1"/>
      <c r="AV1828" s="1"/>
      <c r="AW1828" s="1"/>
      <c r="AX1828" s="1"/>
      <c r="AY1828" s="1"/>
      <c r="AZ1828" s="1"/>
      <c r="BA1828" s="1"/>
      <c r="BB1828" s="1"/>
      <c r="BC1828" s="1"/>
      <c r="BD1828" s="1"/>
      <c r="BE1828" s="1"/>
      <c r="BF1828" s="1"/>
      <c r="BG1828" s="1"/>
      <c r="BH1828" s="1"/>
      <c r="BI1828" s="1"/>
      <c r="BJ1828" s="1"/>
      <c r="BK1828" s="1"/>
      <c r="BL1828" s="1"/>
      <c r="BM1828" s="1"/>
      <c r="BN1828" s="1"/>
      <c r="BO1828" s="1"/>
      <c r="BP1828" s="1"/>
      <c r="BQ1828" s="1"/>
      <c r="BR1828" s="1"/>
      <c r="BS1828" s="1"/>
      <c r="BT1828" s="1"/>
      <c r="BU1828" s="1"/>
      <c r="BV1828" s="1"/>
      <c r="BW1828" s="1"/>
      <c r="BX1828" s="1"/>
      <c r="BY1828" s="1"/>
      <c r="BZ1828" s="1"/>
      <c r="CA1828" s="1"/>
      <c r="CB1828" s="1"/>
      <c r="CC1828" s="1"/>
      <c r="CD1828" s="1"/>
      <c r="CE1828" s="1"/>
      <c r="CF1828" s="1"/>
      <c r="CG1828" s="1"/>
      <c r="CH1828" s="1"/>
      <c r="CI1828" s="1"/>
      <c r="CJ1828" s="1"/>
      <c r="CK1828" s="1"/>
      <c r="CL1828" s="1"/>
      <c r="CM1828" s="1"/>
      <c r="CN1828" s="1"/>
      <c r="CO1828" s="1"/>
      <c r="CP1828" s="1"/>
      <c r="CQ1828" s="1"/>
      <c r="CR1828" s="1"/>
      <c r="CS1828" s="1"/>
      <c r="CT1828" s="1"/>
      <c r="CU1828" s="1"/>
      <c r="CV1828" s="1"/>
      <c r="CW1828" s="1"/>
      <c r="CX1828" s="1"/>
      <c r="CY1828" s="1"/>
      <c r="CZ1828" s="1"/>
      <c r="DA1828" s="1"/>
      <c r="DB1828" s="1"/>
      <c r="DC1828" s="1"/>
    </row>
    <row r="1829" spans="1:107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  <c r="AU1829" s="1"/>
      <c r="AV1829" s="1"/>
      <c r="AW1829" s="1"/>
      <c r="AX1829" s="1"/>
      <c r="AY1829" s="1"/>
      <c r="AZ1829" s="1"/>
      <c r="BA1829" s="1"/>
      <c r="BB1829" s="1"/>
      <c r="BC1829" s="1"/>
      <c r="BD1829" s="1"/>
      <c r="BE1829" s="1"/>
      <c r="BF1829" s="1"/>
      <c r="BG1829" s="1"/>
      <c r="BH1829" s="1"/>
      <c r="BI1829" s="1"/>
      <c r="BJ1829" s="1"/>
      <c r="BK1829" s="1"/>
      <c r="BL1829" s="1"/>
      <c r="BM1829" s="1"/>
      <c r="BN1829" s="1"/>
      <c r="BO1829" s="1"/>
      <c r="BP1829" s="1"/>
      <c r="BQ1829" s="1"/>
      <c r="BR1829" s="1"/>
      <c r="BS1829" s="1"/>
      <c r="BT1829" s="1"/>
      <c r="BU1829" s="1"/>
      <c r="BV1829" s="1"/>
      <c r="BW1829" s="1"/>
      <c r="BX1829" s="1"/>
      <c r="BY1829" s="1"/>
      <c r="BZ1829" s="1"/>
      <c r="CA1829" s="1"/>
      <c r="CB1829" s="1"/>
      <c r="CC1829" s="1"/>
      <c r="CD1829" s="1"/>
      <c r="CE1829" s="1"/>
      <c r="CF1829" s="1"/>
      <c r="CG1829" s="1"/>
      <c r="CH1829" s="1"/>
      <c r="CI1829" s="1"/>
      <c r="CJ1829" s="1"/>
      <c r="CK1829" s="1"/>
      <c r="CL1829" s="1"/>
      <c r="CM1829" s="1"/>
      <c r="CN1829" s="1"/>
      <c r="CO1829" s="1"/>
      <c r="CP1829" s="1"/>
      <c r="CQ1829" s="1"/>
      <c r="CR1829" s="1"/>
      <c r="CS1829" s="1"/>
      <c r="CT1829" s="1"/>
      <c r="CU1829" s="1"/>
      <c r="CV1829" s="1"/>
      <c r="CW1829" s="1"/>
      <c r="CX1829" s="1"/>
      <c r="CY1829" s="1"/>
      <c r="CZ1829" s="1"/>
      <c r="DA1829" s="1"/>
      <c r="DB1829" s="1"/>
      <c r="DC1829" s="1"/>
    </row>
    <row r="1830" spans="1:107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  <c r="AS1830" s="1"/>
      <c r="AT1830" s="1"/>
      <c r="AU1830" s="1"/>
      <c r="AV1830" s="1"/>
      <c r="AW1830" s="1"/>
      <c r="AX1830" s="1"/>
      <c r="AY1830" s="1"/>
      <c r="AZ1830" s="1"/>
      <c r="BA1830" s="1"/>
      <c r="BB1830" s="1"/>
      <c r="BC1830" s="1"/>
      <c r="BD1830" s="1"/>
      <c r="BE1830" s="1"/>
      <c r="BF1830" s="1"/>
      <c r="BG1830" s="1"/>
      <c r="BH1830" s="1"/>
      <c r="BI1830" s="1"/>
      <c r="BJ1830" s="1"/>
      <c r="BK1830" s="1"/>
      <c r="BL1830" s="1"/>
      <c r="BM1830" s="1"/>
      <c r="BN1830" s="1"/>
      <c r="BO1830" s="1"/>
      <c r="BP1830" s="1"/>
      <c r="BQ1830" s="1"/>
      <c r="BR1830" s="1"/>
      <c r="BS1830" s="1"/>
      <c r="BT1830" s="1"/>
      <c r="BU1830" s="1"/>
      <c r="BV1830" s="1"/>
      <c r="BW1830" s="1"/>
      <c r="BX1830" s="1"/>
      <c r="BY1830" s="1"/>
      <c r="BZ1830" s="1"/>
      <c r="CA1830" s="1"/>
      <c r="CB1830" s="1"/>
      <c r="CC1830" s="1"/>
      <c r="CD1830" s="1"/>
      <c r="CE1830" s="1"/>
      <c r="CF1830" s="1"/>
      <c r="CG1830" s="1"/>
      <c r="CH1830" s="1"/>
      <c r="CI1830" s="1"/>
      <c r="CJ1830" s="1"/>
      <c r="CK1830" s="1"/>
      <c r="CL1830" s="1"/>
      <c r="CM1830" s="1"/>
      <c r="CN1830" s="1"/>
      <c r="CO1830" s="1"/>
      <c r="CP1830" s="1"/>
      <c r="CQ1830" s="1"/>
      <c r="CR1830" s="1"/>
      <c r="CS1830" s="1"/>
      <c r="CT1830" s="1"/>
      <c r="CU1830" s="1"/>
      <c r="CV1830" s="1"/>
      <c r="CW1830" s="1"/>
      <c r="CX1830" s="1"/>
      <c r="CY1830" s="1"/>
      <c r="CZ1830" s="1"/>
      <c r="DA1830" s="1"/>
      <c r="DB1830" s="1"/>
      <c r="DC1830" s="1"/>
    </row>
    <row r="1831" spans="1:107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  <c r="AU1831" s="1"/>
      <c r="AV1831" s="1"/>
      <c r="AW1831" s="1"/>
      <c r="AX1831" s="1"/>
      <c r="AY1831" s="1"/>
      <c r="AZ1831" s="1"/>
      <c r="BA1831" s="1"/>
      <c r="BB1831" s="1"/>
      <c r="BC1831" s="1"/>
      <c r="BD1831" s="1"/>
      <c r="BE1831" s="1"/>
      <c r="BF1831" s="1"/>
      <c r="BG1831" s="1"/>
      <c r="BH1831" s="1"/>
      <c r="BI1831" s="1"/>
      <c r="BJ1831" s="1"/>
      <c r="BK1831" s="1"/>
      <c r="BL1831" s="1"/>
      <c r="BM1831" s="1"/>
      <c r="BN1831" s="1"/>
      <c r="BO1831" s="1"/>
      <c r="BP1831" s="1"/>
      <c r="BQ1831" s="1"/>
      <c r="BR1831" s="1"/>
      <c r="BS1831" s="1"/>
      <c r="BT1831" s="1"/>
      <c r="BU1831" s="1"/>
      <c r="BV1831" s="1"/>
      <c r="BW1831" s="1"/>
      <c r="BX1831" s="1"/>
      <c r="BY1831" s="1"/>
      <c r="BZ1831" s="1"/>
      <c r="CA1831" s="1"/>
      <c r="CB1831" s="1"/>
      <c r="CC1831" s="1"/>
      <c r="CD1831" s="1"/>
      <c r="CE1831" s="1"/>
      <c r="CF1831" s="1"/>
      <c r="CG1831" s="1"/>
      <c r="CH1831" s="1"/>
      <c r="CI1831" s="1"/>
      <c r="CJ1831" s="1"/>
      <c r="CK1831" s="1"/>
      <c r="CL1831" s="1"/>
      <c r="CM1831" s="1"/>
      <c r="CN1831" s="1"/>
      <c r="CO1831" s="1"/>
      <c r="CP1831" s="1"/>
      <c r="CQ1831" s="1"/>
      <c r="CR1831" s="1"/>
      <c r="CS1831" s="1"/>
      <c r="CT1831" s="1"/>
      <c r="CU1831" s="1"/>
      <c r="CV1831" s="1"/>
      <c r="CW1831" s="1"/>
      <c r="CX1831" s="1"/>
      <c r="CY1831" s="1"/>
      <c r="CZ1831" s="1"/>
      <c r="DA1831" s="1"/>
      <c r="DB1831" s="1"/>
      <c r="DC1831" s="1"/>
    </row>
    <row r="1832" spans="1:107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  <c r="AP1832" s="1"/>
      <c r="AQ1832" s="1"/>
      <c r="AR1832" s="1"/>
      <c r="AS1832" s="1"/>
      <c r="AT1832" s="1"/>
      <c r="AU1832" s="1"/>
      <c r="AV1832" s="1"/>
      <c r="AW1832" s="1"/>
      <c r="AX1832" s="1"/>
      <c r="AY1832" s="1"/>
      <c r="AZ1832" s="1"/>
      <c r="BA1832" s="1"/>
      <c r="BB1832" s="1"/>
      <c r="BC1832" s="1"/>
      <c r="BD1832" s="1"/>
      <c r="BE1832" s="1"/>
      <c r="BF1832" s="1"/>
      <c r="BG1832" s="1"/>
      <c r="BH1832" s="1"/>
      <c r="BI1832" s="1"/>
      <c r="BJ1832" s="1"/>
      <c r="BK1832" s="1"/>
      <c r="BL1832" s="1"/>
      <c r="BM1832" s="1"/>
      <c r="BN1832" s="1"/>
      <c r="BO1832" s="1"/>
      <c r="BP1832" s="1"/>
      <c r="BQ1832" s="1"/>
      <c r="BR1832" s="1"/>
      <c r="BS1832" s="1"/>
      <c r="BT1832" s="1"/>
      <c r="BU1832" s="1"/>
      <c r="BV1832" s="1"/>
      <c r="BW1832" s="1"/>
      <c r="BX1832" s="1"/>
      <c r="BY1832" s="1"/>
      <c r="BZ1832" s="1"/>
      <c r="CA1832" s="1"/>
      <c r="CB1832" s="1"/>
      <c r="CC1832" s="1"/>
      <c r="CD1832" s="1"/>
      <c r="CE1832" s="1"/>
      <c r="CF1832" s="1"/>
      <c r="CG1832" s="1"/>
      <c r="CH1832" s="1"/>
      <c r="CI1832" s="1"/>
      <c r="CJ1832" s="1"/>
      <c r="CK1832" s="1"/>
      <c r="CL1832" s="1"/>
      <c r="CM1832" s="1"/>
      <c r="CN1832" s="1"/>
      <c r="CO1832" s="1"/>
      <c r="CP1832" s="1"/>
      <c r="CQ1832" s="1"/>
      <c r="CR1832" s="1"/>
      <c r="CS1832" s="1"/>
      <c r="CT1832" s="1"/>
      <c r="CU1832" s="1"/>
      <c r="CV1832" s="1"/>
      <c r="CW1832" s="1"/>
      <c r="CX1832" s="1"/>
      <c r="CY1832" s="1"/>
      <c r="CZ1832" s="1"/>
      <c r="DA1832" s="1"/>
      <c r="DB1832" s="1"/>
      <c r="DC1832" s="1"/>
    </row>
    <row r="1833" spans="1:107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  <c r="AR1833" s="1"/>
      <c r="AS1833" s="1"/>
      <c r="AT1833" s="1"/>
      <c r="AU1833" s="1"/>
      <c r="AV1833" s="1"/>
      <c r="AW1833" s="1"/>
      <c r="AX1833" s="1"/>
      <c r="AY1833" s="1"/>
      <c r="AZ1833" s="1"/>
      <c r="BA1833" s="1"/>
      <c r="BB1833" s="1"/>
      <c r="BC1833" s="1"/>
      <c r="BD1833" s="1"/>
      <c r="BE1833" s="1"/>
      <c r="BF1833" s="1"/>
      <c r="BG1833" s="1"/>
      <c r="BH1833" s="1"/>
      <c r="BI1833" s="1"/>
      <c r="BJ1833" s="1"/>
      <c r="BK1833" s="1"/>
      <c r="BL1833" s="1"/>
      <c r="BM1833" s="1"/>
      <c r="BN1833" s="1"/>
      <c r="BO1833" s="1"/>
      <c r="BP1833" s="1"/>
      <c r="BQ1833" s="1"/>
      <c r="BR1833" s="1"/>
      <c r="BS1833" s="1"/>
      <c r="BT1833" s="1"/>
      <c r="BU1833" s="1"/>
      <c r="BV1833" s="1"/>
      <c r="BW1833" s="1"/>
      <c r="BX1833" s="1"/>
      <c r="BY1833" s="1"/>
      <c r="BZ1833" s="1"/>
      <c r="CA1833" s="1"/>
      <c r="CB1833" s="1"/>
      <c r="CC1833" s="1"/>
      <c r="CD1833" s="1"/>
      <c r="CE1833" s="1"/>
      <c r="CF1833" s="1"/>
      <c r="CG1833" s="1"/>
      <c r="CH1833" s="1"/>
      <c r="CI1833" s="1"/>
      <c r="CJ1833" s="1"/>
      <c r="CK1833" s="1"/>
      <c r="CL1833" s="1"/>
      <c r="CM1833" s="1"/>
      <c r="CN1833" s="1"/>
      <c r="CO1833" s="1"/>
      <c r="CP1833" s="1"/>
      <c r="CQ1833" s="1"/>
      <c r="CR1833" s="1"/>
      <c r="CS1833" s="1"/>
      <c r="CT1833" s="1"/>
      <c r="CU1833" s="1"/>
      <c r="CV1833" s="1"/>
      <c r="CW1833" s="1"/>
      <c r="CX1833" s="1"/>
      <c r="CY1833" s="1"/>
      <c r="CZ1833" s="1"/>
      <c r="DA1833" s="1"/>
      <c r="DB1833" s="1"/>
      <c r="DC1833" s="1"/>
    </row>
    <row r="1834" spans="1:107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  <c r="AP1834" s="1"/>
      <c r="AQ1834" s="1"/>
      <c r="AR1834" s="1"/>
      <c r="AS1834" s="1"/>
      <c r="AT1834" s="1"/>
      <c r="AU1834" s="1"/>
      <c r="AV1834" s="1"/>
      <c r="AW1834" s="1"/>
      <c r="AX1834" s="1"/>
      <c r="AY1834" s="1"/>
      <c r="AZ1834" s="1"/>
      <c r="BA1834" s="1"/>
      <c r="BB1834" s="1"/>
      <c r="BC1834" s="1"/>
      <c r="BD1834" s="1"/>
      <c r="BE1834" s="1"/>
      <c r="BF1834" s="1"/>
      <c r="BG1834" s="1"/>
      <c r="BH1834" s="1"/>
      <c r="BI1834" s="1"/>
      <c r="BJ1834" s="1"/>
      <c r="BK1834" s="1"/>
      <c r="BL1834" s="1"/>
      <c r="BM1834" s="1"/>
      <c r="BN1834" s="1"/>
      <c r="BO1834" s="1"/>
      <c r="BP1834" s="1"/>
      <c r="BQ1834" s="1"/>
      <c r="BR1834" s="1"/>
      <c r="BS1834" s="1"/>
      <c r="BT1834" s="1"/>
      <c r="BU1834" s="1"/>
      <c r="BV1834" s="1"/>
      <c r="BW1834" s="1"/>
      <c r="BX1834" s="1"/>
      <c r="BY1834" s="1"/>
      <c r="BZ1834" s="1"/>
      <c r="CA1834" s="1"/>
      <c r="CB1834" s="1"/>
      <c r="CC1834" s="1"/>
      <c r="CD1834" s="1"/>
      <c r="CE1834" s="1"/>
      <c r="CF1834" s="1"/>
      <c r="CG1834" s="1"/>
      <c r="CH1834" s="1"/>
      <c r="CI1834" s="1"/>
      <c r="CJ1834" s="1"/>
      <c r="CK1834" s="1"/>
      <c r="CL1834" s="1"/>
      <c r="CM1834" s="1"/>
      <c r="CN1834" s="1"/>
      <c r="CO1834" s="1"/>
      <c r="CP1834" s="1"/>
      <c r="CQ1834" s="1"/>
      <c r="CR1834" s="1"/>
      <c r="CS1834" s="1"/>
      <c r="CT1834" s="1"/>
      <c r="CU1834" s="1"/>
      <c r="CV1834" s="1"/>
      <c r="CW1834" s="1"/>
      <c r="CX1834" s="1"/>
      <c r="CY1834" s="1"/>
      <c r="CZ1834" s="1"/>
      <c r="DA1834" s="1"/>
      <c r="DB1834" s="1"/>
      <c r="DC1834" s="1"/>
    </row>
    <row r="1835" spans="1:107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  <c r="AS1835" s="1"/>
      <c r="AT1835" s="1"/>
      <c r="AU1835" s="1"/>
      <c r="AV1835" s="1"/>
      <c r="AW1835" s="1"/>
      <c r="AX1835" s="1"/>
      <c r="AY1835" s="1"/>
      <c r="AZ1835" s="1"/>
      <c r="BA1835" s="1"/>
      <c r="BB1835" s="1"/>
      <c r="BC1835" s="1"/>
      <c r="BD1835" s="1"/>
      <c r="BE1835" s="1"/>
      <c r="BF1835" s="1"/>
      <c r="BG1835" s="1"/>
      <c r="BH1835" s="1"/>
      <c r="BI1835" s="1"/>
      <c r="BJ1835" s="1"/>
      <c r="BK1835" s="1"/>
      <c r="BL1835" s="1"/>
      <c r="BM1835" s="1"/>
      <c r="BN1835" s="1"/>
      <c r="BO1835" s="1"/>
      <c r="BP1835" s="1"/>
      <c r="BQ1835" s="1"/>
      <c r="BR1835" s="1"/>
      <c r="BS1835" s="1"/>
      <c r="BT1835" s="1"/>
      <c r="BU1835" s="1"/>
      <c r="BV1835" s="1"/>
      <c r="BW1835" s="1"/>
      <c r="BX1835" s="1"/>
      <c r="BY1835" s="1"/>
      <c r="BZ1835" s="1"/>
      <c r="CA1835" s="1"/>
      <c r="CB1835" s="1"/>
      <c r="CC1835" s="1"/>
      <c r="CD1835" s="1"/>
      <c r="CE1835" s="1"/>
      <c r="CF1835" s="1"/>
      <c r="CG1835" s="1"/>
      <c r="CH1835" s="1"/>
      <c r="CI1835" s="1"/>
      <c r="CJ1835" s="1"/>
      <c r="CK1835" s="1"/>
      <c r="CL1835" s="1"/>
      <c r="CM1835" s="1"/>
      <c r="CN1835" s="1"/>
      <c r="CO1835" s="1"/>
      <c r="CP1835" s="1"/>
      <c r="CQ1835" s="1"/>
      <c r="CR1835" s="1"/>
      <c r="CS1835" s="1"/>
      <c r="CT1835" s="1"/>
      <c r="CU1835" s="1"/>
      <c r="CV1835" s="1"/>
      <c r="CW1835" s="1"/>
      <c r="CX1835" s="1"/>
      <c r="CY1835" s="1"/>
      <c r="CZ1835" s="1"/>
      <c r="DA1835" s="1"/>
      <c r="DB1835" s="1"/>
      <c r="DC1835" s="1"/>
    </row>
    <row r="1836" spans="1:107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  <c r="AR1836" s="1"/>
      <c r="AS1836" s="1"/>
      <c r="AT1836" s="1"/>
      <c r="AU1836" s="1"/>
      <c r="AV1836" s="1"/>
      <c r="AW1836" s="1"/>
      <c r="AX1836" s="1"/>
      <c r="AY1836" s="1"/>
      <c r="AZ1836" s="1"/>
      <c r="BA1836" s="1"/>
      <c r="BB1836" s="1"/>
      <c r="BC1836" s="1"/>
      <c r="BD1836" s="1"/>
      <c r="BE1836" s="1"/>
      <c r="BF1836" s="1"/>
      <c r="BG1836" s="1"/>
      <c r="BH1836" s="1"/>
      <c r="BI1836" s="1"/>
      <c r="BJ1836" s="1"/>
      <c r="BK1836" s="1"/>
      <c r="BL1836" s="1"/>
      <c r="BM1836" s="1"/>
      <c r="BN1836" s="1"/>
      <c r="BO1836" s="1"/>
      <c r="BP1836" s="1"/>
      <c r="BQ1836" s="1"/>
      <c r="BR1836" s="1"/>
      <c r="BS1836" s="1"/>
      <c r="BT1836" s="1"/>
      <c r="BU1836" s="1"/>
      <c r="BV1836" s="1"/>
      <c r="BW1836" s="1"/>
      <c r="BX1836" s="1"/>
      <c r="BY1836" s="1"/>
      <c r="BZ1836" s="1"/>
      <c r="CA1836" s="1"/>
      <c r="CB1836" s="1"/>
      <c r="CC1836" s="1"/>
      <c r="CD1836" s="1"/>
      <c r="CE1836" s="1"/>
      <c r="CF1836" s="1"/>
      <c r="CG1836" s="1"/>
      <c r="CH1836" s="1"/>
      <c r="CI1836" s="1"/>
      <c r="CJ1836" s="1"/>
      <c r="CK1836" s="1"/>
      <c r="CL1836" s="1"/>
      <c r="CM1836" s="1"/>
      <c r="CN1836" s="1"/>
      <c r="CO1836" s="1"/>
      <c r="CP1836" s="1"/>
      <c r="CQ1836" s="1"/>
      <c r="CR1836" s="1"/>
      <c r="CS1836" s="1"/>
      <c r="CT1836" s="1"/>
      <c r="CU1836" s="1"/>
      <c r="CV1836" s="1"/>
      <c r="CW1836" s="1"/>
      <c r="CX1836" s="1"/>
      <c r="CY1836" s="1"/>
      <c r="CZ1836" s="1"/>
      <c r="DA1836" s="1"/>
      <c r="DB1836" s="1"/>
      <c r="DC1836" s="1"/>
    </row>
    <row r="1837" spans="1:107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  <c r="AP1837" s="1"/>
      <c r="AQ1837" s="1"/>
      <c r="AR1837" s="1"/>
      <c r="AS1837" s="1"/>
      <c r="AT1837" s="1"/>
      <c r="AU1837" s="1"/>
      <c r="AV1837" s="1"/>
      <c r="AW1837" s="1"/>
      <c r="AX1837" s="1"/>
      <c r="AY1837" s="1"/>
      <c r="AZ1837" s="1"/>
      <c r="BA1837" s="1"/>
      <c r="BB1837" s="1"/>
      <c r="BC1837" s="1"/>
      <c r="BD1837" s="1"/>
      <c r="BE1837" s="1"/>
      <c r="BF1837" s="1"/>
      <c r="BG1837" s="1"/>
      <c r="BH1837" s="1"/>
      <c r="BI1837" s="1"/>
      <c r="BJ1837" s="1"/>
      <c r="BK1837" s="1"/>
      <c r="BL1837" s="1"/>
      <c r="BM1837" s="1"/>
      <c r="BN1837" s="1"/>
      <c r="BO1837" s="1"/>
      <c r="BP1837" s="1"/>
      <c r="BQ1837" s="1"/>
      <c r="BR1837" s="1"/>
      <c r="BS1837" s="1"/>
      <c r="BT1837" s="1"/>
      <c r="BU1837" s="1"/>
      <c r="BV1837" s="1"/>
      <c r="BW1837" s="1"/>
      <c r="BX1837" s="1"/>
      <c r="BY1837" s="1"/>
      <c r="BZ1837" s="1"/>
      <c r="CA1837" s="1"/>
      <c r="CB1837" s="1"/>
      <c r="CC1837" s="1"/>
      <c r="CD1837" s="1"/>
      <c r="CE1837" s="1"/>
      <c r="CF1837" s="1"/>
      <c r="CG1837" s="1"/>
      <c r="CH1837" s="1"/>
      <c r="CI1837" s="1"/>
      <c r="CJ1837" s="1"/>
      <c r="CK1837" s="1"/>
      <c r="CL1837" s="1"/>
      <c r="CM1837" s="1"/>
      <c r="CN1837" s="1"/>
      <c r="CO1837" s="1"/>
      <c r="CP1837" s="1"/>
      <c r="CQ1837" s="1"/>
      <c r="CR1837" s="1"/>
      <c r="CS1837" s="1"/>
      <c r="CT1837" s="1"/>
      <c r="CU1837" s="1"/>
      <c r="CV1837" s="1"/>
      <c r="CW1837" s="1"/>
      <c r="CX1837" s="1"/>
      <c r="CY1837" s="1"/>
      <c r="CZ1837" s="1"/>
      <c r="DA1837" s="1"/>
      <c r="DB1837" s="1"/>
      <c r="DC1837" s="1"/>
    </row>
    <row r="1838" spans="1:107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  <c r="AS1838" s="1"/>
      <c r="AT1838" s="1"/>
      <c r="AU1838" s="1"/>
      <c r="AV1838" s="1"/>
      <c r="AW1838" s="1"/>
      <c r="AX1838" s="1"/>
      <c r="AY1838" s="1"/>
      <c r="AZ1838" s="1"/>
      <c r="BA1838" s="1"/>
      <c r="BB1838" s="1"/>
      <c r="BC1838" s="1"/>
      <c r="BD1838" s="1"/>
      <c r="BE1838" s="1"/>
      <c r="BF1838" s="1"/>
      <c r="BG1838" s="1"/>
      <c r="BH1838" s="1"/>
      <c r="BI1838" s="1"/>
      <c r="BJ1838" s="1"/>
      <c r="BK1838" s="1"/>
      <c r="BL1838" s="1"/>
      <c r="BM1838" s="1"/>
      <c r="BN1838" s="1"/>
      <c r="BO1838" s="1"/>
      <c r="BP1838" s="1"/>
      <c r="BQ1838" s="1"/>
      <c r="BR1838" s="1"/>
      <c r="BS1838" s="1"/>
      <c r="BT1838" s="1"/>
      <c r="BU1838" s="1"/>
      <c r="BV1838" s="1"/>
      <c r="BW1838" s="1"/>
      <c r="BX1838" s="1"/>
      <c r="BY1838" s="1"/>
      <c r="BZ1838" s="1"/>
      <c r="CA1838" s="1"/>
      <c r="CB1838" s="1"/>
      <c r="CC1838" s="1"/>
      <c r="CD1838" s="1"/>
      <c r="CE1838" s="1"/>
      <c r="CF1838" s="1"/>
      <c r="CG1838" s="1"/>
      <c r="CH1838" s="1"/>
      <c r="CI1838" s="1"/>
      <c r="CJ1838" s="1"/>
      <c r="CK1838" s="1"/>
      <c r="CL1838" s="1"/>
      <c r="CM1838" s="1"/>
      <c r="CN1838" s="1"/>
      <c r="CO1838" s="1"/>
      <c r="CP1838" s="1"/>
      <c r="CQ1838" s="1"/>
      <c r="CR1838" s="1"/>
      <c r="CS1838" s="1"/>
      <c r="CT1838" s="1"/>
      <c r="CU1838" s="1"/>
      <c r="CV1838" s="1"/>
      <c r="CW1838" s="1"/>
      <c r="CX1838" s="1"/>
      <c r="CY1838" s="1"/>
      <c r="CZ1838" s="1"/>
      <c r="DA1838" s="1"/>
      <c r="DB1838" s="1"/>
      <c r="DC1838" s="1"/>
    </row>
    <row r="1839" spans="1:107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  <c r="AS1839" s="1"/>
      <c r="AT1839" s="1"/>
      <c r="AU1839" s="1"/>
      <c r="AV1839" s="1"/>
      <c r="AW1839" s="1"/>
      <c r="AX1839" s="1"/>
      <c r="AY1839" s="1"/>
      <c r="AZ1839" s="1"/>
      <c r="BA1839" s="1"/>
      <c r="BB1839" s="1"/>
      <c r="BC1839" s="1"/>
      <c r="BD1839" s="1"/>
      <c r="BE1839" s="1"/>
      <c r="BF1839" s="1"/>
      <c r="BG1839" s="1"/>
      <c r="BH1839" s="1"/>
      <c r="BI1839" s="1"/>
      <c r="BJ1839" s="1"/>
      <c r="BK1839" s="1"/>
      <c r="BL1839" s="1"/>
      <c r="BM1839" s="1"/>
      <c r="BN1839" s="1"/>
      <c r="BO1839" s="1"/>
      <c r="BP1839" s="1"/>
      <c r="BQ1839" s="1"/>
      <c r="BR1839" s="1"/>
      <c r="BS1839" s="1"/>
      <c r="BT1839" s="1"/>
      <c r="BU1839" s="1"/>
      <c r="BV1839" s="1"/>
      <c r="BW1839" s="1"/>
      <c r="BX1839" s="1"/>
      <c r="BY1839" s="1"/>
      <c r="BZ1839" s="1"/>
      <c r="CA1839" s="1"/>
      <c r="CB1839" s="1"/>
      <c r="CC1839" s="1"/>
      <c r="CD1839" s="1"/>
      <c r="CE1839" s="1"/>
      <c r="CF1839" s="1"/>
      <c r="CG1839" s="1"/>
      <c r="CH1839" s="1"/>
      <c r="CI1839" s="1"/>
      <c r="CJ1839" s="1"/>
      <c r="CK1839" s="1"/>
      <c r="CL1839" s="1"/>
      <c r="CM1839" s="1"/>
      <c r="CN1839" s="1"/>
      <c r="CO1839" s="1"/>
      <c r="CP1839" s="1"/>
      <c r="CQ1839" s="1"/>
      <c r="CR1839" s="1"/>
      <c r="CS1839" s="1"/>
      <c r="CT1839" s="1"/>
      <c r="CU1839" s="1"/>
      <c r="CV1839" s="1"/>
      <c r="CW1839" s="1"/>
      <c r="CX1839" s="1"/>
      <c r="CY1839" s="1"/>
      <c r="CZ1839" s="1"/>
      <c r="DA1839" s="1"/>
      <c r="DB1839" s="1"/>
      <c r="DC1839" s="1"/>
    </row>
    <row r="1840" spans="1:107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  <c r="AP1840" s="1"/>
      <c r="AQ1840" s="1"/>
      <c r="AR1840" s="1"/>
      <c r="AS1840" s="1"/>
      <c r="AT1840" s="1"/>
      <c r="AU1840" s="1"/>
      <c r="AV1840" s="1"/>
      <c r="AW1840" s="1"/>
      <c r="AX1840" s="1"/>
      <c r="AY1840" s="1"/>
      <c r="AZ1840" s="1"/>
      <c r="BA1840" s="1"/>
      <c r="BB1840" s="1"/>
      <c r="BC1840" s="1"/>
      <c r="BD1840" s="1"/>
      <c r="BE1840" s="1"/>
      <c r="BF1840" s="1"/>
      <c r="BG1840" s="1"/>
      <c r="BH1840" s="1"/>
      <c r="BI1840" s="1"/>
      <c r="BJ1840" s="1"/>
      <c r="BK1840" s="1"/>
      <c r="BL1840" s="1"/>
      <c r="BM1840" s="1"/>
      <c r="BN1840" s="1"/>
      <c r="BO1840" s="1"/>
      <c r="BP1840" s="1"/>
      <c r="BQ1840" s="1"/>
      <c r="BR1840" s="1"/>
      <c r="BS1840" s="1"/>
      <c r="BT1840" s="1"/>
      <c r="BU1840" s="1"/>
      <c r="BV1840" s="1"/>
      <c r="BW1840" s="1"/>
      <c r="BX1840" s="1"/>
      <c r="BY1840" s="1"/>
      <c r="BZ1840" s="1"/>
      <c r="CA1840" s="1"/>
      <c r="CB1840" s="1"/>
      <c r="CC1840" s="1"/>
      <c r="CD1840" s="1"/>
      <c r="CE1840" s="1"/>
      <c r="CF1840" s="1"/>
      <c r="CG1840" s="1"/>
      <c r="CH1840" s="1"/>
      <c r="CI1840" s="1"/>
      <c r="CJ1840" s="1"/>
      <c r="CK1840" s="1"/>
      <c r="CL1840" s="1"/>
      <c r="CM1840" s="1"/>
      <c r="CN1840" s="1"/>
      <c r="CO1840" s="1"/>
      <c r="CP1840" s="1"/>
      <c r="CQ1840" s="1"/>
      <c r="CR1840" s="1"/>
      <c r="CS1840" s="1"/>
      <c r="CT1840" s="1"/>
      <c r="CU1840" s="1"/>
      <c r="CV1840" s="1"/>
      <c r="CW1840" s="1"/>
      <c r="CX1840" s="1"/>
      <c r="CY1840" s="1"/>
      <c r="CZ1840" s="1"/>
      <c r="DA1840" s="1"/>
      <c r="DB1840" s="1"/>
      <c r="DC1840" s="1"/>
    </row>
    <row r="1841" spans="1:107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  <c r="AS1841" s="1"/>
      <c r="AT1841" s="1"/>
      <c r="AU1841" s="1"/>
      <c r="AV1841" s="1"/>
      <c r="AW1841" s="1"/>
      <c r="AX1841" s="1"/>
      <c r="AY1841" s="1"/>
      <c r="AZ1841" s="1"/>
      <c r="BA1841" s="1"/>
      <c r="BB1841" s="1"/>
      <c r="BC1841" s="1"/>
      <c r="BD1841" s="1"/>
      <c r="BE1841" s="1"/>
      <c r="BF1841" s="1"/>
      <c r="BG1841" s="1"/>
      <c r="BH1841" s="1"/>
      <c r="BI1841" s="1"/>
      <c r="BJ1841" s="1"/>
      <c r="BK1841" s="1"/>
      <c r="BL1841" s="1"/>
      <c r="BM1841" s="1"/>
      <c r="BN1841" s="1"/>
      <c r="BO1841" s="1"/>
      <c r="BP1841" s="1"/>
      <c r="BQ1841" s="1"/>
      <c r="BR1841" s="1"/>
      <c r="BS1841" s="1"/>
      <c r="BT1841" s="1"/>
      <c r="BU1841" s="1"/>
      <c r="BV1841" s="1"/>
      <c r="BW1841" s="1"/>
      <c r="BX1841" s="1"/>
      <c r="BY1841" s="1"/>
      <c r="BZ1841" s="1"/>
      <c r="CA1841" s="1"/>
      <c r="CB1841" s="1"/>
      <c r="CC1841" s="1"/>
      <c r="CD1841" s="1"/>
      <c r="CE1841" s="1"/>
      <c r="CF1841" s="1"/>
      <c r="CG1841" s="1"/>
      <c r="CH1841" s="1"/>
      <c r="CI1841" s="1"/>
      <c r="CJ1841" s="1"/>
      <c r="CK1841" s="1"/>
      <c r="CL1841" s="1"/>
      <c r="CM1841" s="1"/>
      <c r="CN1841" s="1"/>
      <c r="CO1841" s="1"/>
      <c r="CP1841" s="1"/>
      <c r="CQ1841" s="1"/>
      <c r="CR1841" s="1"/>
      <c r="CS1841" s="1"/>
      <c r="CT1841" s="1"/>
      <c r="CU1841" s="1"/>
      <c r="CV1841" s="1"/>
      <c r="CW1841" s="1"/>
      <c r="CX1841" s="1"/>
      <c r="CY1841" s="1"/>
      <c r="CZ1841" s="1"/>
      <c r="DA1841" s="1"/>
      <c r="DB1841" s="1"/>
      <c r="DC1841" s="1"/>
    </row>
    <row r="1842" spans="1:107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  <c r="AS1842" s="1"/>
      <c r="AT1842" s="1"/>
      <c r="AU1842" s="1"/>
      <c r="AV1842" s="1"/>
      <c r="AW1842" s="1"/>
      <c r="AX1842" s="1"/>
      <c r="AY1842" s="1"/>
      <c r="AZ1842" s="1"/>
      <c r="BA1842" s="1"/>
      <c r="BB1842" s="1"/>
      <c r="BC1842" s="1"/>
      <c r="BD1842" s="1"/>
      <c r="BE1842" s="1"/>
      <c r="BF1842" s="1"/>
      <c r="BG1842" s="1"/>
      <c r="BH1842" s="1"/>
      <c r="BI1842" s="1"/>
      <c r="BJ1842" s="1"/>
      <c r="BK1842" s="1"/>
      <c r="BL1842" s="1"/>
      <c r="BM1842" s="1"/>
      <c r="BN1842" s="1"/>
      <c r="BO1842" s="1"/>
      <c r="BP1842" s="1"/>
      <c r="BQ1842" s="1"/>
      <c r="BR1842" s="1"/>
      <c r="BS1842" s="1"/>
      <c r="BT1842" s="1"/>
      <c r="BU1842" s="1"/>
      <c r="BV1842" s="1"/>
      <c r="BW1842" s="1"/>
      <c r="BX1842" s="1"/>
      <c r="BY1842" s="1"/>
      <c r="BZ1842" s="1"/>
      <c r="CA1842" s="1"/>
      <c r="CB1842" s="1"/>
      <c r="CC1842" s="1"/>
      <c r="CD1842" s="1"/>
      <c r="CE1842" s="1"/>
      <c r="CF1842" s="1"/>
      <c r="CG1842" s="1"/>
      <c r="CH1842" s="1"/>
      <c r="CI1842" s="1"/>
      <c r="CJ1842" s="1"/>
      <c r="CK1842" s="1"/>
      <c r="CL1842" s="1"/>
      <c r="CM1842" s="1"/>
      <c r="CN1842" s="1"/>
      <c r="CO1842" s="1"/>
      <c r="CP1842" s="1"/>
      <c r="CQ1842" s="1"/>
      <c r="CR1842" s="1"/>
      <c r="CS1842" s="1"/>
      <c r="CT1842" s="1"/>
      <c r="CU1842" s="1"/>
      <c r="CV1842" s="1"/>
      <c r="CW1842" s="1"/>
      <c r="CX1842" s="1"/>
      <c r="CY1842" s="1"/>
      <c r="CZ1842" s="1"/>
      <c r="DA1842" s="1"/>
      <c r="DB1842" s="1"/>
      <c r="DC1842" s="1"/>
    </row>
    <row r="1843" spans="1:107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  <c r="AR1843" s="1"/>
      <c r="AS1843" s="1"/>
      <c r="AT1843" s="1"/>
      <c r="AU1843" s="1"/>
      <c r="AV1843" s="1"/>
      <c r="AW1843" s="1"/>
      <c r="AX1843" s="1"/>
      <c r="AY1843" s="1"/>
      <c r="AZ1843" s="1"/>
      <c r="BA1843" s="1"/>
      <c r="BB1843" s="1"/>
      <c r="BC1843" s="1"/>
      <c r="BD1843" s="1"/>
      <c r="BE1843" s="1"/>
      <c r="BF1843" s="1"/>
      <c r="BG1843" s="1"/>
      <c r="BH1843" s="1"/>
      <c r="BI1843" s="1"/>
      <c r="BJ1843" s="1"/>
      <c r="BK1843" s="1"/>
      <c r="BL1843" s="1"/>
      <c r="BM1843" s="1"/>
      <c r="BN1843" s="1"/>
      <c r="BO1843" s="1"/>
      <c r="BP1843" s="1"/>
      <c r="BQ1843" s="1"/>
      <c r="BR1843" s="1"/>
      <c r="BS1843" s="1"/>
      <c r="BT1843" s="1"/>
      <c r="BU1843" s="1"/>
      <c r="BV1843" s="1"/>
      <c r="BW1843" s="1"/>
      <c r="BX1843" s="1"/>
      <c r="BY1843" s="1"/>
      <c r="BZ1843" s="1"/>
      <c r="CA1843" s="1"/>
      <c r="CB1843" s="1"/>
      <c r="CC1843" s="1"/>
      <c r="CD1843" s="1"/>
      <c r="CE1843" s="1"/>
      <c r="CF1843" s="1"/>
      <c r="CG1843" s="1"/>
      <c r="CH1843" s="1"/>
      <c r="CI1843" s="1"/>
      <c r="CJ1843" s="1"/>
      <c r="CK1843" s="1"/>
      <c r="CL1843" s="1"/>
      <c r="CM1843" s="1"/>
      <c r="CN1843" s="1"/>
      <c r="CO1843" s="1"/>
      <c r="CP1843" s="1"/>
      <c r="CQ1843" s="1"/>
      <c r="CR1843" s="1"/>
      <c r="CS1843" s="1"/>
      <c r="CT1843" s="1"/>
      <c r="CU1843" s="1"/>
      <c r="CV1843" s="1"/>
      <c r="CW1843" s="1"/>
      <c r="CX1843" s="1"/>
      <c r="CY1843" s="1"/>
      <c r="CZ1843" s="1"/>
      <c r="DA1843" s="1"/>
      <c r="DB1843" s="1"/>
      <c r="DC1843" s="1"/>
    </row>
    <row r="1844" spans="1:107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  <c r="AP1844" s="1"/>
      <c r="AQ1844" s="1"/>
      <c r="AR1844" s="1"/>
      <c r="AS1844" s="1"/>
      <c r="AT1844" s="1"/>
      <c r="AU1844" s="1"/>
      <c r="AV1844" s="1"/>
      <c r="AW1844" s="1"/>
      <c r="AX1844" s="1"/>
      <c r="AY1844" s="1"/>
      <c r="AZ1844" s="1"/>
      <c r="BA1844" s="1"/>
      <c r="BB1844" s="1"/>
      <c r="BC1844" s="1"/>
      <c r="BD1844" s="1"/>
      <c r="BE1844" s="1"/>
      <c r="BF1844" s="1"/>
      <c r="BG1844" s="1"/>
      <c r="BH1844" s="1"/>
      <c r="BI1844" s="1"/>
      <c r="BJ1844" s="1"/>
      <c r="BK1844" s="1"/>
      <c r="BL1844" s="1"/>
      <c r="BM1844" s="1"/>
      <c r="BN1844" s="1"/>
      <c r="BO1844" s="1"/>
      <c r="BP1844" s="1"/>
      <c r="BQ1844" s="1"/>
      <c r="BR1844" s="1"/>
      <c r="BS1844" s="1"/>
      <c r="BT1844" s="1"/>
      <c r="BU1844" s="1"/>
      <c r="BV1844" s="1"/>
      <c r="BW1844" s="1"/>
      <c r="BX1844" s="1"/>
      <c r="BY1844" s="1"/>
      <c r="BZ1844" s="1"/>
      <c r="CA1844" s="1"/>
      <c r="CB1844" s="1"/>
      <c r="CC1844" s="1"/>
      <c r="CD1844" s="1"/>
      <c r="CE1844" s="1"/>
      <c r="CF1844" s="1"/>
      <c r="CG1844" s="1"/>
      <c r="CH1844" s="1"/>
      <c r="CI1844" s="1"/>
      <c r="CJ1844" s="1"/>
      <c r="CK1844" s="1"/>
      <c r="CL1844" s="1"/>
      <c r="CM1844" s="1"/>
      <c r="CN1844" s="1"/>
      <c r="CO1844" s="1"/>
      <c r="CP1844" s="1"/>
      <c r="CQ1844" s="1"/>
      <c r="CR1844" s="1"/>
      <c r="CS1844" s="1"/>
      <c r="CT1844" s="1"/>
      <c r="CU1844" s="1"/>
      <c r="CV1844" s="1"/>
      <c r="CW1844" s="1"/>
      <c r="CX1844" s="1"/>
      <c r="CY1844" s="1"/>
      <c r="CZ1844" s="1"/>
      <c r="DA1844" s="1"/>
      <c r="DB1844" s="1"/>
      <c r="DC1844" s="1"/>
    </row>
    <row r="1845" spans="1:107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  <c r="AS1845" s="1"/>
      <c r="AT1845" s="1"/>
      <c r="AU1845" s="1"/>
      <c r="AV1845" s="1"/>
      <c r="AW1845" s="1"/>
      <c r="AX1845" s="1"/>
      <c r="AY1845" s="1"/>
      <c r="AZ1845" s="1"/>
      <c r="BA1845" s="1"/>
      <c r="BB1845" s="1"/>
      <c r="BC1845" s="1"/>
      <c r="BD1845" s="1"/>
      <c r="BE1845" s="1"/>
      <c r="BF1845" s="1"/>
      <c r="BG1845" s="1"/>
      <c r="BH1845" s="1"/>
      <c r="BI1845" s="1"/>
      <c r="BJ1845" s="1"/>
      <c r="BK1845" s="1"/>
      <c r="BL1845" s="1"/>
      <c r="BM1845" s="1"/>
      <c r="BN1845" s="1"/>
      <c r="BO1845" s="1"/>
      <c r="BP1845" s="1"/>
      <c r="BQ1845" s="1"/>
      <c r="BR1845" s="1"/>
      <c r="BS1845" s="1"/>
      <c r="BT1845" s="1"/>
      <c r="BU1845" s="1"/>
      <c r="BV1845" s="1"/>
      <c r="BW1845" s="1"/>
      <c r="BX1845" s="1"/>
      <c r="BY1845" s="1"/>
      <c r="BZ1845" s="1"/>
      <c r="CA1845" s="1"/>
      <c r="CB1845" s="1"/>
      <c r="CC1845" s="1"/>
      <c r="CD1845" s="1"/>
      <c r="CE1845" s="1"/>
      <c r="CF1845" s="1"/>
      <c r="CG1845" s="1"/>
      <c r="CH1845" s="1"/>
      <c r="CI1845" s="1"/>
      <c r="CJ1845" s="1"/>
      <c r="CK1845" s="1"/>
      <c r="CL1845" s="1"/>
      <c r="CM1845" s="1"/>
      <c r="CN1845" s="1"/>
      <c r="CO1845" s="1"/>
      <c r="CP1845" s="1"/>
      <c r="CQ1845" s="1"/>
      <c r="CR1845" s="1"/>
      <c r="CS1845" s="1"/>
      <c r="CT1845" s="1"/>
      <c r="CU1845" s="1"/>
      <c r="CV1845" s="1"/>
      <c r="CW1845" s="1"/>
      <c r="CX1845" s="1"/>
      <c r="CY1845" s="1"/>
      <c r="CZ1845" s="1"/>
      <c r="DA1845" s="1"/>
      <c r="DB1845" s="1"/>
      <c r="DC1845" s="1"/>
    </row>
    <row r="1846" spans="1:107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  <c r="AR1846" s="1"/>
      <c r="AS1846" s="1"/>
      <c r="AT1846" s="1"/>
      <c r="AU1846" s="1"/>
      <c r="AV1846" s="1"/>
      <c r="AW1846" s="1"/>
      <c r="AX1846" s="1"/>
      <c r="AY1846" s="1"/>
      <c r="AZ1846" s="1"/>
      <c r="BA1846" s="1"/>
      <c r="BB1846" s="1"/>
      <c r="BC1846" s="1"/>
      <c r="BD1846" s="1"/>
      <c r="BE1846" s="1"/>
      <c r="BF1846" s="1"/>
      <c r="BG1846" s="1"/>
      <c r="BH1846" s="1"/>
      <c r="BI1846" s="1"/>
      <c r="BJ1846" s="1"/>
      <c r="BK1846" s="1"/>
      <c r="BL1846" s="1"/>
      <c r="BM1846" s="1"/>
      <c r="BN1846" s="1"/>
      <c r="BO1846" s="1"/>
      <c r="BP1846" s="1"/>
      <c r="BQ1846" s="1"/>
      <c r="BR1846" s="1"/>
      <c r="BS1846" s="1"/>
      <c r="BT1846" s="1"/>
      <c r="BU1846" s="1"/>
      <c r="BV1846" s="1"/>
      <c r="BW1846" s="1"/>
      <c r="BX1846" s="1"/>
      <c r="BY1846" s="1"/>
      <c r="BZ1846" s="1"/>
      <c r="CA1846" s="1"/>
      <c r="CB1846" s="1"/>
      <c r="CC1846" s="1"/>
      <c r="CD1846" s="1"/>
      <c r="CE1846" s="1"/>
      <c r="CF1846" s="1"/>
      <c r="CG1846" s="1"/>
      <c r="CH1846" s="1"/>
      <c r="CI1846" s="1"/>
      <c r="CJ1846" s="1"/>
      <c r="CK1846" s="1"/>
      <c r="CL1846" s="1"/>
      <c r="CM1846" s="1"/>
      <c r="CN1846" s="1"/>
      <c r="CO1846" s="1"/>
      <c r="CP1846" s="1"/>
      <c r="CQ1846" s="1"/>
      <c r="CR1846" s="1"/>
      <c r="CS1846" s="1"/>
      <c r="CT1846" s="1"/>
      <c r="CU1846" s="1"/>
      <c r="CV1846" s="1"/>
      <c r="CW1846" s="1"/>
      <c r="CX1846" s="1"/>
      <c r="CY1846" s="1"/>
      <c r="CZ1846" s="1"/>
      <c r="DA1846" s="1"/>
      <c r="DB1846" s="1"/>
      <c r="DC1846" s="1"/>
    </row>
    <row r="1847" spans="1:107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  <c r="AT1847" s="1"/>
      <c r="AU1847" s="1"/>
      <c r="AV1847" s="1"/>
      <c r="AW1847" s="1"/>
      <c r="AX1847" s="1"/>
      <c r="AY1847" s="1"/>
      <c r="AZ1847" s="1"/>
      <c r="BA1847" s="1"/>
      <c r="BB1847" s="1"/>
      <c r="BC1847" s="1"/>
      <c r="BD1847" s="1"/>
      <c r="BE1847" s="1"/>
      <c r="BF1847" s="1"/>
      <c r="BG1847" s="1"/>
      <c r="BH1847" s="1"/>
      <c r="BI1847" s="1"/>
      <c r="BJ1847" s="1"/>
      <c r="BK1847" s="1"/>
      <c r="BL1847" s="1"/>
      <c r="BM1847" s="1"/>
      <c r="BN1847" s="1"/>
      <c r="BO1847" s="1"/>
      <c r="BP1847" s="1"/>
      <c r="BQ1847" s="1"/>
      <c r="BR1847" s="1"/>
      <c r="BS1847" s="1"/>
      <c r="BT1847" s="1"/>
      <c r="BU1847" s="1"/>
      <c r="BV1847" s="1"/>
      <c r="BW1847" s="1"/>
      <c r="BX1847" s="1"/>
      <c r="BY1847" s="1"/>
      <c r="BZ1847" s="1"/>
      <c r="CA1847" s="1"/>
      <c r="CB1847" s="1"/>
      <c r="CC1847" s="1"/>
      <c r="CD1847" s="1"/>
      <c r="CE1847" s="1"/>
      <c r="CF1847" s="1"/>
      <c r="CG1847" s="1"/>
      <c r="CH1847" s="1"/>
      <c r="CI1847" s="1"/>
      <c r="CJ1847" s="1"/>
      <c r="CK1847" s="1"/>
      <c r="CL1847" s="1"/>
      <c r="CM1847" s="1"/>
      <c r="CN1847" s="1"/>
      <c r="CO1847" s="1"/>
      <c r="CP1847" s="1"/>
      <c r="CQ1847" s="1"/>
      <c r="CR1847" s="1"/>
      <c r="CS1847" s="1"/>
      <c r="CT1847" s="1"/>
      <c r="CU1847" s="1"/>
      <c r="CV1847" s="1"/>
      <c r="CW1847" s="1"/>
      <c r="CX1847" s="1"/>
      <c r="CY1847" s="1"/>
      <c r="CZ1847" s="1"/>
      <c r="DA1847" s="1"/>
      <c r="DB1847" s="1"/>
      <c r="DC1847" s="1"/>
    </row>
    <row r="1848" spans="1:107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/>
      <c r="AR1848" s="1"/>
      <c r="AS1848" s="1"/>
      <c r="AT1848" s="1"/>
      <c r="AU1848" s="1"/>
      <c r="AV1848" s="1"/>
      <c r="AW1848" s="1"/>
      <c r="AX1848" s="1"/>
      <c r="AY1848" s="1"/>
      <c r="AZ1848" s="1"/>
      <c r="BA1848" s="1"/>
      <c r="BB1848" s="1"/>
      <c r="BC1848" s="1"/>
      <c r="BD1848" s="1"/>
      <c r="BE1848" s="1"/>
      <c r="BF1848" s="1"/>
      <c r="BG1848" s="1"/>
      <c r="BH1848" s="1"/>
      <c r="BI1848" s="1"/>
      <c r="BJ1848" s="1"/>
      <c r="BK1848" s="1"/>
      <c r="BL1848" s="1"/>
      <c r="BM1848" s="1"/>
      <c r="BN1848" s="1"/>
      <c r="BO1848" s="1"/>
      <c r="BP1848" s="1"/>
      <c r="BQ1848" s="1"/>
      <c r="BR1848" s="1"/>
      <c r="BS1848" s="1"/>
      <c r="BT1848" s="1"/>
      <c r="BU1848" s="1"/>
      <c r="BV1848" s="1"/>
      <c r="BW1848" s="1"/>
      <c r="BX1848" s="1"/>
      <c r="BY1848" s="1"/>
      <c r="BZ1848" s="1"/>
      <c r="CA1848" s="1"/>
      <c r="CB1848" s="1"/>
      <c r="CC1848" s="1"/>
      <c r="CD1848" s="1"/>
      <c r="CE1848" s="1"/>
      <c r="CF1848" s="1"/>
      <c r="CG1848" s="1"/>
      <c r="CH1848" s="1"/>
      <c r="CI1848" s="1"/>
      <c r="CJ1848" s="1"/>
      <c r="CK1848" s="1"/>
      <c r="CL1848" s="1"/>
      <c r="CM1848" s="1"/>
      <c r="CN1848" s="1"/>
      <c r="CO1848" s="1"/>
      <c r="CP1848" s="1"/>
      <c r="CQ1848" s="1"/>
      <c r="CR1848" s="1"/>
      <c r="CS1848" s="1"/>
      <c r="CT1848" s="1"/>
      <c r="CU1848" s="1"/>
      <c r="CV1848" s="1"/>
      <c r="CW1848" s="1"/>
      <c r="CX1848" s="1"/>
      <c r="CY1848" s="1"/>
      <c r="CZ1848" s="1"/>
      <c r="DA1848" s="1"/>
      <c r="DB1848" s="1"/>
      <c r="DC1848" s="1"/>
    </row>
    <row r="1849" spans="1:107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  <c r="AS1849" s="1"/>
      <c r="AT1849" s="1"/>
      <c r="AU1849" s="1"/>
      <c r="AV1849" s="1"/>
      <c r="AW1849" s="1"/>
      <c r="AX1849" s="1"/>
      <c r="AY1849" s="1"/>
      <c r="AZ1849" s="1"/>
      <c r="BA1849" s="1"/>
      <c r="BB1849" s="1"/>
      <c r="BC1849" s="1"/>
      <c r="BD1849" s="1"/>
      <c r="BE1849" s="1"/>
      <c r="BF1849" s="1"/>
      <c r="BG1849" s="1"/>
      <c r="BH1849" s="1"/>
      <c r="BI1849" s="1"/>
      <c r="BJ1849" s="1"/>
      <c r="BK1849" s="1"/>
      <c r="BL1849" s="1"/>
      <c r="BM1849" s="1"/>
      <c r="BN1849" s="1"/>
      <c r="BO1849" s="1"/>
      <c r="BP1849" s="1"/>
      <c r="BQ1849" s="1"/>
      <c r="BR1849" s="1"/>
      <c r="BS1849" s="1"/>
      <c r="BT1849" s="1"/>
      <c r="BU1849" s="1"/>
      <c r="BV1849" s="1"/>
      <c r="BW1849" s="1"/>
      <c r="BX1849" s="1"/>
      <c r="BY1849" s="1"/>
      <c r="BZ1849" s="1"/>
      <c r="CA1849" s="1"/>
      <c r="CB1849" s="1"/>
      <c r="CC1849" s="1"/>
      <c r="CD1849" s="1"/>
      <c r="CE1849" s="1"/>
      <c r="CF1849" s="1"/>
      <c r="CG1849" s="1"/>
      <c r="CH1849" s="1"/>
      <c r="CI1849" s="1"/>
      <c r="CJ1849" s="1"/>
      <c r="CK1849" s="1"/>
      <c r="CL1849" s="1"/>
      <c r="CM1849" s="1"/>
      <c r="CN1849" s="1"/>
      <c r="CO1849" s="1"/>
      <c r="CP1849" s="1"/>
      <c r="CQ1849" s="1"/>
      <c r="CR1849" s="1"/>
      <c r="CS1849" s="1"/>
      <c r="CT1849" s="1"/>
      <c r="CU1849" s="1"/>
      <c r="CV1849" s="1"/>
      <c r="CW1849" s="1"/>
      <c r="CX1849" s="1"/>
      <c r="CY1849" s="1"/>
      <c r="CZ1849" s="1"/>
      <c r="DA1849" s="1"/>
      <c r="DB1849" s="1"/>
      <c r="DC1849" s="1"/>
    </row>
    <row r="1850" spans="1:107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  <c r="AS1850" s="1"/>
      <c r="AT1850" s="1"/>
      <c r="AU1850" s="1"/>
      <c r="AV1850" s="1"/>
      <c r="AW1850" s="1"/>
      <c r="AX1850" s="1"/>
      <c r="AY1850" s="1"/>
      <c r="AZ1850" s="1"/>
      <c r="BA1850" s="1"/>
      <c r="BB1850" s="1"/>
      <c r="BC1850" s="1"/>
      <c r="BD1850" s="1"/>
      <c r="BE1850" s="1"/>
      <c r="BF1850" s="1"/>
      <c r="BG1850" s="1"/>
      <c r="BH1850" s="1"/>
      <c r="BI1850" s="1"/>
      <c r="BJ1850" s="1"/>
      <c r="BK1850" s="1"/>
      <c r="BL1850" s="1"/>
      <c r="BM1850" s="1"/>
      <c r="BN1850" s="1"/>
      <c r="BO1850" s="1"/>
      <c r="BP1850" s="1"/>
      <c r="BQ1850" s="1"/>
      <c r="BR1850" s="1"/>
      <c r="BS1850" s="1"/>
      <c r="BT1850" s="1"/>
      <c r="BU1850" s="1"/>
      <c r="BV1850" s="1"/>
      <c r="BW1850" s="1"/>
      <c r="BX1850" s="1"/>
      <c r="BY1850" s="1"/>
      <c r="BZ1850" s="1"/>
      <c r="CA1850" s="1"/>
      <c r="CB1850" s="1"/>
      <c r="CC1850" s="1"/>
      <c r="CD1850" s="1"/>
      <c r="CE1850" s="1"/>
      <c r="CF1850" s="1"/>
      <c r="CG1850" s="1"/>
      <c r="CH1850" s="1"/>
      <c r="CI1850" s="1"/>
      <c r="CJ1850" s="1"/>
      <c r="CK1850" s="1"/>
      <c r="CL1850" s="1"/>
      <c r="CM1850" s="1"/>
      <c r="CN1850" s="1"/>
      <c r="CO1850" s="1"/>
      <c r="CP1850" s="1"/>
      <c r="CQ1850" s="1"/>
      <c r="CR1850" s="1"/>
      <c r="CS1850" s="1"/>
      <c r="CT1850" s="1"/>
      <c r="CU1850" s="1"/>
      <c r="CV1850" s="1"/>
      <c r="CW1850" s="1"/>
      <c r="CX1850" s="1"/>
      <c r="CY1850" s="1"/>
      <c r="CZ1850" s="1"/>
      <c r="DA1850" s="1"/>
      <c r="DB1850" s="1"/>
      <c r="DC1850" s="1"/>
    </row>
    <row r="1851" spans="1:107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  <c r="AO1851" s="1"/>
      <c r="AP1851" s="1"/>
      <c r="AQ1851" s="1"/>
      <c r="AR1851" s="1"/>
      <c r="AS1851" s="1"/>
      <c r="AT1851" s="1"/>
      <c r="AU1851" s="1"/>
      <c r="AV1851" s="1"/>
      <c r="AW1851" s="1"/>
      <c r="AX1851" s="1"/>
      <c r="AY1851" s="1"/>
      <c r="AZ1851" s="1"/>
      <c r="BA1851" s="1"/>
      <c r="BB1851" s="1"/>
      <c r="BC1851" s="1"/>
      <c r="BD1851" s="1"/>
      <c r="BE1851" s="1"/>
      <c r="BF1851" s="1"/>
      <c r="BG1851" s="1"/>
      <c r="BH1851" s="1"/>
      <c r="BI1851" s="1"/>
      <c r="BJ1851" s="1"/>
      <c r="BK1851" s="1"/>
      <c r="BL1851" s="1"/>
      <c r="BM1851" s="1"/>
      <c r="BN1851" s="1"/>
      <c r="BO1851" s="1"/>
      <c r="BP1851" s="1"/>
      <c r="BQ1851" s="1"/>
      <c r="BR1851" s="1"/>
      <c r="BS1851" s="1"/>
      <c r="BT1851" s="1"/>
      <c r="BU1851" s="1"/>
      <c r="BV1851" s="1"/>
      <c r="BW1851" s="1"/>
      <c r="BX1851" s="1"/>
      <c r="BY1851" s="1"/>
      <c r="BZ1851" s="1"/>
      <c r="CA1851" s="1"/>
      <c r="CB1851" s="1"/>
      <c r="CC1851" s="1"/>
      <c r="CD1851" s="1"/>
      <c r="CE1851" s="1"/>
      <c r="CF1851" s="1"/>
      <c r="CG1851" s="1"/>
      <c r="CH1851" s="1"/>
      <c r="CI1851" s="1"/>
      <c r="CJ1851" s="1"/>
      <c r="CK1851" s="1"/>
      <c r="CL1851" s="1"/>
      <c r="CM1851" s="1"/>
      <c r="CN1851" s="1"/>
      <c r="CO1851" s="1"/>
      <c r="CP1851" s="1"/>
      <c r="CQ1851" s="1"/>
      <c r="CR1851" s="1"/>
      <c r="CS1851" s="1"/>
      <c r="CT1851" s="1"/>
      <c r="CU1851" s="1"/>
      <c r="CV1851" s="1"/>
      <c r="CW1851" s="1"/>
      <c r="CX1851" s="1"/>
      <c r="CY1851" s="1"/>
      <c r="CZ1851" s="1"/>
      <c r="DA1851" s="1"/>
      <c r="DB1851" s="1"/>
      <c r="DC1851" s="1"/>
    </row>
    <row r="1852" spans="1:107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  <c r="AP1852" s="1"/>
      <c r="AQ1852" s="1"/>
      <c r="AR1852" s="1"/>
      <c r="AS1852" s="1"/>
      <c r="AT1852" s="1"/>
      <c r="AU1852" s="1"/>
      <c r="AV1852" s="1"/>
      <c r="AW1852" s="1"/>
      <c r="AX1852" s="1"/>
      <c r="AY1852" s="1"/>
      <c r="AZ1852" s="1"/>
      <c r="BA1852" s="1"/>
      <c r="BB1852" s="1"/>
      <c r="BC1852" s="1"/>
      <c r="BD1852" s="1"/>
      <c r="BE1852" s="1"/>
      <c r="BF1852" s="1"/>
      <c r="BG1852" s="1"/>
      <c r="BH1852" s="1"/>
      <c r="BI1852" s="1"/>
      <c r="BJ1852" s="1"/>
      <c r="BK1852" s="1"/>
      <c r="BL1852" s="1"/>
      <c r="BM1852" s="1"/>
      <c r="BN1852" s="1"/>
      <c r="BO1852" s="1"/>
      <c r="BP1852" s="1"/>
      <c r="BQ1852" s="1"/>
      <c r="BR1852" s="1"/>
      <c r="BS1852" s="1"/>
      <c r="BT1852" s="1"/>
      <c r="BU1852" s="1"/>
      <c r="BV1852" s="1"/>
      <c r="BW1852" s="1"/>
      <c r="BX1852" s="1"/>
      <c r="BY1852" s="1"/>
      <c r="BZ1852" s="1"/>
      <c r="CA1852" s="1"/>
      <c r="CB1852" s="1"/>
      <c r="CC1852" s="1"/>
      <c r="CD1852" s="1"/>
      <c r="CE1852" s="1"/>
      <c r="CF1852" s="1"/>
      <c r="CG1852" s="1"/>
      <c r="CH1852" s="1"/>
      <c r="CI1852" s="1"/>
      <c r="CJ1852" s="1"/>
      <c r="CK1852" s="1"/>
      <c r="CL1852" s="1"/>
      <c r="CM1852" s="1"/>
      <c r="CN1852" s="1"/>
      <c r="CO1852" s="1"/>
      <c r="CP1852" s="1"/>
      <c r="CQ1852" s="1"/>
      <c r="CR1852" s="1"/>
      <c r="CS1852" s="1"/>
      <c r="CT1852" s="1"/>
      <c r="CU1852" s="1"/>
      <c r="CV1852" s="1"/>
      <c r="CW1852" s="1"/>
      <c r="CX1852" s="1"/>
      <c r="CY1852" s="1"/>
      <c r="CZ1852" s="1"/>
      <c r="DA1852" s="1"/>
      <c r="DB1852" s="1"/>
      <c r="DC1852" s="1"/>
    </row>
    <row r="1853" spans="1:107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  <c r="AS1853" s="1"/>
      <c r="AT1853" s="1"/>
      <c r="AU1853" s="1"/>
      <c r="AV1853" s="1"/>
      <c r="AW1853" s="1"/>
      <c r="AX1853" s="1"/>
      <c r="AY1853" s="1"/>
      <c r="AZ1853" s="1"/>
      <c r="BA1853" s="1"/>
      <c r="BB1853" s="1"/>
      <c r="BC1853" s="1"/>
      <c r="BD1853" s="1"/>
      <c r="BE1853" s="1"/>
      <c r="BF1853" s="1"/>
      <c r="BG1853" s="1"/>
      <c r="BH1853" s="1"/>
      <c r="BI1853" s="1"/>
      <c r="BJ1853" s="1"/>
      <c r="BK1853" s="1"/>
      <c r="BL1853" s="1"/>
      <c r="BM1853" s="1"/>
      <c r="BN1853" s="1"/>
      <c r="BO1853" s="1"/>
      <c r="BP1853" s="1"/>
      <c r="BQ1853" s="1"/>
      <c r="BR1853" s="1"/>
      <c r="BS1853" s="1"/>
      <c r="BT1853" s="1"/>
      <c r="BU1853" s="1"/>
      <c r="BV1853" s="1"/>
      <c r="BW1853" s="1"/>
      <c r="BX1853" s="1"/>
      <c r="BY1853" s="1"/>
      <c r="BZ1853" s="1"/>
      <c r="CA1853" s="1"/>
      <c r="CB1853" s="1"/>
      <c r="CC1853" s="1"/>
      <c r="CD1853" s="1"/>
      <c r="CE1853" s="1"/>
      <c r="CF1853" s="1"/>
      <c r="CG1853" s="1"/>
      <c r="CH1853" s="1"/>
      <c r="CI1853" s="1"/>
      <c r="CJ1853" s="1"/>
      <c r="CK1853" s="1"/>
      <c r="CL1853" s="1"/>
      <c r="CM1853" s="1"/>
      <c r="CN1853" s="1"/>
      <c r="CO1853" s="1"/>
      <c r="CP1853" s="1"/>
      <c r="CQ1853" s="1"/>
      <c r="CR1853" s="1"/>
      <c r="CS1853" s="1"/>
      <c r="CT1853" s="1"/>
      <c r="CU1853" s="1"/>
      <c r="CV1853" s="1"/>
      <c r="CW1853" s="1"/>
      <c r="CX1853" s="1"/>
      <c r="CY1853" s="1"/>
      <c r="CZ1853" s="1"/>
      <c r="DA1853" s="1"/>
      <c r="DB1853" s="1"/>
      <c r="DC1853" s="1"/>
    </row>
    <row r="1854" spans="1:107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/>
      <c r="AR1854" s="1"/>
      <c r="AS1854" s="1"/>
      <c r="AT1854" s="1"/>
      <c r="AU1854" s="1"/>
      <c r="AV1854" s="1"/>
      <c r="AW1854" s="1"/>
      <c r="AX1854" s="1"/>
      <c r="AY1854" s="1"/>
      <c r="AZ1854" s="1"/>
      <c r="BA1854" s="1"/>
      <c r="BB1854" s="1"/>
      <c r="BC1854" s="1"/>
      <c r="BD1854" s="1"/>
      <c r="BE1854" s="1"/>
      <c r="BF1854" s="1"/>
      <c r="BG1854" s="1"/>
      <c r="BH1854" s="1"/>
      <c r="BI1854" s="1"/>
      <c r="BJ1854" s="1"/>
      <c r="BK1854" s="1"/>
      <c r="BL1854" s="1"/>
      <c r="BM1854" s="1"/>
      <c r="BN1854" s="1"/>
      <c r="BO1854" s="1"/>
      <c r="BP1854" s="1"/>
      <c r="BQ1854" s="1"/>
      <c r="BR1854" s="1"/>
      <c r="BS1854" s="1"/>
      <c r="BT1854" s="1"/>
      <c r="BU1854" s="1"/>
      <c r="BV1854" s="1"/>
      <c r="BW1854" s="1"/>
      <c r="BX1854" s="1"/>
      <c r="BY1854" s="1"/>
      <c r="BZ1854" s="1"/>
      <c r="CA1854" s="1"/>
      <c r="CB1854" s="1"/>
      <c r="CC1854" s="1"/>
      <c r="CD1854" s="1"/>
      <c r="CE1854" s="1"/>
      <c r="CF1854" s="1"/>
      <c r="CG1854" s="1"/>
      <c r="CH1854" s="1"/>
      <c r="CI1854" s="1"/>
      <c r="CJ1854" s="1"/>
      <c r="CK1854" s="1"/>
      <c r="CL1854" s="1"/>
      <c r="CM1854" s="1"/>
      <c r="CN1854" s="1"/>
      <c r="CO1854" s="1"/>
      <c r="CP1854" s="1"/>
      <c r="CQ1854" s="1"/>
      <c r="CR1854" s="1"/>
      <c r="CS1854" s="1"/>
      <c r="CT1854" s="1"/>
      <c r="CU1854" s="1"/>
      <c r="CV1854" s="1"/>
      <c r="CW1854" s="1"/>
      <c r="CX1854" s="1"/>
      <c r="CY1854" s="1"/>
      <c r="CZ1854" s="1"/>
      <c r="DA1854" s="1"/>
      <c r="DB1854" s="1"/>
      <c r="DC1854" s="1"/>
    </row>
    <row r="1855" spans="1:107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  <c r="AS1855" s="1"/>
      <c r="AT1855" s="1"/>
      <c r="AU1855" s="1"/>
      <c r="AV1855" s="1"/>
      <c r="AW1855" s="1"/>
      <c r="AX1855" s="1"/>
      <c r="AY1855" s="1"/>
      <c r="AZ1855" s="1"/>
      <c r="BA1855" s="1"/>
      <c r="BB1855" s="1"/>
      <c r="BC1855" s="1"/>
      <c r="BD1855" s="1"/>
      <c r="BE1855" s="1"/>
      <c r="BF1855" s="1"/>
      <c r="BG1855" s="1"/>
      <c r="BH1855" s="1"/>
      <c r="BI1855" s="1"/>
      <c r="BJ1855" s="1"/>
      <c r="BK1855" s="1"/>
      <c r="BL1855" s="1"/>
      <c r="BM1855" s="1"/>
      <c r="BN1855" s="1"/>
      <c r="BO1855" s="1"/>
      <c r="BP1855" s="1"/>
      <c r="BQ1855" s="1"/>
      <c r="BR1855" s="1"/>
      <c r="BS1855" s="1"/>
      <c r="BT1855" s="1"/>
      <c r="BU1855" s="1"/>
      <c r="BV1855" s="1"/>
      <c r="BW1855" s="1"/>
      <c r="BX1855" s="1"/>
      <c r="BY1855" s="1"/>
      <c r="BZ1855" s="1"/>
      <c r="CA1855" s="1"/>
      <c r="CB1855" s="1"/>
      <c r="CC1855" s="1"/>
      <c r="CD1855" s="1"/>
      <c r="CE1855" s="1"/>
      <c r="CF1855" s="1"/>
      <c r="CG1855" s="1"/>
      <c r="CH1855" s="1"/>
      <c r="CI1855" s="1"/>
      <c r="CJ1855" s="1"/>
      <c r="CK1855" s="1"/>
      <c r="CL1855" s="1"/>
      <c r="CM1855" s="1"/>
      <c r="CN1855" s="1"/>
      <c r="CO1855" s="1"/>
      <c r="CP1855" s="1"/>
      <c r="CQ1855" s="1"/>
      <c r="CR1855" s="1"/>
      <c r="CS1855" s="1"/>
      <c r="CT1855" s="1"/>
      <c r="CU1855" s="1"/>
      <c r="CV1855" s="1"/>
      <c r="CW1855" s="1"/>
      <c r="CX1855" s="1"/>
      <c r="CY1855" s="1"/>
      <c r="CZ1855" s="1"/>
      <c r="DA1855" s="1"/>
      <c r="DB1855" s="1"/>
      <c r="DC1855" s="1"/>
    </row>
    <row r="1856" spans="1:107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/>
      <c r="AV1856" s="1"/>
      <c r="AW1856" s="1"/>
      <c r="AX1856" s="1"/>
      <c r="AY1856" s="1"/>
      <c r="AZ1856" s="1"/>
      <c r="BA1856" s="1"/>
      <c r="BB1856" s="1"/>
      <c r="BC1856" s="1"/>
      <c r="BD1856" s="1"/>
      <c r="BE1856" s="1"/>
      <c r="BF1856" s="1"/>
      <c r="BG1856" s="1"/>
      <c r="BH1856" s="1"/>
      <c r="BI1856" s="1"/>
      <c r="BJ1856" s="1"/>
      <c r="BK1856" s="1"/>
      <c r="BL1856" s="1"/>
      <c r="BM1856" s="1"/>
      <c r="BN1856" s="1"/>
      <c r="BO1856" s="1"/>
      <c r="BP1856" s="1"/>
      <c r="BQ1856" s="1"/>
      <c r="BR1856" s="1"/>
      <c r="BS1856" s="1"/>
      <c r="BT1856" s="1"/>
      <c r="BU1856" s="1"/>
      <c r="BV1856" s="1"/>
      <c r="BW1856" s="1"/>
      <c r="BX1856" s="1"/>
      <c r="BY1856" s="1"/>
      <c r="BZ1856" s="1"/>
      <c r="CA1856" s="1"/>
      <c r="CB1856" s="1"/>
      <c r="CC1856" s="1"/>
      <c r="CD1856" s="1"/>
      <c r="CE1856" s="1"/>
      <c r="CF1856" s="1"/>
      <c r="CG1856" s="1"/>
      <c r="CH1856" s="1"/>
      <c r="CI1856" s="1"/>
      <c r="CJ1856" s="1"/>
      <c r="CK1856" s="1"/>
      <c r="CL1856" s="1"/>
      <c r="CM1856" s="1"/>
      <c r="CN1856" s="1"/>
      <c r="CO1856" s="1"/>
      <c r="CP1856" s="1"/>
      <c r="CQ1856" s="1"/>
      <c r="CR1856" s="1"/>
      <c r="CS1856" s="1"/>
      <c r="CT1856" s="1"/>
      <c r="CU1856" s="1"/>
      <c r="CV1856" s="1"/>
      <c r="CW1856" s="1"/>
      <c r="CX1856" s="1"/>
      <c r="CY1856" s="1"/>
      <c r="CZ1856" s="1"/>
      <c r="DA1856" s="1"/>
      <c r="DB1856" s="1"/>
      <c r="DC1856" s="1"/>
    </row>
    <row r="1857" spans="1:107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  <c r="AS1857" s="1"/>
      <c r="AT1857" s="1"/>
      <c r="AU1857" s="1"/>
      <c r="AV1857" s="1"/>
      <c r="AW1857" s="1"/>
      <c r="AX1857" s="1"/>
      <c r="AY1857" s="1"/>
      <c r="AZ1857" s="1"/>
      <c r="BA1857" s="1"/>
      <c r="BB1857" s="1"/>
      <c r="BC1857" s="1"/>
      <c r="BD1857" s="1"/>
      <c r="BE1857" s="1"/>
      <c r="BF1857" s="1"/>
      <c r="BG1857" s="1"/>
      <c r="BH1857" s="1"/>
      <c r="BI1857" s="1"/>
      <c r="BJ1857" s="1"/>
      <c r="BK1857" s="1"/>
      <c r="BL1857" s="1"/>
      <c r="BM1857" s="1"/>
      <c r="BN1857" s="1"/>
      <c r="BO1857" s="1"/>
      <c r="BP1857" s="1"/>
      <c r="BQ1857" s="1"/>
      <c r="BR1857" s="1"/>
      <c r="BS1857" s="1"/>
      <c r="BT1857" s="1"/>
      <c r="BU1857" s="1"/>
      <c r="BV1857" s="1"/>
      <c r="BW1857" s="1"/>
      <c r="BX1857" s="1"/>
      <c r="BY1857" s="1"/>
      <c r="BZ1857" s="1"/>
      <c r="CA1857" s="1"/>
      <c r="CB1857" s="1"/>
      <c r="CC1857" s="1"/>
      <c r="CD1857" s="1"/>
      <c r="CE1857" s="1"/>
      <c r="CF1857" s="1"/>
      <c r="CG1857" s="1"/>
      <c r="CH1857" s="1"/>
      <c r="CI1857" s="1"/>
      <c r="CJ1857" s="1"/>
      <c r="CK1857" s="1"/>
      <c r="CL1857" s="1"/>
      <c r="CM1857" s="1"/>
      <c r="CN1857" s="1"/>
      <c r="CO1857" s="1"/>
      <c r="CP1857" s="1"/>
      <c r="CQ1857" s="1"/>
      <c r="CR1857" s="1"/>
      <c r="CS1857" s="1"/>
      <c r="CT1857" s="1"/>
      <c r="CU1857" s="1"/>
      <c r="CV1857" s="1"/>
      <c r="CW1857" s="1"/>
      <c r="CX1857" s="1"/>
      <c r="CY1857" s="1"/>
      <c r="CZ1857" s="1"/>
      <c r="DA1857" s="1"/>
      <c r="DB1857" s="1"/>
      <c r="DC1857" s="1"/>
    </row>
    <row r="1858" spans="1:107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  <c r="AO1858" s="1"/>
      <c r="AP1858" s="1"/>
      <c r="AQ1858" s="1"/>
      <c r="AR1858" s="1"/>
      <c r="AS1858" s="1"/>
      <c r="AT1858" s="1"/>
      <c r="AU1858" s="1"/>
      <c r="AV1858" s="1"/>
      <c r="AW1858" s="1"/>
      <c r="AX1858" s="1"/>
      <c r="AY1858" s="1"/>
      <c r="AZ1858" s="1"/>
      <c r="BA1858" s="1"/>
      <c r="BB1858" s="1"/>
      <c r="BC1858" s="1"/>
      <c r="BD1858" s="1"/>
      <c r="BE1858" s="1"/>
      <c r="BF1858" s="1"/>
      <c r="BG1858" s="1"/>
      <c r="BH1858" s="1"/>
      <c r="BI1858" s="1"/>
      <c r="BJ1858" s="1"/>
      <c r="BK1858" s="1"/>
      <c r="BL1858" s="1"/>
      <c r="BM1858" s="1"/>
      <c r="BN1858" s="1"/>
      <c r="BO1858" s="1"/>
      <c r="BP1858" s="1"/>
      <c r="BQ1858" s="1"/>
      <c r="BR1858" s="1"/>
      <c r="BS1858" s="1"/>
      <c r="BT1858" s="1"/>
      <c r="BU1858" s="1"/>
      <c r="BV1858" s="1"/>
      <c r="BW1858" s="1"/>
      <c r="BX1858" s="1"/>
      <c r="BY1858" s="1"/>
      <c r="BZ1858" s="1"/>
      <c r="CA1858" s="1"/>
      <c r="CB1858" s="1"/>
      <c r="CC1858" s="1"/>
      <c r="CD1858" s="1"/>
      <c r="CE1858" s="1"/>
      <c r="CF1858" s="1"/>
      <c r="CG1858" s="1"/>
      <c r="CH1858" s="1"/>
      <c r="CI1858" s="1"/>
      <c r="CJ1858" s="1"/>
      <c r="CK1858" s="1"/>
      <c r="CL1858" s="1"/>
      <c r="CM1858" s="1"/>
      <c r="CN1858" s="1"/>
      <c r="CO1858" s="1"/>
      <c r="CP1858" s="1"/>
      <c r="CQ1858" s="1"/>
      <c r="CR1858" s="1"/>
      <c r="CS1858" s="1"/>
      <c r="CT1858" s="1"/>
      <c r="CU1858" s="1"/>
      <c r="CV1858" s="1"/>
      <c r="CW1858" s="1"/>
      <c r="CX1858" s="1"/>
      <c r="CY1858" s="1"/>
      <c r="CZ1858" s="1"/>
      <c r="DA1858" s="1"/>
      <c r="DB1858" s="1"/>
      <c r="DC1858" s="1"/>
    </row>
    <row r="1859" spans="1:107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  <c r="AS1859" s="1"/>
      <c r="AT1859" s="1"/>
      <c r="AU1859" s="1"/>
      <c r="AV1859" s="1"/>
      <c r="AW1859" s="1"/>
      <c r="AX1859" s="1"/>
      <c r="AY1859" s="1"/>
      <c r="AZ1859" s="1"/>
      <c r="BA1859" s="1"/>
      <c r="BB1859" s="1"/>
      <c r="BC1859" s="1"/>
      <c r="BD1859" s="1"/>
      <c r="BE1859" s="1"/>
      <c r="BF1859" s="1"/>
      <c r="BG1859" s="1"/>
      <c r="BH1859" s="1"/>
      <c r="BI1859" s="1"/>
      <c r="BJ1859" s="1"/>
      <c r="BK1859" s="1"/>
      <c r="BL1859" s="1"/>
      <c r="BM1859" s="1"/>
      <c r="BN1859" s="1"/>
      <c r="BO1859" s="1"/>
      <c r="BP1859" s="1"/>
      <c r="BQ1859" s="1"/>
      <c r="BR1859" s="1"/>
      <c r="BS1859" s="1"/>
      <c r="BT1859" s="1"/>
      <c r="BU1859" s="1"/>
      <c r="BV1859" s="1"/>
      <c r="BW1859" s="1"/>
      <c r="BX1859" s="1"/>
      <c r="BY1859" s="1"/>
      <c r="BZ1859" s="1"/>
      <c r="CA1859" s="1"/>
      <c r="CB1859" s="1"/>
      <c r="CC1859" s="1"/>
      <c r="CD1859" s="1"/>
      <c r="CE1859" s="1"/>
      <c r="CF1859" s="1"/>
      <c r="CG1859" s="1"/>
      <c r="CH1859" s="1"/>
      <c r="CI1859" s="1"/>
      <c r="CJ1859" s="1"/>
      <c r="CK1859" s="1"/>
      <c r="CL1859" s="1"/>
      <c r="CM1859" s="1"/>
      <c r="CN1859" s="1"/>
      <c r="CO1859" s="1"/>
      <c r="CP1859" s="1"/>
      <c r="CQ1859" s="1"/>
      <c r="CR1859" s="1"/>
      <c r="CS1859" s="1"/>
      <c r="CT1859" s="1"/>
      <c r="CU1859" s="1"/>
      <c r="CV1859" s="1"/>
      <c r="CW1859" s="1"/>
      <c r="CX1859" s="1"/>
      <c r="CY1859" s="1"/>
      <c r="CZ1859" s="1"/>
      <c r="DA1859" s="1"/>
      <c r="DB1859" s="1"/>
      <c r="DC1859" s="1"/>
    </row>
    <row r="1860" spans="1:107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1"/>
      <c r="AO1860" s="1"/>
      <c r="AP1860" s="1"/>
      <c r="AQ1860" s="1"/>
      <c r="AR1860" s="1"/>
      <c r="AS1860" s="1"/>
      <c r="AT1860" s="1"/>
      <c r="AU1860" s="1"/>
      <c r="AV1860" s="1"/>
      <c r="AW1860" s="1"/>
      <c r="AX1860" s="1"/>
      <c r="AY1860" s="1"/>
      <c r="AZ1860" s="1"/>
      <c r="BA1860" s="1"/>
      <c r="BB1860" s="1"/>
      <c r="BC1860" s="1"/>
      <c r="BD1860" s="1"/>
      <c r="BE1860" s="1"/>
      <c r="BF1860" s="1"/>
      <c r="BG1860" s="1"/>
      <c r="BH1860" s="1"/>
      <c r="BI1860" s="1"/>
      <c r="BJ1860" s="1"/>
      <c r="BK1860" s="1"/>
      <c r="BL1860" s="1"/>
      <c r="BM1860" s="1"/>
      <c r="BN1860" s="1"/>
      <c r="BO1860" s="1"/>
      <c r="BP1860" s="1"/>
      <c r="BQ1860" s="1"/>
      <c r="BR1860" s="1"/>
      <c r="BS1860" s="1"/>
      <c r="BT1860" s="1"/>
      <c r="BU1860" s="1"/>
      <c r="BV1860" s="1"/>
      <c r="BW1860" s="1"/>
      <c r="BX1860" s="1"/>
      <c r="BY1860" s="1"/>
      <c r="BZ1860" s="1"/>
      <c r="CA1860" s="1"/>
      <c r="CB1860" s="1"/>
      <c r="CC1860" s="1"/>
      <c r="CD1860" s="1"/>
      <c r="CE1860" s="1"/>
      <c r="CF1860" s="1"/>
      <c r="CG1860" s="1"/>
      <c r="CH1860" s="1"/>
      <c r="CI1860" s="1"/>
      <c r="CJ1860" s="1"/>
      <c r="CK1860" s="1"/>
      <c r="CL1860" s="1"/>
      <c r="CM1860" s="1"/>
      <c r="CN1860" s="1"/>
      <c r="CO1860" s="1"/>
      <c r="CP1860" s="1"/>
      <c r="CQ1860" s="1"/>
      <c r="CR1860" s="1"/>
      <c r="CS1860" s="1"/>
      <c r="CT1860" s="1"/>
      <c r="CU1860" s="1"/>
      <c r="CV1860" s="1"/>
      <c r="CW1860" s="1"/>
      <c r="CX1860" s="1"/>
      <c r="CY1860" s="1"/>
      <c r="CZ1860" s="1"/>
      <c r="DA1860" s="1"/>
      <c r="DB1860" s="1"/>
      <c r="DC1860" s="1"/>
    </row>
    <row r="1861" spans="1:107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  <c r="AS1861" s="1"/>
      <c r="AT1861" s="1"/>
      <c r="AU1861" s="1"/>
      <c r="AV1861" s="1"/>
      <c r="AW1861" s="1"/>
      <c r="AX1861" s="1"/>
      <c r="AY1861" s="1"/>
      <c r="AZ1861" s="1"/>
      <c r="BA1861" s="1"/>
      <c r="BB1861" s="1"/>
      <c r="BC1861" s="1"/>
      <c r="BD1861" s="1"/>
      <c r="BE1861" s="1"/>
      <c r="BF1861" s="1"/>
      <c r="BG1861" s="1"/>
      <c r="BH1861" s="1"/>
      <c r="BI1861" s="1"/>
      <c r="BJ1861" s="1"/>
      <c r="BK1861" s="1"/>
      <c r="BL1861" s="1"/>
      <c r="BM1861" s="1"/>
      <c r="BN1861" s="1"/>
      <c r="BO1861" s="1"/>
      <c r="BP1861" s="1"/>
      <c r="BQ1861" s="1"/>
      <c r="BR1861" s="1"/>
      <c r="BS1861" s="1"/>
      <c r="BT1861" s="1"/>
      <c r="BU1861" s="1"/>
      <c r="BV1861" s="1"/>
      <c r="BW1861" s="1"/>
      <c r="BX1861" s="1"/>
      <c r="BY1861" s="1"/>
      <c r="BZ1861" s="1"/>
      <c r="CA1861" s="1"/>
      <c r="CB1861" s="1"/>
      <c r="CC1861" s="1"/>
      <c r="CD1861" s="1"/>
      <c r="CE1861" s="1"/>
      <c r="CF1861" s="1"/>
      <c r="CG1861" s="1"/>
      <c r="CH1861" s="1"/>
      <c r="CI1861" s="1"/>
      <c r="CJ1861" s="1"/>
      <c r="CK1861" s="1"/>
      <c r="CL1861" s="1"/>
      <c r="CM1861" s="1"/>
      <c r="CN1861" s="1"/>
      <c r="CO1861" s="1"/>
      <c r="CP1861" s="1"/>
      <c r="CQ1861" s="1"/>
      <c r="CR1861" s="1"/>
      <c r="CS1861" s="1"/>
      <c r="CT1861" s="1"/>
      <c r="CU1861" s="1"/>
      <c r="CV1861" s="1"/>
      <c r="CW1861" s="1"/>
      <c r="CX1861" s="1"/>
      <c r="CY1861" s="1"/>
      <c r="CZ1861" s="1"/>
      <c r="DA1861" s="1"/>
      <c r="DB1861" s="1"/>
      <c r="DC1861" s="1"/>
    </row>
    <row r="1862" spans="1:107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  <c r="AP1862" s="1"/>
      <c r="AQ1862" s="1"/>
      <c r="AR1862" s="1"/>
      <c r="AS1862" s="1"/>
      <c r="AT1862" s="1"/>
      <c r="AU1862" s="1"/>
      <c r="AV1862" s="1"/>
      <c r="AW1862" s="1"/>
      <c r="AX1862" s="1"/>
      <c r="AY1862" s="1"/>
      <c r="AZ1862" s="1"/>
      <c r="BA1862" s="1"/>
      <c r="BB1862" s="1"/>
      <c r="BC1862" s="1"/>
      <c r="BD1862" s="1"/>
      <c r="BE1862" s="1"/>
      <c r="BF1862" s="1"/>
      <c r="BG1862" s="1"/>
      <c r="BH1862" s="1"/>
      <c r="BI1862" s="1"/>
      <c r="BJ1862" s="1"/>
      <c r="BK1862" s="1"/>
      <c r="BL1862" s="1"/>
      <c r="BM1862" s="1"/>
      <c r="BN1862" s="1"/>
      <c r="BO1862" s="1"/>
      <c r="BP1862" s="1"/>
      <c r="BQ1862" s="1"/>
      <c r="BR1862" s="1"/>
      <c r="BS1862" s="1"/>
      <c r="BT1862" s="1"/>
      <c r="BU1862" s="1"/>
      <c r="BV1862" s="1"/>
      <c r="BW1862" s="1"/>
      <c r="BX1862" s="1"/>
      <c r="BY1862" s="1"/>
      <c r="BZ1862" s="1"/>
      <c r="CA1862" s="1"/>
      <c r="CB1862" s="1"/>
      <c r="CC1862" s="1"/>
      <c r="CD1862" s="1"/>
      <c r="CE1862" s="1"/>
      <c r="CF1862" s="1"/>
      <c r="CG1862" s="1"/>
      <c r="CH1862" s="1"/>
      <c r="CI1862" s="1"/>
      <c r="CJ1862" s="1"/>
      <c r="CK1862" s="1"/>
      <c r="CL1862" s="1"/>
      <c r="CM1862" s="1"/>
      <c r="CN1862" s="1"/>
      <c r="CO1862" s="1"/>
      <c r="CP1862" s="1"/>
      <c r="CQ1862" s="1"/>
      <c r="CR1862" s="1"/>
      <c r="CS1862" s="1"/>
      <c r="CT1862" s="1"/>
      <c r="CU1862" s="1"/>
      <c r="CV1862" s="1"/>
      <c r="CW1862" s="1"/>
      <c r="CX1862" s="1"/>
      <c r="CY1862" s="1"/>
      <c r="CZ1862" s="1"/>
      <c r="DA1862" s="1"/>
      <c r="DB1862" s="1"/>
      <c r="DC1862" s="1"/>
    </row>
    <row r="1863" spans="1:107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  <c r="AS1863" s="1"/>
      <c r="AT1863" s="1"/>
      <c r="AU1863" s="1"/>
      <c r="AV1863" s="1"/>
      <c r="AW1863" s="1"/>
      <c r="AX1863" s="1"/>
      <c r="AY1863" s="1"/>
      <c r="AZ1863" s="1"/>
      <c r="BA1863" s="1"/>
      <c r="BB1863" s="1"/>
      <c r="BC1863" s="1"/>
      <c r="BD1863" s="1"/>
      <c r="BE1863" s="1"/>
      <c r="BF1863" s="1"/>
      <c r="BG1863" s="1"/>
      <c r="BH1863" s="1"/>
      <c r="BI1863" s="1"/>
      <c r="BJ1863" s="1"/>
      <c r="BK1863" s="1"/>
      <c r="BL1863" s="1"/>
      <c r="BM1863" s="1"/>
      <c r="BN1863" s="1"/>
      <c r="BO1863" s="1"/>
      <c r="BP1863" s="1"/>
      <c r="BQ1863" s="1"/>
      <c r="BR1863" s="1"/>
      <c r="BS1863" s="1"/>
      <c r="BT1863" s="1"/>
      <c r="BU1863" s="1"/>
      <c r="BV1863" s="1"/>
      <c r="BW1863" s="1"/>
      <c r="BX1863" s="1"/>
      <c r="BY1863" s="1"/>
      <c r="BZ1863" s="1"/>
      <c r="CA1863" s="1"/>
      <c r="CB1863" s="1"/>
      <c r="CC1863" s="1"/>
      <c r="CD1863" s="1"/>
      <c r="CE1863" s="1"/>
      <c r="CF1863" s="1"/>
      <c r="CG1863" s="1"/>
      <c r="CH1863" s="1"/>
      <c r="CI1863" s="1"/>
      <c r="CJ1863" s="1"/>
      <c r="CK1863" s="1"/>
      <c r="CL1863" s="1"/>
      <c r="CM1863" s="1"/>
      <c r="CN1863" s="1"/>
      <c r="CO1863" s="1"/>
      <c r="CP1863" s="1"/>
      <c r="CQ1863" s="1"/>
      <c r="CR1863" s="1"/>
      <c r="CS1863" s="1"/>
      <c r="CT1863" s="1"/>
      <c r="CU1863" s="1"/>
      <c r="CV1863" s="1"/>
      <c r="CW1863" s="1"/>
      <c r="CX1863" s="1"/>
      <c r="CY1863" s="1"/>
      <c r="CZ1863" s="1"/>
      <c r="DA1863" s="1"/>
      <c r="DB1863" s="1"/>
      <c r="DC1863" s="1"/>
    </row>
    <row r="1864" spans="1:107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  <c r="AP1864" s="1"/>
      <c r="AQ1864" s="1"/>
      <c r="AR1864" s="1"/>
      <c r="AS1864" s="1"/>
      <c r="AT1864" s="1"/>
      <c r="AU1864" s="1"/>
      <c r="AV1864" s="1"/>
      <c r="AW1864" s="1"/>
      <c r="AX1864" s="1"/>
      <c r="AY1864" s="1"/>
      <c r="AZ1864" s="1"/>
      <c r="BA1864" s="1"/>
      <c r="BB1864" s="1"/>
      <c r="BC1864" s="1"/>
      <c r="BD1864" s="1"/>
      <c r="BE1864" s="1"/>
      <c r="BF1864" s="1"/>
      <c r="BG1864" s="1"/>
      <c r="BH1864" s="1"/>
      <c r="BI1864" s="1"/>
      <c r="BJ1864" s="1"/>
      <c r="BK1864" s="1"/>
      <c r="BL1864" s="1"/>
      <c r="BM1864" s="1"/>
      <c r="BN1864" s="1"/>
      <c r="BO1864" s="1"/>
      <c r="BP1864" s="1"/>
      <c r="BQ1864" s="1"/>
      <c r="BR1864" s="1"/>
      <c r="BS1864" s="1"/>
      <c r="BT1864" s="1"/>
      <c r="BU1864" s="1"/>
      <c r="BV1864" s="1"/>
      <c r="BW1864" s="1"/>
      <c r="BX1864" s="1"/>
      <c r="BY1864" s="1"/>
      <c r="BZ1864" s="1"/>
      <c r="CA1864" s="1"/>
      <c r="CB1864" s="1"/>
      <c r="CC1864" s="1"/>
      <c r="CD1864" s="1"/>
      <c r="CE1864" s="1"/>
      <c r="CF1864" s="1"/>
      <c r="CG1864" s="1"/>
      <c r="CH1864" s="1"/>
      <c r="CI1864" s="1"/>
      <c r="CJ1864" s="1"/>
      <c r="CK1864" s="1"/>
      <c r="CL1864" s="1"/>
      <c r="CM1864" s="1"/>
      <c r="CN1864" s="1"/>
      <c r="CO1864" s="1"/>
      <c r="CP1864" s="1"/>
      <c r="CQ1864" s="1"/>
      <c r="CR1864" s="1"/>
      <c r="CS1864" s="1"/>
      <c r="CT1864" s="1"/>
      <c r="CU1864" s="1"/>
      <c r="CV1864" s="1"/>
      <c r="CW1864" s="1"/>
      <c r="CX1864" s="1"/>
      <c r="CY1864" s="1"/>
      <c r="CZ1864" s="1"/>
      <c r="DA1864" s="1"/>
      <c r="DB1864" s="1"/>
      <c r="DC1864" s="1"/>
    </row>
    <row r="1865" spans="1:107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  <c r="AS1865" s="1"/>
      <c r="AT1865" s="1"/>
      <c r="AU1865" s="1"/>
      <c r="AV1865" s="1"/>
      <c r="AW1865" s="1"/>
      <c r="AX1865" s="1"/>
      <c r="AY1865" s="1"/>
      <c r="AZ1865" s="1"/>
      <c r="BA1865" s="1"/>
      <c r="BB1865" s="1"/>
      <c r="BC1865" s="1"/>
      <c r="BD1865" s="1"/>
      <c r="BE1865" s="1"/>
      <c r="BF1865" s="1"/>
      <c r="BG1865" s="1"/>
      <c r="BH1865" s="1"/>
      <c r="BI1865" s="1"/>
      <c r="BJ1865" s="1"/>
      <c r="BK1865" s="1"/>
      <c r="BL1865" s="1"/>
      <c r="BM1865" s="1"/>
      <c r="BN1865" s="1"/>
      <c r="BO1865" s="1"/>
      <c r="BP1865" s="1"/>
      <c r="BQ1865" s="1"/>
      <c r="BR1865" s="1"/>
      <c r="BS1865" s="1"/>
      <c r="BT1865" s="1"/>
      <c r="BU1865" s="1"/>
      <c r="BV1865" s="1"/>
      <c r="BW1865" s="1"/>
      <c r="BX1865" s="1"/>
      <c r="BY1865" s="1"/>
      <c r="BZ1865" s="1"/>
      <c r="CA1865" s="1"/>
      <c r="CB1865" s="1"/>
      <c r="CC1865" s="1"/>
      <c r="CD1865" s="1"/>
      <c r="CE1865" s="1"/>
      <c r="CF1865" s="1"/>
      <c r="CG1865" s="1"/>
      <c r="CH1865" s="1"/>
      <c r="CI1865" s="1"/>
      <c r="CJ1865" s="1"/>
      <c r="CK1865" s="1"/>
      <c r="CL1865" s="1"/>
      <c r="CM1865" s="1"/>
      <c r="CN1865" s="1"/>
      <c r="CO1865" s="1"/>
      <c r="CP1865" s="1"/>
      <c r="CQ1865" s="1"/>
      <c r="CR1865" s="1"/>
      <c r="CS1865" s="1"/>
      <c r="CT1865" s="1"/>
      <c r="CU1865" s="1"/>
      <c r="CV1865" s="1"/>
      <c r="CW1865" s="1"/>
      <c r="CX1865" s="1"/>
      <c r="CY1865" s="1"/>
      <c r="CZ1865" s="1"/>
      <c r="DA1865" s="1"/>
      <c r="DB1865" s="1"/>
      <c r="DC1865" s="1"/>
    </row>
    <row r="1866" spans="1:107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  <c r="AR1866" s="1"/>
      <c r="AS1866" s="1"/>
      <c r="AT1866" s="1"/>
      <c r="AU1866" s="1"/>
      <c r="AV1866" s="1"/>
      <c r="AW1866" s="1"/>
      <c r="AX1866" s="1"/>
      <c r="AY1866" s="1"/>
      <c r="AZ1866" s="1"/>
      <c r="BA1866" s="1"/>
      <c r="BB1866" s="1"/>
      <c r="BC1866" s="1"/>
      <c r="BD1866" s="1"/>
      <c r="BE1866" s="1"/>
      <c r="BF1866" s="1"/>
      <c r="BG1866" s="1"/>
      <c r="BH1866" s="1"/>
      <c r="BI1866" s="1"/>
      <c r="BJ1866" s="1"/>
      <c r="BK1866" s="1"/>
      <c r="BL1866" s="1"/>
      <c r="BM1866" s="1"/>
      <c r="BN1866" s="1"/>
      <c r="BO1866" s="1"/>
      <c r="BP1866" s="1"/>
      <c r="BQ1866" s="1"/>
      <c r="BR1866" s="1"/>
      <c r="BS1866" s="1"/>
      <c r="BT1866" s="1"/>
      <c r="BU1866" s="1"/>
      <c r="BV1866" s="1"/>
      <c r="BW1866" s="1"/>
      <c r="BX1866" s="1"/>
      <c r="BY1866" s="1"/>
      <c r="BZ1866" s="1"/>
      <c r="CA1866" s="1"/>
      <c r="CB1866" s="1"/>
      <c r="CC1866" s="1"/>
      <c r="CD1866" s="1"/>
      <c r="CE1866" s="1"/>
      <c r="CF1866" s="1"/>
      <c r="CG1866" s="1"/>
      <c r="CH1866" s="1"/>
      <c r="CI1866" s="1"/>
      <c r="CJ1866" s="1"/>
      <c r="CK1866" s="1"/>
      <c r="CL1866" s="1"/>
      <c r="CM1866" s="1"/>
      <c r="CN1866" s="1"/>
      <c r="CO1866" s="1"/>
      <c r="CP1866" s="1"/>
      <c r="CQ1866" s="1"/>
      <c r="CR1866" s="1"/>
      <c r="CS1866" s="1"/>
      <c r="CT1866" s="1"/>
      <c r="CU1866" s="1"/>
      <c r="CV1866" s="1"/>
      <c r="CW1866" s="1"/>
      <c r="CX1866" s="1"/>
      <c r="CY1866" s="1"/>
      <c r="CZ1866" s="1"/>
      <c r="DA1866" s="1"/>
      <c r="DB1866" s="1"/>
      <c r="DC1866" s="1"/>
    </row>
    <row r="1867" spans="1:107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  <c r="AS1867" s="1"/>
      <c r="AT1867" s="1"/>
      <c r="AU1867" s="1"/>
      <c r="AV1867" s="1"/>
      <c r="AW1867" s="1"/>
      <c r="AX1867" s="1"/>
      <c r="AY1867" s="1"/>
      <c r="AZ1867" s="1"/>
      <c r="BA1867" s="1"/>
      <c r="BB1867" s="1"/>
      <c r="BC1867" s="1"/>
      <c r="BD1867" s="1"/>
      <c r="BE1867" s="1"/>
      <c r="BF1867" s="1"/>
      <c r="BG1867" s="1"/>
      <c r="BH1867" s="1"/>
      <c r="BI1867" s="1"/>
      <c r="BJ1867" s="1"/>
      <c r="BK1867" s="1"/>
      <c r="BL1867" s="1"/>
      <c r="BM1867" s="1"/>
      <c r="BN1867" s="1"/>
      <c r="BO1867" s="1"/>
      <c r="BP1867" s="1"/>
      <c r="BQ1867" s="1"/>
      <c r="BR1867" s="1"/>
      <c r="BS1867" s="1"/>
      <c r="BT1867" s="1"/>
      <c r="BU1867" s="1"/>
      <c r="BV1867" s="1"/>
      <c r="BW1867" s="1"/>
      <c r="BX1867" s="1"/>
      <c r="BY1867" s="1"/>
      <c r="BZ1867" s="1"/>
      <c r="CA1867" s="1"/>
      <c r="CB1867" s="1"/>
      <c r="CC1867" s="1"/>
      <c r="CD1867" s="1"/>
      <c r="CE1867" s="1"/>
      <c r="CF1867" s="1"/>
      <c r="CG1867" s="1"/>
      <c r="CH1867" s="1"/>
      <c r="CI1867" s="1"/>
      <c r="CJ1867" s="1"/>
      <c r="CK1867" s="1"/>
      <c r="CL1867" s="1"/>
      <c r="CM1867" s="1"/>
      <c r="CN1867" s="1"/>
      <c r="CO1867" s="1"/>
      <c r="CP1867" s="1"/>
      <c r="CQ1867" s="1"/>
      <c r="CR1867" s="1"/>
      <c r="CS1867" s="1"/>
      <c r="CT1867" s="1"/>
      <c r="CU1867" s="1"/>
      <c r="CV1867" s="1"/>
      <c r="CW1867" s="1"/>
      <c r="CX1867" s="1"/>
      <c r="CY1867" s="1"/>
      <c r="CZ1867" s="1"/>
      <c r="DA1867" s="1"/>
      <c r="DB1867" s="1"/>
      <c r="DC1867" s="1"/>
    </row>
    <row r="1868" spans="1:107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  <c r="AS1868" s="1"/>
      <c r="AT1868" s="1"/>
      <c r="AU1868" s="1"/>
      <c r="AV1868" s="1"/>
      <c r="AW1868" s="1"/>
      <c r="AX1868" s="1"/>
      <c r="AY1868" s="1"/>
      <c r="AZ1868" s="1"/>
      <c r="BA1868" s="1"/>
      <c r="BB1868" s="1"/>
      <c r="BC1868" s="1"/>
      <c r="BD1868" s="1"/>
      <c r="BE1868" s="1"/>
      <c r="BF1868" s="1"/>
      <c r="BG1868" s="1"/>
      <c r="BH1868" s="1"/>
      <c r="BI1868" s="1"/>
      <c r="BJ1868" s="1"/>
      <c r="BK1868" s="1"/>
      <c r="BL1868" s="1"/>
      <c r="BM1868" s="1"/>
      <c r="BN1868" s="1"/>
      <c r="BO1868" s="1"/>
      <c r="BP1868" s="1"/>
      <c r="BQ1868" s="1"/>
      <c r="BR1868" s="1"/>
      <c r="BS1868" s="1"/>
      <c r="BT1868" s="1"/>
      <c r="BU1868" s="1"/>
      <c r="BV1868" s="1"/>
      <c r="BW1868" s="1"/>
      <c r="BX1868" s="1"/>
      <c r="BY1868" s="1"/>
      <c r="BZ1868" s="1"/>
      <c r="CA1868" s="1"/>
      <c r="CB1868" s="1"/>
      <c r="CC1868" s="1"/>
      <c r="CD1868" s="1"/>
      <c r="CE1868" s="1"/>
      <c r="CF1868" s="1"/>
      <c r="CG1868" s="1"/>
      <c r="CH1868" s="1"/>
      <c r="CI1868" s="1"/>
      <c r="CJ1868" s="1"/>
      <c r="CK1868" s="1"/>
      <c r="CL1868" s="1"/>
      <c r="CM1868" s="1"/>
      <c r="CN1868" s="1"/>
      <c r="CO1868" s="1"/>
      <c r="CP1868" s="1"/>
      <c r="CQ1868" s="1"/>
      <c r="CR1868" s="1"/>
      <c r="CS1868" s="1"/>
      <c r="CT1868" s="1"/>
      <c r="CU1868" s="1"/>
      <c r="CV1868" s="1"/>
      <c r="CW1868" s="1"/>
      <c r="CX1868" s="1"/>
      <c r="CY1868" s="1"/>
      <c r="CZ1868" s="1"/>
      <c r="DA1868" s="1"/>
      <c r="DB1868" s="1"/>
      <c r="DC1868" s="1"/>
    </row>
    <row r="1869" spans="1:107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  <c r="AS1869" s="1"/>
      <c r="AT1869" s="1"/>
      <c r="AU1869" s="1"/>
      <c r="AV1869" s="1"/>
      <c r="AW1869" s="1"/>
      <c r="AX1869" s="1"/>
      <c r="AY1869" s="1"/>
      <c r="AZ1869" s="1"/>
      <c r="BA1869" s="1"/>
      <c r="BB1869" s="1"/>
      <c r="BC1869" s="1"/>
      <c r="BD1869" s="1"/>
      <c r="BE1869" s="1"/>
      <c r="BF1869" s="1"/>
      <c r="BG1869" s="1"/>
      <c r="BH1869" s="1"/>
      <c r="BI1869" s="1"/>
      <c r="BJ1869" s="1"/>
      <c r="BK1869" s="1"/>
      <c r="BL1869" s="1"/>
      <c r="BM1869" s="1"/>
      <c r="BN1869" s="1"/>
      <c r="BO1869" s="1"/>
      <c r="BP1869" s="1"/>
      <c r="BQ1869" s="1"/>
      <c r="BR1869" s="1"/>
      <c r="BS1869" s="1"/>
      <c r="BT1869" s="1"/>
      <c r="BU1869" s="1"/>
      <c r="BV1869" s="1"/>
      <c r="BW1869" s="1"/>
      <c r="BX1869" s="1"/>
      <c r="BY1869" s="1"/>
      <c r="BZ1869" s="1"/>
      <c r="CA1869" s="1"/>
      <c r="CB1869" s="1"/>
      <c r="CC1869" s="1"/>
      <c r="CD1869" s="1"/>
      <c r="CE1869" s="1"/>
      <c r="CF1869" s="1"/>
      <c r="CG1869" s="1"/>
      <c r="CH1869" s="1"/>
      <c r="CI1869" s="1"/>
      <c r="CJ1869" s="1"/>
      <c r="CK1869" s="1"/>
      <c r="CL1869" s="1"/>
      <c r="CM1869" s="1"/>
      <c r="CN1869" s="1"/>
      <c r="CO1869" s="1"/>
      <c r="CP1869" s="1"/>
      <c r="CQ1869" s="1"/>
      <c r="CR1869" s="1"/>
      <c r="CS1869" s="1"/>
      <c r="CT1869" s="1"/>
      <c r="CU1869" s="1"/>
      <c r="CV1869" s="1"/>
      <c r="CW1869" s="1"/>
      <c r="CX1869" s="1"/>
      <c r="CY1869" s="1"/>
      <c r="CZ1869" s="1"/>
      <c r="DA1869" s="1"/>
      <c r="DB1869" s="1"/>
      <c r="DC1869" s="1"/>
    </row>
    <row r="1870" spans="1:107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  <c r="AS1870" s="1"/>
      <c r="AT1870" s="1"/>
      <c r="AU1870" s="1"/>
      <c r="AV1870" s="1"/>
      <c r="AW1870" s="1"/>
      <c r="AX1870" s="1"/>
      <c r="AY1870" s="1"/>
      <c r="AZ1870" s="1"/>
      <c r="BA1870" s="1"/>
      <c r="BB1870" s="1"/>
      <c r="BC1870" s="1"/>
      <c r="BD1870" s="1"/>
      <c r="BE1870" s="1"/>
      <c r="BF1870" s="1"/>
      <c r="BG1870" s="1"/>
      <c r="BH1870" s="1"/>
      <c r="BI1870" s="1"/>
      <c r="BJ1870" s="1"/>
      <c r="BK1870" s="1"/>
      <c r="BL1870" s="1"/>
      <c r="BM1870" s="1"/>
      <c r="BN1870" s="1"/>
      <c r="BO1870" s="1"/>
      <c r="BP1870" s="1"/>
      <c r="BQ1870" s="1"/>
      <c r="BR1870" s="1"/>
      <c r="BS1870" s="1"/>
      <c r="BT1870" s="1"/>
      <c r="BU1870" s="1"/>
      <c r="BV1870" s="1"/>
      <c r="BW1870" s="1"/>
      <c r="BX1870" s="1"/>
      <c r="BY1870" s="1"/>
      <c r="BZ1870" s="1"/>
      <c r="CA1870" s="1"/>
      <c r="CB1870" s="1"/>
      <c r="CC1870" s="1"/>
      <c r="CD1870" s="1"/>
      <c r="CE1870" s="1"/>
      <c r="CF1870" s="1"/>
      <c r="CG1870" s="1"/>
      <c r="CH1870" s="1"/>
      <c r="CI1870" s="1"/>
      <c r="CJ1870" s="1"/>
      <c r="CK1870" s="1"/>
      <c r="CL1870" s="1"/>
      <c r="CM1870" s="1"/>
      <c r="CN1870" s="1"/>
      <c r="CO1870" s="1"/>
      <c r="CP1870" s="1"/>
      <c r="CQ1870" s="1"/>
      <c r="CR1870" s="1"/>
      <c r="CS1870" s="1"/>
      <c r="CT1870" s="1"/>
      <c r="CU1870" s="1"/>
      <c r="CV1870" s="1"/>
      <c r="CW1870" s="1"/>
      <c r="CX1870" s="1"/>
      <c r="CY1870" s="1"/>
      <c r="CZ1870" s="1"/>
      <c r="DA1870" s="1"/>
      <c r="DB1870" s="1"/>
      <c r="DC1870" s="1"/>
    </row>
    <row r="1871" spans="1:107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/>
      <c r="AV1871" s="1"/>
      <c r="AW1871" s="1"/>
      <c r="AX1871" s="1"/>
      <c r="AY1871" s="1"/>
      <c r="AZ1871" s="1"/>
      <c r="BA1871" s="1"/>
      <c r="BB1871" s="1"/>
      <c r="BC1871" s="1"/>
      <c r="BD1871" s="1"/>
      <c r="BE1871" s="1"/>
      <c r="BF1871" s="1"/>
      <c r="BG1871" s="1"/>
      <c r="BH1871" s="1"/>
      <c r="BI1871" s="1"/>
      <c r="BJ1871" s="1"/>
      <c r="BK1871" s="1"/>
      <c r="BL1871" s="1"/>
      <c r="BM1871" s="1"/>
      <c r="BN1871" s="1"/>
      <c r="BO1871" s="1"/>
      <c r="BP1871" s="1"/>
      <c r="BQ1871" s="1"/>
      <c r="BR1871" s="1"/>
      <c r="BS1871" s="1"/>
      <c r="BT1871" s="1"/>
      <c r="BU1871" s="1"/>
      <c r="BV1871" s="1"/>
      <c r="BW1871" s="1"/>
      <c r="BX1871" s="1"/>
      <c r="BY1871" s="1"/>
      <c r="BZ1871" s="1"/>
      <c r="CA1871" s="1"/>
      <c r="CB1871" s="1"/>
      <c r="CC1871" s="1"/>
      <c r="CD1871" s="1"/>
      <c r="CE1871" s="1"/>
      <c r="CF1871" s="1"/>
      <c r="CG1871" s="1"/>
      <c r="CH1871" s="1"/>
      <c r="CI1871" s="1"/>
      <c r="CJ1871" s="1"/>
      <c r="CK1871" s="1"/>
      <c r="CL1871" s="1"/>
      <c r="CM1871" s="1"/>
      <c r="CN1871" s="1"/>
      <c r="CO1871" s="1"/>
      <c r="CP1871" s="1"/>
      <c r="CQ1871" s="1"/>
      <c r="CR1871" s="1"/>
      <c r="CS1871" s="1"/>
      <c r="CT1871" s="1"/>
      <c r="CU1871" s="1"/>
      <c r="CV1871" s="1"/>
      <c r="CW1871" s="1"/>
      <c r="CX1871" s="1"/>
      <c r="CY1871" s="1"/>
      <c r="CZ1871" s="1"/>
      <c r="DA1871" s="1"/>
      <c r="DB1871" s="1"/>
      <c r="DC1871" s="1"/>
    </row>
    <row r="1872" spans="1:107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  <c r="AP1872" s="1"/>
      <c r="AQ1872" s="1"/>
      <c r="AR1872" s="1"/>
      <c r="AS1872" s="1"/>
      <c r="AT1872" s="1"/>
      <c r="AU1872" s="1"/>
      <c r="AV1872" s="1"/>
      <c r="AW1872" s="1"/>
      <c r="AX1872" s="1"/>
      <c r="AY1872" s="1"/>
      <c r="AZ1872" s="1"/>
      <c r="BA1872" s="1"/>
      <c r="BB1872" s="1"/>
      <c r="BC1872" s="1"/>
      <c r="BD1872" s="1"/>
      <c r="BE1872" s="1"/>
      <c r="BF1872" s="1"/>
      <c r="BG1872" s="1"/>
      <c r="BH1872" s="1"/>
      <c r="BI1872" s="1"/>
      <c r="BJ1872" s="1"/>
      <c r="BK1872" s="1"/>
      <c r="BL1872" s="1"/>
      <c r="BM1872" s="1"/>
      <c r="BN1872" s="1"/>
      <c r="BO1872" s="1"/>
      <c r="BP1872" s="1"/>
      <c r="BQ1872" s="1"/>
      <c r="BR1872" s="1"/>
      <c r="BS1872" s="1"/>
      <c r="BT1872" s="1"/>
      <c r="BU1872" s="1"/>
      <c r="BV1872" s="1"/>
      <c r="BW1872" s="1"/>
      <c r="BX1872" s="1"/>
      <c r="BY1872" s="1"/>
      <c r="BZ1872" s="1"/>
      <c r="CA1872" s="1"/>
      <c r="CB1872" s="1"/>
      <c r="CC1872" s="1"/>
      <c r="CD1872" s="1"/>
      <c r="CE1872" s="1"/>
      <c r="CF1872" s="1"/>
      <c r="CG1872" s="1"/>
      <c r="CH1872" s="1"/>
      <c r="CI1872" s="1"/>
      <c r="CJ1872" s="1"/>
      <c r="CK1872" s="1"/>
      <c r="CL1872" s="1"/>
      <c r="CM1872" s="1"/>
      <c r="CN1872" s="1"/>
      <c r="CO1872" s="1"/>
      <c r="CP1872" s="1"/>
      <c r="CQ1872" s="1"/>
      <c r="CR1872" s="1"/>
      <c r="CS1872" s="1"/>
      <c r="CT1872" s="1"/>
      <c r="CU1872" s="1"/>
      <c r="CV1872" s="1"/>
      <c r="CW1872" s="1"/>
      <c r="CX1872" s="1"/>
      <c r="CY1872" s="1"/>
      <c r="CZ1872" s="1"/>
      <c r="DA1872" s="1"/>
      <c r="DB1872" s="1"/>
      <c r="DC1872" s="1"/>
    </row>
    <row r="1873" spans="1:107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  <c r="AS1873" s="1"/>
      <c r="AT1873" s="1"/>
      <c r="AU1873" s="1"/>
      <c r="AV1873" s="1"/>
      <c r="AW1873" s="1"/>
      <c r="AX1873" s="1"/>
      <c r="AY1873" s="1"/>
      <c r="AZ1873" s="1"/>
      <c r="BA1873" s="1"/>
      <c r="BB1873" s="1"/>
      <c r="BC1873" s="1"/>
      <c r="BD1873" s="1"/>
      <c r="BE1873" s="1"/>
      <c r="BF1873" s="1"/>
      <c r="BG1873" s="1"/>
      <c r="BH1873" s="1"/>
      <c r="BI1873" s="1"/>
      <c r="BJ1873" s="1"/>
      <c r="BK1873" s="1"/>
      <c r="BL1873" s="1"/>
      <c r="BM1873" s="1"/>
      <c r="BN1873" s="1"/>
      <c r="BO1873" s="1"/>
      <c r="BP1873" s="1"/>
      <c r="BQ1873" s="1"/>
      <c r="BR1873" s="1"/>
      <c r="BS1873" s="1"/>
      <c r="BT1873" s="1"/>
      <c r="BU1873" s="1"/>
      <c r="BV1873" s="1"/>
      <c r="BW1873" s="1"/>
      <c r="BX1873" s="1"/>
      <c r="BY1873" s="1"/>
      <c r="BZ1873" s="1"/>
      <c r="CA1873" s="1"/>
      <c r="CB1873" s="1"/>
      <c r="CC1873" s="1"/>
      <c r="CD1873" s="1"/>
      <c r="CE1873" s="1"/>
      <c r="CF1873" s="1"/>
      <c r="CG1873" s="1"/>
      <c r="CH1873" s="1"/>
      <c r="CI1873" s="1"/>
      <c r="CJ1873" s="1"/>
      <c r="CK1873" s="1"/>
      <c r="CL1873" s="1"/>
      <c r="CM1873" s="1"/>
      <c r="CN1873" s="1"/>
      <c r="CO1873" s="1"/>
      <c r="CP1873" s="1"/>
      <c r="CQ1873" s="1"/>
      <c r="CR1873" s="1"/>
      <c r="CS1873" s="1"/>
      <c r="CT1873" s="1"/>
      <c r="CU1873" s="1"/>
      <c r="CV1873" s="1"/>
      <c r="CW1873" s="1"/>
      <c r="CX1873" s="1"/>
      <c r="CY1873" s="1"/>
      <c r="CZ1873" s="1"/>
      <c r="DA1873" s="1"/>
      <c r="DB1873" s="1"/>
      <c r="DC1873" s="1"/>
    </row>
    <row r="1874" spans="1:107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  <c r="AR1874" s="1"/>
      <c r="AS1874" s="1"/>
      <c r="AT1874" s="1"/>
      <c r="AU1874" s="1"/>
      <c r="AV1874" s="1"/>
      <c r="AW1874" s="1"/>
      <c r="AX1874" s="1"/>
      <c r="AY1874" s="1"/>
      <c r="AZ1874" s="1"/>
      <c r="BA1874" s="1"/>
      <c r="BB1874" s="1"/>
      <c r="BC1874" s="1"/>
      <c r="BD1874" s="1"/>
      <c r="BE1874" s="1"/>
      <c r="BF1874" s="1"/>
      <c r="BG1874" s="1"/>
      <c r="BH1874" s="1"/>
      <c r="BI1874" s="1"/>
      <c r="BJ1874" s="1"/>
      <c r="BK1874" s="1"/>
      <c r="BL1874" s="1"/>
      <c r="BM1874" s="1"/>
      <c r="BN1874" s="1"/>
      <c r="BO1874" s="1"/>
      <c r="BP1874" s="1"/>
      <c r="BQ1874" s="1"/>
      <c r="BR1874" s="1"/>
      <c r="BS1874" s="1"/>
      <c r="BT1874" s="1"/>
      <c r="BU1874" s="1"/>
      <c r="BV1874" s="1"/>
      <c r="BW1874" s="1"/>
      <c r="BX1874" s="1"/>
      <c r="BY1874" s="1"/>
      <c r="BZ1874" s="1"/>
      <c r="CA1874" s="1"/>
      <c r="CB1874" s="1"/>
      <c r="CC1874" s="1"/>
      <c r="CD1874" s="1"/>
      <c r="CE1874" s="1"/>
      <c r="CF1874" s="1"/>
      <c r="CG1874" s="1"/>
      <c r="CH1874" s="1"/>
      <c r="CI1874" s="1"/>
      <c r="CJ1874" s="1"/>
      <c r="CK1874" s="1"/>
      <c r="CL1874" s="1"/>
      <c r="CM1874" s="1"/>
      <c r="CN1874" s="1"/>
      <c r="CO1874" s="1"/>
      <c r="CP1874" s="1"/>
      <c r="CQ1874" s="1"/>
      <c r="CR1874" s="1"/>
      <c r="CS1874" s="1"/>
      <c r="CT1874" s="1"/>
      <c r="CU1874" s="1"/>
      <c r="CV1874" s="1"/>
      <c r="CW1874" s="1"/>
      <c r="CX1874" s="1"/>
      <c r="CY1874" s="1"/>
      <c r="CZ1874" s="1"/>
      <c r="DA1874" s="1"/>
      <c r="DB1874" s="1"/>
      <c r="DC1874" s="1"/>
    </row>
    <row r="1875" spans="1:107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  <c r="AS1875" s="1"/>
      <c r="AT1875" s="1"/>
      <c r="AU1875" s="1"/>
      <c r="AV1875" s="1"/>
      <c r="AW1875" s="1"/>
      <c r="AX1875" s="1"/>
      <c r="AY1875" s="1"/>
      <c r="AZ1875" s="1"/>
      <c r="BA1875" s="1"/>
      <c r="BB1875" s="1"/>
      <c r="BC1875" s="1"/>
      <c r="BD1875" s="1"/>
      <c r="BE1875" s="1"/>
      <c r="BF1875" s="1"/>
      <c r="BG1875" s="1"/>
      <c r="BH1875" s="1"/>
      <c r="BI1875" s="1"/>
      <c r="BJ1875" s="1"/>
      <c r="BK1875" s="1"/>
      <c r="BL1875" s="1"/>
      <c r="BM1875" s="1"/>
      <c r="BN1875" s="1"/>
      <c r="BO1875" s="1"/>
      <c r="BP1875" s="1"/>
      <c r="BQ1875" s="1"/>
      <c r="BR1875" s="1"/>
      <c r="BS1875" s="1"/>
      <c r="BT1875" s="1"/>
      <c r="BU1875" s="1"/>
      <c r="BV1875" s="1"/>
      <c r="BW1875" s="1"/>
      <c r="BX1875" s="1"/>
      <c r="BY1875" s="1"/>
      <c r="BZ1875" s="1"/>
      <c r="CA1875" s="1"/>
      <c r="CB1875" s="1"/>
      <c r="CC1875" s="1"/>
      <c r="CD1875" s="1"/>
      <c r="CE1875" s="1"/>
      <c r="CF1875" s="1"/>
      <c r="CG1875" s="1"/>
      <c r="CH1875" s="1"/>
      <c r="CI1875" s="1"/>
      <c r="CJ1875" s="1"/>
      <c r="CK1875" s="1"/>
      <c r="CL1875" s="1"/>
      <c r="CM1875" s="1"/>
      <c r="CN1875" s="1"/>
      <c r="CO1875" s="1"/>
      <c r="CP1875" s="1"/>
      <c r="CQ1875" s="1"/>
      <c r="CR1875" s="1"/>
      <c r="CS1875" s="1"/>
      <c r="CT1875" s="1"/>
      <c r="CU1875" s="1"/>
      <c r="CV1875" s="1"/>
      <c r="CW1875" s="1"/>
      <c r="CX1875" s="1"/>
      <c r="CY1875" s="1"/>
      <c r="CZ1875" s="1"/>
      <c r="DA1875" s="1"/>
      <c r="DB1875" s="1"/>
      <c r="DC1875" s="1"/>
    </row>
    <row r="1876" spans="1:107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  <c r="AS1876" s="1"/>
      <c r="AT1876" s="1"/>
      <c r="AU1876" s="1"/>
      <c r="AV1876" s="1"/>
      <c r="AW1876" s="1"/>
      <c r="AX1876" s="1"/>
      <c r="AY1876" s="1"/>
      <c r="AZ1876" s="1"/>
      <c r="BA1876" s="1"/>
      <c r="BB1876" s="1"/>
      <c r="BC1876" s="1"/>
      <c r="BD1876" s="1"/>
      <c r="BE1876" s="1"/>
      <c r="BF1876" s="1"/>
      <c r="BG1876" s="1"/>
      <c r="BH1876" s="1"/>
      <c r="BI1876" s="1"/>
      <c r="BJ1876" s="1"/>
      <c r="BK1876" s="1"/>
      <c r="BL1876" s="1"/>
      <c r="BM1876" s="1"/>
      <c r="BN1876" s="1"/>
      <c r="BO1876" s="1"/>
      <c r="BP1876" s="1"/>
      <c r="BQ1876" s="1"/>
      <c r="BR1876" s="1"/>
      <c r="BS1876" s="1"/>
      <c r="BT1876" s="1"/>
      <c r="BU1876" s="1"/>
      <c r="BV1876" s="1"/>
      <c r="BW1876" s="1"/>
      <c r="BX1876" s="1"/>
      <c r="BY1876" s="1"/>
      <c r="BZ1876" s="1"/>
      <c r="CA1876" s="1"/>
      <c r="CB1876" s="1"/>
      <c r="CC1876" s="1"/>
      <c r="CD1876" s="1"/>
      <c r="CE1876" s="1"/>
      <c r="CF1876" s="1"/>
      <c r="CG1876" s="1"/>
      <c r="CH1876" s="1"/>
      <c r="CI1876" s="1"/>
      <c r="CJ1876" s="1"/>
      <c r="CK1876" s="1"/>
      <c r="CL1876" s="1"/>
      <c r="CM1876" s="1"/>
      <c r="CN1876" s="1"/>
      <c r="CO1876" s="1"/>
      <c r="CP1876" s="1"/>
      <c r="CQ1876" s="1"/>
      <c r="CR1876" s="1"/>
      <c r="CS1876" s="1"/>
      <c r="CT1876" s="1"/>
      <c r="CU1876" s="1"/>
      <c r="CV1876" s="1"/>
      <c r="CW1876" s="1"/>
      <c r="CX1876" s="1"/>
      <c r="CY1876" s="1"/>
      <c r="CZ1876" s="1"/>
      <c r="DA1876" s="1"/>
      <c r="DB1876" s="1"/>
      <c r="DC1876" s="1"/>
    </row>
    <row r="1877" spans="1:107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  <c r="AP1877" s="1"/>
      <c r="AQ1877" s="1"/>
      <c r="AR1877" s="1"/>
      <c r="AS1877" s="1"/>
      <c r="AT1877" s="1"/>
      <c r="AU1877" s="1"/>
      <c r="AV1877" s="1"/>
      <c r="AW1877" s="1"/>
      <c r="AX1877" s="1"/>
      <c r="AY1877" s="1"/>
      <c r="AZ1877" s="1"/>
      <c r="BA1877" s="1"/>
      <c r="BB1877" s="1"/>
      <c r="BC1877" s="1"/>
      <c r="BD1877" s="1"/>
      <c r="BE1877" s="1"/>
      <c r="BF1877" s="1"/>
      <c r="BG1877" s="1"/>
      <c r="BH1877" s="1"/>
      <c r="BI1877" s="1"/>
      <c r="BJ1877" s="1"/>
      <c r="BK1877" s="1"/>
      <c r="BL1877" s="1"/>
      <c r="BM1877" s="1"/>
      <c r="BN1877" s="1"/>
      <c r="BO1877" s="1"/>
      <c r="BP1877" s="1"/>
      <c r="BQ1877" s="1"/>
      <c r="BR1877" s="1"/>
      <c r="BS1877" s="1"/>
      <c r="BT1877" s="1"/>
      <c r="BU1877" s="1"/>
      <c r="BV1877" s="1"/>
      <c r="BW1877" s="1"/>
      <c r="BX1877" s="1"/>
      <c r="BY1877" s="1"/>
      <c r="BZ1877" s="1"/>
      <c r="CA1877" s="1"/>
      <c r="CB1877" s="1"/>
      <c r="CC1877" s="1"/>
      <c r="CD1877" s="1"/>
      <c r="CE1877" s="1"/>
      <c r="CF1877" s="1"/>
      <c r="CG1877" s="1"/>
      <c r="CH1877" s="1"/>
      <c r="CI1877" s="1"/>
      <c r="CJ1877" s="1"/>
      <c r="CK1877" s="1"/>
      <c r="CL1877" s="1"/>
      <c r="CM1877" s="1"/>
      <c r="CN1877" s="1"/>
      <c r="CO1877" s="1"/>
      <c r="CP1877" s="1"/>
      <c r="CQ1877" s="1"/>
      <c r="CR1877" s="1"/>
      <c r="CS1877" s="1"/>
      <c r="CT1877" s="1"/>
      <c r="CU1877" s="1"/>
      <c r="CV1877" s="1"/>
      <c r="CW1877" s="1"/>
      <c r="CX1877" s="1"/>
      <c r="CY1877" s="1"/>
      <c r="CZ1877" s="1"/>
      <c r="DA1877" s="1"/>
      <c r="DB1877" s="1"/>
      <c r="DC1877" s="1"/>
    </row>
    <row r="1878" spans="1:107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  <c r="AP1878" s="1"/>
      <c r="AQ1878" s="1"/>
      <c r="AR1878" s="1"/>
      <c r="AS1878" s="1"/>
      <c r="AT1878" s="1"/>
      <c r="AU1878" s="1"/>
      <c r="AV1878" s="1"/>
      <c r="AW1878" s="1"/>
      <c r="AX1878" s="1"/>
      <c r="AY1878" s="1"/>
      <c r="AZ1878" s="1"/>
      <c r="BA1878" s="1"/>
      <c r="BB1878" s="1"/>
      <c r="BC1878" s="1"/>
      <c r="BD1878" s="1"/>
      <c r="BE1878" s="1"/>
      <c r="BF1878" s="1"/>
      <c r="BG1878" s="1"/>
      <c r="BH1878" s="1"/>
      <c r="BI1878" s="1"/>
      <c r="BJ1878" s="1"/>
      <c r="BK1878" s="1"/>
      <c r="BL1878" s="1"/>
      <c r="BM1878" s="1"/>
      <c r="BN1878" s="1"/>
      <c r="BO1878" s="1"/>
      <c r="BP1878" s="1"/>
      <c r="BQ1878" s="1"/>
      <c r="BR1878" s="1"/>
      <c r="BS1878" s="1"/>
      <c r="BT1878" s="1"/>
      <c r="BU1878" s="1"/>
      <c r="BV1878" s="1"/>
      <c r="BW1878" s="1"/>
      <c r="BX1878" s="1"/>
      <c r="BY1878" s="1"/>
      <c r="BZ1878" s="1"/>
      <c r="CA1878" s="1"/>
      <c r="CB1878" s="1"/>
      <c r="CC1878" s="1"/>
      <c r="CD1878" s="1"/>
      <c r="CE1878" s="1"/>
      <c r="CF1878" s="1"/>
      <c r="CG1878" s="1"/>
      <c r="CH1878" s="1"/>
      <c r="CI1878" s="1"/>
      <c r="CJ1878" s="1"/>
      <c r="CK1878" s="1"/>
      <c r="CL1878" s="1"/>
      <c r="CM1878" s="1"/>
      <c r="CN1878" s="1"/>
      <c r="CO1878" s="1"/>
      <c r="CP1878" s="1"/>
      <c r="CQ1878" s="1"/>
      <c r="CR1878" s="1"/>
      <c r="CS1878" s="1"/>
      <c r="CT1878" s="1"/>
      <c r="CU1878" s="1"/>
      <c r="CV1878" s="1"/>
      <c r="CW1878" s="1"/>
      <c r="CX1878" s="1"/>
      <c r="CY1878" s="1"/>
      <c r="CZ1878" s="1"/>
      <c r="DA1878" s="1"/>
      <c r="DB1878" s="1"/>
      <c r="DC1878" s="1"/>
    </row>
    <row r="1879" spans="1:107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  <c r="AS1879" s="1"/>
      <c r="AT1879" s="1"/>
      <c r="AU1879" s="1"/>
      <c r="AV1879" s="1"/>
      <c r="AW1879" s="1"/>
      <c r="AX1879" s="1"/>
      <c r="AY1879" s="1"/>
      <c r="AZ1879" s="1"/>
      <c r="BA1879" s="1"/>
      <c r="BB1879" s="1"/>
      <c r="BC1879" s="1"/>
      <c r="BD1879" s="1"/>
      <c r="BE1879" s="1"/>
      <c r="BF1879" s="1"/>
      <c r="BG1879" s="1"/>
      <c r="BH1879" s="1"/>
      <c r="BI1879" s="1"/>
      <c r="BJ1879" s="1"/>
      <c r="BK1879" s="1"/>
      <c r="BL1879" s="1"/>
      <c r="BM1879" s="1"/>
      <c r="BN1879" s="1"/>
      <c r="BO1879" s="1"/>
      <c r="BP1879" s="1"/>
      <c r="BQ1879" s="1"/>
      <c r="BR1879" s="1"/>
      <c r="BS1879" s="1"/>
      <c r="BT1879" s="1"/>
      <c r="BU1879" s="1"/>
      <c r="BV1879" s="1"/>
      <c r="BW1879" s="1"/>
      <c r="BX1879" s="1"/>
      <c r="BY1879" s="1"/>
      <c r="BZ1879" s="1"/>
      <c r="CA1879" s="1"/>
      <c r="CB1879" s="1"/>
      <c r="CC1879" s="1"/>
      <c r="CD1879" s="1"/>
      <c r="CE1879" s="1"/>
      <c r="CF1879" s="1"/>
      <c r="CG1879" s="1"/>
      <c r="CH1879" s="1"/>
      <c r="CI1879" s="1"/>
      <c r="CJ1879" s="1"/>
      <c r="CK1879" s="1"/>
      <c r="CL1879" s="1"/>
      <c r="CM1879" s="1"/>
      <c r="CN1879" s="1"/>
      <c r="CO1879" s="1"/>
      <c r="CP1879" s="1"/>
      <c r="CQ1879" s="1"/>
      <c r="CR1879" s="1"/>
      <c r="CS1879" s="1"/>
      <c r="CT1879" s="1"/>
      <c r="CU1879" s="1"/>
      <c r="CV1879" s="1"/>
      <c r="CW1879" s="1"/>
      <c r="CX1879" s="1"/>
      <c r="CY1879" s="1"/>
      <c r="CZ1879" s="1"/>
      <c r="DA1879" s="1"/>
      <c r="DB1879" s="1"/>
      <c r="DC1879" s="1"/>
    </row>
    <row r="1880" spans="1:107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  <c r="AS1880" s="1"/>
      <c r="AT1880" s="1"/>
      <c r="AU1880" s="1"/>
      <c r="AV1880" s="1"/>
      <c r="AW1880" s="1"/>
      <c r="AX1880" s="1"/>
      <c r="AY1880" s="1"/>
      <c r="AZ1880" s="1"/>
      <c r="BA1880" s="1"/>
      <c r="BB1880" s="1"/>
      <c r="BC1880" s="1"/>
      <c r="BD1880" s="1"/>
      <c r="BE1880" s="1"/>
      <c r="BF1880" s="1"/>
      <c r="BG1880" s="1"/>
      <c r="BH1880" s="1"/>
      <c r="BI1880" s="1"/>
      <c r="BJ1880" s="1"/>
      <c r="BK1880" s="1"/>
      <c r="BL1880" s="1"/>
      <c r="BM1880" s="1"/>
      <c r="BN1880" s="1"/>
      <c r="BO1880" s="1"/>
      <c r="BP1880" s="1"/>
      <c r="BQ1880" s="1"/>
      <c r="BR1880" s="1"/>
      <c r="BS1880" s="1"/>
      <c r="BT1880" s="1"/>
      <c r="BU1880" s="1"/>
      <c r="BV1880" s="1"/>
      <c r="BW1880" s="1"/>
      <c r="BX1880" s="1"/>
      <c r="BY1880" s="1"/>
      <c r="BZ1880" s="1"/>
      <c r="CA1880" s="1"/>
      <c r="CB1880" s="1"/>
      <c r="CC1880" s="1"/>
      <c r="CD1880" s="1"/>
      <c r="CE1880" s="1"/>
      <c r="CF1880" s="1"/>
      <c r="CG1880" s="1"/>
      <c r="CH1880" s="1"/>
      <c r="CI1880" s="1"/>
      <c r="CJ1880" s="1"/>
      <c r="CK1880" s="1"/>
      <c r="CL1880" s="1"/>
      <c r="CM1880" s="1"/>
      <c r="CN1880" s="1"/>
      <c r="CO1880" s="1"/>
      <c r="CP1880" s="1"/>
      <c r="CQ1880" s="1"/>
      <c r="CR1880" s="1"/>
      <c r="CS1880" s="1"/>
      <c r="CT1880" s="1"/>
      <c r="CU1880" s="1"/>
      <c r="CV1880" s="1"/>
      <c r="CW1880" s="1"/>
      <c r="CX1880" s="1"/>
      <c r="CY1880" s="1"/>
      <c r="CZ1880" s="1"/>
      <c r="DA1880" s="1"/>
      <c r="DB1880" s="1"/>
      <c r="DC1880" s="1"/>
    </row>
    <row r="1881" spans="1:107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/>
      <c r="AV1881" s="1"/>
      <c r="AW1881" s="1"/>
      <c r="AX1881" s="1"/>
      <c r="AY1881" s="1"/>
      <c r="AZ1881" s="1"/>
      <c r="BA1881" s="1"/>
      <c r="BB1881" s="1"/>
      <c r="BC1881" s="1"/>
      <c r="BD1881" s="1"/>
      <c r="BE1881" s="1"/>
      <c r="BF1881" s="1"/>
      <c r="BG1881" s="1"/>
      <c r="BH1881" s="1"/>
      <c r="BI1881" s="1"/>
      <c r="BJ1881" s="1"/>
      <c r="BK1881" s="1"/>
      <c r="BL1881" s="1"/>
      <c r="BM1881" s="1"/>
      <c r="BN1881" s="1"/>
      <c r="BO1881" s="1"/>
      <c r="BP1881" s="1"/>
      <c r="BQ1881" s="1"/>
      <c r="BR1881" s="1"/>
      <c r="BS1881" s="1"/>
      <c r="BT1881" s="1"/>
      <c r="BU1881" s="1"/>
      <c r="BV1881" s="1"/>
      <c r="BW1881" s="1"/>
      <c r="BX1881" s="1"/>
      <c r="BY1881" s="1"/>
      <c r="BZ1881" s="1"/>
      <c r="CA1881" s="1"/>
      <c r="CB1881" s="1"/>
      <c r="CC1881" s="1"/>
      <c r="CD1881" s="1"/>
      <c r="CE1881" s="1"/>
      <c r="CF1881" s="1"/>
      <c r="CG1881" s="1"/>
      <c r="CH1881" s="1"/>
      <c r="CI1881" s="1"/>
      <c r="CJ1881" s="1"/>
      <c r="CK1881" s="1"/>
      <c r="CL1881" s="1"/>
      <c r="CM1881" s="1"/>
      <c r="CN1881" s="1"/>
      <c r="CO1881" s="1"/>
      <c r="CP1881" s="1"/>
      <c r="CQ1881" s="1"/>
      <c r="CR1881" s="1"/>
      <c r="CS1881" s="1"/>
      <c r="CT1881" s="1"/>
      <c r="CU1881" s="1"/>
      <c r="CV1881" s="1"/>
      <c r="CW1881" s="1"/>
      <c r="CX1881" s="1"/>
      <c r="CY1881" s="1"/>
      <c r="CZ1881" s="1"/>
      <c r="DA1881" s="1"/>
      <c r="DB1881" s="1"/>
      <c r="DC1881" s="1"/>
    </row>
    <row r="1882" spans="1:107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  <c r="AP1882" s="1"/>
      <c r="AQ1882" s="1"/>
      <c r="AR1882" s="1"/>
      <c r="AS1882" s="1"/>
      <c r="AT1882" s="1"/>
      <c r="AU1882" s="1"/>
      <c r="AV1882" s="1"/>
      <c r="AW1882" s="1"/>
      <c r="AX1882" s="1"/>
      <c r="AY1882" s="1"/>
      <c r="AZ1882" s="1"/>
      <c r="BA1882" s="1"/>
      <c r="BB1882" s="1"/>
      <c r="BC1882" s="1"/>
      <c r="BD1882" s="1"/>
      <c r="BE1882" s="1"/>
      <c r="BF1882" s="1"/>
      <c r="BG1882" s="1"/>
      <c r="BH1882" s="1"/>
      <c r="BI1882" s="1"/>
      <c r="BJ1882" s="1"/>
      <c r="BK1882" s="1"/>
      <c r="BL1882" s="1"/>
      <c r="BM1882" s="1"/>
      <c r="BN1882" s="1"/>
      <c r="BO1882" s="1"/>
      <c r="BP1882" s="1"/>
      <c r="BQ1882" s="1"/>
      <c r="BR1882" s="1"/>
      <c r="BS1882" s="1"/>
      <c r="BT1882" s="1"/>
      <c r="BU1882" s="1"/>
      <c r="BV1882" s="1"/>
      <c r="BW1882" s="1"/>
      <c r="BX1882" s="1"/>
      <c r="BY1882" s="1"/>
      <c r="BZ1882" s="1"/>
      <c r="CA1882" s="1"/>
      <c r="CB1882" s="1"/>
      <c r="CC1882" s="1"/>
      <c r="CD1882" s="1"/>
      <c r="CE1882" s="1"/>
      <c r="CF1882" s="1"/>
      <c r="CG1882" s="1"/>
      <c r="CH1882" s="1"/>
      <c r="CI1882" s="1"/>
      <c r="CJ1882" s="1"/>
      <c r="CK1882" s="1"/>
      <c r="CL1882" s="1"/>
      <c r="CM1882" s="1"/>
      <c r="CN1882" s="1"/>
      <c r="CO1882" s="1"/>
      <c r="CP1882" s="1"/>
      <c r="CQ1882" s="1"/>
      <c r="CR1882" s="1"/>
      <c r="CS1882" s="1"/>
      <c r="CT1882" s="1"/>
      <c r="CU1882" s="1"/>
      <c r="CV1882" s="1"/>
      <c r="CW1882" s="1"/>
      <c r="CX1882" s="1"/>
      <c r="CY1882" s="1"/>
      <c r="CZ1882" s="1"/>
      <c r="DA1882" s="1"/>
      <c r="DB1882" s="1"/>
      <c r="DC1882" s="1"/>
    </row>
    <row r="1883" spans="1:107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  <c r="AS1883" s="1"/>
      <c r="AT1883" s="1"/>
      <c r="AU1883" s="1"/>
      <c r="AV1883" s="1"/>
      <c r="AW1883" s="1"/>
      <c r="AX1883" s="1"/>
      <c r="AY1883" s="1"/>
      <c r="AZ1883" s="1"/>
      <c r="BA1883" s="1"/>
      <c r="BB1883" s="1"/>
      <c r="BC1883" s="1"/>
      <c r="BD1883" s="1"/>
      <c r="BE1883" s="1"/>
      <c r="BF1883" s="1"/>
      <c r="BG1883" s="1"/>
      <c r="BH1883" s="1"/>
      <c r="BI1883" s="1"/>
      <c r="BJ1883" s="1"/>
      <c r="BK1883" s="1"/>
      <c r="BL1883" s="1"/>
      <c r="BM1883" s="1"/>
      <c r="BN1883" s="1"/>
      <c r="BO1883" s="1"/>
      <c r="BP1883" s="1"/>
      <c r="BQ1883" s="1"/>
      <c r="BR1883" s="1"/>
      <c r="BS1883" s="1"/>
      <c r="BT1883" s="1"/>
      <c r="BU1883" s="1"/>
      <c r="BV1883" s="1"/>
      <c r="BW1883" s="1"/>
      <c r="BX1883" s="1"/>
      <c r="BY1883" s="1"/>
      <c r="BZ1883" s="1"/>
      <c r="CA1883" s="1"/>
      <c r="CB1883" s="1"/>
      <c r="CC1883" s="1"/>
      <c r="CD1883" s="1"/>
      <c r="CE1883" s="1"/>
      <c r="CF1883" s="1"/>
      <c r="CG1883" s="1"/>
      <c r="CH1883" s="1"/>
      <c r="CI1883" s="1"/>
      <c r="CJ1883" s="1"/>
      <c r="CK1883" s="1"/>
      <c r="CL1883" s="1"/>
      <c r="CM1883" s="1"/>
      <c r="CN1883" s="1"/>
      <c r="CO1883" s="1"/>
      <c r="CP1883" s="1"/>
      <c r="CQ1883" s="1"/>
      <c r="CR1883" s="1"/>
      <c r="CS1883" s="1"/>
      <c r="CT1883" s="1"/>
      <c r="CU1883" s="1"/>
      <c r="CV1883" s="1"/>
      <c r="CW1883" s="1"/>
      <c r="CX1883" s="1"/>
      <c r="CY1883" s="1"/>
      <c r="CZ1883" s="1"/>
      <c r="DA1883" s="1"/>
      <c r="DB1883" s="1"/>
      <c r="DC1883" s="1"/>
    </row>
    <row r="1884" spans="1:107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  <c r="AS1884" s="1"/>
      <c r="AT1884" s="1"/>
      <c r="AU1884" s="1"/>
      <c r="AV1884" s="1"/>
      <c r="AW1884" s="1"/>
      <c r="AX1884" s="1"/>
      <c r="AY1884" s="1"/>
      <c r="AZ1884" s="1"/>
      <c r="BA1884" s="1"/>
      <c r="BB1884" s="1"/>
      <c r="BC1884" s="1"/>
      <c r="BD1884" s="1"/>
      <c r="BE1884" s="1"/>
      <c r="BF1884" s="1"/>
      <c r="BG1884" s="1"/>
      <c r="BH1884" s="1"/>
      <c r="BI1884" s="1"/>
      <c r="BJ1884" s="1"/>
      <c r="BK1884" s="1"/>
      <c r="BL1884" s="1"/>
      <c r="BM1884" s="1"/>
      <c r="BN1884" s="1"/>
      <c r="BO1884" s="1"/>
      <c r="BP1884" s="1"/>
      <c r="BQ1884" s="1"/>
      <c r="BR1884" s="1"/>
      <c r="BS1884" s="1"/>
      <c r="BT1884" s="1"/>
      <c r="BU1884" s="1"/>
      <c r="BV1884" s="1"/>
      <c r="BW1884" s="1"/>
      <c r="BX1884" s="1"/>
      <c r="BY1884" s="1"/>
      <c r="BZ1884" s="1"/>
      <c r="CA1884" s="1"/>
      <c r="CB1884" s="1"/>
      <c r="CC1884" s="1"/>
      <c r="CD1884" s="1"/>
      <c r="CE1884" s="1"/>
      <c r="CF1884" s="1"/>
      <c r="CG1884" s="1"/>
      <c r="CH1884" s="1"/>
      <c r="CI1884" s="1"/>
      <c r="CJ1884" s="1"/>
      <c r="CK1884" s="1"/>
      <c r="CL1884" s="1"/>
      <c r="CM1884" s="1"/>
      <c r="CN1884" s="1"/>
      <c r="CO1884" s="1"/>
      <c r="CP1884" s="1"/>
      <c r="CQ1884" s="1"/>
      <c r="CR1884" s="1"/>
      <c r="CS1884" s="1"/>
      <c r="CT1884" s="1"/>
      <c r="CU1884" s="1"/>
      <c r="CV1884" s="1"/>
      <c r="CW1884" s="1"/>
      <c r="CX1884" s="1"/>
      <c r="CY1884" s="1"/>
      <c r="CZ1884" s="1"/>
      <c r="DA1884" s="1"/>
      <c r="DB1884" s="1"/>
      <c r="DC1884" s="1"/>
    </row>
    <row r="1885" spans="1:107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  <c r="AS1885" s="1"/>
      <c r="AT1885" s="1"/>
      <c r="AU1885" s="1"/>
      <c r="AV1885" s="1"/>
      <c r="AW1885" s="1"/>
      <c r="AX1885" s="1"/>
      <c r="AY1885" s="1"/>
      <c r="AZ1885" s="1"/>
      <c r="BA1885" s="1"/>
      <c r="BB1885" s="1"/>
      <c r="BC1885" s="1"/>
      <c r="BD1885" s="1"/>
      <c r="BE1885" s="1"/>
      <c r="BF1885" s="1"/>
      <c r="BG1885" s="1"/>
      <c r="BH1885" s="1"/>
      <c r="BI1885" s="1"/>
      <c r="BJ1885" s="1"/>
      <c r="BK1885" s="1"/>
      <c r="BL1885" s="1"/>
      <c r="BM1885" s="1"/>
      <c r="BN1885" s="1"/>
      <c r="BO1885" s="1"/>
      <c r="BP1885" s="1"/>
      <c r="BQ1885" s="1"/>
      <c r="BR1885" s="1"/>
      <c r="BS1885" s="1"/>
      <c r="BT1885" s="1"/>
      <c r="BU1885" s="1"/>
      <c r="BV1885" s="1"/>
      <c r="BW1885" s="1"/>
      <c r="BX1885" s="1"/>
      <c r="BY1885" s="1"/>
      <c r="BZ1885" s="1"/>
      <c r="CA1885" s="1"/>
      <c r="CB1885" s="1"/>
      <c r="CC1885" s="1"/>
      <c r="CD1885" s="1"/>
      <c r="CE1885" s="1"/>
      <c r="CF1885" s="1"/>
      <c r="CG1885" s="1"/>
      <c r="CH1885" s="1"/>
      <c r="CI1885" s="1"/>
      <c r="CJ1885" s="1"/>
      <c r="CK1885" s="1"/>
      <c r="CL1885" s="1"/>
      <c r="CM1885" s="1"/>
      <c r="CN1885" s="1"/>
      <c r="CO1885" s="1"/>
      <c r="CP1885" s="1"/>
      <c r="CQ1885" s="1"/>
      <c r="CR1885" s="1"/>
      <c r="CS1885" s="1"/>
      <c r="CT1885" s="1"/>
      <c r="CU1885" s="1"/>
      <c r="CV1885" s="1"/>
      <c r="CW1885" s="1"/>
      <c r="CX1885" s="1"/>
      <c r="CY1885" s="1"/>
      <c r="CZ1885" s="1"/>
      <c r="DA1885" s="1"/>
      <c r="DB1885" s="1"/>
      <c r="DC1885" s="1"/>
    </row>
    <row r="1886" spans="1:107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  <c r="AS1886" s="1"/>
      <c r="AT1886" s="1"/>
      <c r="AU1886" s="1"/>
      <c r="AV1886" s="1"/>
      <c r="AW1886" s="1"/>
      <c r="AX1886" s="1"/>
      <c r="AY1886" s="1"/>
      <c r="AZ1886" s="1"/>
      <c r="BA1886" s="1"/>
      <c r="BB1886" s="1"/>
      <c r="BC1886" s="1"/>
      <c r="BD1886" s="1"/>
      <c r="BE1886" s="1"/>
      <c r="BF1886" s="1"/>
      <c r="BG1886" s="1"/>
      <c r="BH1886" s="1"/>
      <c r="BI1886" s="1"/>
      <c r="BJ1886" s="1"/>
      <c r="BK1886" s="1"/>
      <c r="BL1886" s="1"/>
      <c r="BM1886" s="1"/>
      <c r="BN1886" s="1"/>
      <c r="BO1886" s="1"/>
      <c r="BP1886" s="1"/>
      <c r="BQ1886" s="1"/>
      <c r="BR1886" s="1"/>
      <c r="BS1886" s="1"/>
      <c r="BT1886" s="1"/>
      <c r="BU1886" s="1"/>
      <c r="BV1886" s="1"/>
      <c r="BW1886" s="1"/>
      <c r="BX1886" s="1"/>
      <c r="BY1886" s="1"/>
      <c r="BZ1886" s="1"/>
      <c r="CA1886" s="1"/>
      <c r="CB1886" s="1"/>
      <c r="CC1886" s="1"/>
      <c r="CD1886" s="1"/>
      <c r="CE1886" s="1"/>
      <c r="CF1886" s="1"/>
      <c r="CG1886" s="1"/>
      <c r="CH1886" s="1"/>
      <c r="CI1886" s="1"/>
      <c r="CJ1886" s="1"/>
      <c r="CK1886" s="1"/>
      <c r="CL1886" s="1"/>
      <c r="CM1886" s="1"/>
      <c r="CN1886" s="1"/>
      <c r="CO1886" s="1"/>
      <c r="CP1886" s="1"/>
      <c r="CQ1886" s="1"/>
      <c r="CR1886" s="1"/>
      <c r="CS1886" s="1"/>
      <c r="CT1886" s="1"/>
      <c r="CU1886" s="1"/>
      <c r="CV1886" s="1"/>
      <c r="CW1886" s="1"/>
      <c r="CX1886" s="1"/>
      <c r="CY1886" s="1"/>
      <c r="CZ1886" s="1"/>
      <c r="DA1886" s="1"/>
      <c r="DB1886" s="1"/>
      <c r="DC1886" s="1"/>
    </row>
    <row r="1887" spans="1:107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/>
      <c r="AW1887" s="1"/>
      <c r="AX1887" s="1"/>
      <c r="AY1887" s="1"/>
      <c r="AZ1887" s="1"/>
      <c r="BA1887" s="1"/>
      <c r="BB1887" s="1"/>
      <c r="BC1887" s="1"/>
      <c r="BD1887" s="1"/>
      <c r="BE1887" s="1"/>
      <c r="BF1887" s="1"/>
      <c r="BG1887" s="1"/>
      <c r="BH1887" s="1"/>
      <c r="BI1887" s="1"/>
      <c r="BJ1887" s="1"/>
      <c r="BK1887" s="1"/>
      <c r="BL1887" s="1"/>
      <c r="BM1887" s="1"/>
      <c r="BN1887" s="1"/>
      <c r="BO1887" s="1"/>
      <c r="BP1887" s="1"/>
      <c r="BQ1887" s="1"/>
      <c r="BR1887" s="1"/>
      <c r="BS1887" s="1"/>
      <c r="BT1887" s="1"/>
      <c r="BU1887" s="1"/>
      <c r="BV1887" s="1"/>
      <c r="BW1887" s="1"/>
      <c r="BX1887" s="1"/>
      <c r="BY1887" s="1"/>
      <c r="BZ1887" s="1"/>
      <c r="CA1887" s="1"/>
      <c r="CB1887" s="1"/>
      <c r="CC1887" s="1"/>
      <c r="CD1887" s="1"/>
      <c r="CE1887" s="1"/>
      <c r="CF1887" s="1"/>
      <c r="CG1887" s="1"/>
      <c r="CH1887" s="1"/>
      <c r="CI1887" s="1"/>
      <c r="CJ1887" s="1"/>
      <c r="CK1887" s="1"/>
      <c r="CL1887" s="1"/>
      <c r="CM1887" s="1"/>
      <c r="CN1887" s="1"/>
      <c r="CO1887" s="1"/>
      <c r="CP1887" s="1"/>
      <c r="CQ1887" s="1"/>
      <c r="CR1887" s="1"/>
      <c r="CS1887" s="1"/>
      <c r="CT1887" s="1"/>
      <c r="CU1887" s="1"/>
      <c r="CV1887" s="1"/>
      <c r="CW1887" s="1"/>
      <c r="CX1887" s="1"/>
      <c r="CY1887" s="1"/>
      <c r="CZ1887" s="1"/>
      <c r="DA1887" s="1"/>
      <c r="DB1887" s="1"/>
      <c r="DC1887" s="1"/>
    </row>
    <row r="1888" spans="1:107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  <c r="AS1888" s="1"/>
      <c r="AT1888" s="1"/>
      <c r="AU1888" s="1"/>
      <c r="AV1888" s="1"/>
      <c r="AW1888" s="1"/>
      <c r="AX1888" s="1"/>
      <c r="AY1888" s="1"/>
      <c r="AZ1888" s="1"/>
      <c r="BA1888" s="1"/>
      <c r="BB1888" s="1"/>
      <c r="BC1888" s="1"/>
      <c r="BD1888" s="1"/>
      <c r="BE1888" s="1"/>
      <c r="BF1888" s="1"/>
      <c r="BG1888" s="1"/>
      <c r="BH1888" s="1"/>
      <c r="BI1888" s="1"/>
      <c r="BJ1888" s="1"/>
      <c r="BK1888" s="1"/>
      <c r="BL1888" s="1"/>
      <c r="BM1888" s="1"/>
      <c r="BN1888" s="1"/>
      <c r="BO1888" s="1"/>
      <c r="BP1888" s="1"/>
      <c r="BQ1888" s="1"/>
      <c r="BR1888" s="1"/>
      <c r="BS1888" s="1"/>
      <c r="BT1888" s="1"/>
      <c r="BU1888" s="1"/>
      <c r="BV1888" s="1"/>
      <c r="BW1888" s="1"/>
      <c r="BX1888" s="1"/>
      <c r="BY1888" s="1"/>
      <c r="BZ1888" s="1"/>
      <c r="CA1888" s="1"/>
      <c r="CB1888" s="1"/>
      <c r="CC1888" s="1"/>
      <c r="CD1888" s="1"/>
      <c r="CE1888" s="1"/>
      <c r="CF1888" s="1"/>
      <c r="CG1888" s="1"/>
      <c r="CH1888" s="1"/>
      <c r="CI1888" s="1"/>
      <c r="CJ1888" s="1"/>
      <c r="CK1888" s="1"/>
      <c r="CL1888" s="1"/>
      <c r="CM1888" s="1"/>
      <c r="CN1888" s="1"/>
      <c r="CO1888" s="1"/>
      <c r="CP1888" s="1"/>
      <c r="CQ1888" s="1"/>
      <c r="CR1888" s="1"/>
      <c r="CS1888" s="1"/>
      <c r="CT1888" s="1"/>
      <c r="CU1888" s="1"/>
      <c r="CV1888" s="1"/>
      <c r="CW1888" s="1"/>
      <c r="CX1888" s="1"/>
      <c r="CY1888" s="1"/>
      <c r="CZ1888" s="1"/>
      <c r="DA1888" s="1"/>
      <c r="DB1888" s="1"/>
      <c r="DC1888" s="1"/>
    </row>
    <row r="1889" spans="1:107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  <c r="AU1889" s="1"/>
      <c r="AV1889" s="1"/>
      <c r="AW1889" s="1"/>
      <c r="AX1889" s="1"/>
      <c r="AY1889" s="1"/>
      <c r="AZ1889" s="1"/>
      <c r="BA1889" s="1"/>
      <c r="BB1889" s="1"/>
      <c r="BC1889" s="1"/>
      <c r="BD1889" s="1"/>
      <c r="BE1889" s="1"/>
      <c r="BF1889" s="1"/>
      <c r="BG1889" s="1"/>
      <c r="BH1889" s="1"/>
      <c r="BI1889" s="1"/>
      <c r="BJ1889" s="1"/>
      <c r="BK1889" s="1"/>
      <c r="BL1889" s="1"/>
      <c r="BM1889" s="1"/>
      <c r="BN1889" s="1"/>
      <c r="BO1889" s="1"/>
      <c r="BP1889" s="1"/>
      <c r="BQ1889" s="1"/>
      <c r="BR1889" s="1"/>
      <c r="BS1889" s="1"/>
      <c r="BT1889" s="1"/>
      <c r="BU1889" s="1"/>
      <c r="BV1889" s="1"/>
      <c r="BW1889" s="1"/>
      <c r="BX1889" s="1"/>
      <c r="BY1889" s="1"/>
      <c r="BZ1889" s="1"/>
      <c r="CA1889" s="1"/>
      <c r="CB1889" s="1"/>
      <c r="CC1889" s="1"/>
      <c r="CD1889" s="1"/>
      <c r="CE1889" s="1"/>
      <c r="CF1889" s="1"/>
      <c r="CG1889" s="1"/>
      <c r="CH1889" s="1"/>
      <c r="CI1889" s="1"/>
      <c r="CJ1889" s="1"/>
      <c r="CK1889" s="1"/>
      <c r="CL1889" s="1"/>
      <c r="CM1889" s="1"/>
      <c r="CN1889" s="1"/>
      <c r="CO1889" s="1"/>
      <c r="CP1889" s="1"/>
      <c r="CQ1889" s="1"/>
      <c r="CR1889" s="1"/>
      <c r="CS1889" s="1"/>
      <c r="CT1889" s="1"/>
      <c r="CU1889" s="1"/>
      <c r="CV1889" s="1"/>
      <c r="CW1889" s="1"/>
      <c r="CX1889" s="1"/>
      <c r="CY1889" s="1"/>
      <c r="CZ1889" s="1"/>
      <c r="DA1889" s="1"/>
      <c r="DB1889" s="1"/>
      <c r="DC1889" s="1"/>
    </row>
    <row r="1890" spans="1:107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1"/>
      <c r="AM1890" s="1"/>
      <c r="AN1890" s="1"/>
      <c r="AO1890" s="1"/>
      <c r="AP1890" s="1"/>
      <c r="AQ1890" s="1"/>
      <c r="AR1890" s="1"/>
      <c r="AS1890" s="1"/>
      <c r="AT1890" s="1"/>
      <c r="AU1890" s="1"/>
      <c r="AV1890" s="1"/>
      <c r="AW1890" s="1"/>
      <c r="AX1890" s="1"/>
      <c r="AY1890" s="1"/>
      <c r="AZ1890" s="1"/>
      <c r="BA1890" s="1"/>
      <c r="BB1890" s="1"/>
      <c r="BC1890" s="1"/>
      <c r="BD1890" s="1"/>
      <c r="BE1890" s="1"/>
      <c r="BF1890" s="1"/>
      <c r="BG1890" s="1"/>
      <c r="BH1890" s="1"/>
      <c r="BI1890" s="1"/>
      <c r="BJ1890" s="1"/>
      <c r="BK1890" s="1"/>
      <c r="BL1890" s="1"/>
      <c r="BM1890" s="1"/>
      <c r="BN1890" s="1"/>
      <c r="BO1890" s="1"/>
      <c r="BP1890" s="1"/>
      <c r="BQ1890" s="1"/>
      <c r="BR1890" s="1"/>
      <c r="BS1890" s="1"/>
      <c r="BT1890" s="1"/>
      <c r="BU1890" s="1"/>
      <c r="BV1890" s="1"/>
      <c r="BW1890" s="1"/>
      <c r="BX1890" s="1"/>
      <c r="BY1890" s="1"/>
      <c r="BZ1890" s="1"/>
      <c r="CA1890" s="1"/>
      <c r="CB1890" s="1"/>
      <c r="CC1890" s="1"/>
      <c r="CD1890" s="1"/>
      <c r="CE1890" s="1"/>
      <c r="CF1890" s="1"/>
      <c r="CG1890" s="1"/>
      <c r="CH1890" s="1"/>
      <c r="CI1890" s="1"/>
      <c r="CJ1890" s="1"/>
      <c r="CK1890" s="1"/>
      <c r="CL1890" s="1"/>
      <c r="CM1890" s="1"/>
      <c r="CN1890" s="1"/>
      <c r="CO1890" s="1"/>
      <c r="CP1890" s="1"/>
      <c r="CQ1890" s="1"/>
      <c r="CR1890" s="1"/>
      <c r="CS1890" s="1"/>
      <c r="CT1890" s="1"/>
      <c r="CU1890" s="1"/>
      <c r="CV1890" s="1"/>
      <c r="CW1890" s="1"/>
      <c r="CX1890" s="1"/>
      <c r="CY1890" s="1"/>
      <c r="CZ1890" s="1"/>
      <c r="DA1890" s="1"/>
      <c r="DB1890" s="1"/>
      <c r="DC1890" s="1"/>
    </row>
    <row r="1891" spans="1:107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  <c r="AU1891" s="1"/>
      <c r="AV1891" s="1"/>
      <c r="AW1891" s="1"/>
      <c r="AX1891" s="1"/>
      <c r="AY1891" s="1"/>
      <c r="AZ1891" s="1"/>
      <c r="BA1891" s="1"/>
      <c r="BB1891" s="1"/>
      <c r="BC1891" s="1"/>
      <c r="BD1891" s="1"/>
      <c r="BE1891" s="1"/>
      <c r="BF1891" s="1"/>
      <c r="BG1891" s="1"/>
      <c r="BH1891" s="1"/>
      <c r="BI1891" s="1"/>
      <c r="BJ1891" s="1"/>
      <c r="BK1891" s="1"/>
      <c r="BL1891" s="1"/>
      <c r="BM1891" s="1"/>
      <c r="BN1891" s="1"/>
      <c r="BO1891" s="1"/>
      <c r="BP1891" s="1"/>
      <c r="BQ1891" s="1"/>
      <c r="BR1891" s="1"/>
      <c r="BS1891" s="1"/>
      <c r="BT1891" s="1"/>
      <c r="BU1891" s="1"/>
      <c r="BV1891" s="1"/>
      <c r="BW1891" s="1"/>
      <c r="BX1891" s="1"/>
      <c r="BY1891" s="1"/>
      <c r="BZ1891" s="1"/>
      <c r="CA1891" s="1"/>
      <c r="CB1891" s="1"/>
      <c r="CC1891" s="1"/>
      <c r="CD1891" s="1"/>
      <c r="CE1891" s="1"/>
      <c r="CF1891" s="1"/>
      <c r="CG1891" s="1"/>
      <c r="CH1891" s="1"/>
      <c r="CI1891" s="1"/>
      <c r="CJ1891" s="1"/>
      <c r="CK1891" s="1"/>
      <c r="CL1891" s="1"/>
      <c r="CM1891" s="1"/>
      <c r="CN1891" s="1"/>
      <c r="CO1891" s="1"/>
      <c r="CP1891" s="1"/>
      <c r="CQ1891" s="1"/>
      <c r="CR1891" s="1"/>
      <c r="CS1891" s="1"/>
      <c r="CT1891" s="1"/>
      <c r="CU1891" s="1"/>
      <c r="CV1891" s="1"/>
      <c r="CW1891" s="1"/>
      <c r="CX1891" s="1"/>
      <c r="CY1891" s="1"/>
      <c r="CZ1891" s="1"/>
      <c r="DA1891" s="1"/>
      <c r="DB1891" s="1"/>
      <c r="DC1891" s="1"/>
    </row>
    <row r="1892" spans="1:107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  <c r="AL1892" s="1"/>
      <c r="AM1892" s="1"/>
      <c r="AN1892" s="1"/>
      <c r="AO1892" s="1"/>
      <c r="AP1892" s="1"/>
      <c r="AQ1892" s="1"/>
      <c r="AR1892" s="1"/>
      <c r="AS1892" s="1"/>
      <c r="AT1892" s="1"/>
      <c r="AU1892" s="1"/>
      <c r="AV1892" s="1"/>
      <c r="AW1892" s="1"/>
      <c r="AX1892" s="1"/>
      <c r="AY1892" s="1"/>
      <c r="AZ1892" s="1"/>
      <c r="BA1892" s="1"/>
      <c r="BB1892" s="1"/>
      <c r="BC1892" s="1"/>
      <c r="BD1892" s="1"/>
      <c r="BE1892" s="1"/>
      <c r="BF1892" s="1"/>
      <c r="BG1892" s="1"/>
      <c r="BH1892" s="1"/>
      <c r="BI1892" s="1"/>
      <c r="BJ1892" s="1"/>
      <c r="BK1892" s="1"/>
      <c r="BL1892" s="1"/>
      <c r="BM1892" s="1"/>
      <c r="BN1892" s="1"/>
      <c r="BO1892" s="1"/>
      <c r="BP1892" s="1"/>
      <c r="BQ1892" s="1"/>
      <c r="BR1892" s="1"/>
      <c r="BS1892" s="1"/>
      <c r="BT1892" s="1"/>
      <c r="BU1892" s="1"/>
      <c r="BV1892" s="1"/>
      <c r="BW1892" s="1"/>
      <c r="BX1892" s="1"/>
      <c r="BY1892" s="1"/>
      <c r="BZ1892" s="1"/>
      <c r="CA1892" s="1"/>
      <c r="CB1892" s="1"/>
      <c r="CC1892" s="1"/>
      <c r="CD1892" s="1"/>
      <c r="CE1892" s="1"/>
      <c r="CF1892" s="1"/>
      <c r="CG1892" s="1"/>
      <c r="CH1892" s="1"/>
      <c r="CI1892" s="1"/>
      <c r="CJ1892" s="1"/>
      <c r="CK1892" s="1"/>
      <c r="CL1892" s="1"/>
      <c r="CM1892" s="1"/>
      <c r="CN1892" s="1"/>
      <c r="CO1892" s="1"/>
      <c r="CP1892" s="1"/>
      <c r="CQ1892" s="1"/>
      <c r="CR1892" s="1"/>
      <c r="CS1892" s="1"/>
      <c r="CT1892" s="1"/>
      <c r="CU1892" s="1"/>
      <c r="CV1892" s="1"/>
      <c r="CW1892" s="1"/>
      <c r="CX1892" s="1"/>
      <c r="CY1892" s="1"/>
      <c r="CZ1892" s="1"/>
      <c r="DA1892" s="1"/>
      <c r="DB1892" s="1"/>
      <c r="DC1892" s="1"/>
    </row>
    <row r="1893" spans="1:107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  <c r="AL1893" s="1"/>
      <c r="AM1893" s="1"/>
      <c r="AN1893" s="1"/>
      <c r="AO1893" s="1"/>
      <c r="AP1893" s="1"/>
      <c r="AQ1893" s="1"/>
      <c r="AR1893" s="1"/>
      <c r="AS1893" s="1"/>
      <c r="AT1893" s="1"/>
      <c r="AU1893" s="1"/>
      <c r="AV1893" s="1"/>
      <c r="AW1893" s="1"/>
      <c r="AX1893" s="1"/>
      <c r="AY1893" s="1"/>
      <c r="AZ1893" s="1"/>
      <c r="BA1893" s="1"/>
      <c r="BB1893" s="1"/>
      <c r="BC1893" s="1"/>
      <c r="BD1893" s="1"/>
      <c r="BE1893" s="1"/>
      <c r="BF1893" s="1"/>
      <c r="BG1893" s="1"/>
      <c r="BH1893" s="1"/>
      <c r="BI1893" s="1"/>
      <c r="BJ1893" s="1"/>
      <c r="BK1893" s="1"/>
      <c r="BL1893" s="1"/>
      <c r="BM1893" s="1"/>
      <c r="BN1893" s="1"/>
      <c r="BO1893" s="1"/>
      <c r="BP1893" s="1"/>
      <c r="BQ1893" s="1"/>
      <c r="BR1893" s="1"/>
      <c r="BS1893" s="1"/>
      <c r="BT1893" s="1"/>
      <c r="BU1893" s="1"/>
      <c r="BV1893" s="1"/>
      <c r="BW1893" s="1"/>
      <c r="BX1893" s="1"/>
      <c r="BY1893" s="1"/>
      <c r="BZ1893" s="1"/>
      <c r="CA1893" s="1"/>
      <c r="CB1893" s="1"/>
      <c r="CC1893" s="1"/>
      <c r="CD1893" s="1"/>
      <c r="CE1893" s="1"/>
      <c r="CF1893" s="1"/>
      <c r="CG1893" s="1"/>
      <c r="CH1893" s="1"/>
      <c r="CI1893" s="1"/>
      <c r="CJ1893" s="1"/>
      <c r="CK1893" s="1"/>
      <c r="CL1893" s="1"/>
      <c r="CM1893" s="1"/>
      <c r="CN1893" s="1"/>
      <c r="CO1893" s="1"/>
      <c r="CP1893" s="1"/>
      <c r="CQ1893" s="1"/>
      <c r="CR1893" s="1"/>
      <c r="CS1893" s="1"/>
      <c r="CT1893" s="1"/>
      <c r="CU1893" s="1"/>
      <c r="CV1893" s="1"/>
      <c r="CW1893" s="1"/>
      <c r="CX1893" s="1"/>
      <c r="CY1893" s="1"/>
      <c r="CZ1893" s="1"/>
      <c r="DA1893" s="1"/>
      <c r="DB1893" s="1"/>
      <c r="DC1893" s="1"/>
    </row>
    <row r="1894" spans="1:107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  <c r="AL1894" s="1"/>
      <c r="AM1894" s="1"/>
      <c r="AN1894" s="1"/>
      <c r="AO1894" s="1"/>
      <c r="AP1894" s="1"/>
      <c r="AQ1894" s="1"/>
      <c r="AR1894" s="1"/>
      <c r="AS1894" s="1"/>
      <c r="AT1894" s="1"/>
      <c r="AU1894" s="1"/>
      <c r="AV1894" s="1"/>
      <c r="AW1894" s="1"/>
      <c r="AX1894" s="1"/>
      <c r="AY1894" s="1"/>
      <c r="AZ1894" s="1"/>
      <c r="BA1894" s="1"/>
      <c r="BB1894" s="1"/>
      <c r="BC1894" s="1"/>
      <c r="BD1894" s="1"/>
      <c r="BE1894" s="1"/>
      <c r="BF1894" s="1"/>
      <c r="BG1894" s="1"/>
      <c r="BH1894" s="1"/>
      <c r="BI1894" s="1"/>
      <c r="BJ1894" s="1"/>
      <c r="BK1894" s="1"/>
      <c r="BL1894" s="1"/>
      <c r="BM1894" s="1"/>
      <c r="BN1894" s="1"/>
      <c r="BO1894" s="1"/>
      <c r="BP1894" s="1"/>
      <c r="BQ1894" s="1"/>
      <c r="BR1894" s="1"/>
      <c r="BS1894" s="1"/>
      <c r="BT1894" s="1"/>
      <c r="BU1894" s="1"/>
      <c r="BV1894" s="1"/>
      <c r="BW1894" s="1"/>
      <c r="BX1894" s="1"/>
      <c r="BY1894" s="1"/>
      <c r="BZ1894" s="1"/>
      <c r="CA1894" s="1"/>
      <c r="CB1894" s="1"/>
      <c r="CC1894" s="1"/>
      <c r="CD1894" s="1"/>
      <c r="CE1894" s="1"/>
      <c r="CF1894" s="1"/>
      <c r="CG1894" s="1"/>
      <c r="CH1894" s="1"/>
      <c r="CI1894" s="1"/>
      <c r="CJ1894" s="1"/>
      <c r="CK1894" s="1"/>
      <c r="CL1894" s="1"/>
      <c r="CM1894" s="1"/>
      <c r="CN1894" s="1"/>
      <c r="CO1894" s="1"/>
      <c r="CP1894" s="1"/>
      <c r="CQ1894" s="1"/>
      <c r="CR1894" s="1"/>
      <c r="CS1894" s="1"/>
      <c r="CT1894" s="1"/>
      <c r="CU1894" s="1"/>
      <c r="CV1894" s="1"/>
      <c r="CW1894" s="1"/>
      <c r="CX1894" s="1"/>
      <c r="CY1894" s="1"/>
      <c r="CZ1894" s="1"/>
      <c r="DA1894" s="1"/>
      <c r="DB1894" s="1"/>
      <c r="DC1894" s="1"/>
    </row>
    <row r="1895" spans="1:107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  <c r="AO1895" s="1"/>
      <c r="AP1895" s="1"/>
      <c r="AQ1895" s="1"/>
      <c r="AR1895" s="1"/>
      <c r="AS1895" s="1"/>
      <c r="AT1895" s="1"/>
      <c r="AU1895" s="1"/>
      <c r="AV1895" s="1"/>
      <c r="AW1895" s="1"/>
      <c r="AX1895" s="1"/>
      <c r="AY1895" s="1"/>
      <c r="AZ1895" s="1"/>
      <c r="BA1895" s="1"/>
      <c r="BB1895" s="1"/>
      <c r="BC1895" s="1"/>
      <c r="BD1895" s="1"/>
      <c r="BE1895" s="1"/>
      <c r="BF1895" s="1"/>
      <c r="BG1895" s="1"/>
      <c r="BH1895" s="1"/>
      <c r="BI1895" s="1"/>
      <c r="BJ1895" s="1"/>
      <c r="BK1895" s="1"/>
      <c r="BL1895" s="1"/>
      <c r="BM1895" s="1"/>
      <c r="BN1895" s="1"/>
      <c r="BO1895" s="1"/>
      <c r="BP1895" s="1"/>
      <c r="BQ1895" s="1"/>
      <c r="BR1895" s="1"/>
      <c r="BS1895" s="1"/>
      <c r="BT1895" s="1"/>
      <c r="BU1895" s="1"/>
      <c r="BV1895" s="1"/>
      <c r="BW1895" s="1"/>
      <c r="BX1895" s="1"/>
      <c r="BY1895" s="1"/>
      <c r="BZ1895" s="1"/>
      <c r="CA1895" s="1"/>
      <c r="CB1895" s="1"/>
      <c r="CC1895" s="1"/>
      <c r="CD1895" s="1"/>
      <c r="CE1895" s="1"/>
      <c r="CF1895" s="1"/>
      <c r="CG1895" s="1"/>
      <c r="CH1895" s="1"/>
      <c r="CI1895" s="1"/>
      <c r="CJ1895" s="1"/>
      <c r="CK1895" s="1"/>
      <c r="CL1895" s="1"/>
      <c r="CM1895" s="1"/>
      <c r="CN1895" s="1"/>
      <c r="CO1895" s="1"/>
      <c r="CP1895" s="1"/>
      <c r="CQ1895" s="1"/>
      <c r="CR1895" s="1"/>
      <c r="CS1895" s="1"/>
      <c r="CT1895" s="1"/>
      <c r="CU1895" s="1"/>
      <c r="CV1895" s="1"/>
      <c r="CW1895" s="1"/>
      <c r="CX1895" s="1"/>
      <c r="CY1895" s="1"/>
      <c r="CZ1895" s="1"/>
      <c r="DA1895" s="1"/>
      <c r="DB1895" s="1"/>
      <c r="DC1895" s="1"/>
    </row>
    <row r="1896" spans="1:107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  <c r="AL1896" s="1"/>
      <c r="AM1896" s="1"/>
      <c r="AN1896" s="1"/>
      <c r="AO1896" s="1"/>
      <c r="AP1896" s="1"/>
      <c r="AQ1896" s="1"/>
      <c r="AR1896" s="1"/>
      <c r="AS1896" s="1"/>
      <c r="AT1896" s="1"/>
      <c r="AU1896" s="1"/>
      <c r="AV1896" s="1"/>
      <c r="AW1896" s="1"/>
      <c r="AX1896" s="1"/>
      <c r="AY1896" s="1"/>
      <c r="AZ1896" s="1"/>
      <c r="BA1896" s="1"/>
      <c r="BB1896" s="1"/>
      <c r="BC1896" s="1"/>
      <c r="BD1896" s="1"/>
      <c r="BE1896" s="1"/>
      <c r="BF1896" s="1"/>
      <c r="BG1896" s="1"/>
      <c r="BH1896" s="1"/>
      <c r="BI1896" s="1"/>
      <c r="BJ1896" s="1"/>
      <c r="BK1896" s="1"/>
      <c r="BL1896" s="1"/>
      <c r="BM1896" s="1"/>
      <c r="BN1896" s="1"/>
      <c r="BO1896" s="1"/>
      <c r="BP1896" s="1"/>
      <c r="BQ1896" s="1"/>
      <c r="BR1896" s="1"/>
      <c r="BS1896" s="1"/>
      <c r="BT1896" s="1"/>
      <c r="BU1896" s="1"/>
      <c r="BV1896" s="1"/>
      <c r="BW1896" s="1"/>
      <c r="BX1896" s="1"/>
      <c r="BY1896" s="1"/>
      <c r="BZ1896" s="1"/>
      <c r="CA1896" s="1"/>
      <c r="CB1896" s="1"/>
      <c r="CC1896" s="1"/>
      <c r="CD1896" s="1"/>
      <c r="CE1896" s="1"/>
      <c r="CF1896" s="1"/>
      <c r="CG1896" s="1"/>
      <c r="CH1896" s="1"/>
      <c r="CI1896" s="1"/>
      <c r="CJ1896" s="1"/>
      <c r="CK1896" s="1"/>
      <c r="CL1896" s="1"/>
      <c r="CM1896" s="1"/>
      <c r="CN1896" s="1"/>
      <c r="CO1896" s="1"/>
      <c r="CP1896" s="1"/>
      <c r="CQ1896" s="1"/>
      <c r="CR1896" s="1"/>
      <c r="CS1896" s="1"/>
      <c r="CT1896" s="1"/>
      <c r="CU1896" s="1"/>
      <c r="CV1896" s="1"/>
      <c r="CW1896" s="1"/>
      <c r="CX1896" s="1"/>
      <c r="CY1896" s="1"/>
      <c r="CZ1896" s="1"/>
      <c r="DA1896" s="1"/>
      <c r="DB1896" s="1"/>
      <c r="DC1896" s="1"/>
    </row>
    <row r="1897" spans="1:107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  <c r="AL1897" s="1"/>
      <c r="AM1897" s="1"/>
      <c r="AN1897" s="1"/>
      <c r="AO1897" s="1"/>
      <c r="AP1897" s="1"/>
      <c r="AQ1897" s="1"/>
      <c r="AR1897" s="1"/>
      <c r="AS1897" s="1"/>
      <c r="AT1897" s="1"/>
      <c r="AU1897" s="1"/>
      <c r="AV1897" s="1"/>
      <c r="AW1897" s="1"/>
      <c r="AX1897" s="1"/>
      <c r="AY1897" s="1"/>
      <c r="AZ1897" s="1"/>
      <c r="BA1897" s="1"/>
      <c r="BB1897" s="1"/>
      <c r="BC1897" s="1"/>
      <c r="BD1897" s="1"/>
      <c r="BE1897" s="1"/>
      <c r="BF1897" s="1"/>
      <c r="BG1897" s="1"/>
      <c r="BH1897" s="1"/>
      <c r="BI1897" s="1"/>
      <c r="BJ1897" s="1"/>
      <c r="BK1897" s="1"/>
      <c r="BL1897" s="1"/>
      <c r="BM1897" s="1"/>
      <c r="BN1897" s="1"/>
      <c r="BO1897" s="1"/>
      <c r="BP1897" s="1"/>
      <c r="BQ1897" s="1"/>
      <c r="BR1897" s="1"/>
      <c r="BS1897" s="1"/>
      <c r="BT1897" s="1"/>
      <c r="BU1897" s="1"/>
      <c r="BV1897" s="1"/>
      <c r="BW1897" s="1"/>
      <c r="BX1897" s="1"/>
      <c r="BY1897" s="1"/>
      <c r="BZ1897" s="1"/>
      <c r="CA1897" s="1"/>
      <c r="CB1897" s="1"/>
      <c r="CC1897" s="1"/>
      <c r="CD1897" s="1"/>
      <c r="CE1897" s="1"/>
      <c r="CF1897" s="1"/>
      <c r="CG1897" s="1"/>
      <c r="CH1897" s="1"/>
      <c r="CI1897" s="1"/>
      <c r="CJ1897" s="1"/>
      <c r="CK1897" s="1"/>
      <c r="CL1897" s="1"/>
      <c r="CM1897" s="1"/>
      <c r="CN1897" s="1"/>
      <c r="CO1897" s="1"/>
      <c r="CP1897" s="1"/>
      <c r="CQ1897" s="1"/>
      <c r="CR1897" s="1"/>
      <c r="CS1897" s="1"/>
      <c r="CT1897" s="1"/>
      <c r="CU1897" s="1"/>
      <c r="CV1897" s="1"/>
      <c r="CW1897" s="1"/>
      <c r="CX1897" s="1"/>
      <c r="CY1897" s="1"/>
      <c r="CZ1897" s="1"/>
      <c r="DA1897" s="1"/>
      <c r="DB1897" s="1"/>
      <c r="DC1897" s="1"/>
    </row>
    <row r="1898" spans="1:107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  <c r="AO1898" s="1"/>
      <c r="AP1898" s="1"/>
      <c r="AQ1898" s="1"/>
      <c r="AR1898" s="1"/>
      <c r="AS1898" s="1"/>
      <c r="AT1898" s="1"/>
      <c r="AU1898" s="1"/>
      <c r="AV1898" s="1"/>
      <c r="AW1898" s="1"/>
      <c r="AX1898" s="1"/>
      <c r="AY1898" s="1"/>
      <c r="AZ1898" s="1"/>
      <c r="BA1898" s="1"/>
      <c r="BB1898" s="1"/>
      <c r="BC1898" s="1"/>
      <c r="BD1898" s="1"/>
      <c r="BE1898" s="1"/>
      <c r="BF1898" s="1"/>
      <c r="BG1898" s="1"/>
      <c r="BH1898" s="1"/>
      <c r="BI1898" s="1"/>
      <c r="BJ1898" s="1"/>
      <c r="BK1898" s="1"/>
      <c r="BL1898" s="1"/>
      <c r="BM1898" s="1"/>
      <c r="BN1898" s="1"/>
      <c r="BO1898" s="1"/>
      <c r="BP1898" s="1"/>
      <c r="BQ1898" s="1"/>
      <c r="BR1898" s="1"/>
      <c r="BS1898" s="1"/>
      <c r="BT1898" s="1"/>
      <c r="BU1898" s="1"/>
      <c r="BV1898" s="1"/>
      <c r="BW1898" s="1"/>
      <c r="BX1898" s="1"/>
      <c r="BY1898" s="1"/>
      <c r="BZ1898" s="1"/>
      <c r="CA1898" s="1"/>
      <c r="CB1898" s="1"/>
      <c r="CC1898" s="1"/>
      <c r="CD1898" s="1"/>
      <c r="CE1898" s="1"/>
      <c r="CF1898" s="1"/>
      <c r="CG1898" s="1"/>
      <c r="CH1898" s="1"/>
      <c r="CI1898" s="1"/>
      <c r="CJ1898" s="1"/>
      <c r="CK1898" s="1"/>
      <c r="CL1898" s="1"/>
      <c r="CM1898" s="1"/>
      <c r="CN1898" s="1"/>
      <c r="CO1898" s="1"/>
      <c r="CP1898" s="1"/>
      <c r="CQ1898" s="1"/>
      <c r="CR1898" s="1"/>
      <c r="CS1898" s="1"/>
      <c r="CT1898" s="1"/>
      <c r="CU1898" s="1"/>
      <c r="CV1898" s="1"/>
      <c r="CW1898" s="1"/>
      <c r="CX1898" s="1"/>
      <c r="CY1898" s="1"/>
      <c r="CZ1898" s="1"/>
      <c r="DA1898" s="1"/>
      <c r="DB1898" s="1"/>
      <c r="DC1898" s="1"/>
    </row>
    <row r="1899" spans="1:107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  <c r="AL1899" s="1"/>
      <c r="AM1899" s="1"/>
      <c r="AN1899" s="1"/>
      <c r="AO1899" s="1"/>
      <c r="AP1899" s="1"/>
      <c r="AQ1899" s="1"/>
      <c r="AR1899" s="1"/>
      <c r="AS1899" s="1"/>
      <c r="AT1899" s="1"/>
      <c r="AU1899" s="1"/>
      <c r="AV1899" s="1"/>
      <c r="AW1899" s="1"/>
      <c r="AX1899" s="1"/>
      <c r="AY1899" s="1"/>
      <c r="AZ1899" s="1"/>
      <c r="BA1899" s="1"/>
      <c r="BB1899" s="1"/>
      <c r="BC1899" s="1"/>
      <c r="BD1899" s="1"/>
      <c r="BE1899" s="1"/>
      <c r="BF1899" s="1"/>
      <c r="BG1899" s="1"/>
      <c r="BH1899" s="1"/>
      <c r="BI1899" s="1"/>
      <c r="BJ1899" s="1"/>
      <c r="BK1899" s="1"/>
      <c r="BL1899" s="1"/>
      <c r="BM1899" s="1"/>
      <c r="BN1899" s="1"/>
      <c r="BO1899" s="1"/>
      <c r="BP1899" s="1"/>
      <c r="BQ1899" s="1"/>
      <c r="BR1899" s="1"/>
      <c r="BS1899" s="1"/>
      <c r="BT1899" s="1"/>
      <c r="BU1899" s="1"/>
      <c r="BV1899" s="1"/>
      <c r="BW1899" s="1"/>
      <c r="BX1899" s="1"/>
      <c r="BY1899" s="1"/>
      <c r="BZ1899" s="1"/>
      <c r="CA1899" s="1"/>
      <c r="CB1899" s="1"/>
      <c r="CC1899" s="1"/>
      <c r="CD1899" s="1"/>
      <c r="CE1899" s="1"/>
      <c r="CF1899" s="1"/>
      <c r="CG1899" s="1"/>
      <c r="CH1899" s="1"/>
      <c r="CI1899" s="1"/>
      <c r="CJ1899" s="1"/>
      <c r="CK1899" s="1"/>
      <c r="CL1899" s="1"/>
      <c r="CM1899" s="1"/>
      <c r="CN1899" s="1"/>
      <c r="CO1899" s="1"/>
      <c r="CP1899" s="1"/>
      <c r="CQ1899" s="1"/>
      <c r="CR1899" s="1"/>
      <c r="CS1899" s="1"/>
      <c r="CT1899" s="1"/>
      <c r="CU1899" s="1"/>
      <c r="CV1899" s="1"/>
      <c r="CW1899" s="1"/>
      <c r="CX1899" s="1"/>
      <c r="CY1899" s="1"/>
      <c r="CZ1899" s="1"/>
      <c r="DA1899" s="1"/>
      <c r="DB1899" s="1"/>
      <c r="DC1899" s="1"/>
    </row>
    <row r="1900" spans="1:107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  <c r="AL1900" s="1"/>
      <c r="AM1900" s="1"/>
      <c r="AN1900" s="1"/>
      <c r="AO1900" s="1"/>
      <c r="AP1900" s="1"/>
      <c r="AQ1900" s="1"/>
      <c r="AR1900" s="1"/>
      <c r="AS1900" s="1"/>
      <c r="AT1900" s="1"/>
      <c r="AU1900" s="1"/>
      <c r="AV1900" s="1"/>
      <c r="AW1900" s="1"/>
      <c r="AX1900" s="1"/>
      <c r="AY1900" s="1"/>
      <c r="AZ1900" s="1"/>
      <c r="BA1900" s="1"/>
      <c r="BB1900" s="1"/>
      <c r="BC1900" s="1"/>
      <c r="BD1900" s="1"/>
      <c r="BE1900" s="1"/>
      <c r="BF1900" s="1"/>
      <c r="BG1900" s="1"/>
      <c r="BH1900" s="1"/>
      <c r="BI1900" s="1"/>
      <c r="BJ1900" s="1"/>
      <c r="BK1900" s="1"/>
      <c r="BL1900" s="1"/>
      <c r="BM1900" s="1"/>
      <c r="BN1900" s="1"/>
      <c r="BO1900" s="1"/>
      <c r="BP1900" s="1"/>
      <c r="BQ1900" s="1"/>
      <c r="BR1900" s="1"/>
      <c r="BS1900" s="1"/>
      <c r="BT1900" s="1"/>
      <c r="BU1900" s="1"/>
      <c r="BV1900" s="1"/>
      <c r="BW1900" s="1"/>
      <c r="BX1900" s="1"/>
      <c r="BY1900" s="1"/>
      <c r="BZ1900" s="1"/>
      <c r="CA1900" s="1"/>
      <c r="CB1900" s="1"/>
      <c r="CC1900" s="1"/>
      <c r="CD1900" s="1"/>
      <c r="CE1900" s="1"/>
      <c r="CF1900" s="1"/>
      <c r="CG1900" s="1"/>
      <c r="CH1900" s="1"/>
      <c r="CI1900" s="1"/>
      <c r="CJ1900" s="1"/>
      <c r="CK1900" s="1"/>
      <c r="CL1900" s="1"/>
      <c r="CM1900" s="1"/>
      <c r="CN1900" s="1"/>
      <c r="CO1900" s="1"/>
      <c r="CP1900" s="1"/>
      <c r="CQ1900" s="1"/>
      <c r="CR1900" s="1"/>
      <c r="CS1900" s="1"/>
      <c r="CT1900" s="1"/>
      <c r="CU1900" s="1"/>
      <c r="CV1900" s="1"/>
      <c r="CW1900" s="1"/>
      <c r="CX1900" s="1"/>
      <c r="CY1900" s="1"/>
      <c r="CZ1900" s="1"/>
      <c r="DA1900" s="1"/>
      <c r="DB1900" s="1"/>
      <c r="DC1900" s="1"/>
    </row>
    <row r="1901" spans="1:107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  <c r="AP1901" s="1"/>
      <c r="AQ1901" s="1"/>
      <c r="AR1901" s="1"/>
      <c r="AS1901" s="1"/>
      <c r="AT1901" s="1"/>
      <c r="AU1901" s="1"/>
      <c r="AV1901" s="1"/>
      <c r="AW1901" s="1"/>
      <c r="AX1901" s="1"/>
      <c r="AY1901" s="1"/>
      <c r="AZ1901" s="1"/>
      <c r="BA1901" s="1"/>
      <c r="BB1901" s="1"/>
      <c r="BC1901" s="1"/>
      <c r="BD1901" s="1"/>
      <c r="BE1901" s="1"/>
      <c r="BF1901" s="1"/>
      <c r="BG1901" s="1"/>
      <c r="BH1901" s="1"/>
      <c r="BI1901" s="1"/>
      <c r="BJ1901" s="1"/>
      <c r="BK1901" s="1"/>
      <c r="BL1901" s="1"/>
      <c r="BM1901" s="1"/>
      <c r="BN1901" s="1"/>
      <c r="BO1901" s="1"/>
      <c r="BP1901" s="1"/>
      <c r="BQ1901" s="1"/>
      <c r="BR1901" s="1"/>
      <c r="BS1901" s="1"/>
      <c r="BT1901" s="1"/>
      <c r="BU1901" s="1"/>
      <c r="BV1901" s="1"/>
      <c r="BW1901" s="1"/>
      <c r="BX1901" s="1"/>
      <c r="BY1901" s="1"/>
      <c r="BZ1901" s="1"/>
      <c r="CA1901" s="1"/>
      <c r="CB1901" s="1"/>
      <c r="CC1901" s="1"/>
      <c r="CD1901" s="1"/>
      <c r="CE1901" s="1"/>
      <c r="CF1901" s="1"/>
      <c r="CG1901" s="1"/>
      <c r="CH1901" s="1"/>
      <c r="CI1901" s="1"/>
      <c r="CJ1901" s="1"/>
      <c r="CK1901" s="1"/>
      <c r="CL1901" s="1"/>
      <c r="CM1901" s="1"/>
      <c r="CN1901" s="1"/>
      <c r="CO1901" s="1"/>
      <c r="CP1901" s="1"/>
      <c r="CQ1901" s="1"/>
      <c r="CR1901" s="1"/>
      <c r="CS1901" s="1"/>
      <c r="CT1901" s="1"/>
      <c r="CU1901" s="1"/>
      <c r="CV1901" s="1"/>
      <c r="CW1901" s="1"/>
      <c r="CX1901" s="1"/>
      <c r="CY1901" s="1"/>
      <c r="CZ1901" s="1"/>
      <c r="DA1901" s="1"/>
      <c r="DB1901" s="1"/>
      <c r="DC1901" s="1"/>
    </row>
    <row r="1902" spans="1:107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  <c r="AL1902" s="1"/>
      <c r="AM1902" s="1"/>
      <c r="AN1902" s="1"/>
      <c r="AO1902" s="1"/>
      <c r="AP1902" s="1"/>
      <c r="AQ1902" s="1"/>
      <c r="AR1902" s="1"/>
      <c r="AS1902" s="1"/>
      <c r="AT1902" s="1"/>
      <c r="AU1902" s="1"/>
      <c r="AV1902" s="1"/>
      <c r="AW1902" s="1"/>
      <c r="AX1902" s="1"/>
      <c r="AY1902" s="1"/>
      <c r="AZ1902" s="1"/>
      <c r="BA1902" s="1"/>
      <c r="BB1902" s="1"/>
      <c r="BC1902" s="1"/>
      <c r="BD1902" s="1"/>
      <c r="BE1902" s="1"/>
      <c r="BF1902" s="1"/>
      <c r="BG1902" s="1"/>
      <c r="BH1902" s="1"/>
      <c r="BI1902" s="1"/>
      <c r="BJ1902" s="1"/>
      <c r="BK1902" s="1"/>
      <c r="BL1902" s="1"/>
      <c r="BM1902" s="1"/>
      <c r="BN1902" s="1"/>
      <c r="BO1902" s="1"/>
      <c r="BP1902" s="1"/>
      <c r="BQ1902" s="1"/>
      <c r="BR1902" s="1"/>
      <c r="BS1902" s="1"/>
      <c r="BT1902" s="1"/>
      <c r="BU1902" s="1"/>
      <c r="BV1902" s="1"/>
      <c r="BW1902" s="1"/>
      <c r="BX1902" s="1"/>
      <c r="BY1902" s="1"/>
      <c r="BZ1902" s="1"/>
      <c r="CA1902" s="1"/>
      <c r="CB1902" s="1"/>
      <c r="CC1902" s="1"/>
      <c r="CD1902" s="1"/>
      <c r="CE1902" s="1"/>
      <c r="CF1902" s="1"/>
      <c r="CG1902" s="1"/>
      <c r="CH1902" s="1"/>
      <c r="CI1902" s="1"/>
      <c r="CJ1902" s="1"/>
      <c r="CK1902" s="1"/>
      <c r="CL1902" s="1"/>
      <c r="CM1902" s="1"/>
      <c r="CN1902" s="1"/>
      <c r="CO1902" s="1"/>
      <c r="CP1902" s="1"/>
      <c r="CQ1902" s="1"/>
      <c r="CR1902" s="1"/>
      <c r="CS1902" s="1"/>
      <c r="CT1902" s="1"/>
      <c r="CU1902" s="1"/>
      <c r="CV1902" s="1"/>
      <c r="CW1902" s="1"/>
      <c r="CX1902" s="1"/>
      <c r="CY1902" s="1"/>
      <c r="CZ1902" s="1"/>
      <c r="DA1902" s="1"/>
      <c r="DB1902" s="1"/>
      <c r="DC1902" s="1"/>
    </row>
    <row r="1903" spans="1:107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  <c r="AL1903" s="1"/>
      <c r="AM1903" s="1"/>
      <c r="AN1903" s="1"/>
      <c r="AO1903" s="1"/>
      <c r="AP1903" s="1"/>
      <c r="AQ1903" s="1"/>
      <c r="AR1903" s="1"/>
      <c r="AS1903" s="1"/>
      <c r="AT1903" s="1"/>
      <c r="AU1903" s="1"/>
      <c r="AV1903" s="1"/>
      <c r="AW1903" s="1"/>
      <c r="AX1903" s="1"/>
      <c r="AY1903" s="1"/>
      <c r="AZ1903" s="1"/>
      <c r="BA1903" s="1"/>
      <c r="BB1903" s="1"/>
      <c r="BC1903" s="1"/>
      <c r="BD1903" s="1"/>
      <c r="BE1903" s="1"/>
      <c r="BF1903" s="1"/>
      <c r="BG1903" s="1"/>
      <c r="BH1903" s="1"/>
      <c r="BI1903" s="1"/>
      <c r="BJ1903" s="1"/>
      <c r="BK1903" s="1"/>
      <c r="BL1903" s="1"/>
      <c r="BM1903" s="1"/>
      <c r="BN1903" s="1"/>
      <c r="BO1903" s="1"/>
      <c r="BP1903" s="1"/>
      <c r="BQ1903" s="1"/>
      <c r="BR1903" s="1"/>
      <c r="BS1903" s="1"/>
      <c r="BT1903" s="1"/>
      <c r="BU1903" s="1"/>
      <c r="BV1903" s="1"/>
      <c r="BW1903" s="1"/>
      <c r="BX1903" s="1"/>
      <c r="BY1903" s="1"/>
      <c r="BZ1903" s="1"/>
      <c r="CA1903" s="1"/>
      <c r="CB1903" s="1"/>
      <c r="CC1903" s="1"/>
      <c r="CD1903" s="1"/>
      <c r="CE1903" s="1"/>
      <c r="CF1903" s="1"/>
      <c r="CG1903" s="1"/>
      <c r="CH1903" s="1"/>
      <c r="CI1903" s="1"/>
      <c r="CJ1903" s="1"/>
      <c r="CK1903" s="1"/>
      <c r="CL1903" s="1"/>
      <c r="CM1903" s="1"/>
      <c r="CN1903" s="1"/>
      <c r="CO1903" s="1"/>
      <c r="CP1903" s="1"/>
      <c r="CQ1903" s="1"/>
      <c r="CR1903" s="1"/>
      <c r="CS1903" s="1"/>
      <c r="CT1903" s="1"/>
      <c r="CU1903" s="1"/>
      <c r="CV1903" s="1"/>
      <c r="CW1903" s="1"/>
      <c r="CX1903" s="1"/>
      <c r="CY1903" s="1"/>
      <c r="CZ1903" s="1"/>
      <c r="DA1903" s="1"/>
      <c r="DB1903" s="1"/>
      <c r="DC1903" s="1"/>
    </row>
    <row r="1904" spans="1:107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  <c r="AL1904" s="1"/>
      <c r="AM1904" s="1"/>
      <c r="AN1904" s="1"/>
      <c r="AO1904" s="1"/>
      <c r="AP1904" s="1"/>
      <c r="AQ1904" s="1"/>
      <c r="AR1904" s="1"/>
      <c r="AS1904" s="1"/>
      <c r="AT1904" s="1"/>
      <c r="AU1904" s="1"/>
      <c r="AV1904" s="1"/>
      <c r="AW1904" s="1"/>
      <c r="AX1904" s="1"/>
      <c r="AY1904" s="1"/>
      <c r="AZ1904" s="1"/>
      <c r="BA1904" s="1"/>
      <c r="BB1904" s="1"/>
      <c r="BC1904" s="1"/>
      <c r="BD1904" s="1"/>
      <c r="BE1904" s="1"/>
      <c r="BF1904" s="1"/>
      <c r="BG1904" s="1"/>
      <c r="BH1904" s="1"/>
      <c r="BI1904" s="1"/>
      <c r="BJ1904" s="1"/>
      <c r="BK1904" s="1"/>
      <c r="BL1904" s="1"/>
      <c r="BM1904" s="1"/>
      <c r="BN1904" s="1"/>
      <c r="BO1904" s="1"/>
      <c r="BP1904" s="1"/>
      <c r="BQ1904" s="1"/>
      <c r="BR1904" s="1"/>
      <c r="BS1904" s="1"/>
      <c r="BT1904" s="1"/>
      <c r="BU1904" s="1"/>
      <c r="BV1904" s="1"/>
      <c r="BW1904" s="1"/>
      <c r="BX1904" s="1"/>
      <c r="BY1904" s="1"/>
      <c r="BZ1904" s="1"/>
      <c r="CA1904" s="1"/>
      <c r="CB1904" s="1"/>
      <c r="CC1904" s="1"/>
      <c r="CD1904" s="1"/>
      <c r="CE1904" s="1"/>
      <c r="CF1904" s="1"/>
      <c r="CG1904" s="1"/>
      <c r="CH1904" s="1"/>
      <c r="CI1904" s="1"/>
      <c r="CJ1904" s="1"/>
      <c r="CK1904" s="1"/>
      <c r="CL1904" s="1"/>
      <c r="CM1904" s="1"/>
      <c r="CN1904" s="1"/>
      <c r="CO1904" s="1"/>
      <c r="CP1904" s="1"/>
      <c r="CQ1904" s="1"/>
      <c r="CR1904" s="1"/>
      <c r="CS1904" s="1"/>
      <c r="CT1904" s="1"/>
      <c r="CU1904" s="1"/>
      <c r="CV1904" s="1"/>
      <c r="CW1904" s="1"/>
      <c r="CX1904" s="1"/>
      <c r="CY1904" s="1"/>
      <c r="CZ1904" s="1"/>
      <c r="DA1904" s="1"/>
      <c r="DB1904" s="1"/>
      <c r="DC1904" s="1"/>
    </row>
    <row r="1905" spans="1:107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  <c r="AL1905" s="1"/>
      <c r="AM1905" s="1"/>
      <c r="AN1905" s="1"/>
      <c r="AO1905" s="1"/>
      <c r="AP1905" s="1"/>
      <c r="AQ1905" s="1"/>
      <c r="AR1905" s="1"/>
      <c r="AS1905" s="1"/>
      <c r="AT1905" s="1"/>
      <c r="AU1905" s="1"/>
      <c r="AV1905" s="1"/>
      <c r="AW1905" s="1"/>
      <c r="AX1905" s="1"/>
      <c r="AY1905" s="1"/>
      <c r="AZ1905" s="1"/>
      <c r="BA1905" s="1"/>
      <c r="BB1905" s="1"/>
      <c r="BC1905" s="1"/>
      <c r="BD1905" s="1"/>
      <c r="BE1905" s="1"/>
      <c r="BF1905" s="1"/>
      <c r="BG1905" s="1"/>
      <c r="BH1905" s="1"/>
      <c r="BI1905" s="1"/>
      <c r="BJ1905" s="1"/>
      <c r="BK1905" s="1"/>
      <c r="BL1905" s="1"/>
      <c r="BM1905" s="1"/>
      <c r="BN1905" s="1"/>
      <c r="BO1905" s="1"/>
      <c r="BP1905" s="1"/>
      <c r="BQ1905" s="1"/>
      <c r="BR1905" s="1"/>
      <c r="BS1905" s="1"/>
      <c r="BT1905" s="1"/>
      <c r="BU1905" s="1"/>
      <c r="BV1905" s="1"/>
      <c r="BW1905" s="1"/>
      <c r="BX1905" s="1"/>
      <c r="BY1905" s="1"/>
      <c r="BZ1905" s="1"/>
      <c r="CA1905" s="1"/>
      <c r="CB1905" s="1"/>
      <c r="CC1905" s="1"/>
      <c r="CD1905" s="1"/>
      <c r="CE1905" s="1"/>
      <c r="CF1905" s="1"/>
      <c r="CG1905" s="1"/>
      <c r="CH1905" s="1"/>
      <c r="CI1905" s="1"/>
      <c r="CJ1905" s="1"/>
      <c r="CK1905" s="1"/>
      <c r="CL1905" s="1"/>
      <c r="CM1905" s="1"/>
      <c r="CN1905" s="1"/>
      <c r="CO1905" s="1"/>
      <c r="CP1905" s="1"/>
      <c r="CQ1905" s="1"/>
      <c r="CR1905" s="1"/>
      <c r="CS1905" s="1"/>
      <c r="CT1905" s="1"/>
      <c r="CU1905" s="1"/>
      <c r="CV1905" s="1"/>
      <c r="CW1905" s="1"/>
      <c r="CX1905" s="1"/>
      <c r="CY1905" s="1"/>
      <c r="CZ1905" s="1"/>
      <c r="DA1905" s="1"/>
      <c r="DB1905" s="1"/>
      <c r="DC1905" s="1"/>
    </row>
    <row r="1906" spans="1:107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  <c r="AL1906" s="1"/>
      <c r="AM1906" s="1"/>
      <c r="AN1906" s="1"/>
      <c r="AO1906" s="1"/>
      <c r="AP1906" s="1"/>
      <c r="AQ1906" s="1"/>
      <c r="AR1906" s="1"/>
      <c r="AS1906" s="1"/>
      <c r="AT1906" s="1"/>
      <c r="AU1906" s="1"/>
      <c r="AV1906" s="1"/>
      <c r="AW1906" s="1"/>
      <c r="AX1906" s="1"/>
      <c r="AY1906" s="1"/>
      <c r="AZ1906" s="1"/>
      <c r="BA1906" s="1"/>
      <c r="BB1906" s="1"/>
      <c r="BC1906" s="1"/>
      <c r="BD1906" s="1"/>
      <c r="BE1906" s="1"/>
      <c r="BF1906" s="1"/>
      <c r="BG1906" s="1"/>
      <c r="BH1906" s="1"/>
      <c r="BI1906" s="1"/>
      <c r="BJ1906" s="1"/>
      <c r="BK1906" s="1"/>
      <c r="BL1906" s="1"/>
      <c r="BM1906" s="1"/>
      <c r="BN1906" s="1"/>
      <c r="BO1906" s="1"/>
      <c r="BP1906" s="1"/>
      <c r="BQ1906" s="1"/>
      <c r="BR1906" s="1"/>
      <c r="BS1906" s="1"/>
      <c r="BT1906" s="1"/>
      <c r="BU1906" s="1"/>
      <c r="BV1906" s="1"/>
      <c r="BW1906" s="1"/>
      <c r="BX1906" s="1"/>
      <c r="BY1906" s="1"/>
      <c r="BZ1906" s="1"/>
      <c r="CA1906" s="1"/>
      <c r="CB1906" s="1"/>
      <c r="CC1906" s="1"/>
      <c r="CD1906" s="1"/>
      <c r="CE1906" s="1"/>
      <c r="CF1906" s="1"/>
      <c r="CG1906" s="1"/>
      <c r="CH1906" s="1"/>
      <c r="CI1906" s="1"/>
      <c r="CJ1906" s="1"/>
      <c r="CK1906" s="1"/>
      <c r="CL1906" s="1"/>
      <c r="CM1906" s="1"/>
      <c r="CN1906" s="1"/>
      <c r="CO1906" s="1"/>
      <c r="CP1906" s="1"/>
      <c r="CQ1906" s="1"/>
      <c r="CR1906" s="1"/>
      <c r="CS1906" s="1"/>
      <c r="CT1906" s="1"/>
      <c r="CU1906" s="1"/>
      <c r="CV1906" s="1"/>
      <c r="CW1906" s="1"/>
      <c r="CX1906" s="1"/>
      <c r="CY1906" s="1"/>
      <c r="CZ1906" s="1"/>
      <c r="DA1906" s="1"/>
      <c r="DB1906" s="1"/>
      <c r="DC1906" s="1"/>
    </row>
    <row r="1907" spans="1:107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  <c r="AL1907" s="1"/>
      <c r="AM1907" s="1"/>
      <c r="AN1907" s="1"/>
      <c r="AO1907" s="1"/>
      <c r="AP1907" s="1"/>
      <c r="AQ1907" s="1"/>
      <c r="AR1907" s="1"/>
      <c r="AS1907" s="1"/>
      <c r="AT1907" s="1"/>
      <c r="AU1907" s="1"/>
      <c r="AV1907" s="1"/>
      <c r="AW1907" s="1"/>
      <c r="AX1907" s="1"/>
      <c r="AY1907" s="1"/>
      <c r="AZ1907" s="1"/>
      <c r="BA1907" s="1"/>
      <c r="BB1907" s="1"/>
      <c r="BC1907" s="1"/>
      <c r="BD1907" s="1"/>
      <c r="BE1907" s="1"/>
      <c r="BF1907" s="1"/>
      <c r="BG1907" s="1"/>
      <c r="BH1907" s="1"/>
      <c r="BI1907" s="1"/>
      <c r="BJ1907" s="1"/>
      <c r="BK1907" s="1"/>
      <c r="BL1907" s="1"/>
      <c r="BM1907" s="1"/>
      <c r="BN1907" s="1"/>
      <c r="BO1907" s="1"/>
      <c r="BP1907" s="1"/>
      <c r="BQ1907" s="1"/>
      <c r="BR1907" s="1"/>
      <c r="BS1907" s="1"/>
      <c r="BT1907" s="1"/>
      <c r="BU1907" s="1"/>
      <c r="BV1907" s="1"/>
      <c r="BW1907" s="1"/>
      <c r="BX1907" s="1"/>
      <c r="BY1907" s="1"/>
      <c r="BZ1907" s="1"/>
      <c r="CA1907" s="1"/>
      <c r="CB1907" s="1"/>
      <c r="CC1907" s="1"/>
      <c r="CD1907" s="1"/>
      <c r="CE1907" s="1"/>
      <c r="CF1907" s="1"/>
      <c r="CG1907" s="1"/>
      <c r="CH1907" s="1"/>
      <c r="CI1907" s="1"/>
      <c r="CJ1907" s="1"/>
      <c r="CK1907" s="1"/>
      <c r="CL1907" s="1"/>
      <c r="CM1907" s="1"/>
      <c r="CN1907" s="1"/>
      <c r="CO1907" s="1"/>
      <c r="CP1907" s="1"/>
      <c r="CQ1907" s="1"/>
      <c r="CR1907" s="1"/>
      <c r="CS1907" s="1"/>
      <c r="CT1907" s="1"/>
      <c r="CU1907" s="1"/>
      <c r="CV1907" s="1"/>
      <c r="CW1907" s="1"/>
      <c r="CX1907" s="1"/>
      <c r="CY1907" s="1"/>
      <c r="CZ1907" s="1"/>
      <c r="DA1907" s="1"/>
      <c r="DB1907" s="1"/>
      <c r="DC1907" s="1"/>
    </row>
    <row r="1908" spans="1:107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  <c r="AL1908" s="1"/>
      <c r="AM1908" s="1"/>
      <c r="AN1908" s="1"/>
      <c r="AO1908" s="1"/>
      <c r="AP1908" s="1"/>
      <c r="AQ1908" s="1"/>
      <c r="AR1908" s="1"/>
      <c r="AS1908" s="1"/>
      <c r="AT1908" s="1"/>
      <c r="AU1908" s="1"/>
      <c r="AV1908" s="1"/>
      <c r="AW1908" s="1"/>
      <c r="AX1908" s="1"/>
      <c r="AY1908" s="1"/>
      <c r="AZ1908" s="1"/>
      <c r="BA1908" s="1"/>
      <c r="BB1908" s="1"/>
      <c r="BC1908" s="1"/>
      <c r="BD1908" s="1"/>
      <c r="BE1908" s="1"/>
      <c r="BF1908" s="1"/>
      <c r="BG1908" s="1"/>
      <c r="BH1908" s="1"/>
      <c r="BI1908" s="1"/>
      <c r="BJ1908" s="1"/>
      <c r="BK1908" s="1"/>
      <c r="BL1908" s="1"/>
      <c r="BM1908" s="1"/>
      <c r="BN1908" s="1"/>
      <c r="BO1908" s="1"/>
      <c r="BP1908" s="1"/>
      <c r="BQ1908" s="1"/>
      <c r="BR1908" s="1"/>
      <c r="BS1908" s="1"/>
      <c r="BT1908" s="1"/>
      <c r="BU1908" s="1"/>
      <c r="BV1908" s="1"/>
      <c r="BW1908" s="1"/>
      <c r="BX1908" s="1"/>
      <c r="BY1908" s="1"/>
      <c r="BZ1908" s="1"/>
      <c r="CA1908" s="1"/>
      <c r="CB1908" s="1"/>
      <c r="CC1908" s="1"/>
      <c r="CD1908" s="1"/>
      <c r="CE1908" s="1"/>
      <c r="CF1908" s="1"/>
      <c r="CG1908" s="1"/>
      <c r="CH1908" s="1"/>
      <c r="CI1908" s="1"/>
      <c r="CJ1908" s="1"/>
      <c r="CK1908" s="1"/>
      <c r="CL1908" s="1"/>
      <c r="CM1908" s="1"/>
      <c r="CN1908" s="1"/>
      <c r="CO1908" s="1"/>
      <c r="CP1908" s="1"/>
      <c r="CQ1908" s="1"/>
      <c r="CR1908" s="1"/>
      <c r="CS1908" s="1"/>
      <c r="CT1908" s="1"/>
      <c r="CU1908" s="1"/>
      <c r="CV1908" s="1"/>
      <c r="CW1908" s="1"/>
      <c r="CX1908" s="1"/>
      <c r="CY1908" s="1"/>
      <c r="CZ1908" s="1"/>
      <c r="DA1908" s="1"/>
      <c r="DB1908" s="1"/>
      <c r="DC1908" s="1"/>
    </row>
    <row r="1909" spans="1:107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  <c r="AL1909" s="1"/>
      <c r="AM1909" s="1"/>
      <c r="AN1909" s="1"/>
      <c r="AO1909" s="1"/>
      <c r="AP1909" s="1"/>
      <c r="AQ1909" s="1"/>
      <c r="AR1909" s="1"/>
      <c r="AS1909" s="1"/>
      <c r="AT1909" s="1"/>
      <c r="AU1909" s="1"/>
      <c r="AV1909" s="1"/>
      <c r="AW1909" s="1"/>
      <c r="AX1909" s="1"/>
      <c r="AY1909" s="1"/>
      <c r="AZ1909" s="1"/>
      <c r="BA1909" s="1"/>
      <c r="BB1909" s="1"/>
      <c r="BC1909" s="1"/>
      <c r="BD1909" s="1"/>
      <c r="BE1909" s="1"/>
      <c r="BF1909" s="1"/>
      <c r="BG1909" s="1"/>
      <c r="BH1909" s="1"/>
      <c r="BI1909" s="1"/>
      <c r="BJ1909" s="1"/>
      <c r="BK1909" s="1"/>
      <c r="BL1909" s="1"/>
      <c r="BM1909" s="1"/>
      <c r="BN1909" s="1"/>
      <c r="BO1909" s="1"/>
      <c r="BP1909" s="1"/>
      <c r="BQ1909" s="1"/>
      <c r="BR1909" s="1"/>
      <c r="BS1909" s="1"/>
      <c r="BT1909" s="1"/>
      <c r="BU1909" s="1"/>
      <c r="BV1909" s="1"/>
      <c r="BW1909" s="1"/>
      <c r="BX1909" s="1"/>
      <c r="BY1909" s="1"/>
      <c r="BZ1909" s="1"/>
      <c r="CA1909" s="1"/>
      <c r="CB1909" s="1"/>
      <c r="CC1909" s="1"/>
      <c r="CD1909" s="1"/>
      <c r="CE1909" s="1"/>
      <c r="CF1909" s="1"/>
      <c r="CG1909" s="1"/>
      <c r="CH1909" s="1"/>
      <c r="CI1909" s="1"/>
      <c r="CJ1909" s="1"/>
      <c r="CK1909" s="1"/>
      <c r="CL1909" s="1"/>
      <c r="CM1909" s="1"/>
      <c r="CN1909" s="1"/>
      <c r="CO1909" s="1"/>
      <c r="CP1909" s="1"/>
      <c r="CQ1909" s="1"/>
      <c r="CR1909" s="1"/>
      <c r="CS1909" s="1"/>
      <c r="CT1909" s="1"/>
      <c r="CU1909" s="1"/>
      <c r="CV1909" s="1"/>
      <c r="CW1909" s="1"/>
      <c r="CX1909" s="1"/>
      <c r="CY1909" s="1"/>
      <c r="CZ1909" s="1"/>
      <c r="DA1909" s="1"/>
      <c r="DB1909" s="1"/>
      <c r="DC1909" s="1"/>
    </row>
    <row r="1910" spans="1:107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  <c r="AL1910" s="1"/>
      <c r="AM1910" s="1"/>
      <c r="AN1910" s="1"/>
      <c r="AO1910" s="1"/>
      <c r="AP1910" s="1"/>
      <c r="AQ1910" s="1"/>
      <c r="AR1910" s="1"/>
      <c r="AS1910" s="1"/>
      <c r="AT1910" s="1"/>
      <c r="AU1910" s="1"/>
      <c r="AV1910" s="1"/>
      <c r="AW1910" s="1"/>
      <c r="AX1910" s="1"/>
      <c r="AY1910" s="1"/>
      <c r="AZ1910" s="1"/>
      <c r="BA1910" s="1"/>
      <c r="BB1910" s="1"/>
      <c r="BC1910" s="1"/>
      <c r="BD1910" s="1"/>
      <c r="BE1910" s="1"/>
      <c r="BF1910" s="1"/>
      <c r="BG1910" s="1"/>
      <c r="BH1910" s="1"/>
      <c r="BI1910" s="1"/>
      <c r="BJ1910" s="1"/>
      <c r="BK1910" s="1"/>
      <c r="BL1910" s="1"/>
      <c r="BM1910" s="1"/>
      <c r="BN1910" s="1"/>
      <c r="BO1910" s="1"/>
      <c r="BP1910" s="1"/>
      <c r="BQ1910" s="1"/>
      <c r="BR1910" s="1"/>
      <c r="BS1910" s="1"/>
      <c r="BT1910" s="1"/>
      <c r="BU1910" s="1"/>
      <c r="BV1910" s="1"/>
      <c r="BW1910" s="1"/>
      <c r="BX1910" s="1"/>
      <c r="BY1910" s="1"/>
      <c r="BZ1910" s="1"/>
      <c r="CA1910" s="1"/>
      <c r="CB1910" s="1"/>
      <c r="CC1910" s="1"/>
      <c r="CD1910" s="1"/>
      <c r="CE1910" s="1"/>
      <c r="CF1910" s="1"/>
      <c r="CG1910" s="1"/>
      <c r="CH1910" s="1"/>
      <c r="CI1910" s="1"/>
      <c r="CJ1910" s="1"/>
      <c r="CK1910" s="1"/>
      <c r="CL1910" s="1"/>
      <c r="CM1910" s="1"/>
      <c r="CN1910" s="1"/>
      <c r="CO1910" s="1"/>
      <c r="CP1910" s="1"/>
      <c r="CQ1910" s="1"/>
      <c r="CR1910" s="1"/>
      <c r="CS1910" s="1"/>
      <c r="CT1910" s="1"/>
      <c r="CU1910" s="1"/>
      <c r="CV1910" s="1"/>
      <c r="CW1910" s="1"/>
      <c r="CX1910" s="1"/>
      <c r="CY1910" s="1"/>
      <c r="CZ1910" s="1"/>
      <c r="DA1910" s="1"/>
      <c r="DB1910" s="1"/>
      <c r="DC1910" s="1"/>
    </row>
    <row r="1911" spans="1:107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  <c r="AL1911" s="1"/>
      <c r="AM1911" s="1"/>
      <c r="AN1911" s="1"/>
      <c r="AO1911" s="1"/>
      <c r="AP1911" s="1"/>
      <c r="AQ1911" s="1"/>
      <c r="AR1911" s="1"/>
      <c r="AS1911" s="1"/>
      <c r="AT1911" s="1"/>
      <c r="AU1911" s="1"/>
      <c r="AV1911" s="1"/>
      <c r="AW1911" s="1"/>
      <c r="AX1911" s="1"/>
      <c r="AY1911" s="1"/>
      <c r="AZ1911" s="1"/>
      <c r="BA1911" s="1"/>
      <c r="BB1911" s="1"/>
      <c r="BC1911" s="1"/>
      <c r="BD1911" s="1"/>
      <c r="BE1911" s="1"/>
      <c r="BF1911" s="1"/>
      <c r="BG1911" s="1"/>
      <c r="BH1911" s="1"/>
      <c r="BI1911" s="1"/>
      <c r="BJ1911" s="1"/>
      <c r="BK1911" s="1"/>
      <c r="BL1911" s="1"/>
      <c r="BM1911" s="1"/>
      <c r="BN1911" s="1"/>
      <c r="BO1911" s="1"/>
      <c r="BP1911" s="1"/>
      <c r="BQ1911" s="1"/>
      <c r="BR1911" s="1"/>
      <c r="BS1911" s="1"/>
      <c r="BT1911" s="1"/>
      <c r="BU1911" s="1"/>
      <c r="BV1911" s="1"/>
      <c r="BW1911" s="1"/>
      <c r="BX1911" s="1"/>
      <c r="BY1911" s="1"/>
      <c r="BZ1911" s="1"/>
      <c r="CA1911" s="1"/>
      <c r="CB1911" s="1"/>
      <c r="CC1911" s="1"/>
      <c r="CD1911" s="1"/>
      <c r="CE1911" s="1"/>
      <c r="CF1911" s="1"/>
      <c r="CG1911" s="1"/>
      <c r="CH1911" s="1"/>
      <c r="CI1911" s="1"/>
      <c r="CJ1911" s="1"/>
      <c r="CK1911" s="1"/>
      <c r="CL1911" s="1"/>
      <c r="CM1911" s="1"/>
      <c r="CN1911" s="1"/>
      <c r="CO1911" s="1"/>
      <c r="CP1911" s="1"/>
      <c r="CQ1911" s="1"/>
      <c r="CR1911" s="1"/>
      <c r="CS1911" s="1"/>
      <c r="CT1911" s="1"/>
      <c r="CU1911" s="1"/>
      <c r="CV1911" s="1"/>
      <c r="CW1911" s="1"/>
      <c r="CX1911" s="1"/>
      <c r="CY1911" s="1"/>
      <c r="CZ1911" s="1"/>
      <c r="DA1911" s="1"/>
      <c r="DB1911" s="1"/>
      <c r="DC1911" s="1"/>
    </row>
    <row r="1912" spans="1:107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  <c r="AL1912" s="1"/>
      <c r="AM1912" s="1"/>
      <c r="AN1912" s="1"/>
      <c r="AO1912" s="1"/>
      <c r="AP1912" s="1"/>
      <c r="AQ1912" s="1"/>
      <c r="AR1912" s="1"/>
      <c r="AS1912" s="1"/>
      <c r="AT1912" s="1"/>
      <c r="AU1912" s="1"/>
      <c r="AV1912" s="1"/>
      <c r="AW1912" s="1"/>
      <c r="AX1912" s="1"/>
      <c r="AY1912" s="1"/>
      <c r="AZ1912" s="1"/>
      <c r="BA1912" s="1"/>
      <c r="BB1912" s="1"/>
      <c r="BC1912" s="1"/>
      <c r="BD1912" s="1"/>
      <c r="BE1912" s="1"/>
      <c r="BF1912" s="1"/>
      <c r="BG1912" s="1"/>
      <c r="BH1912" s="1"/>
      <c r="BI1912" s="1"/>
      <c r="BJ1912" s="1"/>
      <c r="BK1912" s="1"/>
      <c r="BL1912" s="1"/>
      <c r="BM1912" s="1"/>
      <c r="BN1912" s="1"/>
      <c r="BO1912" s="1"/>
      <c r="BP1912" s="1"/>
      <c r="BQ1912" s="1"/>
      <c r="BR1912" s="1"/>
      <c r="BS1912" s="1"/>
      <c r="BT1912" s="1"/>
      <c r="BU1912" s="1"/>
      <c r="BV1912" s="1"/>
      <c r="BW1912" s="1"/>
      <c r="BX1912" s="1"/>
      <c r="BY1912" s="1"/>
      <c r="BZ1912" s="1"/>
      <c r="CA1912" s="1"/>
      <c r="CB1912" s="1"/>
      <c r="CC1912" s="1"/>
      <c r="CD1912" s="1"/>
      <c r="CE1912" s="1"/>
      <c r="CF1912" s="1"/>
      <c r="CG1912" s="1"/>
      <c r="CH1912" s="1"/>
      <c r="CI1912" s="1"/>
      <c r="CJ1912" s="1"/>
      <c r="CK1912" s="1"/>
      <c r="CL1912" s="1"/>
      <c r="CM1912" s="1"/>
      <c r="CN1912" s="1"/>
      <c r="CO1912" s="1"/>
      <c r="CP1912" s="1"/>
      <c r="CQ1912" s="1"/>
      <c r="CR1912" s="1"/>
      <c r="CS1912" s="1"/>
      <c r="CT1912" s="1"/>
      <c r="CU1912" s="1"/>
      <c r="CV1912" s="1"/>
      <c r="CW1912" s="1"/>
      <c r="CX1912" s="1"/>
      <c r="CY1912" s="1"/>
      <c r="CZ1912" s="1"/>
      <c r="DA1912" s="1"/>
      <c r="DB1912" s="1"/>
      <c r="DC1912" s="1"/>
    </row>
    <row r="1913" spans="1:107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  <c r="AP1913" s="1"/>
      <c r="AQ1913" s="1"/>
      <c r="AR1913" s="1"/>
      <c r="AS1913" s="1"/>
      <c r="AT1913" s="1"/>
      <c r="AU1913" s="1"/>
      <c r="AV1913" s="1"/>
      <c r="AW1913" s="1"/>
      <c r="AX1913" s="1"/>
      <c r="AY1913" s="1"/>
      <c r="AZ1913" s="1"/>
      <c r="BA1913" s="1"/>
      <c r="BB1913" s="1"/>
      <c r="BC1913" s="1"/>
      <c r="BD1913" s="1"/>
      <c r="BE1913" s="1"/>
      <c r="BF1913" s="1"/>
      <c r="BG1913" s="1"/>
      <c r="BH1913" s="1"/>
      <c r="BI1913" s="1"/>
      <c r="BJ1913" s="1"/>
      <c r="BK1913" s="1"/>
      <c r="BL1913" s="1"/>
      <c r="BM1913" s="1"/>
      <c r="BN1913" s="1"/>
      <c r="BO1913" s="1"/>
      <c r="BP1913" s="1"/>
      <c r="BQ1913" s="1"/>
      <c r="BR1913" s="1"/>
      <c r="BS1913" s="1"/>
      <c r="BT1913" s="1"/>
      <c r="BU1913" s="1"/>
      <c r="BV1913" s="1"/>
      <c r="BW1913" s="1"/>
      <c r="BX1913" s="1"/>
      <c r="BY1913" s="1"/>
      <c r="BZ1913" s="1"/>
      <c r="CA1913" s="1"/>
      <c r="CB1913" s="1"/>
      <c r="CC1913" s="1"/>
      <c r="CD1913" s="1"/>
      <c r="CE1913" s="1"/>
      <c r="CF1913" s="1"/>
      <c r="CG1913" s="1"/>
      <c r="CH1913" s="1"/>
      <c r="CI1913" s="1"/>
      <c r="CJ1913" s="1"/>
      <c r="CK1913" s="1"/>
      <c r="CL1913" s="1"/>
      <c r="CM1913" s="1"/>
      <c r="CN1913" s="1"/>
      <c r="CO1913" s="1"/>
      <c r="CP1913" s="1"/>
      <c r="CQ1913" s="1"/>
      <c r="CR1913" s="1"/>
      <c r="CS1913" s="1"/>
      <c r="CT1913" s="1"/>
      <c r="CU1913" s="1"/>
      <c r="CV1913" s="1"/>
      <c r="CW1913" s="1"/>
      <c r="CX1913" s="1"/>
      <c r="CY1913" s="1"/>
      <c r="CZ1913" s="1"/>
      <c r="DA1913" s="1"/>
      <c r="DB1913" s="1"/>
      <c r="DC1913" s="1"/>
    </row>
    <row r="1914" spans="1:107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  <c r="AO1914" s="1"/>
      <c r="AP1914" s="1"/>
      <c r="AQ1914" s="1"/>
      <c r="AR1914" s="1"/>
      <c r="AS1914" s="1"/>
      <c r="AT1914" s="1"/>
      <c r="AU1914" s="1"/>
      <c r="AV1914" s="1"/>
      <c r="AW1914" s="1"/>
      <c r="AX1914" s="1"/>
      <c r="AY1914" s="1"/>
      <c r="AZ1914" s="1"/>
      <c r="BA1914" s="1"/>
      <c r="BB1914" s="1"/>
      <c r="BC1914" s="1"/>
      <c r="BD1914" s="1"/>
      <c r="BE1914" s="1"/>
      <c r="BF1914" s="1"/>
      <c r="BG1914" s="1"/>
      <c r="BH1914" s="1"/>
      <c r="BI1914" s="1"/>
      <c r="BJ1914" s="1"/>
      <c r="BK1914" s="1"/>
      <c r="BL1914" s="1"/>
      <c r="BM1914" s="1"/>
      <c r="BN1914" s="1"/>
      <c r="BO1914" s="1"/>
      <c r="BP1914" s="1"/>
      <c r="BQ1914" s="1"/>
      <c r="BR1914" s="1"/>
      <c r="BS1914" s="1"/>
      <c r="BT1914" s="1"/>
      <c r="BU1914" s="1"/>
      <c r="BV1914" s="1"/>
      <c r="BW1914" s="1"/>
      <c r="BX1914" s="1"/>
      <c r="BY1914" s="1"/>
      <c r="BZ1914" s="1"/>
      <c r="CA1914" s="1"/>
      <c r="CB1914" s="1"/>
      <c r="CC1914" s="1"/>
      <c r="CD1914" s="1"/>
      <c r="CE1914" s="1"/>
      <c r="CF1914" s="1"/>
      <c r="CG1914" s="1"/>
      <c r="CH1914" s="1"/>
      <c r="CI1914" s="1"/>
      <c r="CJ1914" s="1"/>
      <c r="CK1914" s="1"/>
      <c r="CL1914" s="1"/>
      <c r="CM1914" s="1"/>
      <c r="CN1914" s="1"/>
      <c r="CO1914" s="1"/>
      <c r="CP1914" s="1"/>
      <c r="CQ1914" s="1"/>
      <c r="CR1914" s="1"/>
      <c r="CS1914" s="1"/>
      <c r="CT1914" s="1"/>
      <c r="CU1914" s="1"/>
      <c r="CV1914" s="1"/>
      <c r="CW1914" s="1"/>
      <c r="CX1914" s="1"/>
      <c r="CY1914" s="1"/>
      <c r="CZ1914" s="1"/>
      <c r="DA1914" s="1"/>
      <c r="DB1914" s="1"/>
      <c r="DC1914" s="1"/>
    </row>
    <row r="1915" spans="1:107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  <c r="AL1915" s="1"/>
      <c r="AM1915" s="1"/>
      <c r="AN1915" s="1"/>
      <c r="AO1915" s="1"/>
      <c r="AP1915" s="1"/>
      <c r="AQ1915" s="1"/>
      <c r="AR1915" s="1"/>
      <c r="AS1915" s="1"/>
      <c r="AT1915" s="1"/>
      <c r="AU1915" s="1"/>
      <c r="AV1915" s="1"/>
      <c r="AW1915" s="1"/>
      <c r="AX1915" s="1"/>
      <c r="AY1915" s="1"/>
      <c r="AZ1915" s="1"/>
      <c r="BA1915" s="1"/>
      <c r="BB1915" s="1"/>
      <c r="BC1915" s="1"/>
      <c r="BD1915" s="1"/>
      <c r="BE1915" s="1"/>
      <c r="BF1915" s="1"/>
      <c r="BG1915" s="1"/>
      <c r="BH1915" s="1"/>
      <c r="BI1915" s="1"/>
      <c r="BJ1915" s="1"/>
      <c r="BK1915" s="1"/>
      <c r="BL1915" s="1"/>
      <c r="BM1915" s="1"/>
      <c r="BN1915" s="1"/>
      <c r="BO1915" s="1"/>
      <c r="BP1915" s="1"/>
      <c r="BQ1915" s="1"/>
      <c r="BR1915" s="1"/>
      <c r="BS1915" s="1"/>
      <c r="BT1915" s="1"/>
      <c r="BU1915" s="1"/>
      <c r="BV1915" s="1"/>
      <c r="BW1915" s="1"/>
      <c r="BX1915" s="1"/>
      <c r="BY1915" s="1"/>
      <c r="BZ1915" s="1"/>
      <c r="CA1915" s="1"/>
      <c r="CB1915" s="1"/>
      <c r="CC1915" s="1"/>
      <c r="CD1915" s="1"/>
      <c r="CE1915" s="1"/>
      <c r="CF1915" s="1"/>
      <c r="CG1915" s="1"/>
      <c r="CH1915" s="1"/>
      <c r="CI1915" s="1"/>
      <c r="CJ1915" s="1"/>
      <c r="CK1915" s="1"/>
      <c r="CL1915" s="1"/>
      <c r="CM1915" s="1"/>
      <c r="CN1915" s="1"/>
      <c r="CO1915" s="1"/>
      <c r="CP1915" s="1"/>
      <c r="CQ1915" s="1"/>
      <c r="CR1915" s="1"/>
      <c r="CS1915" s="1"/>
      <c r="CT1915" s="1"/>
      <c r="CU1915" s="1"/>
      <c r="CV1915" s="1"/>
      <c r="CW1915" s="1"/>
      <c r="CX1915" s="1"/>
      <c r="CY1915" s="1"/>
      <c r="CZ1915" s="1"/>
      <c r="DA1915" s="1"/>
      <c r="DB1915" s="1"/>
      <c r="DC1915" s="1"/>
    </row>
    <row r="1916" spans="1:107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  <c r="AL1916" s="1"/>
      <c r="AM1916" s="1"/>
      <c r="AN1916" s="1"/>
      <c r="AO1916" s="1"/>
      <c r="AP1916" s="1"/>
      <c r="AQ1916" s="1"/>
      <c r="AR1916" s="1"/>
      <c r="AS1916" s="1"/>
      <c r="AT1916" s="1"/>
      <c r="AU1916" s="1"/>
      <c r="AV1916" s="1"/>
      <c r="AW1916" s="1"/>
      <c r="AX1916" s="1"/>
      <c r="AY1916" s="1"/>
      <c r="AZ1916" s="1"/>
      <c r="BA1916" s="1"/>
      <c r="BB1916" s="1"/>
      <c r="BC1916" s="1"/>
      <c r="BD1916" s="1"/>
      <c r="BE1916" s="1"/>
      <c r="BF1916" s="1"/>
      <c r="BG1916" s="1"/>
      <c r="BH1916" s="1"/>
      <c r="BI1916" s="1"/>
      <c r="BJ1916" s="1"/>
      <c r="BK1916" s="1"/>
      <c r="BL1916" s="1"/>
      <c r="BM1916" s="1"/>
      <c r="BN1916" s="1"/>
      <c r="BO1916" s="1"/>
      <c r="BP1916" s="1"/>
      <c r="BQ1916" s="1"/>
      <c r="BR1916" s="1"/>
      <c r="BS1916" s="1"/>
      <c r="BT1916" s="1"/>
      <c r="BU1916" s="1"/>
      <c r="BV1916" s="1"/>
      <c r="BW1916" s="1"/>
      <c r="BX1916" s="1"/>
      <c r="BY1916" s="1"/>
      <c r="BZ1916" s="1"/>
      <c r="CA1916" s="1"/>
      <c r="CB1916" s="1"/>
      <c r="CC1916" s="1"/>
      <c r="CD1916" s="1"/>
      <c r="CE1916" s="1"/>
      <c r="CF1916" s="1"/>
      <c r="CG1916" s="1"/>
      <c r="CH1916" s="1"/>
      <c r="CI1916" s="1"/>
      <c r="CJ1916" s="1"/>
      <c r="CK1916" s="1"/>
      <c r="CL1916" s="1"/>
      <c r="CM1916" s="1"/>
      <c r="CN1916" s="1"/>
      <c r="CO1916" s="1"/>
      <c r="CP1916" s="1"/>
      <c r="CQ1916" s="1"/>
      <c r="CR1916" s="1"/>
      <c r="CS1916" s="1"/>
      <c r="CT1916" s="1"/>
      <c r="CU1916" s="1"/>
      <c r="CV1916" s="1"/>
      <c r="CW1916" s="1"/>
      <c r="CX1916" s="1"/>
      <c r="CY1916" s="1"/>
      <c r="CZ1916" s="1"/>
      <c r="DA1916" s="1"/>
      <c r="DB1916" s="1"/>
      <c r="DC1916" s="1"/>
    </row>
    <row r="1917" spans="1:107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  <c r="AP1917" s="1"/>
      <c r="AQ1917" s="1"/>
      <c r="AR1917" s="1"/>
      <c r="AS1917" s="1"/>
      <c r="AT1917" s="1"/>
      <c r="AU1917" s="1"/>
      <c r="AV1917" s="1"/>
      <c r="AW1917" s="1"/>
      <c r="AX1917" s="1"/>
      <c r="AY1917" s="1"/>
      <c r="AZ1917" s="1"/>
      <c r="BA1917" s="1"/>
      <c r="BB1917" s="1"/>
      <c r="BC1917" s="1"/>
      <c r="BD1917" s="1"/>
      <c r="BE1917" s="1"/>
      <c r="BF1917" s="1"/>
      <c r="BG1917" s="1"/>
      <c r="BH1917" s="1"/>
      <c r="BI1917" s="1"/>
      <c r="BJ1917" s="1"/>
      <c r="BK1917" s="1"/>
      <c r="BL1917" s="1"/>
      <c r="BM1917" s="1"/>
      <c r="BN1917" s="1"/>
      <c r="BO1917" s="1"/>
      <c r="BP1917" s="1"/>
      <c r="BQ1917" s="1"/>
      <c r="BR1917" s="1"/>
      <c r="BS1917" s="1"/>
      <c r="BT1917" s="1"/>
      <c r="BU1917" s="1"/>
      <c r="BV1917" s="1"/>
      <c r="BW1917" s="1"/>
      <c r="BX1917" s="1"/>
      <c r="BY1917" s="1"/>
      <c r="BZ1917" s="1"/>
      <c r="CA1917" s="1"/>
      <c r="CB1917" s="1"/>
      <c r="CC1917" s="1"/>
      <c r="CD1917" s="1"/>
      <c r="CE1917" s="1"/>
      <c r="CF1917" s="1"/>
      <c r="CG1917" s="1"/>
      <c r="CH1917" s="1"/>
      <c r="CI1917" s="1"/>
      <c r="CJ1917" s="1"/>
      <c r="CK1917" s="1"/>
      <c r="CL1917" s="1"/>
      <c r="CM1917" s="1"/>
      <c r="CN1917" s="1"/>
      <c r="CO1917" s="1"/>
      <c r="CP1917" s="1"/>
      <c r="CQ1917" s="1"/>
      <c r="CR1917" s="1"/>
      <c r="CS1917" s="1"/>
      <c r="CT1917" s="1"/>
      <c r="CU1917" s="1"/>
      <c r="CV1917" s="1"/>
      <c r="CW1917" s="1"/>
      <c r="CX1917" s="1"/>
      <c r="CY1917" s="1"/>
      <c r="CZ1917" s="1"/>
      <c r="DA1917" s="1"/>
      <c r="DB1917" s="1"/>
      <c r="DC1917" s="1"/>
    </row>
    <row r="1918" spans="1:107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  <c r="AL1918" s="1"/>
      <c r="AM1918" s="1"/>
      <c r="AN1918" s="1"/>
      <c r="AO1918" s="1"/>
      <c r="AP1918" s="1"/>
      <c r="AQ1918" s="1"/>
      <c r="AR1918" s="1"/>
      <c r="AS1918" s="1"/>
      <c r="AT1918" s="1"/>
      <c r="AU1918" s="1"/>
      <c r="AV1918" s="1"/>
      <c r="AW1918" s="1"/>
      <c r="AX1918" s="1"/>
      <c r="AY1918" s="1"/>
      <c r="AZ1918" s="1"/>
      <c r="BA1918" s="1"/>
      <c r="BB1918" s="1"/>
      <c r="BC1918" s="1"/>
      <c r="BD1918" s="1"/>
      <c r="BE1918" s="1"/>
      <c r="BF1918" s="1"/>
      <c r="BG1918" s="1"/>
      <c r="BH1918" s="1"/>
      <c r="BI1918" s="1"/>
      <c r="BJ1918" s="1"/>
      <c r="BK1918" s="1"/>
      <c r="BL1918" s="1"/>
      <c r="BM1918" s="1"/>
      <c r="BN1918" s="1"/>
      <c r="BO1918" s="1"/>
      <c r="BP1918" s="1"/>
      <c r="BQ1918" s="1"/>
      <c r="BR1918" s="1"/>
      <c r="BS1918" s="1"/>
      <c r="BT1918" s="1"/>
      <c r="BU1918" s="1"/>
      <c r="BV1918" s="1"/>
      <c r="BW1918" s="1"/>
      <c r="BX1918" s="1"/>
      <c r="BY1918" s="1"/>
      <c r="BZ1918" s="1"/>
      <c r="CA1918" s="1"/>
      <c r="CB1918" s="1"/>
      <c r="CC1918" s="1"/>
      <c r="CD1918" s="1"/>
      <c r="CE1918" s="1"/>
      <c r="CF1918" s="1"/>
      <c r="CG1918" s="1"/>
      <c r="CH1918" s="1"/>
      <c r="CI1918" s="1"/>
      <c r="CJ1918" s="1"/>
      <c r="CK1918" s="1"/>
      <c r="CL1918" s="1"/>
      <c r="CM1918" s="1"/>
      <c r="CN1918" s="1"/>
      <c r="CO1918" s="1"/>
      <c r="CP1918" s="1"/>
      <c r="CQ1918" s="1"/>
      <c r="CR1918" s="1"/>
      <c r="CS1918" s="1"/>
      <c r="CT1918" s="1"/>
      <c r="CU1918" s="1"/>
      <c r="CV1918" s="1"/>
      <c r="CW1918" s="1"/>
      <c r="CX1918" s="1"/>
      <c r="CY1918" s="1"/>
      <c r="CZ1918" s="1"/>
      <c r="DA1918" s="1"/>
      <c r="DB1918" s="1"/>
      <c r="DC1918" s="1"/>
    </row>
    <row r="1919" spans="1:107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/>
      <c r="AR1919" s="1"/>
      <c r="AS1919" s="1"/>
      <c r="AT1919" s="1"/>
      <c r="AU1919" s="1"/>
      <c r="AV1919" s="1"/>
      <c r="AW1919" s="1"/>
      <c r="AX1919" s="1"/>
      <c r="AY1919" s="1"/>
      <c r="AZ1919" s="1"/>
      <c r="BA1919" s="1"/>
      <c r="BB1919" s="1"/>
      <c r="BC1919" s="1"/>
      <c r="BD1919" s="1"/>
      <c r="BE1919" s="1"/>
      <c r="BF1919" s="1"/>
      <c r="BG1919" s="1"/>
      <c r="BH1919" s="1"/>
      <c r="BI1919" s="1"/>
      <c r="BJ1919" s="1"/>
      <c r="BK1919" s="1"/>
      <c r="BL1919" s="1"/>
      <c r="BM1919" s="1"/>
      <c r="BN1919" s="1"/>
      <c r="BO1919" s="1"/>
      <c r="BP1919" s="1"/>
      <c r="BQ1919" s="1"/>
      <c r="BR1919" s="1"/>
      <c r="BS1919" s="1"/>
      <c r="BT1919" s="1"/>
      <c r="BU1919" s="1"/>
      <c r="BV1919" s="1"/>
      <c r="BW1919" s="1"/>
      <c r="BX1919" s="1"/>
      <c r="BY1919" s="1"/>
      <c r="BZ1919" s="1"/>
      <c r="CA1919" s="1"/>
      <c r="CB1919" s="1"/>
      <c r="CC1919" s="1"/>
      <c r="CD1919" s="1"/>
      <c r="CE1919" s="1"/>
      <c r="CF1919" s="1"/>
      <c r="CG1919" s="1"/>
      <c r="CH1919" s="1"/>
      <c r="CI1919" s="1"/>
      <c r="CJ1919" s="1"/>
      <c r="CK1919" s="1"/>
      <c r="CL1919" s="1"/>
      <c r="CM1919" s="1"/>
      <c r="CN1919" s="1"/>
      <c r="CO1919" s="1"/>
      <c r="CP1919" s="1"/>
      <c r="CQ1919" s="1"/>
      <c r="CR1919" s="1"/>
      <c r="CS1919" s="1"/>
      <c r="CT1919" s="1"/>
      <c r="CU1919" s="1"/>
      <c r="CV1919" s="1"/>
      <c r="CW1919" s="1"/>
      <c r="CX1919" s="1"/>
      <c r="CY1919" s="1"/>
      <c r="CZ1919" s="1"/>
      <c r="DA1919" s="1"/>
      <c r="DB1919" s="1"/>
      <c r="DC1919" s="1"/>
    </row>
    <row r="1920" spans="1:107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  <c r="AO1920" s="1"/>
      <c r="AP1920" s="1"/>
      <c r="AQ1920" s="1"/>
      <c r="AR1920" s="1"/>
      <c r="AS1920" s="1"/>
      <c r="AT1920" s="1"/>
      <c r="AU1920" s="1"/>
      <c r="AV1920" s="1"/>
      <c r="AW1920" s="1"/>
      <c r="AX1920" s="1"/>
      <c r="AY1920" s="1"/>
      <c r="AZ1920" s="1"/>
      <c r="BA1920" s="1"/>
      <c r="BB1920" s="1"/>
      <c r="BC1920" s="1"/>
      <c r="BD1920" s="1"/>
      <c r="BE1920" s="1"/>
      <c r="BF1920" s="1"/>
      <c r="BG1920" s="1"/>
      <c r="BH1920" s="1"/>
      <c r="BI1920" s="1"/>
      <c r="BJ1920" s="1"/>
      <c r="BK1920" s="1"/>
      <c r="BL1920" s="1"/>
      <c r="BM1920" s="1"/>
      <c r="BN1920" s="1"/>
      <c r="BO1920" s="1"/>
      <c r="BP1920" s="1"/>
      <c r="BQ1920" s="1"/>
      <c r="BR1920" s="1"/>
      <c r="BS1920" s="1"/>
      <c r="BT1920" s="1"/>
      <c r="BU1920" s="1"/>
      <c r="BV1920" s="1"/>
      <c r="BW1920" s="1"/>
      <c r="BX1920" s="1"/>
      <c r="BY1920" s="1"/>
      <c r="BZ1920" s="1"/>
      <c r="CA1920" s="1"/>
      <c r="CB1920" s="1"/>
      <c r="CC1920" s="1"/>
      <c r="CD1920" s="1"/>
      <c r="CE1920" s="1"/>
      <c r="CF1920" s="1"/>
      <c r="CG1920" s="1"/>
      <c r="CH1920" s="1"/>
      <c r="CI1920" s="1"/>
      <c r="CJ1920" s="1"/>
      <c r="CK1920" s="1"/>
      <c r="CL1920" s="1"/>
      <c r="CM1920" s="1"/>
      <c r="CN1920" s="1"/>
      <c r="CO1920" s="1"/>
      <c r="CP1920" s="1"/>
      <c r="CQ1920" s="1"/>
      <c r="CR1920" s="1"/>
      <c r="CS1920" s="1"/>
      <c r="CT1920" s="1"/>
      <c r="CU1920" s="1"/>
      <c r="CV1920" s="1"/>
      <c r="CW1920" s="1"/>
      <c r="CX1920" s="1"/>
      <c r="CY1920" s="1"/>
      <c r="CZ1920" s="1"/>
      <c r="DA1920" s="1"/>
      <c r="DB1920" s="1"/>
      <c r="DC1920" s="1"/>
    </row>
    <row r="1921" spans="1:107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  <c r="AL1921" s="1"/>
      <c r="AM1921" s="1"/>
      <c r="AN1921" s="1"/>
      <c r="AO1921" s="1"/>
      <c r="AP1921" s="1"/>
      <c r="AQ1921" s="1"/>
      <c r="AR1921" s="1"/>
      <c r="AS1921" s="1"/>
      <c r="AT1921" s="1"/>
      <c r="AU1921" s="1"/>
      <c r="AV1921" s="1"/>
      <c r="AW1921" s="1"/>
      <c r="AX1921" s="1"/>
      <c r="AY1921" s="1"/>
      <c r="AZ1921" s="1"/>
      <c r="BA1921" s="1"/>
      <c r="BB1921" s="1"/>
      <c r="BC1921" s="1"/>
      <c r="BD1921" s="1"/>
      <c r="BE1921" s="1"/>
      <c r="BF1921" s="1"/>
      <c r="BG1921" s="1"/>
      <c r="BH1921" s="1"/>
      <c r="BI1921" s="1"/>
      <c r="BJ1921" s="1"/>
      <c r="BK1921" s="1"/>
      <c r="BL1921" s="1"/>
      <c r="BM1921" s="1"/>
      <c r="BN1921" s="1"/>
      <c r="BO1921" s="1"/>
      <c r="BP1921" s="1"/>
      <c r="BQ1921" s="1"/>
      <c r="BR1921" s="1"/>
      <c r="BS1921" s="1"/>
      <c r="BT1921" s="1"/>
      <c r="BU1921" s="1"/>
      <c r="BV1921" s="1"/>
      <c r="BW1921" s="1"/>
      <c r="BX1921" s="1"/>
      <c r="BY1921" s="1"/>
      <c r="BZ1921" s="1"/>
      <c r="CA1921" s="1"/>
      <c r="CB1921" s="1"/>
      <c r="CC1921" s="1"/>
      <c r="CD1921" s="1"/>
      <c r="CE1921" s="1"/>
      <c r="CF1921" s="1"/>
      <c r="CG1921" s="1"/>
      <c r="CH1921" s="1"/>
      <c r="CI1921" s="1"/>
      <c r="CJ1921" s="1"/>
      <c r="CK1921" s="1"/>
      <c r="CL1921" s="1"/>
      <c r="CM1921" s="1"/>
      <c r="CN1921" s="1"/>
      <c r="CO1921" s="1"/>
      <c r="CP1921" s="1"/>
      <c r="CQ1921" s="1"/>
      <c r="CR1921" s="1"/>
      <c r="CS1921" s="1"/>
      <c r="CT1921" s="1"/>
      <c r="CU1921" s="1"/>
      <c r="CV1921" s="1"/>
      <c r="CW1921" s="1"/>
      <c r="CX1921" s="1"/>
      <c r="CY1921" s="1"/>
      <c r="CZ1921" s="1"/>
      <c r="DA1921" s="1"/>
      <c r="DB1921" s="1"/>
      <c r="DC1921" s="1"/>
    </row>
    <row r="1922" spans="1:107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  <c r="AL1922" s="1"/>
      <c r="AM1922" s="1"/>
      <c r="AN1922" s="1"/>
      <c r="AO1922" s="1"/>
      <c r="AP1922" s="1"/>
      <c r="AQ1922" s="1"/>
      <c r="AR1922" s="1"/>
      <c r="AS1922" s="1"/>
      <c r="AT1922" s="1"/>
      <c r="AU1922" s="1"/>
      <c r="AV1922" s="1"/>
      <c r="AW1922" s="1"/>
      <c r="AX1922" s="1"/>
      <c r="AY1922" s="1"/>
      <c r="AZ1922" s="1"/>
      <c r="BA1922" s="1"/>
      <c r="BB1922" s="1"/>
      <c r="BC1922" s="1"/>
      <c r="BD1922" s="1"/>
      <c r="BE1922" s="1"/>
      <c r="BF1922" s="1"/>
      <c r="BG1922" s="1"/>
      <c r="BH1922" s="1"/>
      <c r="BI1922" s="1"/>
      <c r="BJ1922" s="1"/>
      <c r="BK1922" s="1"/>
      <c r="BL1922" s="1"/>
      <c r="BM1922" s="1"/>
      <c r="BN1922" s="1"/>
      <c r="BO1922" s="1"/>
      <c r="BP1922" s="1"/>
      <c r="BQ1922" s="1"/>
      <c r="BR1922" s="1"/>
      <c r="BS1922" s="1"/>
      <c r="BT1922" s="1"/>
      <c r="BU1922" s="1"/>
      <c r="BV1922" s="1"/>
      <c r="BW1922" s="1"/>
      <c r="BX1922" s="1"/>
      <c r="BY1922" s="1"/>
      <c r="BZ1922" s="1"/>
      <c r="CA1922" s="1"/>
      <c r="CB1922" s="1"/>
      <c r="CC1922" s="1"/>
      <c r="CD1922" s="1"/>
      <c r="CE1922" s="1"/>
      <c r="CF1922" s="1"/>
      <c r="CG1922" s="1"/>
      <c r="CH1922" s="1"/>
      <c r="CI1922" s="1"/>
      <c r="CJ1922" s="1"/>
      <c r="CK1922" s="1"/>
      <c r="CL1922" s="1"/>
      <c r="CM1922" s="1"/>
      <c r="CN1922" s="1"/>
      <c r="CO1922" s="1"/>
      <c r="CP1922" s="1"/>
      <c r="CQ1922" s="1"/>
      <c r="CR1922" s="1"/>
      <c r="CS1922" s="1"/>
      <c r="CT1922" s="1"/>
      <c r="CU1922" s="1"/>
      <c r="CV1922" s="1"/>
      <c r="CW1922" s="1"/>
      <c r="CX1922" s="1"/>
      <c r="CY1922" s="1"/>
      <c r="CZ1922" s="1"/>
      <c r="DA1922" s="1"/>
      <c r="DB1922" s="1"/>
      <c r="DC1922" s="1"/>
    </row>
    <row r="1923" spans="1:107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  <c r="AP1923" s="1"/>
      <c r="AQ1923" s="1"/>
      <c r="AR1923" s="1"/>
      <c r="AS1923" s="1"/>
      <c r="AT1923" s="1"/>
      <c r="AU1923" s="1"/>
      <c r="AV1923" s="1"/>
      <c r="AW1923" s="1"/>
      <c r="AX1923" s="1"/>
      <c r="AY1923" s="1"/>
      <c r="AZ1923" s="1"/>
      <c r="BA1923" s="1"/>
      <c r="BB1923" s="1"/>
      <c r="BC1923" s="1"/>
      <c r="BD1923" s="1"/>
      <c r="BE1923" s="1"/>
      <c r="BF1923" s="1"/>
      <c r="BG1923" s="1"/>
      <c r="BH1923" s="1"/>
      <c r="BI1923" s="1"/>
      <c r="BJ1923" s="1"/>
      <c r="BK1923" s="1"/>
      <c r="BL1923" s="1"/>
      <c r="BM1923" s="1"/>
      <c r="BN1923" s="1"/>
      <c r="BO1923" s="1"/>
      <c r="BP1923" s="1"/>
      <c r="BQ1923" s="1"/>
      <c r="BR1923" s="1"/>
      <c r="BS1923" s="1"/>
      <c r="BT1923" s="1"/>
      <c r="BU1923" s="1"/>
      <c r="BV1923" s="1"/>
      <c r="BW1923" s="1"/>
      <c r="BX1923" s="1"/>
      <c r="BY1923" s="1"/>
      <c r="BZ1923" s="1"/>
      <c r="CA1923" s="1"/>
      <c r="CB1923" s="1"/>
      <c r="CC1923" s="1"/>
      <c r="CD1923" s="1"/>
      <c r="CE1923" s="1"/>
      <c r="CF1923" s="1"/>
      <c r="CG1923" s="1"/>
      <c r="CH1923" s="1"/>
      <c r="CI1923" s="1"/>
      <c r="CJ1923" s="1"/>
      <c r="CK1923" s="1"/>
      <c r="CL1923" s="1"/>
      <c r="CM1923" s="1"/>
      <c r="CN1923" s="1"/>
      <c r="CO1923" s="1"/>
      <c r="CP1923" s="1"/>
      <c r="CQ1923" s="1"/>
      <c r="CR1923" s="1"/>
      <c r="CS1923" s="1"/>
      <c r="CT1923" s="1"/>
      <c r="CU1923" s="1"/>
      <c r="CV1923" s="1"/>
      <c r="CW1923" s="1"/>
      <c r="CX1923" s="1"/>
      <c r="CY1923" s="1"/>
      <c r="CZ1923" s="1"/>
      <c r="DA1923" s="1"/>
      <c r="DB1923" s="1"/>
      <c r="DC1923" s="1"/>
    </row>
    <row r="1924" spans="1:107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  <c r="AL1924" s="1"/>
      <c r="AM1924" s="1"/>
      <c r="AN1924" s="1"/>
      <c r="AO1924" s="1"/>
      <c r="AP1924" s="1"/>
      <c r="AQ1924" s="1"/>
      <c r="AR1924" s="1"/>
      <c r="AS1924" s="1"/>
      <c r="AT1924" s="1"/>
      <c r="AU1924" s="1"/>
      <c r="AV1924" s="1"/>
      <c r="AW1924" s="1"/>
      <c r="AX1924" s="1"/>
      <c r="AY1924" s="1"/>
      <c r="AZ1924" s="1"/>
      <c r="BA1924" s="1"/>
      <c r="BB1924" s="1"/>
      <c r="BC1924" s="1"/>
      <c r="BD1924" s="1"/>
      <c r="BE1924" s="1"/>
      <c r="BF1924" s="1"/>
      <c r="BG1924" s="1"/>
      <c r="BH1924" s="1"/>
      <c r="BI1924" s="1"/>
      <c r="BJ1924" s="1"/>
      <c r="BK1924" s="1"/>
      <c r="BL1924" s="1"/>
      <c r="BM1924" s="1"/>
      <c r="BN1924" s="1"/>
      <c r="BO1924" s="1"/>
      <c r="BP1924" s="1"/>
      <c r="BQ1924" s="1"/>
      <c r="BR1924" s="1"/>
      <c r="BS1924" s="1"/>
      <c r="BT1924" s="1"/>
      <c r="BU1924" s="1"/>
      <c r="BV1924" s="1"/>
      <c r="BW1924" s="1"/>
      <c r="BX1924" s="1"/>
      <c r="BY1924" s="1"/>
      <c r="BZ1924" s="1"/>
      <c r="CA1924" s="1"/>
      <c r="CB1924" s="1"/>
      <c r="CC1924" s="1"/>
      <c r="CD1924" s="1"/>
      <c r="CE1924" s="1"/>
      <c r="CF1924" s="1"/>
      <c r="CG1924" s="1"/>
      <c r="CH1924" s="1"/>
      <c r="CI1924" s="1"/>
      <c r="CJ1924" s="1"/>
      <c r="CK1924" s="1"/>
      <c r="CL1924" s="1"/>
      <c r="CM1924" s="1"/>
      <c r="CN1924" s="1"/>
      <c r="CO1924" s="1"/>
      <c r="CP1924" s="1"/>
      <c r="CQ1924" s="1"/>
      <c r="CR1924" s="1"/>
      <c r="CS1924" s="1"/>
      <c r="CT1924" s="1"/>
      <c r="CU1924" s="1"/>
      <c r="CV1924" s="1"/>
      <c r="CW1924" s="1"/>
      <c r="CX1924" s="1"/>
      <c r="CY1924" s="1"/>
      <c r="CZ1924" s="1"/>
      <c r="DA1924" s="1"/>
      <c r="DB1924" s="1"/>
      <c r="DC1924" s="1"/>
    </row>
    <row r="1925" spans="1:107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  <c r="AL1925" s="1"/>
      <c r="AM1925" s="1"/>
      <c r="AN1925" s="1"/>
      <c r="AO1925" s="1"/>
      <c r="AP1925" s="1"/>
      <c r="AQ1925" s="1"/>
      <c r="AR1925" s="1"/>
      <c r="AS1925" s="1"/>
      <c r="AT1925" s="1"/>
      <c r="AU1925" s="1"/>
      <c r="AV1925" s="1"/>
      <c r="AW1925" s="1"/>
      <c r="AX1925" s="1"/>
      <c r="AY1925" s="1"/>
      <c r="AZ1925" s="1"/>
      <c r="BA1925" s="1"/>
      <c r="BB1925" s="1"/>
      <c r="BC1925" s="1"/>
      <c r="BD1925" s="1"/>
      <c r="BE1925" s="1"/>
      <c r="BF1925" s="1"/>
      <c r="BG1925" s="1"/>
      <c r="BH1925" s="1"/>
      <c r="BI1925" s="1"/>
      <c r="BJ1925" s="1"/>
      <c r="BK1925" s="1"/>
      <c r="BL1925" s="1"/>
      <c r="BM1925" s="1"/>
      <c r="BN1925" s="1"/>
      <c r="BO1925" s="1"/>
      <c r="BP1925" s="1"/>
      <c r="BQ1925" s="1"/>
      <c r="BR1925" s="1"/>
      <c r="BS1925" s="1"/>
      <c r="BT1925" s="1"/>
      <c r="BU1925" s="1"/>
      <c r="BV1925" s="1"/>
      <c r="BW1925" s="1"/>
      <c r="BX1925" s="1"/>
      <c r="BY1925" s="1"/>
      <c r="BZ1925" s="1"/>
      <c r="CA1925" s="1"/>
      <c r="CB1925" s="1"/>
      <c r="CC1925" s="1"/>
      <c r="CD1925" s="1"/>
      <c r="CE1925" s="1"/>
      <c r="CF1925" s="1"/>
      <c r="CG1925" s="1"/>
      <c r="CH1925" s="1"/>
      <c r="CI1925" s="1"/>
      <c r="CJ1925" s="1"/>
      <c r="CK1925" s="1"/>
      <c r="CL1925" s="1"/>
      <c r="CM1925" s="1"/>
      <c r="CN1925" s="1"/>
      <c r="CO1925" s="1"/>
      <c r="CP1925" s="1"/>
      <c r="CQ1925" s="1"/>
      <c r="CR1925" s="1"/>
      <c r="CS1925" s="1"/>
      <c r="CT1925" s="1"/>
      <c r="CU1925" s="1"/>
      <c r="CV1925" s="1"/>
      <c r="CW1925" s="1"/>
      <c r="CX1925" s="1"/>
      <c r="CY1925" s="1"/>
      <c r="CZ1925" s="1"/>
      <c r="DA1925" s="1"/>
      <c r="DB1925" s="1"/>
      <c r="DC1925" s="1"/>
    </row>
    <row r="1926" spans="1:107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  <c r="AL1926" s="1"/>
      <c r="AM1926" s="1"/>
      <c r="AN1926" s="1"/>
      <c r="AO1926" s="1"/>
      <c r="AP1926" s="1"/>
      <c r="AQ1926" s="1"/>
      <c r="AR1926" s="1"/>
      <c r="AS1926" s="1"/>
      <c r="AT1926" s="1"/>
      <c r="AU1926" s="1"/>
      <c r="AV1926" s="1"/>
      <c r="AW1926" s="1"/>
      <c r="AX1926" s="1"/>
      <c r="AY1926" s="1"/>
      <c r="AZ1926" s="1"/>
      <c r="BA1926" s="1"/>
      <c r="BB1926" s="1"/>
      <c r="BC1926" s="1"/>
      <c r="BD1926" s="1"/>
      <c r="BE1926" s="1"/>
      <c r="BF1926" s="1"/>
      <c r="BG1926" s="1"/>
      <c r="BH1926" s="1"/>
      <c r="BI1926" s="1"/>
      <c r="BJ1926" s="1"/>
      <c r="BK1926" s="1"/>
      <c r="BL1926" s="1"/>
      <c r="BM1926" s="1"/>
      <c r="BN1926" s="1"/>
      <c r="BO1926" s="1"/>
      <c r="BP1926" s="1"/>
      <c r="BQ1926" s="1"/>
      <c r="BR1926" s="1"/>
      <c r="BS1926" s="1"/>
      <c r="BT1926" s="1"/>
      <c r="BU1926" s="1"/>
      <c r="BV1926" s="1"/>
      <c r="BW1926" s="1"/>
      <c r="BX1926" s="1"/>
      <c r="BY1926" s="1"/>
      <c r="BZ1926" s="1"/>
      <c r="CA1926" s="1"/>
      <c r="CB1926" s="1"/>
      <c r="CC1926" s="1"/>
      <c r="CD1926" s="1"/>
      <c r="CE1926" s="1"/>
      <c r="CF1926" s="1"/>
      <c r="CG1926" s="1"/>
      <c r="CH1926" s="1"/>
      <c r="CI1926" s="1"/>
      <c r="CJ1926" s="1"/>
      <c r="CK1926" s="1"/>
      <c r="CL1926" s="1"/>
      <c r="CM1926" s="1"/>
      <c r="CN1926" s="1"/>
      <c r="CO1926" s="1"/>
      <c r="CP1926" s="1"/>
      <c r="CQ1926" s="1"/>
      <c r="CR1926" s="1"/>
      <c r="CS1926" s="1"/>
      <c r="CT1926" s="1"/>
      <c r="CU1926" s="1"/>
      <c r="CV1926" s="1"/>
      <c r="CW1926" s="1"/>
      <c r="CX1926" s="1"/>
      <c r="CY1926" s="1"/>
      <c r="CZ1926" s="1"/>
      <c r="DA1926" s="1"/>
      <c r="DB1926" s="1"/>
      <c r="DC1926" s="1"/>
    </row>
    <row r="1927" spans="1:107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  <c r="AP1927" s="1"/>
      <c r="AQ1927" s="1"/>
      <c r="AR1927" s="1"/>
      <c r="AS1927" s="1"/>
      <c r="AT1927" s="1"/>
      <c r="AU1927" s="1"/>
      <c r="AV1927" s="1"/>
      <c r="AW1927" s="1"/>
      <c r="AX1927" s="1"/>
      <c r="AY1927" s="1"/>
      <c r="AZ1927" s="1"/>
      <c r="BA1927" s="1"/>
      <c r="BB1927" s="1"/>
      <c r="BC1927" s="1"/>
      <c r="BD1927" s="1"/>
      <c r="BE1927" s="1"/>
      <c r="BF1927" s="1"/>
      <c r="BG1927" s="1"/>
      <c r="BH1927" s="1"/>
      <c r="BI1927" s="1"/>
      <c r="BJ1927" s="1"/>
      <c r="BK1927" s="1"/>
      <c r="BL1927" s="1"/>
      <c r="BM1927" s="1"/>
      <c r="BN1927" s="1"/>
      <c r="BO1927" s="1"/>
      <c r="BP1927" s="1"/>
      <c r="BQ1927" s="1"/>
      <c r="BR1927" s="1"/>
      <c r="BS1927" s="1"/>
      <c r="BT1927" s="1"/>
      <c r="BU1927" s="1"/>
      <c r="BV1927" s="1"/>
      <c r="BW1927" s="1"/>
      <c r="BX1927" s="1"/>
      <c r="BY1927" s="1"/>
      <c r="BZ1927" s="1"/>
      <c r="CA1927" s="1"/>
      <c r="CB1927" s="1"/>
      <c r="CC1927" s="1"/>
      <c r="CD1927" s="1"/>
      <c r="CE1927" s="1"/>
      <c r="CF1927" s="1"/>
      <c r="CG1927" s="1"/>
      <c r="CH1927" s="1"/>
      <c r="CI1927" s="1"/>
      <c r="CJ1927" s="1"/>
      <c r="CK1927" s="1"/>
      <c r="CL1927" s="1"/>
      <c r="CM1927" s="1"/>
      <c r="CN1927" s="1"/>
      <c r="CO1927" s="1"/>
      <c r="CP1927" s="1"/>
      <c r="CQ1927" s="1"/>
      <c r="CR1927" s="1"/>
      <c r="CS1927" s="1"/>
      <c r="CT1927" s="1"/>
      <c r="CU1927" s="1"/>
      <c r="CV1927" s="1"/>
      <c r="CW1927" s="1"/>
      <c r="CX1927" s="1"/>
      <c r="CY1927" s="1"/>
      <c r="CZ1927" s="1"/>
      <c r="DA1927" s="1"/>
      <c r="DB1927" s="1"/>
      <c r="DC1927" s="1"/>
    </row>
    <row r="1928" spans="1:107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  <c r="AL1928" s="1"/>
      <c r="AM1928" s="1"/>
      <c r="AN1928" s="1"/>
      <c r="AO1928" s="1"/>
      <c r="AP1928" s="1"/>
      <c r="AQ1928" s="1"/>
      <c r="AR1928" s="1"/>
      <c r="AS1928" s="1"/>
      <c r="AT1928" s="1"/>
      <c r="AU1928" s="1"/>
      <c r="AV1928" s="1"/>
      <c r="AW1928" s="1"/>
      <c r="AX1928" s="1"/>
      <c r="AY1928" s="1"/>
      <c r="AZ1928" s="1"/>
      <c r="BA1928" s="1"/>
      <c r="BB1928" s="1"/>
      <c r="BC1928" s="1"/>
      <c r="BD1928" s="1"/>
      <c r="BE1928" s="1"/>
      <c r="BF1928" s="1"/>
      <c r="BG1928" s="1"/>
      <c r="BH1928" s="1"/>
      <c r="BI1928" s="1"/>
      <c r="BJ1928" s="1"/>
      <c r="BK1928" s="1"/>
      <c r="BL1928" s="1"/>
      <c r="BM1928" s="1"/>
      <c r="BN1928" s="1"/>
      <c r="BO1928" s="1"/>
      <c r="BP1928" s="1"/>
      <c r="BQ1928" s="1"/>
      <c r="BR1928" s="1"/>
      <c r="BS1928" s="1"/>
      <c r="BT1928" s="1"/>
      <c r="BU1928" s="1"/>
      <c r="BV1928" s="1"/>
      <c r="BW1928" s="1"/>
      <c r="BX1928" s="1"/>
      <c r="BY1928" s="1"/>
      <c r="BZ1928" s="1"/>
      <c r="CA1928" s="1"/>
      <c r="CB1928" s="1"/>
      <c r="CC1928" s="1"/>
      <c r="CD1928" s="1"/>
      <c r="CE1928" s="1"/>
      <c r="CF1928" s="1"/>
      <c r="CG1928" s="1"/>
      <c r="CH1928" s="1"/>
      <c r="CI1928" s="1"/>
      <c r="CJ1928" s="1"/>
      <c r="CK1928" s="1"/>
      <c r="CL1928" s="1"/>
      <c r="CM1928" s="1"/>
      <c r="CN1928" s="1"/>
      <c r="CO1928" s="1"/>
      <c r="CP1928" s="1"/>
      <c r="CQ1928" s="1"/>
      <c r="CR1928" s="1"/>
      <c r="CS1928" s="1"/>
      <c r="CT1928" s="1"/>
      <c r="CU1928" s="1"/>
      <c r="CV1928" s="1"/>
      <c r="CW1928" s="1"/>
      <c r="CX1928" s="1"/>
      <c r="CY1928" s="1"/>
      <c r="CZ1928" s="1"/>
      <c r="DA1928" s="1"/>
      <c r="DB1928" s="1"/>
      <c r="DC1928" s="1"/>
    </row>
    <row r="1929" spans="1:107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  <c r="AL1929" s="1"/>
      <c r="AM1929" s="1"/>
      <c r="AN1929" s="1"/>
      <c r="AO1929" s="1"/>
      <c r="AP1929" s="1"/>
      <c r="AQ1929" s="1"/>
      <c r="AR1929" s="1"/>
      <c r="AS1929" s="1"/>
      <c r="AT1929" s="1"/>
      <c r="AU1929" s="1"/>
      <c r="AV1929" s="1"/>
      <c r="AW1929" s="1"/>
      <c r="AX1929" s="1"/>
      <c r="AY1929" s="1"/>
      <c r="AZ1929" s="1"/>
      <c r="BA1929" s="1"/>
      <c r="BB1929" s="1"/>
      <c r="BC1929" s="1"/>
      <c r="BD1929" s="1"/>
      <c r="BE1929" s="1"/>
      <c r="BF1929" s="1"/>
      <c r="BG1929" s="1"/>
      <c r="BH1929" s="1"/>
      <c r="BI1929" s="1"/>
      <c r="BJ1929" s="1"/>
      <c r="BK1929" s="1"/>
      <c r="BL1929" s="1"/>
      <c r="BM1929" s="1"/>
      <c r="BN1929" s="1"/>
      <c r="BO1929" s="1"/>
      <c r="BP1929" s="1"/>
      <c r="BQ1929" s="1"/>
      <c r="BR1929" s="1"/>
      <c r="BS1929" s="1"/>
      <c r="BT1929" s="1"/>
      <c r="BU1929" s="1"/>
      <c r="BV1929" s="1"/>
      <c r="BW1929" s="1"/>
      <c r="BX1929" s="1"/>
      <c r="BY1929" s="1"/>
      <c r="BZ1929" s="1"/>
      <c r="CA1929" s="1"/>
      <c r="CB1929" s="1"/>
      <c r="CC1929" s="1"/>
      <c r="CD1929" s="1"/>
      <c r="CE1929" s="1"/>
      <c r="CF1929" s="1"/>
      <c r="CG1929" s="1"/>
      <c r="CH1929" s="1"/>
      <c r="CI1929" s="1"/>
      <c r="CJ1929" s="1"/>
      <c r="CK1929" s="1"/>
      <c r="CL1929" s="1"/>
      <c r="CM1929" s="1"/>
      <c r="CN1929" s="1"/>
      <c r="CO1929" s="1"/>
      <c r="CP1929" s="1"/>
      <c r="CQ1929" s="1"/>
      <c r="CR1929" s="1"/>
      <c r="CS1929" s="1"/>
      <c r="CT1929" s="1"/>
      <c r="CU1929" s="1"/>
      <c r="CV1929" s="1"/>
      <c r="CW1929" s="1"/>
      <c r="CX1929" s="1"/>
      <c r="CY1929" s="1"/>
      <c r="CZ1929" s="1"/>
      <c r="DA1929" s="1"/>
      <c r="DB1929" s="1"/>
      <c r="DC1929" s="1"/>
    </row>
    <row r="1930" spans="1:107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  <c r="AL1930" s="1"/>
      <c r="AM1930" s="1"/>
      <c r="AN1930" s="1"/>
      <c r="AO1930" s="1"/>
      <c r="AP1930" s="1"/>
      <c r="AQ1930" s="1"/>
      <c r="AR1930" s="1"/>
      <c r="AS1930" s="1"/>
      <c r="AT1930" s="1"/>
      <c r="AU1930" s="1"/>
      <c r="AV1930" s="1"/>
      <c r="AW1930" s="1"/>
      <c r="AX1930" s="1"/>
      <c r="AY1930" s="1"/>
      <c r="AZ1930" s="1"/>
      <c r="BA1930" s="1"/>
      <c r="BB1930" s="1"/>
      <c r="BC1930" s="1"/>
      <c r="BD1930" s="1"/>
      <c r="BE1930" s="1"/>
      <c r="BF1930" s="1"/>
      <c r="BG1930" s="1"/>
      <c r="BH1930" s="1"/>
      <c r="BI1930" s="1"/>
      <c r="BJ1930" s="1"/>
      <c r="BK1930" s="1"/>
      <c r="BL1930" s="1"/>
      <c r="BM1930" s="1"/>
      <c r="BN1930" s="1"/>
      <c r="BO1930" s="1"/>
      <c r="BP1930" s="1"/>
      <c r="BQ1930" s="1"/>
      <c r="BR1930" s="1"/>
      <c r="BS1930" s="1"/>
      <c r="BT1930" s="1"/>
      <c r="BU1930" s="1"/>
      <c r="BV1930" s="1"/>
      <c r="BW1930" s="1"/>
      <c r="BX1930" s="1"/>
      <c r="BY1930" s="1"/>
      <c r="BZ1930" s="1"/>
      <c r="CA1930" s="1"/>
      <c r="CB1930" s="1"/>
      <c r="CC1930" s="1"/>
      <c r="CD1930" s="1"/>
      <c r="CE1930" s="1"/>
      <c r="CF1930" s="1"/>
      <c r="CG1930" s="1"/>
      <c r="CH1930" s="1"/>
      <c r="CI1930" s="1"/>
      <c r="CJ1930" s="1"/>
      <c r="CK1930" s="1"/>
      <c r="CL1930" s="1"/>
      <c r="CM1930" s="1"/>
      <c r="CN1930" s="1"/>
      <c r="CO1930" s="1"/>
      <c r="CP1930" s="1"/>
      <c r="CQ1930" s="1"/>
      <c r="CR1930" s="1"/>
      <c r="CS1930" s="1"/>
      <c r="CT1930" s="1"/>
      <c r="CU1930" s="1"/>
      <c r="CV1930" s="1"/>
      <c r="CW1930" s="1"/>
      <c r="CX1930" s="1"/>
      <c r="CY1930" s="1"/>
      <c r="CZ1930" s="1"/>
      <c r="DA1930" s="1"/>
      <c r="DB1930" s="1"/>
      <c r="DC1930" s="1"/>
    </row>
    <row r="1931" spans="1:107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  <c r="AL1931" s="1"/>
      <c r="AM1931" s="1"/>
      <c r="AN1931" s="1"/>
      <c r="AO1931" s="1"/>
      <c r="AP1931" s="1"/>
      <c r="AQ1931" s="1"/>
      <c r="AR1931" s="1"/>
      <c r="AS1931" s="1"/>
      <c r="AT1931" s="1"/>
      <c r="AU1931" s="1"/>
      <c r="AV1931" s="1"/>
      <c r="AW1931" s="1"/>
      <c r="AX1931" s="1"/>
      <c r="AY1931" s="1"/>
      <c r="AZ1931" s="1"/>
      <c r="BA1931" s="1"/>
      <c r="BB1931" s="1"/>
      <c r="BC1931" s="1"/>
      <c r="BD1931" s="1"/>
      <c r="BE1931" s="1"/>
      <c r="BF1931" s="1"/>
      <c r="BG1931" s="1"/>
      <c r="BH1931" s="1"/>
      <c r="BI1931" s="1"/>
      <c r="BJ1931" s="1"/>
      <c r="BK1931" s="1"/>
      <c r="BL1931" s="1"/>
      <c r="BM1931" s="1"/>
      <c r="BN1931" s="1"/>
      <c r="BO1931" s="1"/>
      <c r="BP1931" s="1"/>
      <c r="BQ1931" s="1"/>
      <c r="BR1931" s="1"/>
      <c r="BS1931" s="1"/>
      <c r="BT1931" s="1"/>
      <c r="BU1931" s="1"/>
      <c r="BV1931" s="1"/>
      <c r="BW1931" s="1"/>
      <c r="BX1931" s="1"/>
      <c r="BY1931" s="1"/>
      <c r="BZ1931" s="1"/>
      <c r="CA1931" s="1"/>
      <c r="CB1931" s="1"/>
      <c r="CC1931" s="1"/>
      <c r="CD1931" s="1"/>
      <c r="CE1931" s="1"/>
      <c r="CF1931" s="1"/>
      <c r="CG1931" s="1"/>
      <c r="CH1931" s="1"/>
      <c r="CI1931" s="1"/>
      <c r="CJ1931" s="1"/>
      <c r="CK1931" s="1"/>
      <c r="CL1931" s="1"/>
      <c r="CM1931" s="1"/>
      <c r="CN1931" s="1"/>
      <c r="CO1931" s="1"/>
      <c r="CP1931" s="1"/>
      <c r="CQ1931" s="1"/>
      <c r="CR1931" s="1"/>
      <c r="CS1931" s="1"/>
      <c r="CT1931" s="1"/>
      <c r="CU1931" s="1"/>
      <c r="CV1931" s="1"/>
      <c r="CW1931" s="1"/>
      <c r="CX1931" s="1"/>
      <c r="CY1931" s="1"/>
      <c r="CZ1931" s="1"/>
      <c r="DA1931" s="1"/>
      <c r="DB1931" s="1"/>
      <c r="DC1931" s="1"/>
    </row>
    <row r="1932" spans="1:107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  <c r="AL1932" s="1"/>
      <c r="AM1932" s="1"/>
      <c r="AN1932" s="1"/>
      <c r="AO1932" s="1"/>
      <c r="AP1932" s="1"/>
      <c r="AQ1932" s="1"/>
      <c r="AR1932" s="1"/>
      <c r="AS1932" s="1"/>
      <c r="AT1932" s="1"/>
      <c r="AU1932" s="1"/>
      <c r="AV1932" s="1"/>
      <c r="AW1932" s="1"/>
      <c r="AX1932" s="1"/>
      <c r="AY1932" s="1"/>
      <c r="AZ1932" s="1"/>
      <c r="BA1932" s="1"/>
      <c r="BB1932" s="1"/>
      <c r="BC1932" s="1"/>
      <c r="BD1932" s="1"/>
      <c r="BE1932" s="1"/>
      <c r="BF1932" s="1"/>
      <c r="BG1932" s="1"/>
      <c r="BH1932" s="1"/>
      <c r="BI1932" s="1"/>
      <c r="BJ1932" s="1"/>
      <c r="BK1932" s="1"/>
      <c r="BL1932" s="1"/>
      <c r="BM1932" s="1"/>
      <c r="BN1932" s="1"/>
      <c r="BO1932" s="1"/>
      <c r="BP1932" s="1"/>
      <c r="BQ1932" s="1"/>
      <c r="BR1932" s="1"/>
      <c r="BS1932" s="1"/>
      <c r="BT1932" s="1"/>
      <c r="BU1932" s="1"/>
      <c r="BV1932" s="1"/>
      <c r="BW1932" s="1"/>
      <c r="BX1932" s="1"/>
      <c r="BY1932" s="1"/>
      <c r="BZ1932" s="1"/>
      <c r="CA1932" s="1"/>
      <c r="CB1932" s="1"/>
      <c r="CC1932" s="1"/>
      <c r="CD1932" s="1"/>
      <c r="CE1932" s="1"/>
      <c r="CF1932" s="1"/>
      <c r="CG1932" s="1"/>
      <c r="CH1932" s="1"/>
      <c r="CI1932" s="1"/>
      <c r="CJ1932" s="1"/>
      <c r="CK1932" s="1"/>
      <c r="CL1932" s="1"/>
      <c r="CM1932" s="1"/>
      <c r="CN1932" s="1"/>
      <c r="CO1932" s="1"/>
      <c r="CP1932" s="1"/>
      <c r="CQ1932" s="1"/>
      <c r="CR1932" s="1"/>
      <c r="CS1932" s="1"/>
      <c r="CT1932" s="1"/>
      <c r="CU1932" s="1"/>
      <c r="CV1932" s="1"/>
      <c r="CW1932" s="1"/>
      <c r="CX1932" s="1"/>
      <c r="CY1932" s="1"/>
      <c r="CZ1932" s="1"/>
      <c r="DA1932" s="1"/>
      <c r="DB1932" s="1"/>
      <c r="DC1932" s="1"/>
    </row>
    <row r="1933" spans="1:107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  <c r="AL1933" s="1"/>
      <c r="AM1933" s="1"/>
      <c r="AN1933" s="1"/>
      <c r="AO1933" s="1"/>
      <c r="AP1933" s="1"/>
      <c r="AQ1933" s="1"/>
      <c r="AR1933" s="1"/>
      <c r="AS1933" s="1"/>
      <c r="AT1933" s="1"/>
      <c r="AU1933" s="1"/>
      <c r="AV1933" s="1"/>
      <c r="AW1933" s="1"/>
      <c r="AX1933" s="1"/>
      <c r="AY1933" s="1"/>
      <c r="AZ1933" s="1"/>
      <c r="BA1933" s="1"/>
      <c r="BB1933" s="1"/>
      <c r="BC1933" s="1"/>
      <c r="BD1933" s="1"/>
      <c r="BE1933" s="1"/>
      <c r="BF1933" s="1"/>
      <c r="BG1933" s="1"/>
      <c r="BH1933" s="1"/>
      <c r="BI1933" s="1"/>
      <c r="BJ1933" s="1"/>
      <c r="BK1933" s="1"/>
      <c r="BL1933" s="1"/>
      <c r="BM1933" s="1"/>
      <c r="BN1933" s="1"/>
      <c r="BO1933" s="1"/>
      <c r="BP1933" s="1"/>
      <c r="BQ1933" s="1"/>
      <c r="BR1933" s="1"/>
      <c r="BS1933" s="1"/>
      <c r="BT1933" s="1"/>
      <c r="BU1933" s="1"/>
      <c r="BV1933" s="1"/>
      <c r="BW1933" s="1"/>
      <c r="BX1933" s="1"/>
      <c r="BY1933" s="1"/>
      <c r="BZ1933" s="1"/>
      <c r="CA1933" s="1"/>
      <c r="CB1933" s="1"/>
      <c r="CC1933" s="1"/>
      <c r="CD1933" s="1"/>
      <c r="CE1933" s="1"/>
      <c r="CF1933" s="1"/>
      <c r="CG1933" s="1"/>
      <c r="CH1933" s="1"/>
      <c r="CI1933" s="1"/>
      <c r="CJ1933" s="1"/>
      <c r="CK1933" s="1"/>
      <c r="CL1933" s="1"/>
      <c r="CM1933" s="1"/>
      <c r="CN1933" s="1"/>
      <c r="CO1933" s="1"/>
      <c r="CP1933" s="1"/>
      <c r="CQ1933" s="1"/>
      <c r="CR1933" s="1"/>
      <c r="CS1933" s="1"/>
      <c r="CT1933" s="1"/>
      <c r="CU1933" s="1"/>
      <c r="CV1933" s="1"/>
      <c r="CW1933" s="1"/>
      <c r="CX1933" s="1"/>
      <c r="CY1933" s="1"/>
      <c r="CZ1933" s="1"/>
      <c r="DA1933" s="1"/>
      <c r="DB1933" s="1"/>
      <c r="DC1933" s="1"/>
    </row>
    <row r="1934" spans="1:107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  <c r="AL1934" s="1"/>
      <c r="AM1934" s="1"/>
      <c r="AN1934" s="1"/>
      <c r="AO1934" s="1"/>
      <c r="AP1934" s="1"/>
      <c r="AQ1934" s="1"/>
      <c r="AR1934" s="1"/>
      <c r="AS1934" s="1"/>
      <c r="AT1934" s="1"/>
      <c r="AU1934" s="1"/>
      <c r="AV1934" s="1"/>
      <c r="AW1934" s="1"/>
      <c r="AX1934" s="1"/>
      <c r="AY1934" s="1"/>
      <c r="AZ1934" s="1"/>
      <c r="BA1934" s="1"/>
      <c r="BB1934" s="1"/>
      <c r="BC1934" s="1"/>
      <c r="BD1934" s="1"/>
      <c r="BE1934" s="1"/>
      <c r="BF1934" s="1"/>
      <c r="BG1934" s="1"/>
      <c r="BH1934" s="1"/>
      <c r="BI1934" s="1"/>
      <c r="BJ1934" s="1"/>
      <c r="BK1934" s="1"/>
      <c r="BL1934" s="1"/>
      <c r="BM1934" s="1"/>
      <c r="BN1934" s="1"/>
      <c r="BO1934" s="1"/>
      <c r="BP1934" s="1"/>
      <c r="BQ1934" s="1"/>
      <c r="BR1934" s="1"/>
      <c r="BS1934" s="1"/>
      <c r="BT1934" s="1"/>
      <c r="BU1934" s="1"/>
      <c r="BV1934" s="1"/>
      <c r="BW1934" s="1"/>
      <c r="BX1934" s="1"/>
      <c r="BY1934" s="1"/>
      <c r="BZ1934" s="1"/>
      <c r="CA1934" s="1"/>
      <c r="CB1934" s="1"/>
      <c r="CC1934" s="1"/>
      <c r="CD1934" s="1"/>
      <c r="CE1934" s="1"/>
      <c r="CF1934" s="1"/>
      <c r="CG1934" s="1"/>
      <c r="CH1934" s="1"/>
      <c r="CI1934" s="1"/>
      <c r="CJ1934" s="1"/>
      <c r="CK1934" s="1"/>
      <c r="CL1934" s="1"/>
      <c r="CM1934" s="1"/>
      <c r="CN1934" s="1"/>
      <c r="CO1934" s="1"/>
      <c r="CP1934" s="1"/>
      <c r="CQ1934" s="1"/>
      <c r="CR1934" s="1"/>
      <c r="CS1934" s="1"/>
      <c r="CT1934" s="1"/>
      <c r="CU1934" s="1"/>
      <c r="CV1934" s="1"/>
      <c r="CW1934" s="1"/>
      <c r="CX1934" s="1"/>
      <c r="CY1934" s="1"/>
      <c r="CZ1934" s="1"/>
      <c r="DA1934" s="1"/>
      <c r="DB1934" s="1"/>
      <c r="DC1934" s="1"/>
    </row>
    <row r="1935" spans="1:107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  <c r="AL1935" s="1"/>
      <c r="AM1935" s="1"/>
      <c r="AN1935" s="1"/>
      <c r="AO1935" s="1"/>
      <c r="AP1935" s="1"/>
      <c r="AQ1935" s="1"/>
      <c r="AR1935" s="1"/>
      <c r="AS1935" s="1"/>
      <c r="AT1935" s="1"/>
      <c r="AU1935" s="1"/>
      <c r="AV1935" s="1"/>
      <c r="AW1935" s="1"/>
      <c r="AX1935" s="1"/>
      <c r="AY1935" s="1"/>
      <c r="AZ1935" s="1"/>
      <c r="BA1935" s="1"/>
      <c r="BB1935" s="1"/>
      <c r="BC1935" s="1"/>
      <c r="BD1935" s="1"/>
      <c r="BE1935" s="1"/>
      <c r="BF1935" s="1"/>
      <c r="BG1935" s="1"/>
      <c r="BH1935" s="1"/>
      <c r="BI1935" s="1"/>
      <c r="BJ1935" s="1"/>
      <c r="BK1935" s="1"/>
      <c r="BL1935" s="1"/>
      <c r="BM1935" s="1"/>
      <c r="BN1935" s="1"/>
      <c r="BO1935" s="1"/>
      <c r="BP1935" s="1"/>
      <c r="BQ1935" s="1"/>
      <c r="BR1935" s="1"/>
      <c r="BS1935" s="1"/>
      <c r="BT1935" s="1"/>
      <c r="BU1935" s="1"/>
      <c r="BV1935" s="1"/>
      <c r="BW1935" s="1"/>
      <c r="BX1935" s="1"/>
      <c r="BY1935" s="1"/>
      <c r="BZ1935" s="1"/>
      <c r="CA1935" s="1"/>
      <c r="CB1935" s="1"/>
      <c r="CC1935" s="1"/>
      <c r="CD1935" s="1"/>
      <c r="CE1935" s="1"/>
      <c r="CF1935" s="1"/>
      <c r="CG1935" s="1"/>
      <c r="CH1935" s="1"/>
      <c r="CI1935" s="1"/>
      <c r="CJ1935" s="1"/>
      <c r="CK1935" s="1"/>
      <c r="CL1935" s="1"/>
      <c r="CM1935" s="1"/>
      <c r="CN1935" s="1"/>
      <c r="CO1935" s="1"/>
      <c r="CP1935" s="1"/>
      <c r="CQ1935" s="1"/>
      <c r="CR1935" s="1"/>
      <c r="CS1935" s="1"/>
      <c r="CT1935" s="1"/>
      <c r="CU1935" s="1"/>
      <c r="CV1935" s="1"/>
      <c r="CW1935" s="1"/>
      <c r="CX1935" s="1"/>
      <c r="CY1935" s="1"/>
      <c r="CZ1935" s="1"/>
      <c r="DA1935" s="1"/>
      <c r="DB1935" s="1"/>
      <c r="DC1935" s="1"/>
    </row>
    <row r="1936" spans="1:107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  <c r="AL1936" s="1"/>
      <c r="AM1936" s="1"/>
      <c r="AN1936" s="1"/>
      <c r="AO1936" s="1"/>
      <c r="AP1936" s="1"/>
      <c r="AQ1936" s="1"/>
      <c r="AR1936" s="1"/>
      <c r="AS1936" s="1"/>
      <c r="AT1936" s="1"/>
      <c r="AU1936" s="1"/>
      <c r="AV1936" s="1"/>
      <c r="AW1936" s="1"/>
      <c r="AX1936" s="1"/>
      <c r="AY1936" s="1"/>
      <c r="AZ1936" s="1"/>
      <c r="BA1936" s="1"/>
      <c r="BB1936" s="1"/>
      <c r="BC1936" s="1"/>
      <c r="BD1936" s="1"/>
      <c r="BE1936" s="1"/>
      <c r="BF1936" s="1"/>
      <c r="BG1936" s="1"/>
      <c r="BH1936" s="1"/>
      <c r="BI1936" s="1"/>
      <c r="BJ1936" s="1"/>
      <c r="BK1936" s="1"/>
      <c r="BL1936" s="1"/>
      <c r="BM1936" s="1"/>
      <c r="BN1936" s="1"/>
      <c r="BO1936" s="1"/>
      <c r="BP1936" s="1"/>
      <c r="BQ1936" s="1"/>
      <c r="BR1936" s="1"/>
      <c r="BS1936" s="1"/>
      <c r="BT1936" s="1"/>
      <c r="BU1936" s="1"/>
      <c r="BV1936" s="1"/>
      <c r="BW1936" s="1"/>
      <c r="BX1936" s="1"/>
      <c r="BY1936" s="1"/>
      <c r="BZ1936" s="1"/>
      <c r="CA1936" s="1"/>
      <c r="CB1936" s="1"/>
      <c r="CC1936" s="1"/>
      <c r="CD1936" s="1"/>
      <c r="CE1936" s="1"/>
      <c r="CF1936" s="1"/>
      <c r="CG1936" s="1"/>
      <c r="CH1936" s="1"/>
      <c r="CI1936" s="1"/>
      <c r="CJ1936" s="1"/>
      <c r="CK1936" s="1"/>
      <c r="CL1936" s="1"/>
      <c r="CM1936" s="1"/>
      <c r="CN1936" s="1"/>
      <c r="CO1936" s="1"/>
      <c r="CP1936" s="1"/>
      <c r="CQ1936" s="1"/>
      <c r="CR1936" s="1"/>
      <c r="CS1936" s="1"/>
      <c r="CT1936" s="1"/>
      <c r="CU1936" s="1"/>
      <c r="CV1936" s="1"/>
      <c r="CW1936" s="1"/>
      <c r="CX1936" s="1"/>
      <c r="CY1936" s="1"/>
      <c r="CZ1936" s="1"/>
      <c r="DA1936" s="1"/>
      <c r="DB1936" s="1"/>
      <c r="DC1936" s="1"/>
    </row>
    <row r="1937" spans="1:107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  <c r="AL1937" s="1"/>
      <c r="AM1937" s="1"/>
      <c r="AN1937" s="1"/>
      <c r="AO1937" s="1"/>
      <c r="AP1937" s="1"/>
      <c r="AQ1937" s="1"/>
      <c r="AR1937" s="1"/>
      <c r="AS1937" s="1"/>
      <c r="AT1937" s="1"/>
      <c r="AU1937" s="1"/>
      <c r="AV1937" s="1"/>
      <c r="AW1937" s="1"/>
      <c r="AX1937" s="1"/>
      <c r="AY1937" s="1"/>
      <c r="AZ1937" s="1"/>
      <c r="BA1937" s="1"/>
      <c r="BB1937" s="1"/>
      <c r="BC1937" s="1"/>
      <c r="BD1937" s="1"/>
      <c r="BE1937" s="1"/>
      <c r="BF1937" s="1"/>
      <c r="BG1937" s="1"/>
      <c r="BH1937" s="1"/>
      <c r="BI1937" s="1"/>
      <c r="BJ1937" s="1"/>
      <c r="BK1937" s="1"/>
      <c r="BL1937" s="1"/>
      <c r="BM1937" s="1"/>
      <c r="BN1937" s="1"/>
      <c r="BO1937" s="1"/>
      <c r="BP1937" s="1"/>
      <c r="BQ1937" s="1"/>
      <c r="BR1937" s="1"/>
      <c r="BS1937" s="1"/>
      <c r="BT1937" s="1"/>
      <c r="BU1937" s="1"/>
      <c r="BV1937" s="1"/>
      <c r="BW1937" s="1"/>
      <c r="BX1937" s="1"/>
      <c r="BY1937" s="1"/>
      <c r="BZ1937" s="1"/>
      <c r="CA1937" s="1"/>
      <c r="CB1937" s="1"/>
      <c r="CC1937" s="1"/>
      <c r="CD1937" s="1"/>
      <c r="CE1937" s="1"/>
      <c r="CF1937" s="1"/>
      <c r="CG1937" s="1"/>
      <c r="CH1937" s="1"/>
      <c r="CI1937" s="1"/>
      <c r="CJ1937" s="1"/>
      <c r="CK1937" s="1"/>
      <c r="CL1937" s="1"/>
      <c r="CM1937" s="1"/>
      <c r="CN1937" s="1"/>
      <c r="CO1937" s="1"/>
      <c r="CP1937" s="1"/>
      <c r="CQ1937" s="1"/>
      <c r="CR1937" s="1"/>
      <c r="CS1937" s="1"/>
      <c r="CT1937" s="1"/>
      <c r="CU1937" s="1"/>
      <c r="CV1937" s="1"/>
      <c r="CW1937" s="1"/>
      <c r="CX1937" s="1"/>
      <c r="CY1937" s="1"/>
      <c r="CZ1937" s="1"/>
      <c r="DA1937" s="1"/>
      <c r="DB1937" s="1"/>
      <c r="DC1937" s="1"/>
    </row>
    <row r="1938" spans="1:107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  <c r="AL1938" s="1"/>
      <c r="AM1938" s="1"/>
      <c r="AN1938" s="1"/>
      <c r="AO1938" s="1"/>
      <c r="AP1938" s="1"/>
      <c r="AQ1938" s="1"/>
      <c r="AR1938" s="1"/>
      <c r="AS1938" s="1"/>
      <c r="AT1938" s="1"/>
      <c r="AU1938" s="1"/>
      <c r="AV1938" s="1"/>
      <c r="AW1938" s="1"/>
      <c r="AX1938" s="1"/>
      <c r="AY1938" s="1"/>
      <c r="AZ1938" s="1"/>
      <c r="BA1938" s="1"/>
      <c r="BB1938" s="1"/>
      <c r="BC1938" s="1"/>
      <c r="BD1938" s="1"/>
      <c r="BE1938" s="1"/>
      <c r="BF1938" s="1"/>
      <c r="BG1938" s="1"/>
      <c r="BH1938" s="1"/>
      <c r="BI1938" s="1"/>
      <c r="BJ1938" s="1"/>
      <c r="BK1938" s="1"/>
      <c r="BL1938" s="1"/>
      <c r="BM1938" s="1"/>
      <c r="BN1938" s="1"/>
      <c r="BO1938" s="1"/>
      <c r="BP1938" s="1"/>
      <c r="BQ1938" s="1"/>
      <c r="BR1938" s="1"/>
      <c r="BS1938" s="1"/>
      <c r="BT1938" s="1"/>
      <c r="BU1938" s="1"/>
      <c r="BV1938" s="1"/>
      <c r="BW1938" s="1"/>
      <c r="BX1938" s="1"/>
      <c r="BY1938" s="1"/>
      <c r="BZ1938" s="1"/>
      <c r="CA1938" s="1"/>
      <c r="CB1938" s="1"/>
      <c r="CC1938" s="1"/>
      <c r="CD1938" s="1"/>
      <c r="CE1938" s="1"/>
      <c r="CF1938" s="1"/>
      <c r="CG1938" s="1"/>
      <c r="CH1938" s="1"/>
      <c r="CI1938" s="1"/>
      <c r="CJ1938" s="1"/>
      <c r="CK1938" s="1"/>
      <c r="CL1938" s="1"/>
      <c r="CM1938" s="1"/>
      <c r="CN1938" s="1"/>
      <c r="CO1938" s="1"/>
      <c r="CP1938" s="1"/>
      <c r="CQ1938" s="1"/>
      <c r="CR1938" s="1"/>
      <c r="CS1938" s="1"/>
      <c r="CT1938" s="1"/>
      <c r="CU1938" s="1"/>
      <c r="CV1938" s="1"/>
      <c r="CW1938" s="1"/>
      <c r="CX1938" s="1"/>
      <c r="CY1938" s="1"/>
      <c r="CZ1938" s="1"/>
      <c r="DA1938" s="1"/>
      <c r="DB1938" s="1"/>
      <c r="DC1938" s="1"/>
    </row>
    <row r="1939" spans="1:107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  <c r="AL1939" s="1"/>
      <c r="AM1939" s="1"/>
      <c r="AN1939" s="1"/>
      <c r="AO1939" s="1"/>
      <c r="AP1939" s="1"/>
      <c r="AQ1939" s="1"/>
      <c r="AR1939" s="1"/>
      <c r="AS1939" s="1"/>
      <c r="AT1939" s="1"/>
      <c r="AU1939" s="1"/>
      <c r="AV1939" s="1"/>
      <c r="AW1939" s="1"/>
      <c r="AX1939" s="1"/>
      <c r="AY1939" s="1"/>
      <c r="AZ1939" s="1"/>
      <c r="BA1939" s="1"/>
      <c r="BB1939" s="1"/>
      <c r="BC1939" s="1"/>
      <c r="BD1939" s="1"/>
      <c r="BE1939" s="1"/>
      <c r="BF1939" s="1"/>
      <c r="BG1939" s="1"/>
      <c r="BH1939" s="1"/>
      <c r="BI1939" s="1"/>
      <c r="BJ1939" s="1"/>
      <c r="BK1939" s="1"/>
      <c r="BL1939" s="1"/>
      <c r="BM1939" s="1"/>
      <c r="BN1939" s="1"/>
      <c r="BO1939" s="1"/>
      <c r="BP1939" s="1"/>
      <c r="BQ1939" s="1"/>
      <c r="BR1939" s="1"/>
      <c r="BS1939" s="1"/>
      <c r="BT1939" s="1"/>
      <c r="BU1939" s="1"/>
      <c r="BV1939" s="1"/>
      <c r="BW1939" s="1"/>
      <c r="BX1939" s="1"/>
      <c r="BY1939" s="1"/>
      <c r="BZ1939" s="1"/>
      <c r="CA1939" s="1"/>
      <c r="CB1939" s="1"/>
      <c r="CC1939" s="1"/>
      <c r="CD1939" s="1"/>
      <c r="CE1939" s="1"/>
      <c r="CF1939" s="1"/>
      <c r="CG1939" s="1"/>
      <c r="CH1939" s="1"/>
      <c r="CI1939" s="1"/>
      <c r="CJ1939" s="1"/>
      <c r="CK1939" s="1"/>
      <c r="CL1939" s="1"/>
      <c r="CM1939" s="1"/>
      <c r="CN1939" s="1"/>
      <c r="CO1939" s="1"/>
      <c r="CP1939" s="1"/>
      <c r="CQ1939" s="1"/>
      <c r="CR1939" s="1"/>
      <c r="CS1939" s="1"/>
      <c r="CT1939" s="1"/>
      <c r="CU1939" s="1"/>
      <c r="CV1939" s="1"/>
      <c r="CW1939" s="1"/>
      <c r="CX1939" s="1"/>
      <c r="CY1939" s="1"/>
      <c r="CZ1939" s="1"/>
      <c r="DA1939" s="1"/>
      <c r="DB1939" s="1"/>
      <c r="DC1939" s="1"/>
    </row>
    <row r="1940" spans="1:107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  <c r="AL1940" s="1"/>
      <c r="AM1940" s="1"/>
      <c r="AN1940" s="1"/>
      <c r="AO1940" s="1"/>
      <c r="AP1940" s="1"/>
      <c r="AQ1940" s="1"/>
      <c r="AR1940" s="1"/>
      <c r="AS1940" s="1"/>
      <c r="AT1940" s="1"/>
      <c r="AU1940" s="1"/>
      <c r="AV1940" s="1"/>
      <c r="AW1940" s="1"/>
      <c r="AX1940" s="1"/>
      <c r="AY1940" s="1"/>
      <c r="AZ1940" s="1"/>
      <c r="BA1940" s="1"/>
      <c r="BB1940" s="1"/>
      <c r="BC1940" s="1"/>
      <c r="BD1940" s="1"/>
      <c r="BE1940" s="1"/>
      <c r="BF1940" s="1"/>
      <c r="BG1940" s="1"/>
      <c r="BH1940" s="1"/>
      <c r="BI1940" s="1"/>
      <c r="BJ1940" s="1"/>
      <c r="BK1940" s="1"/>
      <c r="BL1940" s="1"/>
      <c r="BM1940" s="1"/>
      <c r="BN1940" s="1"/>
      <c r="BO1940" s="1"/>
      <c r="BP1940" s="1"/>
      <c r="BQ1940" s="1"/>
      <c r="BR1940" s="1"/>
      <c r="BS1940" s="1"/>
      <c r="BT1940" s="1"/>
      <c r="BU1940" s="1"/>
      <c r="BV1940" s="1"/>
      <c r="BW1940" s="1"/>
      <c r="BX1940" s="1"/>
      <c r="BY1940" s="1"/>
      <c r="BZ1940" s="1"/>
      <c r="CA1940" s="1"/>
      <c r="CB1940" s="1"/>
      <c r="CC1940" s="1"/>
      <c r="CD1940" s="1"/>
      <c r="CE1940" s="1"/>
      <c r="CF1940" s="1"/>
      <c r="CG1940" s="1"/>
      <c r="CH1940" s="1"/>
      <c r="CI1940" s="1"/>
      <c r="CJ1940" s="1"/>
      <c r="CK1940" s="1"/>
      <c r="CL1940" s="1"/>
      <c r="CM1940" s="1"/>
      <c r="CN1940" s="1"/>
      <c r="CO1940" s="1"/>
      <c r="CP1940" s="1"/>
      <c r="CQ1940" s="1"/>
      <c r="CR1940" s="1"/>
      <c r="CS1940" s="1"/>
      <c r="CT1940" s="1"/>
      <c r="CU1940" s="1"/>
      <c r="CV1940" s="1"/>
      <c r="CW1940" s="1"/>
      <c r="CX1940" s="1"/>
      <c r="CY1940" s="1"/>
      <c r="CZ1940" s="1"/>
      <c r="DA1940" s="1"/>
      <c r="DB1940" s="1"/>
      <c r="DC1940" s="1"/>
    </row>
    <row r="1941" spans="1:107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  <c r="AL1941" s="1"/>
      <c r="AM1941" s="1"/>
      <c r="AN1941" s="1"/>
      <c r="AO1941" s="1"/>
      <c r="AP1941" s="1"/>
      <c r="AQ1941" s="1"/>
      <c r="AR1941" s="1"/>
      <c r="AS1941" s="1"/>
      <c r="AT1941" s="1"/>
      <c r="AU1941" s="1"/>
      <c r="AV1941" s="1"/>
      <c r="AW1941" s="1"/>
      <c r="AX1941" s="1"/>
      <c r="AY1941" s="1"/>
      <c r="AZ1941" s="1"/>
      <c r="BA1941" s="1"/>
      <c r="BB1941" s="1"/>
      <c r="BC1941" s="1"/>
      <c r="BD1941" s="1"/>
      <c r="BE1941" s="1"/>
      <c r="BF1941" s="1"/>
      <c r="BG1941" s="1"/>
      <c r="BH1941" s="1"/>
      <c r="BI1941" s="1"/>
      <c r="BJ1941" s="1"/>
      <c r="BK1941" s="1"/>
      <c r="BL1941" s="1"/>
      <c r="BM1941" s="1"/>
      <c r="BN1941" s="1"/>
      <c r="BO1941" s="1"/>
      <c r="BP1941" s="1"/>
      <c r="BQ1941" s="1"/>
      <c r="BR1941" s="1"/>
      <c r="BS1941" s="1"/>
      <c r="BT1941" s="1"/>
      <c r="BU1941" s="1"/>
      <c r="BV1941" s="1"/>
      <c r="BW1941" s="1"/>
      <c r="BX1941" s="1"/>
      <c r="BY1941" s="1"/>
      <c r="BZ1941" s="1"/>
      <c r="CA1941" s="1"/>
      <c r="CB1941" s="1"/>
      <c r="CC1941" s="1"/>
      <c r="CD1941" s="1"/>
      <c r="CE1941" s="1"/>
      <c r="CF1941" s="1"/>
      <c r="CG1941" s="1"/>
      <c r="CH1941" s="1"/>
      <c r="CI1941" s="1"/>
      <c r="CJ1941" s="1"/>
      <c r="CK1941" s="1"/>
      <c r="CL1941" s="1"/>
      <c r="CM1941" s="1"/>
      <c r="CN1941" s="1"/>
      <c r="CO1941" s="1"/>
      <c r="CP1941" s="1"/>
      <c r="CQ1941" s="1"/>
      <c r="CR1941" s="1"/>
      <c r="CS1941" s="1"/>
      <c r="CT1941" s="1"/>
      <c r="CU1941" s="1"/>
      <c r="CV1941" s="1"/>
      <c r="CW1941" s="1"/>
      <c r="CX1941" s="1"/>
      <c r="CY1941" s="1"/>
      <c r="CZ1941" s="1"/>
      <c r="DA1941" s="1"/>
      <c r="DB1941" s="1"/>
      <c r="DC1941" s="1"/>
    </row>
    <row r="1942" spans="1:107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  <c r="AL1942" s="1"/>
      <c r="AM1942" s="1"/>
      <c r="AN1942" s="1"/>
      <c r="AO1942" s="1"/>
      <c r="AP1942" s="1"/>
      <c r="AQ1942" s="1"/>
      <c r="AR1942" s="1"/>
      <c r="AS1942" s="1"/>
      <c r="AT1942" s="1"/>
      <c r="AU1942" s="1"/>
      <c r="AV1942" s="1"/>
      <c r="AW1942" s="1"/>
      <c r="AX1942" s="1"/>
      <c r="AY1942" s="1"/>
      <c r="AZ1942" s="1"/>
      <c r="BA1942" s="1"/>
      <c r="BB1942" s="1"/>
      <c r="BC1942" s="1"/>
      <c r="BD1942" s="1"/>
      <c r="BE1942" s="1"/>
      <c r="BF1942" s="1"/>
      <c r="BG1942" s="1"/>
      <c r="BH1942" s="1"/>
      <c r="BI1942" s="1"/>
      <c r="BJ1942" s="1"/>
      <c r="BK1942" s="1"/>
      <c r="BL1942" s="1"/>
      <c r="BM1942" s="1"/>
      <c r="BN1942" s="1"/>
      <c r="BO1942" s="1"/>
      <c r="BP1942" s="1"/>
      <c r="BQ1942" s="1"/>
      <c r="BR1942" s="1"/>
      <c r="BS1942" s="1"/>
      <c r="BT1942" s="1"/>
      <c r="BU1942" s="1"/>
      <c r="BV1942" s="1"/>
      <c r="BW1942" s="1"/>
      <c r="BX1942" s="1"/>
      <c r="BY1942" s="1"/>
      <c r="BZ1942" s="1"/>
      <c r="CA1942" s="1"/>
      <c r="CB1942" s="1"/>
      <c r="CC1942" s="1"/>
      <c r="CD1942" s="1"/>
      <c r="CE1942" s="1"/>
      <c r="CF1942" s="1"/>
      <c r="CG1942" s="1"/>
      <c r="CH1942" s="1"/>
      <c r="CI1942" s="1"/>
      <c r="CJ1942" s="1"/>
      <c r="CK1942" s="1"/>
      <c r="CL1942" s="1"/>
      <c r="CM1942" s="1"/>
      <c r="CN1942" s="1"/>
      <c r="CO1942" s="1"/>
      <c r="CP1942" s="1"/>
      <c r="CQ1942" s="1"/>
      <c r="CR1942" s="1"/>
      <c r="CS1942" s="1"/>
      <c r="CT1942" s="1"/>
      <c r="CU1942" s="1"/>
      <c r="CV1942" s="1"/>
      <c r="CW1942" s="1"/>
      <c r="CX1942" s="1"/>
      <c r="CY1942" s="1"/>
      <c r="CZ1942" s="1"/>
      <c r="DA1942" s="1"/>
      <c r="DB1942" s="1"/>
      <c r="DC1942" s="1"/>
    </row>
    <row r="1943" spans="1:107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  <c r="AL1943" s="1"/>
      <c r="AM1943" s="1"/>
      <c r="AN1943" s="1"/>
      <c r="AO1943" s="1"/>
      <c r="AP1943" s="1"/>
      <c r="AQ1943" s="1"/>
      <c r="AR1943" s="1"/>
      <c r="AS1943" s="1"/>
      <c r="AT1943" s="1"/>
      <c r="AU1943" s="1"/>
      <c r="AV1943" s="1"/>
      <c r="AW1943" s="1"/>
      <c r="AX1943" s="1"/>
      <c r="AY1943" s="1"/>
      <c r="AZ1943" s="1"/>
      <c r="BA1943" s="1"/>
      <c r="BB1943" s="1"/>
      <c r="BC1943" s="1"/>
      <c r="BD1943" s="1"/>
      <c r="BE1943" s="1"/>
      <c r="BF1943" s="1"/>
      <c r="BG1943" s="1"/>
      <c r="BH1943" s="1"/>
      <c r="BI1943" s="1"/>
      <c r="BJ1943" s="1"/>
      <c r="BK1943" s="1"/>
      <c r="BL1943" s="1"/>
      <c r="BM1943" s="1"/>
      <c r="BN1943" s="1"/>
      <c r="BO1943" s="1"/>
      <c r="BP1943" s="1"/>
      <c r="BQ1943" s="1"/>
      <c r="BR1943" s="1"/>
      <c r="BS1943" s="1"/>
      <c r="BT1943" s="1"/>
      <c r="BU1943" s="1"/>
      <c r="BV1943" s="1"/>
      <c r="BW1943" s="1"/>
      <c r="BX1943" s="1"/>
      <c r="BY1943" s="1"/>
      <c r="BZ1943" s="1"/>
      <c r="CA1943" s="1"/>
      <c r="CB1943" s="1"/>
      <c r="CC1943" s="1"/>
      <c r="CD1943" s="1"/>
      <c r="CE1943" s="1"/>
      <c r="CF1943" s="1"/>
      <c r="CG1943" s="1"/>
      <c r="CH1943" s="1"/>
      <c r="CI1943" s="1"/>
      <c r="CJ1943" s="1"/>
      <c r="CK1943" s="1"/>
      <c r="CL1943" s="1"/>
      <c r="CM1943" s="1"/>
      <c r="CN1943" s="1"/>
      <c r="CO1943" s="1"/>
      <c r="CP1943" s="1"/>
      <c r="CQ1943" s="1"/>
      <c r="CR1943" s="1"/>
      <c r="CS1943" s="1"/>
      <c r="CT1943" s="1"/>
      <c r="CU1943" s="1"/>
      <c r="CV1943" s="1"/>
      <c r="CW1943" s="1"/>
      <c r="CX1943" s="1"/>
      <c r="CY1943" s="1"/>
      <c r="CZ1943" s="1"/>
      <c r="DA1943" s="1"/>
      <c r="DB1943" s="1"/>
      <c r="DC1943" s="1"/>
    </row>
    <row r="1944" spans="1:107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  <c r="AL1944" s="1"/>
      <c r="AM1944" s="1"/>
      <c r="AN1944" s="1"/>
      <c r="AO1944" s="1"/>
      <c r="AP1944" s="1"/>
      <c r="AQ1944" s="1"/>
      <c r="AR1944" s="1"/>
      <c r="AS1944" s="1"/>
      <c r="AT1944" s="1"/>
      <c r="AU1944" s="1"/>
      <c r="AV1944" s="1"/>
      <c r="AW1944" s="1"/>
      <c r="AX1944" s="1"/>
      <c r="AY1944" s="1"/>
      <c r="AZ1944" s="1"/>
      <c r="BA1944" s="1"/>
      <c r="BB1944" s="1"/>
      <c r="BC1944" s="1"/>
      <c r="BD1944" s="1"/>
      <c r="BE1944" s="1"/>
      <c r="BF1944" s="1"/>
      <c r="BG1944" s="1"/>
      <c r="BH1944" s="1"/>
      <c r="BI1944" s="1"/>
      <c r="BJ1944" s="1"/>
      <c r="BK1944" s="1"/>
      <c r="BL1944" s="1"/>
      <c r="BM1944" s="1"/>
      <c r="BN1944" s="1"/>
      <c r="BO1944" s="1"/>
      <c r="BP1944" s="1"/>
      <c r="BQ1944" s="1"/>
      <c r="BR1944" s="1"/>
      <c r="BS1944" s="1"/>
      <c r="BT1944" s="1"/>
      <c r="BU1944" s="1"/>
      <c r="BV1944" s="1"/>
      <c r="BW1944" s="1"/>
      <c r="BX1944" s="1"/>
      <c r="BY1944" s="1"/>
      <c r="BZ1944" s="1"/>
      <c r="CA1944" s="1"/>
      <c r="CB1944" s="1"/>
      <c r="CC1944" s="1"/>
      <c r="CD1944" s="1"/>
      <c r="CE1944" s="1"/>
      <c r="CF1944" s="1"/>
      <c r="CG1944" s="1"/>
      <c r="CH1944" s="1"/>
      <c r="CI1944" s="1"/>
      <c r="CJ1944" s="1"/>
      <c r="CK1944" s="1"/>
      <c r="CL1944" s="1"/>
      <c r="CM1944" s="1"/>
      <c r="CN1944" s="1"/>
      <c r="CO1944" s="1"/>
      <c r="CP1944" s="1"/>
      <c r="CQ1944" s="1"/>
      <c r="CR1944" s="1"/>
      <c r="CS1944" s="1"/>
      <c r="CT1944" s="1"/>
      <c r="CU1944" s="1"/>
      <c r="CV1944" s="1"/>
      <c r="CW1944" s="1"/>
      <c r="CX1944" s="1"/>
      <c r="CY1944" s="1"/>
      <c r="CZ1944" s="1"/>
      <c r="DA1944" s="1"/>
      <c r="DB1944" s="1"/>
      <c r="DC1944" s="1"/>
    </row>
    <row r="1945" spans="1:107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  <c r="AL1945" s="1"/>
      <c r="AM1945" s="1"/>
      <c r="AN1945" s="1"/>
      <c r="AO1945" s="1"/>
      <c r="AP1945" s="1"/>
      <c r="AQ1945" s="1"/>
      <c r="AR1945" s="1"/>
      <c r="AS1945" s="1"/>
      <c r="AT1945" s="1"/>
      <c r="AU1945" s="1"/>
      <c r="AV1945" s="1"/>
      <c r="AW1945" s="1"/>
      <c r="AX1945" s="1"/>
      <c r="AY1945" s="1"/>
      <c r="AZ1945" s="1"/>
      <c r="BA1945" s="1"/>
      <c r="BB1945" s="1"/>
      <c r="BC1945" s="1"/>
      <c r="BD1945" s="1"/>
      <c r="BE1945" s="1"/>
      <c r="BF1945" s="1"/>
      <c r="BG1945" s="1"/>
      <c r="BH1945" s="1"/>
      <c r="BI1945" s="1"/>
      <c r="BJ1945" s="1"/>
      <c r="BK1945" s="1"/>
      <c r="BL1945" s="1"/>
      <c r="BM1945" s="1"/>
      <c r="BN1945" s="1"/>
      <c r="BO1945" s="1"/>
      <c r="BP1945" s="1"/>
      <c r="BQ1945" s="1"/>
      <c r="BR1945" s="1"/>
      <c r="BS1945" s="1"/>
      <c r="BT1945" s="1"/>
      <c r="BU1945" s="1"/>
      <c r="BV1945" s="1"/>
      <c r="BW1945" s="1"/>
      <c r="BX1945" s="1"/>
      <c r="BY1945" s="1"/>
      <c r="BZ1945" s="1"/>
      <c r="CA1945" s="1"/>
      <c r="CB1945" s="1"/>
      <c r="CC1945" s="1"/>
      <c r="CD1945" s="1"/>
      <c r="CE1945" s="1"/>
      <c r="CF1945" s="1"/>
      <c r="CG1945" s="1"/>
      <c r="CH1945" s="1"/>
      <c r="CI1945" s="1"/>
      <c r="CJ1945" s="1"/>
      <c r="CK1945" s="1"/>
      <c r="CL1945" s="1"/>
      <c r="CM1945" s="1"/>
      <c r="CN1945" s="1"/>
      <c r="CO1945" s="1"/>
      <c r="CP1945" s="1"/>
      <c r="CQ1945" s="1"/>
      <c r="CR1945" s="1"/>
      <c r="CS1945" s="1"/>
      <c r="CT1945" s="1"/>
      <c r="CU1945" s="1"/>
      <c r="CV1945" s="1"/>
      <c r="CW1945" s="1"/>
      <c r="CX1945" s="1"/>
      <c r="CY1945" s="1"/>
      <c r="CZ1945" s="1"/>
      <c r="DA1945" s="1"/>
      <c r="DB1945" s="1"/>
      <c r="DC1945" s="1"/>
    </row>
    <row r="1946" spans="1:107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  <c r="AL1946" s="1"/>
      <c r="AM1946" s="1"/>
      <c r="AN1946" s="1"/>
      <c r="AO1946" s="1"/>
      <c r="AP1946" s="1"/>
      <c r="AQ1946" s="1"/>
      <c r="AR1946" s="1"/>
      <c r="AS1946" s="1"/>
      <c r="AT1946" s="1"/>
      <c r="AU1946" s="1"/>
      <c r="AV1946" s="1"/>
      <c r="AW1946" s="1"/>
      <c r="AX1946" s="1"/>
      <c r="AY1946" s="1"/>
      <c r="AZ1946" s="1"/>
      <c r="BA1946" s="1"/>
      <c r="BB1946" s="1"/>
      <c r="BC1946" s="1"/>
      <c r="BD1946" s="1"/>
      <c r="BE1946" s="1"/>
      <c r="BF1946" s="1"/>
      <c r="BG1946" s="1"/>
      <c r="BH1946" s="1"/>
      <c r="BI1946" s="1"/>
      <c r="BJ1946" s="1"/>
      <c r="BK1946" s="1"/>
      <c r="BL1946" s="1"/>
      <c r="BM1946" s="1"/>
      <c r="BN1946" s="1"/>
      <c r="BO1946" s="1"/>
      <c r="BP1946" s="1"/>
      <c r="BQ1946" s="1"/>
      <c r="BR1946" s="1"/>
      <c r="BS1946" s="1"/>
      <c r="BT1946" s="1"/>
      <c r="BU1946" s="1"/>
      <c r="BV1946" s="1"/>
      <c r="BW1946" s="1"/>
      <c r="BX1946" s="1"/>
      <c r="BY1946" s="1"/>
      <c r="BZ1946" s="1"/>
      <c r="CA1946" s="1"/>
      <c r="CB1946" s="1"/>
      <c r="CC1946" s="1"/>
      <c r="CD1946" s="1"/>
      <c r="CE1946" s="1"/>
      <c r="CF1946" s="1"/>
      <c r="CG1946" s="1"/>
      <c r="CH1946" s="1"/>
      <c r="CI1946" s="1"/>
      <c r="CJ1946" s="1"/>
      <c r="CK1946" s="1"/>
      <c r="CL1946" s="1"/>
      <c r="CM1946" s="1"/>
      <c r="CN1946" s="1"/>
      <c r="CO1946" s="1"/>
      <c r="CP1946" s="1"/>
      <c r="CQ1946" s="1"/>
      <c r="CR1946" s="1"/>
      <c r="CS1946" s="1"/>
      <c r="CT1946" s="1"/>
      <c r="CU1946" s="1"/>
      <c r="CV1946" s="1"/>
      <c r="CW1946" s="1"/>
      <c r="CX1946" s="1"/>
      <c r="CY1946" s="1"/>
      <c r="CZ1946" s="1"/>
      <c r="DA1946" s="1"/>
      <c r="DB1946" s="1"/>
      <c r="DC1946" s="1"/>
    </row>
    <row r="1947" spans="1:107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  <c r="AL1947" s="1"/>
      <c r="AM1947" s="1"/>
      <c r="AN1947" s="1"/>
      <c r="AO1947" s="1"/>
      <c r="AP1947" s="1"/>
      <c r="AQ1947" s="1"/>
      <c r="AR1947" s="1"/>
      <c r="AS1947" s="1"/>
      <c r="AT1947" s="1"/>
      <c r="AU1947" s="1"/>
      <c r="AV1947" s="1"/>
      <c r="AW1947" s="1"/>
      <c r="AX1947" s="1"/>
      <c r="AY1947" s="1"/>
      <c r="AZ1947" s="1"/>
      <c r="BA1947" s="1"/>
      <c r="BB1947" s="1"/>
      <c r="BC1947" s="1"/>
      <c r="BD1947" s="1"/>
      <c r="BE1947" s="1"/>
      <c r="BF1947" s="1"/>
      <c r="BG1947" s="1"/>
      <c r="BH1947" s="1"/>
      <c r="BI1947" s="1"/>
      <c r="BJ1947" s="1"/>
      <c r="BK1947" s="1"/>
      <c r="BL1947" s="1"/>
      <c r="BM1947" s="1"/>
      <c r="BN1947" s="1"/>
      <c r="BO1947" s="1"/>
      <c r="BP1947" s="1"/>
      <c r="BQ1947" s="1"/>
      <c r="BR1947" s="1"/>
      <c r="BS1947" s="1"/>
      <c r="BT1947" s="1"/>
      <c r="BU1947" s="1"/>
      <c r="BV1947" s="1"/>
      <c r="BW1947" s="1"/>
      <c r="BX1947" s="1"/>
      <c r="BY1947" s="1"/>
      <c r="BZ1947" s="1"/>
      <c r="CA1947" s="1"/>
      <c r="CB1947" s="1"/>
      <c r="CC1947" s="1"/>
      <c r="CD1947" s="1"/>
      <c r="CE1947" s="1"/>
      <c r="CF1947" s="1"/>
      <c r="CG1947" s="1"/>
      <c r="CH1947" s="1"/>
      <c r="CI1947" s="1"/>
      <c r="CJ1947" s="1"/>
      <c r="CK1947" s="1"/>
      <c r="CL1947" s="1"/>
      <c r="CM1947" s="1"/>
      <c r="CN1947" s="1"/>
      <c r="CO1947" s="1"/>
      <c r="CP1947" s="1"/>
      <c r="CQ1947" s="1"/>
      <c r="CR1947" s="1"/>
      <c r="CS1947" s="1"/>
      <c r="CT1947" s="1"/>
      <c r="CU1947" s="1"/>
      <c r="CV1947" s="1"/>
      <c r="CW1947" s="1"/>
      <c r="CX1947" s="1"/>
      <c r="CY1947" s="1"/>
      <c r="CZ1947" s="1"/>
      <c r="DA1947" s="1"/>
      <c r="DB1947" s="1"/>
      <c r="DC1947" s="1"/>
    </row>
    <row r="1948" spans="1:107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  <c r="AL1948" s="1"/>
      <c r="AM1948" s="1"/>
      <c r="AN1948" s="1"/>
      <c r="AO1948" s="1"/>
      <c r="AP1948" s="1"/>
      <c r="AQ1948" s="1"/>
      <c r="AR1948" s="1"/>
      <c r="AS1948" s="1"/>
      <c r="AT1948" s="1"/>
      <c r="AU1948" s="1"/>
      <c r="AV1948" s="1"/>
      <c r="AW1948" s="1"/>
      <c r="AX1948" s="1"/>
      <c r="AY1948" s="1"/>
      <c r="AZ1948" s="1"/>
      <c r="BA1948" s="1"/>
      <c r="BB1948" s="1"/>
      <c r="BC1948" s="1"/>
      <c r="BD1948" s="1"/>
      <c r="BE1948" s="1"/>
      <c r="BF1948" s="1"/>
      <c r="BG1948" s="1"/>
      <c r="BH1948" s="1"/>
      <c r="BI1948" s="1"/>
      <c r="BJ1948" s="1"/>
      <c r="BK1948" s="1"/>
      <c r="BL1948" s="1"/>
      <c r="BM1948" s="1"/>
      <c r="BN1948" s="1"/>
      <c r="BO1948" s="1"/>
      <c r="BP1948" s="1"/>
      <c r="BQ1948" s="1"/>
      <c r="BR1948" s="1"/>
      <c r="BS1948" s="1"/>
      <c r="BT1948" s="1"/>
      <c r="BU1948" s="1"/>
      <c r="BV1948" s="1"/>
      <c r="BW1948" s="1"/>
      <c r="BX1948" s="1"/>
      <c r="BY1948" s="1"/>
      <c r="BZ1948" s="1"/>
      <c r="CA1948" s="1"/>
      <c r="CB1948" s="1"/>
      <c r="CC1948" s="1"/>
      <c r="CD1948" s="1"/>
      <c r="CE1948" s="1"/>
      <c r="CF1948" s="1"/>
      <c r="CG1948" s="1"/>
      <c r="CH1948" s="1"/>
      <c r="CI1948" s="1"/>
      <c r="CJ1948" s="1"/>
      <c r="CK1948" s="1"/>
      <c r="CL1948" s="1"/>
      <c r="CM1948" s="1"/>
      <c r="CN1948" s="1"/>
      <c r="CO1948" s="1"/>
      <c r="CP1948" s="1"/>
      <c r="CQ1948" s="1"/>
      <c r="CR1948" s="1"/>
      <c r="CS1948" s="1"/>
      <c r="CT1948" s="1"/>
      <c r="CU1948" s="1"/>
      <c r="CV1948" s="1"/>
      <c r="CW1948" s="1"/>
      <c r="CX1948" s="1"/>
      <c r="CY1948" s="1"/>
      <c r="CZ1948" s="1"/>
      <c r="DA1948" s="1"/>
      <c r="DB1948" s="1"/>
      <c r="DC1948" s="1"/>
    </row>
    <row r="1949" spans="1:107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1"/>
      <c r="AM1949" s="1"/>
      <c r="AN1949" s="1"/>
      <c r="AO1949" s="1"/>
      <c r="AP1949" s="1"/>
      <c r="AQ1949" s="1"/>
      <c r="AR1949" s="1"/>
      <c r="AS1949" s="1"/>
      <c r="AT1949" s="1"/>
      <c r="AU1949" s="1"/>
      <c r="AV1949" s="1"/>
      <c r="AW1949" s="1"/>
      <c r="AX1949" s="1"/>
      <c r="AY1949" s="1"/>
      <c r="AZ1949" s="1"/>
      <c r="BA1949" s="1"/>
      <c r="BB1949" s="1"/>
      <c r="BC1949" s="1"/>
      <c r="BD1949" s="1"/>
      <c r="BE1949" s="1"/>
      <c r="BF1949" s="1"/>
      <c r="BG1949" s="1"/>
      <c r="BH1949" s="1"/>
      <c r="BI1949" s="1"/>
      <c r="BJ1949" s="1"/>
      <c r="BK1949" s="1"/>
      <c r="BL1949" s="1"/>
      <c r="BM1949" s="1"/>
      <c r="BN1949" s="1"/>
      <c r="BO1949" s="1"/>
      <c r="BP1949" s="1"/>
      <c r="BQ1949" s="1"/>
      <c r="BR1949" s="1"/>
      <c r="BS1949" s="1"/>
      <c r="BT1949" s="1"/>
      <c r="BU1949" s="1"/>
      <c r="BV1949" s="1"/>
      <c r="BW1949" s="1"/>
      <c r="BX1949" s="1"/>
      <c r="BY1949" s="1"/>
      <c r="BZ1949" s="1"/>
      <c r="CA1949" s="1"/>
      <c r="CB1949" s="1"/>
      <c r="CC1949" s="1"/>
      <c r="CD1949" s="1"/>
      <c r="CE1949" s="1"/>
      <c r="CF1949" s="1"/>
      <c r="CG1949" s="1"/>
      <c r="CH1949" s="1"/>
      <c r="CI1949" s="1"/>
      <c r="CJ1949" s="1"/>
      <c r="CK1949" s="1"/>
      <c r="CL1949" s="1"/>
      <c r="CM1949" s="1"/>
      <c r="CN1949" s="1"/>
      <c r="CO1949" s="1"/>
      <c r="CP1949" s="1"/>
      <c r="CQ1949" s="1"/>
      <c r="CR1949" s="1"/>
      <c r="CS1949" s="1"/>
      <c r="CT1949" s="1"/>
      <c r="CU1949" s="1"/>
      <c r="CV1949" s="1"/>
      <c r="CW1949" s="1"/>
      <c r="CX1949" s="1"/>
      <c r="CY1949" s="1"/>
      <c r="CZ1949" s="1"/>
      <c r="DA1949" s="1"/>
      <c r="DB1949" s="1"/>
      <c r="DC1949" s="1"/>
    </row>
    <row r="1950" spans="1:107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  <c r="AL1950" s="1"/>
      <c r="AM1950" s="1"/>
      <c r="AN1950" s="1"/>
      <c r="AO1950" s="1"/>
      <c r="AP1950" s="1"/>
      <c r="AQ1950" s="1"/>
      <c r="AR1950" s="1"/>
      <c r="AS1950" s="1"/>
      <c r="AT1950" s="1"/>
      <c r="AU1950" s="1"/>
      <c r="AV1950" s="1"/>
      <c r="AW1950" s="1"/>
      <c r="AX1950" s="1"/>
      <c r="AY1950" s="1"/>
      <c r="AZ1950" s="1"/>
      <c r="BA1950" s="1"/>
      <c r="BB1950" s="1"/>
      <c r="BC1950" s="1"/>
      <c r="BD1950" s="1"/>
      <c r="BE1950" s="1"/>
      <c r="BF1950" s="1"/>
      <c r="BG1950" s="1"/>
      <c r="BH1950" s="1"/>
      <c r="BI1950" s="1"/>
      <c r="BJ1950" s="1"/>
      <c r="BK1950" s="1"/>
      <c r="BL1950" s="1"/>
      <c r="BM1950" s="1"/>
      <c r="BN1950" s="1"/>
      <c r="BO1950" s="1"/>
      <c r="BP1950" s="1"/>
      <c r="BQ1950" s="1"/>
      <c r="BR1950" s="1"/>
      <c r="BS1950" s="1"/>
      <c r="BT1950" s="1"/>
      <c r="BU1950" s="1"/>
      <c r="BV1950" s="1"/>
      <c r="BW1950" s="1"/>
      <c r="BX1950" s="1"/>
      <c r="BY1950" s="1"/>
      <c r="BZ1950" s="1"/>
      <c r="CA1950" s="1"/>
      <c r="CB1950" s="1"/>
      <c r="CC1950" s="1"/>
      <c r="CD1950" s="1"/>
      <c r="CE1950" s="1"/>
      <c r="CF1950" s="1"/>
      <c r="CG1950" s="1"/>
      <c r="CH1950" s="1"/>
      <c r="CI1950" s="1"/>
      <c r="CJ1950" s="1"/>
      <c r="CK1950" s="1"/>
      <c r="CL1950" s="1"/>
      <c r="CM1950" s="1"/>
      <c r="CN1950" s="1"/>
      <c r="CO1950" s="1"/>
      <c r="CP1950" s="1"/>
      <c r="CQ1950" s="1"/>
      <c r="CR1950" s="1"/>
      <c r="CS1950" s="1"/>
      <c r="CT1950" s="1"/>
      <c r="CU1950" s="1"/>
      <c r="CV1950" s="1"/>
      <c r="CW1950" s="1"/>
      <c r="CX1950" s="1"/>
      <c r="CY1950" s="1"/>
      <c r="CZ1950" s="1"/>
      <c r="DA1950" s="1"/>
      <c r="DB1950" s="1"/>
      <c r="DC1950" s="1"/>
    </row>
    <row r="1951" spans="1:107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  <c r="AL1951" s="1"/>
      <c r="AM1951" s="1"/>
      <c r="AN1951" s="1"/>
      <c r="AO1951" s="1"/>
      <c r="AP1951" s="1"/>
      <c r="AQ1951" s="1"/>
      <c r="AR1951" s="1"/>
      <c r="AS1951" s="1"/>
      <c r="AT1951" s="1"/>
      <c r="AU1951" s="1"/>
      <c r="AV1951" s="1"/>
      <c r="AW1951" s="1"/>
      <c r="AX1951" s="1"/>
      <c r="AY1951" s="1"/>
      <c r="AZ1951" s="1"/>
      <c r="BA1951" s="1"/>
      <c r="BB1951" s="1"/>
      <c r="BC1951" s="1"/>
      <c r="BD1951" s="1"/>
      <c r="BE1951" s="1"/>
      <c r="BF1951" s="1"/>
      <c r="BG1951" s="1"/>
      <c r="BH1951" s="1"/>
      <c r="BI1951" s="1"/>
      <c r="BJ1951" s="1"/>
      <c r="BK1951" s="1"/>
      <c r="BL1951" s="1"/>
      <c r="BM1951" s="1"/>
      <c r="BN1951" s="1"/>
      <c r="BO1951" s="1"/>
      <c r="BP1951" s="1"/>
      <c r="BQ1951" s="1"/>
      <c r="BR1951" s="1"/>
      <c r="BS1951" s="1"/>
      <c r="BT1951" s="1"/>
      <c r="BU1951" s="1"/>
      <c r="BV1951" s="1"/>
      <c r="BW1951" s="1"/>
      <c r="BX1951" s="1"/>
      <c r="BY1951" s="1"/>
      <c r="BZ1951" s="1"/>
      <c r="CA1951" s="1"/>
      <c r="CB1951" s="1"/>
      <c r="CC1951" s="1"/>
      <c r="CD1951" s="1"/>
      <c r="CE1951" s="1"/>
      <c r="CF1951" s="1"/>
      <c r="CG1951" s="1"/>
      <c r="CH1951" s="1"/>
      <c r="CI1951" s="1"/>
      <c r="CJ1951" s="1"/>
      <c r="CK1951" s="1"/>
      <c r="CL1951" s="1"/>
      <c r="CM1951" s="1"/>
      <c r="CN1951" s="1"/>
      <c r="CO1951" s="1"/>
      <c r="CP1951" s="1"/>
      <c r="CQ1951" s="1"/>
      <c r="CR1951" s="1"/>
      <c r="CS1951" s="1"/>
      <c r="CT1951" s="1"/>
      <c r="CU1951" s="1"/>
      <c r="CV1951" s="1"/>
      <c r="CW1951" s="1"/>
      <c r="CX1951" s="1"/>
      <c r="CY1951" s="1"/>
      <c r="CZ1951" s="1"/>
      <c r="DA1951" s="1"/>
      <c r="DB1951" s="1"/>
      <c r="DC1951" s="1"/>
    </row>
    <row r="1952" spans="1:107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  <c r="AL1952" s="1"/>
      <c r="AM1952" s="1"/>
      <c r="AN1952" s="1"/>
      <c r="AO1952" s="1"/>
      <c r="AP1952" s="1"/>
      <c r="AQ1952" s="1"/>
      <c r="AR1952" s="1"/>
      <c r="AS1952" s="1"/>
      <c r="AT1952" s="1"/>
      <c r="AU1952" s="1"/>
      <c r="AV1952" s="1"/>
      <c r="AW1952" s="1"/>
      <c r="AX1952" s="1"/>
      <c r="AY1952" s="1"/>
      <c r="AZ1952" s="1"/>
      <c r="BA1952" s="1"/>
      <c r="BB1952" s="1"/>
      <c r="BC1952" s="1"/>
      <c r="BD1952" s="1"/>
      <c r="BE1952" s="1"/>
      <c r="BF1952" s="1"/>
      <c r="BG1952" s="1"/>
      <c r="BH1952" s="1"/>
      <c r="BI1952" s="1"/>
      <c r="BJ1952" s="1"/>
      <c r="BK1952" s="1"/>
      <c r="BL1952" s="1"/>
      <c r="BM1952" s="1"/>
      <c r="BN1952" s="1"/>
      <c r="BO1952" s="1"/>
      <c r="BP1952" s="1"/>
      <c r="BQ1952" s="1"/>
      <c r="BR1952" s="1"/>
      <c r="BS1952" s="1"/>
      <c r="BT1952" s="1"/>
      <c r="BU1952" s="1"/>
      <c r="BV1952" s="1"/>
      <c r="BW1952" s="1"/>
      <c r="BX1952" s="1"/>
      <c r="BY1952" s="1"/>
      <c r="BZ1952" s="1"/>
      <c r="CA1952" s="1"/>
      <c r="CB1952" s="1"/>
      <c r="CC1952" s="1"/>
      <c r="CD1952" s="1"/>
      <c r="CE1952" s="1"/>
      <c r="CF1952" s="1"/>
      <c r="CG1952" s="1"/>
      <c r="CH1952" s="1"/>
      <c r="CI1952" s="1"/>
      <c r="CJ1952" s="1"/>
      <c r="CK1952" s="1"/>
      <c r="CL1952" s="1"/>
      <c r="CM1952" s="1"/>
      <c r="CN1952" s="1"/>
      <c r="CO1952" s="1"/>
      <c r="CP1952" s="1"/>
      <c r="CQ1952" s="1"/>
      <c r="CR1952" s="1"/>
      <c r="CS1952" s="1"/>
      <c r="CT1952" s="1"/>
      <c r="CU1952" s="1"/>
      <c r="CV1952" s="1"/>
      <c r="CW1952" s="1"/>
      <c r="CX1952" s="1"/>
      <c r="CY1952" s="1"/>
      <c r="CZ1952" s="1"/>
      <c r="DA1952" s="1"/>
      <c r="DB1952" s="1"/>
      <c r="DC1952" s="1"/>
    </row>
    <row r="1953" spans="1:107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  <c r="AL1953" s="1"/>
      <c r="AM1953" s="1"/>
      <c r="AN1953" s="1"/>
      <c r="AO1953" s="1"/>
      <c r="AP1953" s="1"/>
      <c r="AQ1953" s="1"/>
      <c r="AR1953" s="1"/>
      <c r="AS1953" s="1"/>
      <c r="AT1953" s="1"/>
      <c r="AU1953" s="1"/>
      <c r="AV1953" s="1"/>
      <c r="AW1953" s="1"/>
      <c r="AX1953" s="1"/>
      <c r="AY1953" s="1"/>
      <c r="AZ1953" s="1"/>
      <c r="BA1953" s="1"/>
      <c r="BB1953" s="1"/>
      <c r="BC1953" s="1"/>
      <c r="BD1953" s="1"/>
      <c r="BE1953" s="1"/>
      <c r="BF1953" s="1"/>
      <c r="BG1953" s="1"/>
      <c r="BH1953" s="1"/>
      <c r="BI1953" s="1"/>
      <c r="BJ1953" s="1"/>
      <c r="BK1953" s="1"/>
      <c r="BL1953" s="1"/>
      <c r="BM1953" s="1"/>
      <c r="BN1953" s="1"/>
      <c r="BO1953" s="1"/>
      <c r="BP1953" s="1"/>
      <c r="BQ1953" s="1"/>
      <c r="BR1953" s="1"/>
      <c r="BS1953" s="1"/>
      <c r="BT1953" s="1"/>
      <c r="BU1953" s="1"/>
      <c r="BV1953" s="1"/>
      <c r="BW1953" s="1"/>
      <c r="BX1953" s="1"/>
      <c r="BY1953" s="1"/>
      <c r="BZ1953" s="1"/>
      <c r="CA1953" s="1"/>
      <c r="CB1953" s="1"/>
      <c r="CC1953" s="1"/>
      <c r="CD1953" s="1"/>
      <c r="CE1953" s="1"/>
      <c r="CF1953" s="1"/>
      <c r="CG1953" s="1"/>
      <c r="CH1953" s="1"/>
      <c r="CI1953" s="1"/>
      <c r="CJ1953" s="1"/>
      <c r="CK1953" s="1"/>
      <c r="CL1953" s="1"/>
      <c r="CM1953" s="1"/>
      <c r="CN1953" s="1"/>
      <c r="CO1953" s="1"/>
      <c r="CP1953" s="1"/>
      <c r="CQ1953" s="1"/>
      <c r="CR1953" s="1"/>
      <c r="CS1953" s="1"/>
      <c r="CT1953" s="1"/>
      <c r="CU1953" s="1"/>
      <c r="CV1953" s="1"/>
      <c r="CW1953" s="1"/>
      <c r="CX1953" s="1"/>
      <c r="CY1953" s="1"/>
      <c r="CZ1953" s="1"/>
      <c r="DA1953" s="1"/>
      <c r="DB1953" s="1"/>
      <c r="DC1953" s="1"/>
    </row>
    <row r="1954" spans="1:107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/>
      <c r="AL1954" s="1"/>
      <c r="AM1954" s="1"/>
      <c r="AN1954" s="1"/>
      <c r="AO1954" s="1"/>
      <c r="AP1954" s="1"/>
      <c r="AQ1954" s="1"/>
      <c r="AR1954" s="1"/>
      <c r="AS1954" s="1"/>
      <c r="AT1954" s="1"/>
      <c r="AU1954" s="1"/>
      <c r="AV1954" s="1"/>
      <c r="AW1954" s="1"/>
      <c r="AX1954" s="1"/>
      <c r="AY1954" s="1"/>
      <c r="AZ1954" s="1"/>
      <c r="BA1954" s="1"/>
      <c r="BB1954" s="1"/>
      <c r="BC1954" s="1"/>
      <c r="BD1954" s="1"/>
      <c r="BE1954" s="1"/>
      <c r="BF1954" s="1"/>
      <c r="BG1954" s="1"/>
      <c r="BH1954" s="1"/>
      <c r="BI1954" s="1"/>
      <c r="BJ1954" s="1"/>
      <c r="BK1954" s="1"/>
      <c r="BL1954" s="1"/>
      <c r="BM1954" s="1"/>
      <c r="BN1954" s="1"/>
      <c r="BO1954" s="1"/>
      <c r="BP1954" s="1"/>
      <c r="BQ1954" s="1"/>
      <c r="BR1954" s="1"/>
      <c r="BS1954" s="1"/>
      <c r="BT1954" s="1"/>
      <c r="BU1954" s="1"/>
      <c r="BV1954" s="1"/>
      <c r="BW1954" s="1"/>
      <c r="BX1954" s="1"/>
      <c r="BY1954" s="1"/>
      <c r="BZ1954" s="1"/>
      <c r="CA1954" s="1"/>
      <c r="CB1954" s="1"/>
      <c r="CC1954" s="1"/>
      <c r="CD1954" s="1"/>
      <c r="CE1954" s="1"/>
      <c r="CF1954" s="1"/>
      <c r="CG1954" s="1"/>
      <c r="CH1954" s="1"/>
      <c r="CI1954" s="1"/>
      <c r="CJ1954" s="1"/>
      <c r="CK1954" s="1"/>
      <c r="CL1954" s="1"/>
      <c r="CM1954" s="1"/>
      <c r="CN1954" s="1"/>
      <c r="CO1954" s="1"/>
      <c r="CP1954" s="1"/>
      <c r="CQ1954" s="1"/>
      <c r="CR1954" s="1"/>
      <c r="CS1954" s="1"/>
      <c r="CT1954" s="1"/>
      <c r="CU1954" s="1"/>
      <c r="CV1954" s="1"/>
      <c r="CW1954" s="1"/>
      <c r="CX1954" s="1"/>
      <c r="CY1954" s="1"/>
      <c r="CZ1954" s="1"/>
      <c r="DA1954" s="1"/>
      <c r="DB1954" s="1"/>
      <c r="DC1954" s="1"/>
    </row>
    <row r="1955" spans="1:107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  <c r="AP1955" s="1"/>
      <c r="AQ1955" s="1"/>
      <c r="AR1955" s="1"/>
      <c r="AS1955" s="1"/>
      <c r="AT1955" s="1"/>
      <c r="AU1955" s="1"/>
      <c r="AV1955" s="1"/>
      <c r="AW1955" s="1"/>
      <c r="AX1955" s="1"/>
      <c r="AY1955" s="1"/>
      <c r="AZ1955" s="1"/>
      <c r="BA1955" s="1"/>
      <c r="BB1955" s="1"/>
      <c r="BC1955" s="1"/>
      <c r="BD1955" s="1"/>
      <c r="BE1955" s="1"/>
      <c r="BF1955" s="1"/>
      <c r="BG1955" s="1"/>
      <c r="BH1955" s="1"/>
      <c r="BI1955" s="1"/>
      <c r="BJ1955" s="1"/>
      <c r="BK1955" s="1"/>
      <c r="BL1955" s="1"/>
      <c r="BM1955" s="1"/>
      <c r="BN1955" s="1"/>
      <c r="BO1955" s="1"/>
      <c r="BP1955" s="1"/>
      <c r="BQ1955" s="1"/>
      <c r="BR1955" s="1"/>
      <c r="BS1955" s="1"/>
      <c r="BT1955" s="1"/>
      <c r="BU1955" s="1"/>
      <c r="BV1955" s="1"/>
      <c r="BW1955" s="1"/>
      <c r="BX1955" s="1"/>
      <c r="BY1955" s="1"/>
      <c r="BZ1955" s="1"/>
      <c r="CA1955" s="1"/>
      <c r="CB1955" s="1"/>
      <c r="CC1955" s="1"/>
      <c r="CD1955" s="1"/>
      <c r="CE1955" s="1"/>
      <c r="CF1955" s="1"/>
      <c r="CG1955" s="1"/>
      <c r="CH1955" s="1"/>
      <c r="CI1955" s="1"/>
      <c r="CJ1955" s="1"/>
      <c r="CK1955" s="1"/>
      <c r="CL1955" s="1"/>
      <c r="CM1955" s="1"/>
      <c r="CN1955" s="1"/>
      <c r="CO1955" s="1"/>
      <c r="CP1955" s="1"/>
      <c r="CQ1955" s="1"/>
      <c r="CR1955" s="1"/>
      <c r="CS1955" s="1"/>
      <c r="CT1955" s="1"/>
      <c r="CU1955" s="1"/>
      <c r="CV1955" s="1"/>
      <c r="CW1955" s="1"/>
      <c r="CX1955" s="1"/>
      <c r="CY1955" s="1"/>
      <c r="CZ1955" s="1"/>
      <c r="DA1955" s="1"/>
      <c r="DB1955" s="1"/>
      <c r="DC1955" s="1"/>
    </row>
    <row r="1956" spans="1:107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  <c r="AL1956" s="1"/>
      <c r="AM1956" s="1"/>
      <c r="AN1956" s="1"/>
      <c r="AO1956" s="1"/>
      <c r="AP1956" s="1"/>
      <c r="AQ1956" s="1"/>
      <c r="AR1956" s="1"/>
      <c r="AS1956" s="1"/>
      <c r="AT1956" s="1"/>
      <c r="AU1956" s="1"/>
      <c r="AV1956" s="1"/>
      <c r="AW1956" s="1"/>
      <c r="AX1956" s="1"/>
      <c r="AY1956" s="1"/>
      <c r="AZ1956" s="1"/>
      <c r="BA1956" s="1"/>
      <c r="BB1956" s="1"/>
      <c r="BC1956" s="1"/>
      <c r="BD1956" s="1"/>
      <c r="BE1956" s="1"/>
      <c r="BF1956" s="1"/>
      <c r="BG1956" s="1"/>
      <c r="BH1956" s="1"/>
      <c r="BI1956" s="1"/>
      <c r="BJ1956" s="1"/>
      <c r="BK1956" s="1"/>
      <c r="BL1956" s="1"/>
      <c r="BM1956" s="1"/>
      <c r="BN1956" s="1"/>
      <c r="BO1956" s="1"/>
      <c r="BP1956" s="1"/>
      <c r="BQ1956" s="1"/>
      <c r="BR1956" s="1"/>
      <c r="BS1956" s="1"/>
      <c r="BT1956" s="1"/>
      <c r="BU1956" s="1"/>
      <c r="BV1956" s="1"/>
      <c r="BW1956" s="1"/>
      <c r="BX1956" s="1"/>
      <c r="BY1956" s="1"/>
      <c r="BZ1956" s="1"/>
      <c r="CA1956" s="1"/>
      <c r="CB1956" s="1"/>
      <c r="CC1956" s="1"/>
      <c r="CD1956" s="1"/>
      <c r="CE1956" s="1"/>
      <c r="CF1956" s="1"/>
      <c r="CG1956" s="1"/>
      <c r="CH1956" s="1"/>
      <c r="CI1956" s="1"/>
      <c r="CJ1956" s="1"/>
      <c r="CK1956" s="1"/>
      <c r="CL1956" s="1"/>
      <c r="CM1956" s="1"/>
      <c r="CN1956" s="1"/>
      <c r="CO1956" s="1"/>
      <c r="CP1956" s="1"/>
      <c r="CQ1956" s="1"/>
      <c r="CR1956" s="1"/>
      <c r="CS1956" s="1"/>
      <c r="CT1956" s="1"/>
      <c r="CU1956" s="1"/>
      <c r="CV1956" s="1"/>
      <c r="CW1956" s="1"/>
      <c r="CX1956" s="1"/>
      <c r="CY1956" s="1"/>
      <c r="CZ1956" s="1"/>
      <c r="DA1956" s="1"/>
      <c r="DB1956" s="1"/>
      <c r="DC1956" s="1"/>
    </row>
    <row r="1957" spans="1:107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  <c r="AL1957" s="1"/>
      <c r="AM1957" s="1"/>
      <c r="AN1957" s="1"/>
      <c r="AO1957" s="1"/>
      <c r="AP1957" s="1"/>
      <c r="AQ1957" s="1"/>
      <c r="AR1957" s="1"/>
      <c r="AS1957" s="1"/>
      <c r="AT1957" s="1"/>
      <c r="AU1957" s="1"/>
      <c r="AV1957" s="1"/>
      <c r="AW1957" s="1"/>
      <c r="AX1957" s="1"/>
      <c r="AY1957" s="1"/>
      <c r="AZ1957" s="1"/>
      <c r="BA1957" s="1"/>
      <c r="BB1957" s="1"/>
      <c r="BC1957" s="1"/>
      <c r="BD1957" s="1"/>
      <c r="BE1957" s="1"/>
      <c r="BF1957" s="1"/>
      <c r="BG1957" s="1"/>
      <c r="BH1957" s="1"/>
      <c r="BI1957" s="1"/>
      <c r="BJ1957" s="1"/>
      <c r="BK1957" s="1"/>
      <c r="BL1957" s="1"/>
      <c r="BM1957" s="1"/>
      <c r="BN1957" s="1"/>
      <c r="BO1957" s="1"/>
      <c r="BP1957" s="1"/>
      <c r="BQ1957" s="1"/>
      <c r="BR1957" s="1"/>
      <c r="BS1957" s="1"/>
      <c r="BT1957" s="1"/>
      <c r="BU1957" s="1"/>
      <c r="BV1957" s="1"/>
      <c r="BW1957" s="1"/>
      <c r="BX1957" s="1"/>
      <c r="BY1957" s="1"/>
      <c r="BZ1957" s="1"/>
      <c r="CA1957" s="1"/>
      <c r="CB1957" s="1"/>
      <c r="CC1957" s="1"/>
      <c r="CD1957" s="1"/>
      <c r="CE1957" s="1"/>
      <c r="CF1957" s="1"/>
      <c r="CG1957" s="1"/>
      <c r="CH1957" s="1"/>
      <c r="CI1957" s="1"/>
      <c r="CJ1957" s="1"/>
      <c r="CK1957" s="1"/>
      <c r="CL1957" s="1"/>
      <c r="CM1957" s="1"/>
      <c r="CN1957" s="1"/>
      <c r="CO1957" s="1"/>
      <c r="CP1957" s="1"/>
      <c r="CQ1957" s="1"/>
      <c r="CR1957" s="1"/>
      <c r="CS1957" s="1"/>
      <c r="CT1957" s="1"/>
      <c r="CU1957" s="1"/>
      <c r="CV1957" s="1"/>
      <c r="CW1957" s="1"/>
      <c r="CX1957" s="1"/>
      <c r="CY1957" s="1"/>
      <c r="CZ1957" s="1"/>
      <c r="DA1957" s="1"/>
      <c r="DB1957" s="1"/>
      <c r="DC1957" s="1"/>
    </row>
    <row r="1958" spans="1:107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  <c r="AL1958" s="1"/>
      <c r="AM1958" s="1"/>
      <c r="AN1958" s="1"/>
      <c r="AO1958" s="1"/>
      <c r="AP1958" s="1"/>
      <c r="AQ1958" s="1"/>
      <c r="AR1958" s="1"/>
      <c r="AS1958" s="1"/>
      <c r="AT1958" s="1"/>
      <c r="AU1958" s="1"/>
      <c r="AV1958" s="1"/>
      <c r="AW1958" s="1"/>
      <c r="AX1958" s="1"/>
      <c r="AY1958" s="1"/>
      <c r="AZ1958" s="1"/>
      <c r="BA1958" s="1"/>
      <c r="BB1958" s="1"/>
      <c r="BC1958" s="1"/>
      <c r="BD1958" s="1"/>
      <c r="BE1958" s="1"/>
      <c r="BF1958" s="1"/>
      <c r="BG1958" s="1"/>
      <c r="BH1958" s="1"/>
      <c r="BI1958" s="1"/>
      <c r="BJ1958" s="1"/>
      <c r="BK1958" s="1"/>
      <c r="BL1958" s="1"/>
      <c r="BM1958" s="1"/>
      <c r="BN1958" s="1"/>
      <c r="BO1958" s="1"/>
      <c r="BP1958" s="1"/>
      <c r="BQ1958" s="1"/>
      <c r="BR1958" s="1"/>
      <c r="BS1958" s="1"/>
      <c r="BT1958" s="1"/>
      <c r="BU1958" s="1"/>
      <c r="BV1958" s="1"/>
      <c r="BW1958" s="1"/>
      <c r="BX1958" s="1"/>
      <c r="BY1958" s="1"/>
      <c r="BZ1958" s="1"/>
      <c r="CA1958" s="1"/>
      <c r="CB1958" s="1"/>
      <c r="CC1958" s="1"/>
      <c r="CD1958" s="1"/>
      <c r="CE1958" s="1"/>
      <c r="CF1958" s="1"/>
      <c r="CG1958" s="1"/>
      <c r="CH1958" s="1"/>
      <c r="CI1958" s="1"/>
      <c r="CJ1958" s="1"/>
      <c r="CK1958" s="1"/>
      <c r="CL1958" s="1"/>
      <c r="CM1958" s="1"/>
      <c r="CN1958" s="1"/>
      <c r="CO1958" s="1"/>
      <c r="CP1958" s="1"/>
      <c r="CQ1958" s="1"/>
      <c r="CR1958" s="1"/>
      <c r="CS1958" s="1"/>
      <c r="CT1958" s="1"/>
      <c r="CU1958" s="1"/>
      <c r="CV1958" s="1"/>
      <c r="CW1958" s="1"/>
      <c r="CX1958" s="1"/>
      <c r="CY1958" s="1"/>
      <c r="CZ1958" s="1"/>
      <c r="DA1958" s="1"/>
      <c r="DB1958" s="1"/>
      <c r="DC1958" s="1"/>
    </row>
    <row r="1959" spans="1:107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  <c r="AL1959" s="1"/>
      <c r="AM1959" s="1"/>
      <c r="AN1959" s="1"/>
      <c r="AO1959" s="1"/>
      <c r="AP1959" s="1"/>
      <c r="AQ1959" s="1"/>
      <c r="AR1959" s="1"/>
      <c r="AS1959" s="1"/>
      <c r="AT1959" s="1"/>
      <c r="AU1959" s="1"/>
      <c r="AV1959" s="1"/>
      <c r="AW1959" s="1"/>
      <c r="AX1959" s="1"/>
      <c r="AY1959" s="1"/>
      <c r="AZ1959" s="1"/>
      <c r="BA1959" s="1"/>
      <c r="BB1959" s="1"/>
      <c r="BC1959" s="1"/>
      <c r="BD1959" s="1"/>
      <c r="BE1959" s="1"/>
      <c r="BF1959" s="1"/>
      <c r="BG1959" s="1"/>
      <c r="BH1959" s="1"/>
      <c r="BI1959" s="1"/>
      <c r="BJ1959" s="1"/>
      <c r="BK1959" s="1"/>
      <c r="BL1959" s="1"/>
      <c r="BM1959" s="1"/>
      <c r="BN1959" s="1"/>
      <c r="BO1959" s="1"/>
      <c r="BP1959" s="1"/>
      <c r="BQ1959" s="1"/>
      <c r="BR1959" s="1"/>
      <c r="BS1959" s="1"/>
      <c r="BT1959" s="1"/>
      <c r="BU1959" s="1"/>
      <c r="BV1959" s="1"/>
      <c r="BW1959" s="1"/>
      <c r="BX1959" s="1"/>
      <c r="BY1959" s="1"/>
      <c r="BZ1959" s="1"/>
      <c r="CA1959" s="1"/>
      <c r="CB1959" s="1"/>
      <c r="CC1959" s="1"/>
      <c r="CD1959" s="1"/>
      <c r="CE1959" s="1"/>
      <c r="CF1959" s="1"/>
      <c r="CG1959" s="1"/>
      <c r="CH1959" s="1"/>
      <c r="CI1959" s="1"/>
      <c r="CJ1959" s="1"/>
      <c r="CK1959" s="1"/>
      <c r="CL1959" s="1"/>
      <c r="CM1959" s="1"/>
      <c r="CN1959" s="1"/>
      <c r="CO1959" s="1"/>
      <c r="CP1959" s="1"/>
      <c r="CQ1959" s="1"/>
      <c r="CR1959" s="1"/>
      <c r="CS1959" s="1"/>
      <c r="CT1959" s="1"/>
      <c r="CU1959" s="1"/>
      <c r="CV1959" s="1"/>
      <c r="CW1959" s="1"/>
      <c r="CX1959" s="1"/>
      <c r="CY1959" s="1"/>
      <c r="CZ1959" s="1"/>
      <c r="DA1959" s="1"/>
      <c r="DB1959" s="1"/>
      <c r="DC1959" s="1"/>
    </row>
    <row r="1960" spans="1:107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  <c r="AL1960" s="1"/>
      <c r="AM1960" s="1"/>
      <c r="AN1960" s="1"/>
      <c r="AO1960" s="1"/>
      <c r="AP1960" s="1"/>
      <c r="AQ1960" s="1"/>
      <c r="AR1960" s="1"/>
      <c r="AS1960" s="1"/>
      <c r="AT1960" s="1"/>
      <c r="AU1960" s="1"/>
      <c r="AV1960" s="1"/>
      <c r="AW1960" s="1"/>
      <c r="AX1960" s="1"/>
      <c r="AY1960" s="1"/>
      <c r="AZ1960" s="1"/>
      <c r="BA1960" s="1"/>
      <c r="BB1960" s="1"/>
      <c r="BC1960" s="1"/>
      <c r="BD1960" s="1"/>
      <c r="BE1960" s="1"/>
      <c r="BF1960" s="1"/>
      <c r="BG1960" s="1"/>
      <c r="BH1960" s="1"/>
      <c r="BI1960" s="1"/>
      <c r="BJ1960" s="1"/>
      <c r="BK1960" s="1"/>
      <c r="BL1960" s="1"/>
      <c r="BM1960" s="1"/>
      <c r="BN1960" s="1"/>
      <c r="BO1960" s="1"/>
      <c r="BP1960" s="1"/>
      <c r="BQ1960" s="1"/>
      <c r="BR1960" s="1"/>
      <c r="BS1960" s="1"/>
      <c r="BT1960" s="1"/>
      <c r="BU1960" s="1"/>
      <c r="BV1960" s="1"/>
      <c r="BW1960" s="1"/>
      <c r="BX1960" s="1"/>
      <c r="BY1960" s="1"/>
      <c r="BZ1960" s="1"/>
      <c r="CA1960" s="1"/>
      <c r="CB1960" s="1"/>
      <c r="CC1960" s="1"/>
      <c r="CD1960" s="1"/>
      <c r="CE1960" s="1"/>
      <c r="CF1960" s="1"/>
      <c r="CG1960" s="1"/>
      <c r="CH1960" s="1"/>
      <c r="CI1960" s="1"/>
      <c r="CJ1960" s="1"/>
      <c r="CK1960" s="1"/>
      <c r="CL1960" s="1"/>
      <c r="CM1960" s="1"/>
      <c r="CN1960" s="1"/>
      <c r="CO1960" s="1"/>
      <c r="CP1960" s="1"/>
      <c r="CQ1960" s="1"/>
      <c r="CR1960" s="1"/>
      <c r="CS1960" s="1"/>
      <c r="CT1960" s="1"/>
      <c r="CU1960" s="1"/>
      <c r="CV1960" s="1"/>
      <c r="CW1960" s="1"/>
      <c r="CX1960" s="1"/>
      <c r="CY1960" s="1"/>
      <c r="CZ1960" s="1"/>
      <c r="DA1960" s="1"/>
      <c r="DB1960" s="1"/>
      <c r="DC1960" s="1"/>
    </row>
    <row r="1961" spans="1:107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  <c r="AL1961" s="1"/>
      <c r="AM1961" s="1"/>
      <c r="AN1961" s="1"/>
      <c r="AO1961" s="1"/>
      <c r="AP1961" s="1"/>
      <c r="AQ1961" s="1"/>
      <c r="AR1961" s="1"/>
      <c r="AS1961" s="1"/>
      <c r="AT1961" s="1"/>
      <c r="AU1961" s="1"/>
      <c r="AV1961" s="1"/>
      <c r="AW1961" s="1"/>
      <c r="AX1961" s="1"/>
      <c r="AY1961" s="1"/>
      <c r="AZ1961" s="1"/>
      <c r="BA1961" s="1"/>
      <c r="BB1961" s="1"/>
      <c r="BC1961" s="1"/>
      <c r="BD1961" s="1"/>
      <c r="BE1961" s="1"/>
      <c r="BF1961" s="1"/>
      <c r="BG1961" s="1"/>
      <c r="BH1961" s="1"/>
      <c r="BI1961" s="1"/>
      <c r="BJ1961" s="1"/>
      <c r="BK1961" s="1"/>
      <c r="BL1961" s="1"/>
      <c r="BM1961" s="1"/>
      <c r="BN1961" s="1"/>
      <c r="BO1961" s="1"/>
      <c r="BP1961" s="1"/>
      <c r="BQ1961" s="1"/>
      <c r="BR1961" s="1"/>
      <c r="BS1961" s="1"/>
      <c r="BT1961" s="1"/>
      <c r="BU1961" s="1"/>
      <c r="BV1961" s="1"/>
      <c r="BW1961" s="1"/>
      <c r="BX1961" s="1"/>
      <c r="BY1961" s="1"/>
      <c r="BZ1961" s="1"/>
      <c r="CA1961" s="1"/>
      <c r="CB1961" s="1"/>
      <c r="CC1961" s="1"/>
      <c r="CD1961" s="1"/>
      <c r="CE1961" s="1"/>
      <c r="CF1961" s="1"/>
      <c r="CG1961" s="1"/>
      <c r="CH1961" s="1"/>
      <c r="CI1961" s="1"/>
      <c r="CJ1961" s="1"/>
      <c r="CK1961" s="1"/>
      <c r="CL1961" s="1"/>
      <c r="CM1961" s="1"/>
      <c r="CN1961" s="1"/>
      <c r="CO1961" s="1"/>
      <c r="CP1961" s="1"/>
      <c r="CQ1961" s="1"/>
      <c r="CR1961" s="1"/>
      <c r="CS1961" s="1"/>
      <c r="CT1961" s="1"/>
      <c r="CU1961" s="1"/>
      <c r="CV1961" s="1"/>
      <c r="CW1961" s="1"/>
      <c r="CX1961" s="1"/>
      <c r="CY1961" s="1"/>
      <c r="CZ1961" s="1"/>
      <c r="DA1961" s="1"/>
      <c r="DB1961" s="1"/>
      <c r="DC1961" s="1"/>
    </row>
    <row r="1962" spans="1:107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/>
      <c r="AL1962" s="1"/>
      <c r="AM1962" s="1"/>
      <c r="AN1962" s="1"/>
      <c r="AO1962" s="1"/>
      <c r="AP1962" s="1"/>
      <c r="AQ1962" s="1"/>
      <c r="AR1962" s="1"/>
      <c r="AS1962" s="1"/>
      <c r="AT1962" s="1"/>
      <c r="AU1962" s="1"/>
      <c r="AV1962" s="1"/>
      <c r="AW1962" s="1"/>
      <c r="AX1962" s="1"/>
      <c r="AY1962" s="1"/>
      <c r="AZ1962" s="1"/>
      <c r="BA1962" s="1"/>
      <c r="BB1962" s="1"/>
      <c r="BC1962" s="1"/>
      <c r="BD1962" s="1"/>
      <c r="BE1962" s="1"/>
      <c r="BF1962" s="1"/>
      <c r="BG1962" s="1"/>
      <c r="BH1962" s="1"/>
      <c r="BI1962" s="1"/>
      <c r="BJ1962" s="1"/>
      <c r="BK1962" s="1"/>
      <c r="BL1962" s="1"/>
      <c r="BM1962" s="1"/>
      <c r="BN1962" s="1"/>
      <c r="BO1962" s="1"/>
      <c r="BP1962" s="1"/>
      <c r="BQ1962" s="1"/>
      <c r="BR1962" s="1"/>
      <c r="BS1962" s="1"/>
      <c r="BT1962" s="1"/>
      <c r="BU1962" s="1"/>
      <c r="BV1962" s="1"/>
      <c r="BW1962" s="1"/>
      <c r="BX1962" s="1"/>
      <c r="BY1962" s="1"/>
      <c r="BZ1962" s="1"/>
      <c r="CA1962" s="1"/>
      <c r="CB1962" s="1"/>
      <c r="CC1962" s="1"/>
      <c r="CD1962" s="1"/>
      <c r="CE1962" s="1"/>
      <c r="CF1962" s="1"/>
      <c r="CG1962" s="1"/>
      <c r="CH1962" s="1"/>
      <c r="CI1962" s="1"/>
      <c r="CJ1962" s="1"/>
      <c r="CK1962" s="1"/>
      <c r="CL1962" s="1"/>
      <c r="CM1962" s="1"/>
      <c r="CN1962" s="1"/>
      <c r="CO1962" s="1"/>
      <c r="CP1962" s="1"/>
      <c r="CQ1962" s="1"/>
      <c r="CR1962" s="1"/>
      <c r="CS1962" s="1"/>
      <c r="CT1962" s="1"/>
      <c r="CU1962" s="1"/>
      <c r="CV1962" s="1"/>
      <c r="CW1962" s="1"/>
      <c r="CX1962" s="1"/>
      <c r="CY1962" s="1"/>
      <c r="CZ1962" s="1"/>
      <c r="DA1962" s="1"/>
      <c r="DB1962" s="1"/>
      <c r="DC1962" s="1"/>
    </row>
    <row r="1963" spans="1:107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/>
      <c r="AL1963" s="1"/>
      <c r="AM1963" s="1"/>
      <c r="AN1963" s="1"/>
      <c r="AO1963" s="1"/>
      <c r="AP1963" s="1"/>
      <c r="AQ1963" s="1"/>
      <c r="AR1963" s="1"/>
      <c r="AS1963" s="1"/>
      <c r="AT1963" s="1"/>
      <c r="AU1963" s="1"/>
      <c r="AV1963" s="1"/>
      <c r="AW1963" s="1"/>
      <c r="AX1963" s="1"/>
      <c r="AY1963" s="1"/>
      <c r="AZ1963" s="1"/>
      <c r="BA1963" s="1"/>
      <c r="BB1963" s="1"/>
      <c r="BC1963" s="1"/>
      <c r="BD1963" s="1"/>
      <c r="BE1963" s="1"/>
      <c r="BF1963" s="1"/>
      <c r="BG1963" s="1"/>
      <c r="BH1963" s="1"/>
      <c r="BI1963" s="1"/>
      <c r="BJ1963" s="1"/>
      <c r="BK1963" s="1"/>
      <c r="BL1963" s="1"/>
      <c r="BM1963" s="1"/>
      <c r="BN1963" s="1"/>
      <c r="BO1963" s="1"/>
      <c r="BP1963" s="1"/>
      <c r="BQ1963" s="1"/>
      <c r="BR1963" s="1"/>
      <c r="BS1963" s="1"/>
      <c r="BT1963" s="1"/>
      <c r="BU1963" s="1"/>
      <c r="BV1963" s="1"/>
      <c r="BW1963" s="1"/>
      <c r="BX1963" s="1"/>
      <c r="BY1963" s="1"/>
      <c r="BZ1963" s="1"/>
      <c r="CA1963" s="1"/>
      <c r="CB1963" s="1"/>
      <c r="CC1963" s="1"/>
      <c r="CD1963" s="1"/>
      <c r="CE1963" s="1"/>
      <c r="CF1963" s="1"/>
      <c r="CG1963" s="1"/>
      <c r="CH1963" s="1"/>
      <c r="CI1963" s="1"/>
      <c r="CJ1963" s="1"/>
      <c r="CK1963" s="1"/>
      <c r="CL1963" s="1"/>
      <c r="CM1963" s="1"/>
      <c r="CN1963" s="1"/>
      <c r="CO1963" s="1"/>
      <c r="CP1963" s="1"/>
      <c r="CQ1963" s="1"/>
      <c r="CR1963" s="1"/>
      <c r="CS1963" s="1"/>
      <c r="CT1963" s="1"/>
      <c r="CU1963" s="1"/>
      <c r="CV1963" s="1"/>
      <c r="CW1963" s="1"/>
      <c r="CX1963" s="1"/>
      <c r="CY1963" s="1"/>
      <c r="CZ1963" s="1"/>
      <c r="DA1963" s="1"/>
      <c r="DB1963" s="1"/>
      <c r="DC1963" s="1"/>
    </row>
    <row r="1964" spans="1:107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  <c r="AK1964" s="1"/>
      <c r="AL1964" s="1"/>
      <c r="AM1964" s="1"/>
      <c r="AN1964" s="1"/>
      <c r="AO1964" s="1"/>
      <c r="AP1964" s="1"/>
      <c r="AQ1964" s="1"/>
      <c r="AR1964" s="1"/>
      <c r="AS1964" s="1"/>
      <c r="AT1964" s="1"/>
      <c r="AU1964" s="1"/>
      <c r="AV1964" s="1"/>
      <c r="AW1964" s="1"/>
      <c r="AX1964" s="1"/>
      <c r="AY1964" s="1"/>
      <c r="AZ1964" s="1"/>
      <c r="BA1964" s="1"/>
      <c r="BB1964" s="1"/>
      <c r="BC1964" s="1"/>
      <c r="BD1964" s="1"/>
      <c r="BE1964" s="1"/>
      <c r="BF1964" s="1"/>
      <c r="BG1964" s="1"/>
      <c r="BH1964" s="1"/>
      <c r="BI1964" s="1"/>
      <c r="BJ1964" s="1"/>
      <c r="BK1964" s="1"/>
      <c r="BL1964" s="1"/>
      <c r="BM1964" s="1"/>
      <c r="BN1964" s="1"/>
      <c r="BO1964" s="1"/>
      <c r="BP1964" s="1"/>
      <c r="BQ1964" s="1"/>
      <c r="BR1964" s="1"/>
      <c r="BS1964" s="1"/>
      <c r="BT1964" s="1"/>
      <c r="BU1964" s="1"/>
      <c r="BV1964" s="1"/>
      <c r="BW1964" s="1"/>
      <c r="BX1964" s="1"/>
      <c r="BY1964" s="1"/>
      <c r="BZ1964" s="1"/>
      <c r="CA1964" s="1"/>
      <c r="CB1964" s="1"/>
      <c r="CC1964" s="1"/>
      <c r="CD1964" s="1"/>
      <c r="CE1964" s="1"/>
      <c r="CF1964" s="1"/>
      <c r="CG1964" s="1"/>
      <c r="CH1964" s="1"/>
      <c r="CI1964" s="1"/>
      <c r="CJ1964" s="1"/>
      <c r="CK1964" s="1"/>
      <c r="CL1964" s="1"/>
      <c r="CM1964" s="1"/>
      <c r="CN1964" s="1"/>
      <c r="CO1964" s="1"/>
      <c r="CP1964" s="1"/>
      <c r="CQ1964" s="1"/>
      <c r="CR1964" s="1"/>
      <c r="CS1964" s="1"/>
      <c r="CT1964" s="1"/>
      <c r="CU1964" s="1"/>
      <c r="CV1964" s="1"/>
      <c r="CW1964" s="1"/>
      <c r="CX1964" s="1"/>
      <c r="CY1964" s="1"/>
      <c r="CZ1964" s="1"/>
      <c r="DA1964" s="1"/>
      <c r="DB1964" s="1"/>
      <c r="DC1964" s="1"/>
    </row>
    <row r="1965" spans="1:107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/>
      <c r="AL1965" s="1"/>
      <c r="AM1965" s="1"/>
      <c r="AN1965" s="1"/>
      <c r="AO1965" s="1"/>
      <c r="AP1965" s="1"/>
      <c r="AQ1965" s="1"/>
      <c r="AR1965" s="1"/>
      <c r="AS1965" s="1"/>
      <c r="AT1965" s="1"/>
      <c r="AU1965" s="1"/>
      <c r="AV1965" s="1"/>
      <c r="AW1965" s="1"/>
      <c r="AX1965" s="1"/>
      <c r="AY1965" s="1"/>
      <c r="AZ1965" s="1"/>
      <c r="BA1965" s="1"/>
      <c r="BB1965" s="1"/>
      <c r="BC1965" s="1"/>
      <c r="BD1965" s="1"/>
      <c r="BE1965" s="1"/>
      <c r="BF1965" s="1"/>
      <c r="BG1965" s="1"/>
      <c r="BH1965" s="1"/>
      <c r="BI1965" s="1"/>
      <c r="BJ1965" s="1"/>
      <c r="BK1965" s="1"/>
      <c r="BL1965" s="1"/>
      <c r="BM1965" s="1"/>
      <c r="BN1965" s="1"/>
      <c r="BO1965" s="1"/>
      <c r="BP1965" s="1"/>
      <c r="BQ1965" s="1"/>
      <c r="BR1965" s="1"/>
      <c r="BS1965" s="1"/>
      <c r="BT1965" s="1"/>
      <c r="BU1965" s="1"/>
      <c r="BV1965" s="1"/>
      <c r="BW1965" s="1"/>
      <c r="BX1965" s="1"/>
      <c r="BY1965" s="1"/>
      <c r="BZ1965" s="1"/>
      <c r="CA1965" s="1"/>
      <c r="CB1965" s="1"/>
      <c r="CC1965" s="1"/>
      <c r="CD1965" s="1"/>
      <c r="CE1965" s="1"/>
      <c r="CF1965" s="1"/>
      <c r="CG1965" s="1"/>
      <c r="CH1965" s="1"/>
      <c r="CI1965" s="1"/>
      <c r="CJ1965" s="1"/>
      <c r="CK1965" s="1"/>
      <c r="CL1965" s="1"/>
      <c r="CM1965" s="1"/>
      <c r="CN1965" s="1"/>
      <c r="CO1965" s="1"/>
      <c r="CP1965" s="1"/>
      <c r="CQ1965" s="1"/>
      <c r="CR1965" s="1"/>
      <c r="CS1965" s="1"/>
      <c r="CT1965" s="1"/>
      <c r="CU1965" s="1"/>
      <c r="CV1965" s="1"/>
      <c r="CW1965" s="1"/>
      <c r="CX1965" s="1"/>
      <c r="CY1965" s="1"/>
      <c r="CZ1965" s="1"/>
      <c r="DA1965" s="1"/>
      <c r="DB1965" s="1"/>
      <c r="DC1965" s="1"/>
    </row>
    <row r="1966" spans="1:107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/>
      <c r="AL1966" s="1"/>
      <c r="AM1966" s="1"/>
      <c r="AN1966" s="1"/>
      <c r="AO1966" s="1"/>
      <c r="AP1966" s="1"/>
      <c r="AQ1966" s="1"/>
      <c r="AR1966" s="1"/>
      <c r="AS1966" s="1"/>
      <c r="AT1966" s="1"/>
      <c r="AU1966" s="1"/>
      <c r="AV1966" s="1"/>
      <c r="AW1966" s="1"/>
      <c r="AX1966" s="1"/>
      <c r="AY1966" s="1"/>
      <c r="AZ1966" s="1"/>
      <c r="BA1966" s="1"/>
      <c r="BB1966" s="1"/>
      <c r="BC1966" s="1"/>
      <c r="BD1966" s="1"/>
      <c r="BE1966" s="1"/>
      <c r="BF1966" s="1"/>
      <c r="BG1966" s="1"/>
      <c r="BH1966" s="1"/>
      <c r="BI1966" s="1"/>
      <c r="BJ1966" s="1"/>
      <c r="BK1966" s="1"/>
      <c r="BL1966" s="1"/>
      <c r="BM1966" s="1"/>
      <c r="BN1966" s="1"/>
      <c r="BO1966" s="1"/>
      <c r="BP1966" s="1"/>
      <c r="BQ1966" s="1"/>
      <c r="BR1966" s="1"/>
      <c r="BS1966" s="1"/>
      <c r="BT1966" s="1"/>
      <c r="BU1966" s="1"/>
      <c r="BV1966" s="1"/>
      <c r="BW1966" s="1"/>
      <c r="BX1966" s="1"/>
      <c r="BY1966" s="1"/>
      <c r="BZ1966" s="1"/>
      <c r="CA1966" s="1"/>
      <c r="CB1966" s="1"/>
      <c r="CC1966" s="1"/>
      <c r="CD1966" s="1"/>
      <c r="CE1966" s="1"/>
      <c r="CF1966" s="1"/>
      <c r="CG1966" s="1"/>
      <c r="CH1966" s="1"/>
      <c r="CI1966" s="1"/>
      <c r="CJ1966" s="1"/>
      <c r="CK1966" s="1"/>
      <c r="CL1966" s="1"/>
      <c r="CM1966" s="1"/>
      <c r="CN1966" s="1"/>
      <c r="CO1966" s="1"/>
      <c r="CP1966" s="1"/>
      <c r="CQ1966" s="1"/>
      <c r="CR1966" s="1"/>
      <c r="CS1966" s="1"/>
      <c r="CT1966" s="1"/>
      <c r="CU1966" s="1"/>
      <c r="CV1966" s="1"/>
      <c r="CW1966" s="1"/>
      <c r="CX1966" s="1"/>
      <c r="CY1966" s="1"/>
      <c r="CZ1966" s="1"/>
      <c r="DA1966" s="1"/>
      <c r="DB1966" s="1"/>
      <c r="DC1966" s="1"/>
    </row>
    <row r="1967" spans="1:107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  <c r="AL1967" s="1"/>
      <c r="AM1967" s="1"/>
      <c r="AN1967" s="1"/>
      <c r="AO1967" s="1"/>
      <c r="AP1967" s="1"/>
      <c r="AQ1967" s="1"/>
      <c r="AR1967" s="1"/>
      <c r="AS1967" s="1"/>
      <c r="AT1967" s="1"/>
      <c r="AU1967" s="1"/>
      <c r="AV1967" s="1"/>
      <c r="AW1967" s="1"/>
      <c r="AX1967" s="1"/>
      <c r="AY1967" s="1"/>
      <c r="AZ1967" s="1"/>
      <c r="BA1967" s="1"/>
      <c r="BB1967" s="1"/>
      <c r="BC1967" s="1"/>
      <c r="BD1967" s="1"/>
      <c r="BE1967" s="1"/>
      <c r="BF1967" s="1"/>
      <c r="BG1967" s="1"/>
      <c r="BH1967" s="1"/>
      <c r="BI1967" s="1"/>
      <c r="BJ1967" s="1"/>
      <c r="BK1967" s="1"/>
      <c r="BL1967" s="1"/>
      <c r="BM1967" s="1"/>
      <c r="BN1967" s="1"/>
      <c r="BO1967" s="1"/>
      <c r="BP1967" s="1"/>
      <c r="BQ1967" s="1"/>
      <c r="BR1967" s="1"/>
      <c r="BS1967" s="1"/>
      <c r="BT1967" s="1"/>
      <c r="BU1967" s="1"/>
      <c r="BV1967" s="1"/>
      <c r="BW1967" s="1"/>
      <c r="BX1967" s="1"/>
      <c r="BY1967" s="1"/>
      <c r="BZ1967" s="1"/>
      <c r="CA1967" s="1"/>
      <c r="CB1967" s="1"/>
      <c r="CC1967" s="1"/>
      <c r="CD1967" s="1"/>
      <c r="CE1967" s="1"/>
      <c r="CF1967" s="1"/>
      <c r="CG1967" s="1"/>
      <c r="CH1967" s="1"/>
      <c r="CI1967" s="1"/>
      <c r="CJ1967" s="1"/>
      <c r="CK1967" s="1"/>
      <c r="CL1967" s="1"/>
      <c r="CM1967" s="1"/>
      <c r="CN1967" s="1"/>
      <c r="CO1967" s="1"/>
      <c r="CP1967" s="1"/>
      <c r="CQ1967" s="1"/>
      <c r="CR1967" s="1"/>
      <c r="CS1967" s="1"/>
      <c r="CT1967" s="1"/>
      <c r="CU1967" s="1"/>
      <c r="CV1967" s="1"/>
      <c r="CW1967" s="1"/>
      <c r="CX1967" s="1"/>
      <c r="CY1967" s="1"/>
      <c r="CZ1967" s="1"/>
      <c r="DA1967" s="1"/>
      <c r="DB1967" s="1"/>
      <c r="DC1967" s="1"/>
    </row>
    <row r="1968" spans="1:107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  <c r="AL1968" s="1"/>
      <c r="AM1968" s="1"/>
      <c r="AN1968" s="1"/>
      <c r="AO1968" s="1"/>
      <c r="AP1968" s="1"/>
      <c r="AQ1968" s="1"/>
      <c r="AR1968" s="1"/>
      <c r="AS1968" s="1"/>
      <c r="AT1968" s="1"/>
      <c r="AU1968" s="1"/>
      <c r="AV1968" s="1"/>
      <c r="AW1968" s="1"/>
      <c r="AX1968" s="1"/>
      <c r="AY1968" s="1"/>
      <c r="AZ1968" s="1"/>
      <c r="BA1968" s="1"/>
      <c r="BB1968" s="1"/>
      <c r="BC1968" s="1"/>
      <c r="BD1968" s="1"/>
      <c r="BE1968" s="1"/>
      <c r="BF1968" s="1"/>
      <c r="BG1968" s="1"/>
      <c r="BH1968" s="1"/>
      <c r="BI1968" s="1"/>
      <c r="BJ1968" s="1"/>
      <c r="BK1968" s="1"/>
      <c r="BL1968" s="1"/>
      <c r="BM1968" s="1"/>
      <c r="BN1968" s="1"/>
      <c r="BO1968" s="1"/>
      <c r="BP1968" s="1"/>
      <c r="BQ1968" s="1"/>
      <c r="BR1968" s="1"/>
      <c r="BS1968" s="1"/>
      <c r="BT1968" s="1"/>
      <c r="BU1968" s="1"/>
      <c r="BV1968" s="1"/>
      <c r="BW1968" s="1"/>
      <c r="BX1968" s="1"/>
      <c r="BY1968" s="1"/>
      <c r="BZ1968" s="1"/>
      <c r="CA1968" s="1"/>
      <c r="CB1968" s="1"/>
      <c r="CC1968" s="1"/>
      <c r="CD1968" s="1"/>
      <c r="CE1968" s="1"/>
      <c r="CF1968" s="1"/>
      <c r="CG1968" s="1"/>
      <c r="CH1968" s="1"/>
      <c r="CI1968" s="1"/>
      <c r="CJ1968" s="1"/>
      <c r="CK1968" s="1"/>
      <c r="CL1968" s="1"/>
      <c r="CM1968" s="1"/>
      <c r="CN1968" s="1"/>
      <c r="CO1968" s="1"/>
      <c r="CP1968" s="1"/>
      <c r="CQ1968" s="1"/>
      <c r="CR1968" s="1"/>
      <c r="CS1968" s="1"/>
      <c r="CT1968" s="1"/>
      <c r="CU1968" s="1"/>
      <c r="CV1968" s="1"/>
      <c r="CW1968" s="1"/>
      <c r="CX1968" s="1"/>
      <c r="CY1968" s="1"/>
      <c r="CZ1968" s="1"/>
      <c r="DA1968" s="1"/>
      <c r="DB1968" s="1"/>
      <c r="DC1968" s="1"/>
    </row>
    <row r="1969" spans="1:107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  <c r="AL1969" s="1"/>
      <c r="AM1969" s="1"/>
      <c r="AN1969" s="1"/>
      <c r="AO1969" s="1"/>
      <c r="AP1969" s="1"/>
      <c r="AQ1969" s="1"/>
      <c r="AR1969" s="1"/>
      <c r="AS1969" s="1"/>
      <c r="AT1969" s="1"/>
      <c r="AU1969" s="1"/>
      <c r="AV1969" s="1"/>
      <c r="AW1969" s="1"/>
      <c r="AX1969" s="1"/>
      <c r="AY1969" s="1"/>
      <c r="AZ1969" s="1"/>
      <c r="BA1969" s="1"/>
      <c r="BB1969" s="1"/>
      <c r="BC1969" s="1"/>
      <c r="BD1969" s="1"/>
      <c r="BE1969" s="1"/>
      <c r="BF1969" s="1"/>
      <c r="BG1969" s="1"/>
      <c r="BH1969" s="1"/>
      <c r="BI1969" s="1"/>
      <c r="BJ1969" s="1"/>
      <c r="BK1969" s="1"/>
      <c r="BL1969" s="1"/>
      <c r="BM1969" s="1"/>
      <c r="BN1969" s="1"/>
      <c r="BO1969" s="1"/>
      <c r="BP1969" s="1"/>
      <c r="BQ1969" s="1"/>
      <c r="BR1969" s="1"/>
      <c r="BS1969" s="1"/>
      <c r="BT1969" s="1"/>
      <c r="BU1969" s="1"/>
      <c r="BV1969" s="1"/>
      <c r="BW1969" s="1"/>
      <c r="BX1969" s="1"/>
      <c r="BY1969" s="1"/>
      <c r="BZ1969" s="1"/>
      <c r="CA1969" s="1"/>
      <c r="CB1969" s="1"/>
      <c r="CC1969" s="1"/>
      <c r="CD1969" s="1"/>
      <c r="CE1969" s="1"/>
      <c r="CF1969" s="1"/>
      <c r="CG1969" s="1"/>
      <c r="CH1969" s="1"/>
      <c r="CI1969" s="1"/>
      <c r="CJ1969" s="1"/>
      <c r="CK1969" s="1"/>
      <c r="CL1969" s="1"/>
      <c r="CM1969" s="1"/>
      <c r="CN1969" s="1"/>
      <c r="CO1969" s="1"/>
      <c r="CP1969" s="1"/>
      <c r="CQ1969" s="1"/>
      <c r="CR1969" s="1"/>
      <c r="CS1969" s="1"/>
      <c r="CT1969" s="1"/>
      <c r="CU1969" s="1"/>
      <c r="CV1969" s="1"/>
      <c r="CW1969" s="1"/>
      <c r="CX1969" s="1"/>
      <c r="CY1969" s="1"/>
      <c r="CZ1969" s="1"/>
      <c r="DA1969" s="1"/>
      <c r="DB1969" s="1"/>
      <c r="DC1969" s="1"/>
    </row>
    <row r="1970" spans="1:107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  <c r="AL1970" s="1"/>
      <c r="AM1970" s="1"/>
      <c r="AN1970" s="1"/>
      <c r="AO1970" s="1"/>
      <c r="AP1970" s="1"/>
      <c r="AQ1970" s="1"/>
      <c r="AR1970" s="1"/>
      <c r="AS1970" s="1"/>
      <c r="AT1970" s="1"/>
      <c r="AU1970" s="1"/>
      <c r="AV1970" s="1"/>
      <c r="AW1970" s="1"/>
      <c r="AX1970" s="1"/>
      <c r="AY1970" s="1"/>
      <c r="AZ1970" s="1"/>
      <c r="BA1970" s="1"/>
      <c r="BB1970" s="1"/>
      <c r="BC1970" s="1"/>
      <c r="BD1970" s="1"/>
      <c r="BE1970" s="1"/>
      <c r="BF1970" s="1"/>
      <c r="BG1970" s="1"/>
      <c r="BH1970" s="1"/>
      <c r="BI1970" s="1"/>
      <c r="BJ1970" s="1"/>
      <c r="BK1970" s="1"/>
      <c r="BL1970" s="1"/>
      <c r="BM1970" s="1"/>
      <c r="BN1970" s="1"/>
      <c r="BO1970" s="1"/>
      <c r="BP1970" s="1"/>
      <c r="BQ1970" s="1"/>
      <c r="BR1970" s="1"/>
      <c r="BS1970" s="1"/>
      <c r="BT1970" s="1"/>
      <c r="BU1970" s="1"/>
      <c r="BV1970" s="1"/>
      <c r="BW1970" s="1"/>
      <c r="BX1970" s="1"/>
      <c r="BY1970" s="1"/>
      <c r="BZ1970" s="1"/>
      <c r="CA1970" s="1"/>
      <c r="CB1970" s="1"/>
      <c r="CC1970" s="1"/>
      <c r="CD1970" s="1"/>
      <c r="CE1970" s="1"/>
      <c r="CF1970" s="1"/>
      <c r="CG1970" s="1"/>
      <c r="CH1970" s="1"/>
      <c r="CI1970" s="1"/>
      <c r="CJ1970" s="1"/>
      <c r="CK1970" s="1"/>
      <c r="CL1970" s="1"/>
      <c r="CM1970" s="1"/>
      <c r="CN1970" s="1"/>
      <c r="CO1970" s="1"/>
      <c r="CP1970" s="1"/>
      <c r="CQ1970" s="1"/>
      <c r="CR1970" s="1"/>
      <c r="CS1970" s="1"/>
      <c r="CT1970" s="1"/>
      <c r="CU1970" s="1"/>
      <c r="CV1970" s="1"/>
      <c r="CW1970" s="1"/>
      <c r="CX1970" s="1"/>
      <c r="CY1970" s="1"/>
      <c r="CZ1970" s="1"/>
      <c r="DA1970" s="1"/>
      <c r="DB1970" s="1"/>
      <c r="DC1970" s="1"/>
    </row>
    <row r="1971" spans="1:107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  <c r="AL1971" s="1"/>
      <c r="AM1971" s="1"/>
      <c r="AN1971" s="1"/>
      <c r="AO1971" s="1"/>
      <c r="AP1971" s="1"/>
      <c r="AQ1971" s="1"/>
      <c r="AR1971" s="1"/>
      <c r="AS1971" s="1"/>
      <c r="AT1971" s="1"/>
      <c r="AU1971" s="1"/>
      <c r="AV1971" s="1"/>
      <c r="AW1971" s="1"/>
      <c r="AX1971" s="1"/>
      <c r="AY1971" s="1"/>
      <c r="AZ1971" s="1"/>
      <c r="BA1971" s="1"/>
      <c r="BB1971" s="1"/>
      <c r="BC1971" s="1"/>
      <c r="BD1971" s="1"/>
      <c r="BE1971" s="1"/>
      <c r="BF1971" s="1"/>
      <c r="BG1971" s="1"/>
      <c r="BH1971" s="1"/>
      <c r="BI1971" s="1"/>
      <c r="BJ1971" s="1"/>
      <c r="BK1971" s="1"/>
      <c r="BL1971" s="1"/>
      <c r="BM1971" s="1"/>
      <c r="BN1971" s="1"/>
      <c r="BO1971" s="1"/>
      <c r="BP1971" s="1"/>
      <c r="BQ1971" s="1"/>
      <c r="BR1971" s="1"/>
      <c r="BS1971" s="1"/>
      <c r="BT1971" s="1"/>
      <c r="BU1971" s="1"/>
      <c r="BV1971" s="1"/>
      <c r="BW1971" s="1"/>
      <c r="BX1971" s="1"/>
      <c r="BY1971" s="1"/>
      <c r="BZ1971" s="1"/>
      <c r="CA1971" s="1"/>
      <c r="CB1971" s="1"/>
      <c r="CC1971" s="1"/>
      <c r="CD1971" s="1"/>
      <c r="CE1971" s="1"/>
      <c r="CF1971" s="1"/>
      <c r="CG1971" s="1"/>
      <c r="CH1971" s="1"/>
      <c r="CI1971" s="1"/>
      <c r="CJ1971" s="1"/>
      <c r="CK1971" s="1"/>
      <c r="CL1971" s="1"/>
      <c r="CM1971" s="1"/>
      <c r="CN1971" s="1"/>
      <c r="CO1971" s="1"/>
      <c r="CP1971" s="1"/>
      <c r="CQ1971" s="1"/>
      <c r="CR1971" s="1"/>
      <c r="CS1971" s="1"/>
      <c r="CT1971" s="1"/>
      <c r="CU1971" s="1"/>
      <c r="CV1971" s="1"/>
      <c r="CW1971" s="1"/>
      <c r="CX1971" s="1"/>
      <c r="CY1971" s="1"/>
      <c r="CZ1971" s="1"/>
      <c r="DA1971" s="1"/>
      <c r="DB1971" s="1"/>
      <c r="DC1971" s="1"/>
    </row>
    <row r="1972" spans="1:107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  <c r="AK1972" s="1"/>
      <c r="AL1972" s="1"/>
      <c r="AM1972" s="1"/>
      <c r="AN1972" s="1"/>
      <c r="AO1972" s="1"/>
      <c r="AP1972" s="1"/>
      <c r="AQ1972" s="1"/>
      <c r="AR1972" s="1"/>
      <c r="AS1972" s="1"/>
      <c r="AT1972" s="1"/>
      <c r="AU1972" s="1"/>
      <c r="AV1972" s="1"/>
      <c r="AW1972" s="1"/>
      <c r="AX1972" s="1"/>
      <c r="AY1972" s="1"/>
      <c r="AZ1972" s="1"/>
      <c r="BA1972" s="1"/>
      <c r="BB1972" s="1"/>
      <c r="BC1972" s="1"/>
      <c r="BD1972" s="1"/>
      <c r="BE1972" s="1"/>
      <c r="BF1972" s="1"/>
      <c r="BG1972" s="1"/>
      <c r="BH1972" s="1"/>
      <c r="BI1972" s="1"/>
      <c r="BJ1972" s="1"/>
      <c r="BK1972" s="1"/>
      <c r="BL1972" s="1"/>
      <c r="BM1972" s="1"/>
      <c r="BN1972" s="1"/>
      <c r="BO1972" s="1"/>
      <c r="BP1972" s="1"/>
      <c r="BQ1972" s="1"/>
      <c r="BR1972" s="1"/>
      <c r="BS1972" s="1"/>
      <c r="BT1972" s="1"/>
      <c r="BU1972" s="1"/>
      <c r="BV1972" s="1"/>
      <c r="BW1972" s="1"/>
      <c r="BX1972" s="1"/>
      <c r="BY1972" s="1"/>
      <c r="BZ1972" s="1"/>
      <c r="CA1972" s="1"/>
      <c r="CB1972" s="1"/>
      <c r="CC1972" s="1"/>
      <c r="CD1972" s="1"/>
      <c r="CE1972" s="1"/>
      <c r="CF1972" s="1"/>
      <c r="CG1972" s="1"/>
      <c r="CH1972" s="1"/>
      <c r="CI1972" s="1"/>
      <c r="CJ1972" s="1"/>
      <c r="CK1972" s="1"/>
      <c r="CL1972" s="1"/>
      <c r="CM1972" s="1"/>
      <c r="CN1972" s="1"/>
      <c r="CO1972" s="1"/>
      <c r="CP1972" s="1"/>
      <c r="CQ1972" s="1"/>
      <c r="CR1972" s="1"/>
      <c r="CS1972" s="1"/>
      <c r="CT1972" s="1"/>
      <c r="CU1972" s="1"/>
      <c r="CV1972" s="1"/>
      <c r="CW1972" s="1"/>
      <c r="CX1972" s="1"/>
      <c r="CY1972" s="1"/>
      <c r="CZ1972" s="1"/>
      <c r="DA1972" s="1"/>
      <c r="DB1972" s="1"/>
      <c r="DC1972" s="1"/>
    </row>
    <row r="1973" spans="1:107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  <c r="AL1973" s="1"/>
      <c r="AM1973" s="1"/>
      <c r="AN1973" s="1"/>
      <c r="AO1973" s="1"/>
      <c r="AP1973" s="1"/>
      <c r="AQ1973" s="1"/>
      <c r="AR1973" s="1"/>
      <c r="AS1973" s="1"/>
      <c r="AT1973" s="1"/>
      <c r="AU1973" s="1"/>
      <c r="AV1973" s="1"/>
      <c r="AW1973" s="1"/>
      <c r="AX1973" s="1"/>
      <c r="AY1973" s="1"/>
      <c r="AZ1973" s="1"/>
      <c r="BA1973" s="1"/>
      <c r="BB1973" s="1"/>
      <c r="BC1973" s="1"/>
      <c r="BD1973" s="1"/>
      <c r="BE1973" s="1"/>
      <c r="BF1973" s="1"/>
      <c r="BG1973" s="1"/>
      <c r="BH1973" s="1"/>
      <c r="BI1973" s="1"/>
      <c r="BJ1973" s="1"/>
      <c r="BK1973" s="1"/>
      <c r="BL1973" s="1"/>
      <c r="BM1973" s="1"/>
      <c r="BN1973" s="1"/>
      <c r="BO1973" s="1"/>
      <c r="BP1973" s="1"/>
      <c r="BQ1973" s="1"/>
      <c r="BR1973" s="1"/>
      <c r="BS1973" s="1"/>
      <c r="BT1973" s="1"/>
      <c r="BU1973" s="1"/>
      <c r="BV1973" s="1"/>
      <c r="BW1973" s="1"/>
      <c r="BX1973" s="1"/>
      <c r="BY1973" s="1"/>
      <c r="BZ1973" s="1"/>
      <c r="CA1973" s="1"/>
      <c r="CB1973" s="1"/>
      <c r="CC1973" s="1"/>
      <c r="CD1973" s="1"/>
      <c r="CE1973" s="1"/>
      <c r="CF1973" s="1"/>
      <c r="CG1973" s="1"/>
      <c r="CH1973" s="1"/>
      <c r="CI1973" s="1"/>
      <c r="CJ1973" s="1"/>
      <c r="CK1973" s="1"/>
      <c r="CL1973" s="1"/>
      <c r="CM1973" s="1"/>
      <c r="CN1973" s="1"/>
      <c r="CO1973" s="1"/>
      <c r="CP1973" s="1"/>
      <c r="CQ1973" s="1"/>
      <c r="CR1973" s="1"/>
      <c r="CS1973" s="1"/>
      <c r="CT1973" s="1"/>
      <c r="CU1973" s="1"/>
      <c r="CV1973" s="1"/>
      <c r="CW1973" s="1"/>
      <c r="CX1973" s="1"/>
      <c r="CY1973" s="1"/>
      <c r="CZ1973" s="1"/>
      <c r="DA1973" s="1"/>
      <c r="DB1973" s="1"/>
      <c r="DC1973" s="1"/>
    </row>
    <row r="1974" spans="1:107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  <c r="AL1974" s="1"/>
      <c r="AM1974" s="1"/>
      <c r="AN1974" s="1"/>
      <c r="AO1974" s="1"/>
      <c r="AP1974" s="1"/>
      <c r="AQ1974" s="1"/>
      <c r="AR1974" s="1"/>
      <c r="AS1974" s="1"/>
      <c r="AT1974" s="1"/>
      <c r="AU1974" s="1"/>
      <c r="AV1974" s="1"/>
      <c r="AW1974" s="1"/>
      <c r="AX1974" s="1"/>
      <c r="AY1974" s="1"/>
      <c r="AZ1974" s="1"/>
      <c r="BA1974" s="1"/>
      <c r="BB1974" s="1"/>
      <c r="BC1974" s="1"/>
      <c r="BD1974" s="1"/>
      <c r="BE1974" s="1"/>
      <c r="BF1974" s="1"/>
      <c r="BG1974" s="1"/>
      <c r="BH1974" s="1"/>
      <c r="BI1974" s="1"/>
      <c r="BJ1974" s="1"/>
      <c r="BK1974" s="1"/>
      <c r="BL1974" s="1"/>
      <c r="BM1974" s="1"/>
      <c r="BN1974" s="1"/>
      <c r="BO1974" s="1"/>
      <c r="BP1974" s="1"/>
      <c r="BQ1974" s="1"/>
      <c r="BR1974" s="1"/>
      <c r="BS1974" s="1"/>
      <c r="BT1974" s="1"/>
      <c r="BU1974" s="1"/>
      <c r="BV1974" s="1"/>
      <c r="BW1974" s="1"/>
      <c r="BX1974" s="1"/>
      <c r="BY1974" s="1"/>
      <c r="BZ1974" s="1"/>
      <c r="CA1974" s="1"/>
      <c r="CB1974" s="1"/>
      <c r="CC1974" s="1"/>
      <c r="CD1974" s="1"/>
      <c r="CE1974" s="1"/>
      <c r="CF1974" s="1"/>
      <c r="CG1974" s="1"/>
      <c r="CH1974" s="1"/>
      <c r="CI1974" s="1"/>
      <c r="CJ1974" s="1"/>
      <c r="CK1974" s="1"/>
      <c r="CL1974" s="1"/>
      <c r="CM1974" s="1"/>
      <c r="CN1974" s="1"/>
      <c r="CO1974" s="1"/>
      <c r="CP1974" s="1"/>
      <c r="CQ1974" s="1"/>
      <c r="CR1974" s="1"/>
      <c r="CS1974" s="1"/>
      <c r="CT1974" s="1"/>
      <c r="CU1974" s="1"/>
      <c r="CV1974" s="1"/>
      <c r="CW1974" s="1"/>
      <c r="CX1974" s="1"/>
      <c r="CY1974" s="1"/>
      <c r="CZ1974" s="1"/>
      <c r="DA1974" s="1"/>
      <c r="DB1974" s="1"/>
      <c r="DC1974" s="1"/>
    </row>
    <row r="1975" spans="1:107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  <c r="AL1975" s="1"/>
      <c r="AM1975" s="1"/>
      <c r="AN1975" s="1"/>
      <c r="AO1975" s="1"/>
      <c r="AP1975" s="1"/>
      <c r="AQ1975" s="1"/>
      <c r="AR1975" s="1"/>
      <c r="AS1975" s="1"/>
      <c r="AT1975" s="1"/>
      <c r="AU1975" s="1"/>
      <c r="AV1975" s="1"/>
      <c r="AW1975" s="1"/>
      <c r="AX1975" s="1"/>
      <c r="AY1975" s="1"/>
      <c r="AZ1975" s="1"/>
      <c r="BA1975" s="1"/>
      <c r="BB1975" s="1"/>
      <c r="BC1975" s="1"/>
      <c r="BD1975" s="1"/>
      <c r="BE1975" s="1"/>
      <c r="BF1975" s="1"/>
      <c r="BG1975" s="1"/>
      <c r="BH1975" s="1"/>
      <c r="BI1975" s="1"/>
      <c r="BJ1975" s="1"/>
      <c r="BK1975" s="1"/>
      <c r="BL1975" s="1"/>
      <c r="BM1975" s="1"/>
      <c r="BN1975" s="1"/>
      <c r="BO1975" s="1"/>
      <c r="BP1975" s="1"/>
      <c r="BQ1975" s="1"/>
      <c r="BR1975" s="1"/>
      <c r="BS1975" s="1"/>
      <c r="BT1975" s="1"/>
      <c r="BU1975" s="1"/>
      <c r="BV1975" s="1"/>
      <c r="BW1975" s="1"/>
      <c r="BX1975" s="1"/>
      <c r="BY1975" s="1"/>
      <c r="BZ1975" s="1"/>
      <c r="CA1975" s="1"/>
      <c r="CB1975" s="1"/>
      <c r="CC1975" s="1"/>
      <c r="CD1975" s="1"/>
      <c r="CE1975" s="1"/>
      <c r="CF1975" s="1"/>
      <c r="CG1975" s="1"/>
      <c r="CH1975" s="1"/>
      <c r="CI1975" s="1"/>
      <c r="CJ1975" s="1"/>
      <c r="CK1975" s="1"/>
      <c r="CL1975" s="1"/>
      <c r="CM1975" s="1"/>
      <c r="CN1975" s="1"/>
      <c r="CO1975" s="1"/>
      <c r="CP1975" s="1"/>
      <c r="CQ1975" s="1"/>
      <c r="CR1975" s="1"/>
      <c r="CS1975" s="1"/>
      <c r="CT1975" s="1"/>
      <c r="CU1975" s="1"/>
      <c r="CV1975" s="1"/>
      <c r="CW1975" s="1"/>
      <c r="CX1975" s="1"/>
      <c r="CY1975" s="1"/>
      <c r="CZ1975" s="1"/>
      <c r="DA1975" s="1"/>
      <c r="DB1975" s="1"/>
      <c r="DC1975" s="1"/>
    </row>
    <row r="1976" spans="1:107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  <c r="AL1976" s="1"/>
      <c r="AM1976" s="1"/>
      <c r="AN1976" s="1"/>
      <c r="AO1976" s="1"/>
      <c r="AP1976" s="1"/>
      <c r="AQ1976" s="1"/>
      <c r="AR1976" s="1"/>
      <c r="AS1976" s="1"/>
      <c r="AT1976" s="1"/>
      <c r="AU1976" s="1"/>
      <c r="AV1976" s="1"/>
      <c r="AW1976" s="1"/>
      <c r="AX1976" s="1"/>
      <c r="AY1976" s="1"/>
      <c r="AZ1976" s="1"/>
      <c r="BA1976" s="1"/>
      <c r="BB1976" s="1"/>
      <c r="BC1976" s="1"/>
      <c r="BD1976" s="1"/>
      <c r="BE1976" s="1"/>
      <c r="BF1976" s="1"/>
      <c r="BG1976" s="1"/>
      <c r="BH1976" s="1"/>
      <c r="BI1976" s="1"/>
      <c r="BJ1976" s="1"/>
      <c r="BK1976" s="1"/>
      <c r="BL1976" s="1"/>
      <c r="BM1976" s="1"/>
      <c r="BN1976" s="1"/>
      <c r="BO1976" s="1"/>
      <c r="BP1976" s="1"/>
      <c r="BQ1976" s="1"/>
      <c r="BR1976" s="1"/>
      <c r="BS1976" s="1"/>
      <c r="BT1976" s="1"/>
      <c r="BU1976" s="1"/>
      <c r="BV1976" s="1"/>
      <c r="BW1976" s="1"/>
      <c r="BX1976" s="1"/>
      <c r="BY1976" s="1"/>
      <c r="BZ1976" s="1"/>
      <c r="CA1976" s="1"/>
      <c r="CB1976" s="1"/>
      <c r="CC1976" s="1"/>
      <c r="CD1976" s="1"/>
      <c r="CE1976" s="1"/>
      <c r="CF1976" s="1"/>
      <c r="CG1976" s="1"/>
      <c r="CH1976" s="1"/>
      <c r="CI1976" s="1"/>
      <c r="CJ1976" s="1"/>
      <c r="CK1976" s="1"/>
      <c r="CL1976" s="1"/>
      <c r="CM1976" s="1"/>
      <c r="CN1976" s="1"/>
      <c r="CO1976" s="1"/>
      <c r="CP1976" s="1"/>
      <c r="CQ1976" s="1"/>
      <c r="CR1976" s="1"/>
      <c r="CS1976" s="1"/>
      <c r="CT1976" s="1"/>
      <c r="CU1976" s="1"/>
      <c r="CV1976" s="1"/>
      <c r="CW1976" s="1"/>
      <c r="CX1976" s="1"/>
      <c r="CY1976" s="1"/>
      <c r="CZ1976" s="1"/>
      <c r="DA1976" s="1"/>
      <c r="DB1976" s="1"/>
      <c r="DC1976" s="1"/>
    </row>
    <row r="1977" spans="1:107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  <c r="AL1977" s="1"/>
      <c r="AM1977" s="1"/>
      <c r="AN1977" s="1"/>
      <c r="AO1977" s="1"/>
      <c r="AP1977" s="1"/>
      <c r="AQ1977" s="1"/>
      <c r="AR1977" s="1"/>
      <c r="AS1977" s="1"/>
      <c r="AT1977" s="1"/>
      <c r="AU1977" s="1"/>
      <c r="AV1977" s="1"/>
      <c r="AW1977" s="1"/>
      <c r="AX1977" s="1"/>
      <c r="AY1977" s="1"/>
      <c r="AZ1977" s="1"/>
      <c r="BA1977" s="1"/>
      <c r="BB1977" s="1"/>
      <c r="BC1977" s="1"/>
      <c r="BD1977" s="1"/>
      <c r="BE1977" s="1"/>
      <c r="BF1977" s="1"/>
      <c r="BG1977" s="1"/>
      <c r="BH1977" s="1"/>
      <c r="BI1977" s="1"/>
      <c r="BJ1977" s="1"/>
      <c r="BK1977" s="1"/>
      <c r="BL1977" s="1"/>
      <c r="BM1977" s="1"/>
      <c r="BN1977" s="1"/>
      <c r="BO1977" s="1"/>
      <c r="BP1977" s="1"/>
      <c r="BQ1977" s="1"/>
      <c r="BR1977" s="1"/>
      <c r="BS1977" s="1"/>
      <c r="BT1977" s="1"/>
      <c r="BU1977" s="1"/>
      <c r="BV1977" s="1"/>
      <c r="BW1977" s="1"/>
      <c r="BX1977" s="1"/>
      <c r="BY1977" s="1"/>
      <c r="BZ1977" s="1"/>
      <c r="CA1977" s="1"/>
      <c r="CB1977" s="1"/>
      <c r="CC1977" s="1"/>
      <c r="CD1977" s="1"/>
      <c r="CE1977" s="1"/>
      <c r="CF1977" s="1"/>
      <c r="CG1977" s="1"/>
      <c r="CH1977" s="1"/>
      <c r="CI1977" s="1"/>
      <c r="CJ1977" s="1"/>
      <c r="CK1977" s="1"/>
      <c r="CL1977" s="1"/>
      <c r="CM1977" s="1"/>
      <c r="CN1977" s="1"/>
      <c r="CO1977" s="1"/>
      <c r="CP1977" s="1"/>
      <c r="CQ1977" s="1"/>
      <c r="CR1977" s="1"/>
      <c r="CS1977" s="1"/>
      <c r="CT1977" s="1"/>
      <c r="CU1977" s="1"/>
      <c r="CV1977" s="1"/>
      <c r="CW1977" s="1"/>
      <c r="CX1977" s="1"/>
      <c r="CY1977" s="1"/>
      <c r="CZ1977" s="1"/>
      <c r="DA1977" s="1"/>
      <c r="DB1977" s="1"/>
      <c r="DC1977" s="1"/>
    </row>
    <row r="1978" spans="1:107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  <c r="AL1978" s="1"/>
      <c r="AM1978" s="1"/>
      <c r="AN1978" s="1"/>
      <c r="AO1978" s="1"/>
      <c r="AP1978" s="1"/>
      <c r="AQ1978" s="1"/>
      <c r="AR1978" s="1"/>
      <c r="AS1978" s="1"/>
      <c r="AT1978" s="1"/>
      <c r="AU1978" s="1"/>
      <c r="AV1978" s="1"/>
      <c r="AW1978" s="1"/>
      <c r="AX1978" s="1"/>
      <c r="AY1978" s="1"/>
      <c r="AZ1978" s="1"/>
      <c r="BA1978" s="1"/>
      <c r="BB1978" s="1"/>
      <c r="BC1978" s="1"/>
      <c r="BD1978" s="1"/>
      <c r="BE1978" s="1"/>
      <c r="BF1978" s="1"/>
      <c r="BG1978" s="1"/>
      <c r="BH1978" s="1"/>
      <c r="BI1978" s="1"/>
      <c r="BJ1978" s="1"/>
      <c r="BK1978" s="1"/>
      <c r="BL1978" s="1"/>
      <c r="BM1978" s="1"/>
      <c r="BN1978" s="1"/>
      <c r="BO1978" s="1"/>
      <c r="BP1978" s="1"/>
      <c r="BQ1978" s="1"/>
      <c r="BR1978" s="1"/>
      <c r="BS1978" s="1"/>
      <c r="BT1978" s="1"/>
      <c r="BU1978" s="1"/>
      <c r="BV1978" s="1"/>
      <c r="BW1978" s="1"/>
      <c r="BX1978" s="1"/>
      <c r="BY1978" s="1"/>
      <c r="BZ1978" s="1"/>
      <c r="CA1978" s="1"/>
      <c r="CB1978" s="1"/>
      <c r="CC1978" s="1"/>
      <c r="CD1978" s="1"/>
      <c r="CE1978" s="1"/>
      <c r="CF1978" s="1"/>
      <c r="CG1978" s="1"/>
      <c r="CH1978" s="1"/>
      <c r="CI1978" s="1"/>
      <c r="CJ1978" s="1"/>
      <c r="CK1978" s="1"/>
      <c r="CL1978" s="1"/>
      <c r="CM1978" s="1"/>
      <c r="CN1978" s="1"/>
      <c r="CO1978" s="1"/>
      <c r="CP1978" s="1"/>
      <c r="CQ1978" s="1"/>
      <c r="CR1978" s="1"/>
      <c r="CS1978" s="1"/>
      <c r="CT1978" s="1"/>
      <c r="CU1978" s="1"/>
      <c r="CV1978" s="1"/>
      <c r="CW1978" s="1"/>
      <c r="CX1978" s="1"/>
      <c r="CY1978" s="1"/>
      <c r="CZ1978" s="1"/>
      <c r="DA1978" s="1"/>
      <c r="DB1978" s="1"/>
      <c r="DC1978" s="1"/>
    </row>
    <row r="1979" spans="1:107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  <c r="AL1979" s="1"/>
      <c r="AM1979" s="1"/>
      <c r="AN1979" s="1"/>
      <c r="AO1979" s="1"/>
      <c r="AP1979" s="1"/>
      <c r="AQ1979" s="1"/>
      <c r="AR1979" s="1"/>
      <c r="AS1979" s="1"/>
      <c r="AT1979" s="1"/>
      <c r="AU1979" s="1"/>
      <c r="AV1979" s="1"/>
      <c r="AW1979" s="1"/>
      <c r="AX1979" s="1"/>
      <c r="AY1979" s="1"/>
      <c r="AZ1979" s="1"/>
      <c r="BA1979" s="1"/>
      <c r="BB1979" s="1"/>
      <c r="BC1979" s="1"/>
      <c r="BD1979" s="1"/>
      <c r="BE1979" s="1"/>
      <c r="BF1979" s="1"/>
      <c r="BG1979" s="1"/>
      <c r="BH1979" s="1"/>
      <c r="BI1979" s="1"/>
      <c r="BJ1979" s="1"/>
      <c r="BK1979" s="1"/>
      <c r="BL1979" s="1"/>
      <c r="BM1979" s="1"/>
      <c r="BN1979" s="1"/>
      <c r="BO1979" s="1"/>
      <c r="BP1979" s="1"/>
      <c r="BQ1979" s="1"/>
      <c r="BR1979" s="1"/>
      <c r="BS1979" s="1"/>
      <c r="BT1979" s="1"/>
      <c r="BU1979" s="1"/>
      <c r="BV1979" s="1"/>
      <c r="BW1979" s="1"/>
      <c r="BX1979" s="1"/>
      <c r="BY1979" s="1"/>
      <c r="BZ1979" s="1"/>
      <c r="CA1979" s="1"/>
      <c r="CB1979" s="1"/>
      <c r="CC1979" s="1"/>
      <c r="CD1979" s="1"/>
      <c r="CE1979" s="1"/>
      <c r="CF1979" s="1"/>
      <c r="CG1979" s="1"/>
      <c r="CH1979" s="1"/>
      <c r="CI1979" s="1"/>
      <c r="CJ1979" s="1"/>
      <c r="CK1979" s="1"/>
      <c r="CL1979" s="1"/>
      <c r="CM1979" s="1"/>
      <c r="CN1979" s="1"/>
      <c r="CO1979" s="1"/>
      <c r="CP1979" s="1"/>
      <c r="CQ1979" s="1"/>
      <c r="CR1979" s="1"/>
      <c r="CS1979" s="1"/>
      <c r="CT1979" s="1"/>
      <c r="CU1979" s="1"/>
      <c r="CV1979" s="1"/>
      <c r="CW1979" s="1"/>
      <c r="CX1979" s="1"/>
      <c r="CY1979" s="1"/>
      <c r="CZ1979" s="1"/>
      <c r="DA1979" s="1"/>
      <c r="DB1979" s="1"/>
      <c r="DC1979" s="1"/>
    </row>
    <row r="1980" spans="1:107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  <c r="AL1980" s="1"/>
      <c r="AM1980" s="1"/>
      <c r="AN1980" s="1"/>
      <c r="AO1980" s="1"/>
      <c r="AP1980" s="1"/>
      <c r="AQ1980" s="1"/>
      <c r="AR1980" s="1"/>
      <c r="AS1980" s="1"/>
      <c r="AT1980" s="1"/>
      <c r="AU1980" s="1"/>
      <c r="AV1980" s="1"/>
      <c r="AW1980" s="1"/>
      <c r="AX1980" s="1"/>
      <c r="AY1980" s="1"/>
      <c r="AZ1980" s="1"/>
      <c r="BA1980" s="1"/>
      <c r="BB1980" s="1"/>
      <c r="BC1980" s="1"/>
      <c r="BD1980" s="1"/>
      <c r="BE1980" s="1"/>
      <c r="BF1980" s="1"/>
      <c r="BG1980" s="1"/>
      <c r="BH1980" s="1"/>
      <c r="BI1980" s="1"/>
      <c r="BJ1980" s="1"/>
      <c r="BK1980" s="1"/>
      <c r="BL1980" s="1"/>
      <c r="BM1980" s="1"/>
      <c r="BN1980" s="1"/>
      <c r="BO1980" s="1"/>
      <c r="BP1980" s="1"/>
      <c r="BQ1980" s="1"/>
      <c r="BR1980" s="1"/>
      <c r="BS1980" s="1"/>
      <c r="BT1980" s="1"/>
      <c r="BU1980" s="1"/>
      <c r="BV1980" s="1"/>
      <c r="BW1980" s="1"/>
      <c r="BX1980" s="1"/>
      <c r="BY1980" s="1"/>
      <c r="BZ1980" s="1"/>
      <c r="CA1980" s="1"/>
      <c r="CB1980" s="1"/>
      <c r="CC1980" s="1"/>
      <c r="CD1980" s="1"/>
      <c r="CE1980" s="1"/>
      <c r="CF1980" s="1"/>
      <c r="CG1980" s="1"/>
      <c r="CH1980" s="1"/>
      <c r="CI1980" s="1"/>
      <c r="CJ1980" s="1"/>
      <c r="CK1980" s="1"/>
      <c r="CL1980" s="1"/>
      <c r="CM1980" s="1"/>
      <c r="CN1980" s="1"/>
      <c r="CO1980" s="1"/>
      <c r="CP1980" s="1"/>
      <c r="CQ1980" s="1"/>
      <c r="CR1980" s="1"/>
      <c r="CS1980" s="1"/>
      <c r="CT1980" s="1"/>
      <c r="CU1980" s="1"/>
      <c r="CV1980" s="1"/>
      <c r="CW1980" s="1"/>
      <c r="CX1980" s="1"/>
      <c r="CY1980" s="1"/>
      <c r="CZ1980" s="1"/>
      <c r="DA1980" s="1"/>
      <c r="DB1980" s="1"/>
      <c r="DC1980" s="1"/>
    </row>
    <row r="1981" spans="1:107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  <c r="AL1981" s="1"/>
      <c r="AM1981" s="1"/>
      <c r="AN1981" s="1"/>
      <c r="AO1981" s="1"/>
      <c r="AP1981" s="1"/>
      <c r="AQ1981" s="1"/>
      <c r="AR1981" s="1"/>
      <c r="AS1981" s="1"/>
      <c r="AT1981" s="1"/>
      <c r="AU1981" s="1"/>
      <c r="AV1981" s="1"/>
      <c r="AW1981" s="1"/>
      <c r="AX1981" s="1"/>
      <c r="AY1981" s="1"/>
      <c r="AZ1981" s="1"/>
      <c r="BA1981" s="1"/>
      <c r="BB1981" s="1"/>
      <c r="BC1981" s="1"/>
      <c r="BD1981" s="1"/>
      <c r="BE1981" s="1"/>
      <c r="BF1981" s="1"/>
      <c r="BG1981" s="1"/>
      <c r="BH1981" s="1"/>
      <c r="BI1981" s="1"/>
      <c r="BJ1981" s="1"/>
      <c r="BK1981" s="1"/>
      <c r="BL1981" s="1"/>
      <c r="BM1981" s="1"/>
      <c r="BN1981" s="1"/>
      <c r="BO1981" s="1"/>
      <c r="BP1981" s="1"/>
      <c r="BQ1981" s="1"/>
      <c r="BR1981" s="1"/>
      <c r="BS1981" s="1"/>
      <c r="BT1981" s="1"/>
      <c r="BU1981" s="1"/>
      <c r="BV1981" s="1"/>
      <c r="BW1981" s="1"/>
      <c r="BX1981" s="1"/>
      <c r="BY1981" s="1"/>
      <c r="BZ1981" s="1"/>
      <c r="CA1981" s="1"/>
      <c r="CB1981" s="1"/>
      <c r="CC1981" s="1"/>
      <c r="CD1981" s="1"/>
      <c r="CE1981" s="1"/>
      <c r="CF1981" s="1"/>
      <c r="CG1981" s="1"/>
      <c r="CH1981" s="1"/>
      <c r="CI1981" s="1"/>
      <c r="CJ1981" s="1"/>
      <c r="CK1981" s="1"/>
      <c r="CL1981" s="1"/>
      <c r="CM1981" s="1"/>
      <c r="CN1981" s="1"/>
      <c r="CO1981" s="1"/>
      <c r="CP1981" s="1"/>
      <c r="CQ1981" s="1"/>
      <c r="CR1981" s="1"/>
      <c r="CS1981" s="1"/>
      <c r="CT1981" s="1"/>
      <c r="CU1981" s="1"/>
      <c r="CV1981" s="1"/>
      <c r="CW1981" s="1"/>
      <c r="CX1981" s="1"/>
      <c r="CY1981" s="1"/>
      <c r="CZ1981" s="1"/>
      <c r="DA1981" s="1"/>
      <c r="DB1981" s="1"/>
      <c r="DC1981" s="1"/>
    </row>
    <row r="1982" spans="1:107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  <c r="AL1982" s="1"/>
      <c r="AM1982" s="1"/>
      <c r="AN1982" s="1"/>
      <c r="AO1982" s="1"/>
      <c r="AP1982" s="1"/>
      <c r="AQ1982" s="1"/>
      <c r="AR1982" s="1"/>
      <c r="AS1982" s="1"/>
      <c r="AT1982" s="1"/>
      <c r="AU1982" s="1"/>
      <c r="AV1982" s="1"/>
      <c r="AW1982" s="1"/>
      <c r="AX1982" s="1"/>
      <c r="AY1982" s="1"/>
      <c r="AZ1982" s="1"/>
      <c r="BA1982" s="1"/>
      <c r="BB1982" s="1"/>
      <c r="BC1982" s="1"/>
      <c r="BD1982" s="1"/>
      <c r="BE1982" s="1"/>
      <c r="BF1982" s="1"/>
      <c r="BG1982" s="1"/>
      <c r="BH1982" s="1"/>
      <c r="BI1982" s="1"/>
      <c r="BJ1982" s="1"/>
      <c r="BK1982" s="1"/>
      <c r="BL1982" s="1"/>
      <c r="BM1982" s="1"/>
      <c r="BN1982" s="1"/>
      <c r="BO1982" s="1"/>
      <c r="BP1982" s="1"/>
      <c r="BQ1982" s="1"/>
      <c r="BR1982" s="1"/>
      <c r="BS1982" s="1"/>
      <c r="BT1982" s="1"/>
      <c r="BU1982" s="1"/>
      <c r="BV1982" s="1"/>
      <c r="BW1982" s="1"/>
      <c r="BX1982" s="1"/>
      <c r="BY1982" s="1"/>
      <c r="BZ1982" s="1"/>
      <c r="CA1982" s="1"/>
      <c r="CB1982" s="1"/>
      <c r="CC1982" s="1"/>
      <c r="CD1982" s="1"/>
      <c r="CE1982" s="1"/>
      <c r="CF1982" s="1"/>
      <c r="CG1982" s="1"/>
      <c r="CH1982" s="1"/>
      <c r="CI1982" s="1"/>
      <c r="CJ1982" s="1"/>
      <c r="CK1982" s="1"/>
      <c r="CL1982" s="1"/>
      <c r="CM1982" s="1"/>
      <c r="CN1982" s="1"/>
      <c r="CO1982" s="1"/>
      <c r="CP1982" s="1"/>
      <c r="CQ1982" s="1"/>
      <c r="CR1982" s="1"/>
      <c r="CS1982" s="1"/>
      <c r="CT1982" s="1"/>
      <c r="CU1982" s="1"/>
      <c r="CV1982" s="1"/>
      <c r="CW1982" s="1"/>
      <c r="CX1982" s="1"/>
      <c r="CY1982" s="1"/>
      <c r="CZ1982" s="1"/>
      <c r="DA1982" s="1"/>
      <c r="DB1982" s="1"/>
      <c r="DC1982" s="1"/>
    </row>
    <row r="1983" spans="1:107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  <c r="AL1983" s="1"/>
      <c r="AM1983" s="1"/>
      <c r="AN1983" s="1"/>
      <c r="AO1983" s="1"/>
      <c r="AP1983" s="1"/>
      <c r="AQ1983" s="1"/>
      <c r="AR1983" s="1"/>
      <c r="AS1983" s="1"/>
      <c r="AT1983" s="1"/>
      <c r="AU1983" s="1"/>
      <c r="AV1983" s="1"/>
      <c r="AW1983" s="1"/>
      <c r="AX1983" s="1"/>
      <c r="AY1983" s="1"/>
      <c r="AZ1983" s="1"/>
      <c r="BA1983" s="1"/>
      <c r="BB1983" s="1"/>
      <c r="BC1983" s="1"/>
      <c r="BD1983" s="1"/>
      <c r="BE1983" s="1"/>
      <c r="BF1983" s="1"/>
      <c r="BG1983" s="1"/>
      <c r="BH1983" s="1"/>
      <c r="BI1983" s="1"/>
      <c r="BJ1983" s="1"/>
      <c r="BK1983" s="1"/>
      <c r="BL1983" s="1"/>
      <c r="BM1983" s="1"/>
      <c r="BN1983" s="1"/>
      <c r="BO1983" s="1"/>
      <c r="BP1983" s="1"/>
      <c r="BQ1983" s="1"/>
      <c r="BR1983" s="1"/>
      <c r="BS1983" s="1"/>
      <c r="BT1983" s="1"/>
      <c r="BU1983" s="1"/>
      <c r="BV1983" s="1"/>
      <c r="BW1983" s="1"/>
      <c r="BX1983" s="1"/>
      <c r="BY1983" s="1"/>
      <c r="BZ1983" s="1"/>
      <c r="CA1983" s="1"/>
      <c r="CB1983" s="1"/>
      <c r="CC1983" s="1"/>
      <c r="CD1983" s="1"/>
      <c r="CE1983" s="1"/>
      <c r="CF1983" s="1"/>
      <c r="CG1983" s="1"/>
      <c r="CH1983" s="1"/>
      <c r="CI1983" s="1"/>
      <c r="CJ1983" s="1"/>
      <c r="CK1983" s="1"/>
      <c r="CL1983" s="1"/>
      <c r="CM1983" s="1"/>
      <c r="CN1983" s="1"/>
      <c r="CO1983" s="1"/>
      <c r="CP1983" s="1"/>
      <c r="CQ1983" s="1"/>
      <c r="CR1983" s="1"/>
      <c r="CS1983" s="1"/>
      <c r="CT1983" s="1"/>
      <c r="CU1983" s="1"/>
      <c r="CV1983" s="1"/>
      <c r="CW1983" s="1"/>
      <c r="CX1983" s="1"/>
      <c r="CY1983" s="1"/>
      <c r="CZ1983" s="1"/>
      <c r="DA1983" s="1"/>
      <c r="DB1983" s="1"/>
      <c r="DC1983" s="1"/>
    </row>
    <row r="1984" spans="1:107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  <c r="AL1984" s="1"/>
      <c r="AM1984" s="1"/>
      <c r="AN1984" s="1"/>
      <c r="AO1984" s="1"/>
      <c r="AP1984" s="1"/>
      <c r="AQ1984" s="1"/>
      <c r="AR1984" s="1"/>
      <c r="AS1984" s="1"/>
      <c r="AT1984" s="1"/>
      <c r="AU1984" s="1"/>
      <c r="AV1984" s="1"/>
      <c r="AW1984" s="1"/>
      <c r="AX1984" s="1"/>
      <c r="AY1984" s="1"/>
      <c r="AZ1984" s="1"/>
      <c r="BA1984" s="1"/>
      <c r="BB1984" s="1"/>
      <c r="BC1984" s="1"/>
      <c r="BD1984" s="1"/>
      <c r="BE1984" s="1"/>
      <c r="BF1984" s="1"/>
      <c r="BG1984" s="1"/>
      <c r="BH1984" s="1"/>
      <c r="BI1984" s="1"/>
      <c r="BJ1984" s="1"/>
      <c r="BK1984" s="1"/>
      <c r="BL1984" s="1"/>
      <c r="BM1984" s="1"/>
      <c r="BN1984" s="1"/>
      <c r="BO1984" s="1"/>
      <c r="BP1984" s="1"/>
      <c r="BQ1984" s="1"/>
      <c r="BR1984" s="1"/>
      <c r="BS1984" s="1"/>
      <c r="BT1984" s="1"/>
      <c r="BU1984" s="1"/>
      <c r="BV1984" s="1"/>
      <c r="BW1984" s="1"/>
      <c r="BX1984" s="1"/>
      <c r="BY1984" s="1"/>
      <c r="BZ1984" s="1"/>
      <c r="CA1984" s="1"/>
      <c r="CB1984" s="1"/>
      <c r="CC1984" s="1"/>
      <c r="CD1984" s="1"/>
      <c r="CE1984" s="1"/>
      <c r="CF1984" s="1"/>
      <c r="CG1984" s="1"/>
      <c r="CH1984" s="1"/>
      <c r="CI1984" s="1"/>
      <c r="CJ1984" s="1"/>
      <c r="CK1984" s="1"/>
      <c r="CL1984" s="1"/>
      <c r="CM1984" s="1"/>
      <c r="CN1984" s="1"/>
      <c r="CO1984" s="1"/>
      <c r="CP1984" s="1"/>
      <c r="CQ1984" s="1"/>
      <c r="CR1984" s="1"/>
      <c r="CS1984" s="1"/>
      <c r="CT1984" s="1"/>
      <c r="CU1984" s="1"/>
      <c r="CV1984" s="1"/>
      <c r="CW1984" s="1"/>
      <c r="CX1984" s="1"/>
      <c r="CY1984" s="1"/>
      <c r="CZ1984" s="1"/>
      <c r="DA1984" s="1"/>
      <c r="DB1984" s="1"/>
      <c r="DC1984" s="1"/>
    </row>
    <row r="1985" spans="1:107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  <c r="AK1985" s="1"/>
      <c r="AL1985" s="1"/>
      <c r="AM1985" s="1"/>
      <c r="AN1985" s="1"/>
      <c r="AO1985" s="1"/>
      <c r="AP1985" s="1"/>
      <c r="AQ1985" s="1"/>
      <c r="AR1985" s="1"/>
      <c r="AS1985" s="1"/>
      <c r="AT1985" s="1"/>
      <c r="AU1985" s="1"/>
      <c r="AV1985" s="1"/>
      <c r="AW1985" s="1"/>
      <c r="AX1985" s="1"/>
      <c r="AY1985" s="1"/>
      <c r="AZ1985" s="1"/>
      <c r="BA1985" s="1"/>
      <c r="BB1985" s="1"/>
      <c r="BC1985" s="1"/>
      <c r="BD1985" s="1"/>
      <c r="BE1985" s="1"/>
      <c r="BF1985" s="1"/>
      <c r="BG1985" s="1"/>
      <c r="BH1985" s="1"/>
      <c r="BI1985" s="1"/>
      <c r="BJ1985" s="1"/>
      <c r="BK1985" s="1"/>
      <c r="BL1985" s="1"/>
      <c r="BM1985" s="1"/>
      <c r="BN1985" s="1"/>
      <c r="BO1985" s="1"/>
      <c r="BP1985" s="1"/>
      <c r="BQ1985" s="1"/>
      <c r="BR1985" s="1"/>
      <c r="BS1985" s="1"/>
      <c r="BT1985" s="1"/>
      <c r="BU1985" s="1"/>
      <c r="BV1985" s="1"/>
      <c r="BW1985" s="1"/>
      <c r="BX1985" s="1"/>
      <c r="BY1985" s="1"/>
      <c r="BZ1985" s="1"/>
      <c r="CA1985" s="1"/>
      <c r="CB1985" s="1"/>
      <c r="CC1985" s="1"/>
      <c r="CD1985" s="1"/>
      <c r="CE1985" s="1"/>
      <c r="CF1985" s="1"/>
      <c r="CG1985" s="1"/>
      <c r="CH1985" s="1"/>
      <c r="CI1985" s="1"/>
      <c r="CJ1985" s="1"/>
      <c r="CK1985" s="1"/>
      <c r="CL1985" s="1"/>
      <c r="CM1985" s="1"/>
      <c r="CN1985" s="1"/>
      <c r="CO1985" s="1"/>
      <c r="CP1985" s="1"/>
      <c r="CQ1985" s="1"/>
      <c r="CR1985" s="1"/>
      <c r="CS1985" s="1"/>
      <c r="CT1985" s="1"/>
      <c r="CU1985" s="1"/>
      <c r="CV1985" s="1"/>
      <c r="CW1985" s="1"/>
      <c r="CX1985" s="1"/>
      <c r="CY1985" s="1"/>
      <c r="CZ1985" s="1"/>
      <c r="DA1985" s="1"/>
      <c r="DB1985" s="1"/>
      <c r="DC1985" s="1"/>
    </row>
    <row r="1986" spans="1:107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/>
      <c r="AL1986" s="1"/>
      <c r="AM1986" s="1"/>
      <c r="AN1986" s="1"/>
      <c r="AO1986" s="1"/>
      <c r="AP1986" s="1"/>
      <c r="AQ1986" s="1"/>
      <c r="AR1986" s="1"/>
      <c r="AS1986" s="1"/>
      <c r="AT1986" s="1"/>
      <c r="AU1986" s="1"/>
      <c r="AV1986" s="1"/>
      <c r="AW1986" s="1"/>
      <c r="AX1986" s="1"/>
      <c r="AY1986" s="1"/>
      <c r="AZ1986" s="1"/>
      <c r="BA1986" s="1"/>
      <c r="BB1986" s="1"/>
      <c r="BC1986" s="1"/>
      <c r="BD1986" s="1"/>
      <c r="BE1986" s="1"/>
      <c r="BF1986" s="1"/>
      <c r="BG1986" s="1"/>
      <c r="BH1986" s="1"/>
      <c r="BI1986" s="1"/>
      <c r="BJ1986" s="1"/>
      <c r="BK1986" s="1"/>
      <c r="BL1986" s="1"/>
      <c r="BM1986" s="1"/>
      <c r="BN1986" s="1"/>
      <c r="BO1986" s="1"/>
      <c r="BP1986" s="1"/>
      <c r="BQ1986" s="1"/>
      <c r="BR1986" s="1"/>
      <c r="BS1986" s="1"/>
      <c r="BT1986" s="1"/>
      <c r="BU1986" s="1"/>
      <c r="BV1986" s="1"/>
      <c r="BW1986" s="1"/>
      <c r="BX1986" s="1"/>
      <c r="BY1986" s="1"/>
      <c r="BZ1986" s="1"/>
      <c r="CA1986" s="1"/>
      <c r="CB1986" s="1"/>
      <c r="CC1986" s="1"/>
      <c r="CD1986" s="1"/>
      <c r="CE1986" s="1"/>
      <c r="CF1986" s="1"/>
      <c r="CG1986" s="1"/>
      <c r="CH1986" s="1"/>
      <c r="CI1986" s="1"/>
      <c r="CJ1986" s="1"/>
      <c r="CK1986" s="1"/>
      <c r="CL1986" s="1"/>
      <c r="CM1986" s="1"/>
      <c r="CN1986" s="1"/>
      <c r="CO1986" s="1"/>
      <c r="CP1986" s="1"/>
      <c r="CQ1986" s="1"/>
      <c r="CR1986" s="1"/>
      <c r="CS1986" s="1"/>
      <c r="CT1986" s="1"/>
      <c r="CU1986" s="1"/>
      <c r="CV1986" s="1"/>
      <c r="CW1986" s="1"/>
      <c r="CX1986" s="1"/>
      <c r="CY1986" s="1"/>
      <c r="CZ1986" s="1"/>
      <c r="DA1986" s="1"/>
      <c r="DB1986" s="1"/>
      <c r="DC1986" s="1"/>
    </row>
    <row r="1987" spans="1:107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  <c r="AL1987" s="1"/>
      <c r="AM1987" s="1"/>
      <c r="AN1987" s="1"/>
      <c r="AO1987" s="1"/>
      <c r="AP1987" s="1"/>
      <c r="AQ1987" s="1"/>
      <c r="AR1987" s="1"/>
      <c r="AS1987" s="1"/>
      <c r="AT1987" s="1"/>
      <c r="AU1987" s="1"/>
      <c r="AV1987" s="1"/>
      <c r="AW1987" s="1"/>
      <c r="AX1987" s="1"/>
      <c r="AY1987" s="1"/>
      <c r="AZ1987" s="1"/>
      <c r="BA1987" s="1"/>
      <c r="BB1987" s="1"/>
      <c r="BC1987" s="1"/>
      <c r="BD1987" s="1"/>
      <c r="BE1987" s="1"/>
      <c r="BF1987" s="1"/>
      <c r="BG1987" s="1"/>
      <c r="BH1987" s="1"/>
      <c r="BI1987" s="1"/>
      <c r="BJ1987" s="1"/>
      <c r="BK1987" s="1"/>
      <c r="BL1987" s="1"/>
      <c r="BM1987" s="1"/>
      <c r="BN1987" s="1"/>
      <c r="BO1987" s="1"/>
      <c r="BP1987" s="1"/>
      <c r="BQ1987" s="1"/>
      <c r="BR1987" s="1"/>
      <c r="BS1987" s="1"/>
      <c r="BT1987" s="1"/>
      <c r="BU1987" s="1"/>
      <c r="BV1987" s="1"/>
      <c r="BW1987" s="1"/>
      <c r="BX1987" s="1"/>
      <c r="BY1987" s="1"/>
      <c r="BZ1987" s="1"/>
      <c r="CA1987" s="1"/>
      <c r="CB1987" s="1"/>
      <c r="CC1987" s="1"/>
      <c r="CD1987" s="1"/>
      <c r="CE1987" s="1"/>
      <c r="CF1987" s="1"/>
      <c r="CG1987" s="1"/>
      <c r="CH1987" s="1"/>
      <c r="CI1987" s="1"/>
      <c r="CJ1987" s="1"/>
      <c r="CK1987" s="1"/>
      <c r="CL1987" s="1"/>
      <c r="CM1987" s="1"/>
      <c r="CN1987" s="1"/>
      <c r="CO1987" s="1"/>
      <c r="CP1987" s="1"/>
      <c r="CQ1987" s="1"/>
      <c r="CR1987" s="1"/>
      <c r="CS1987" s="1"/>
      <c r="CT1987" s="1"/>
      <c r="CU1987" s="1"/>
      <c r="CV1987" s="1"/>
      <c r="CW1987" s="1"/>
      <c r="CX1987" s="1"/>
      <c r="CY1987" s="1"/>
      <c r="CZ1987" s="1"/>
      <c r="DA1987" s="1"/>
      <c r="DB1987" s="1"/>
      <c r="DC1987" s="1"/>
    </row>
    <row r="1988" spans="1:107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/>
      <c r="AL1988" s="1"/>
      <c r="AM1988" s="1"/>
      <c r="AN1988" s="1"/>
      <c r="AO1988" s="1"/>
      <c r="AP1988" s="1"/>
      <c r="AQ1988" s="1"/>
      <c r="AR1988" s="1"/>
      <c r="AS1988" s="1"/>
      <c r="AT1988" s="1"/>
      <c r="AU1988" s="1"/>
      <c r="AV1988" s="1"/>
      <c r="AW1988" s="1"/>
      <c r="AX1988" s="1"/>
      <c r="AY1988" s="1"/>
      <c r="AZ1988" s="1"/>
      <c r="BA1988" s="1"/>
      <c r="BB1988" s="1"/>
      <c r="BC1988" s="1"/>
      <c r="BD1988" s="1"/>
      <c r="BE1988" s="1"/>
      <c r="BF1988" s="1"/>
      <c r="BG1988" s="1"/>
      <c r="BH1988" s="1"/>
      <c r="BI1988" s="1"/>
      <c r="BJ1988" s="1"/>
      <c r="BK1988" s="1"/>
      <c r="BL1988" s="1"/>
      <c r="BM1988" s="1"/>
      <c r="BN1988" s="1"/>
      <c r="BO1988" s="1"/>
      <c r="BP1988" s="1"/>
      <c r="BQ1988" s="1"/>
      <c r="BR1988" s="1"/>
      <c r="BS1988" s="1"/>
      <c r="BT1988" s="1"/>
      <c r="BU1988" s="1"/>
      <c r="BV1988" s="1"/>
      <c r="BW1988" s="1"/>
      <c r="BX1988" s="1"/>
      <c r="BY1988" s="1"/>
      <c r="BZ1988" s="1"/>
      <c r="CA1988" s="1"/>
      <c r="CB1988" s="1"/>
      <c r="CC1988" s="1"/>
      <c r="CD1988" s="1"/>
      <c r="CE1988" s="1"/>
      <c r="CF1988" s="1"/>
      <c r="CG1988" s="1"/>
      <c r="CH1988" s="1"/>
      <c r="CI1988" s="1"/>
      <c r="CJ1988" s="1"/>
      <c r="CK1988" s="1"/>
      <c r="CL1988" s="1"/>
      <c r="CM1988" s="1"/>
      <c r="CN1988" s="1"/>
      <c r="CO1988" s="1"/>
      <c r="CP1988" s="1"/>
      <c r="CQ1988" s="1"/>
      <c r="CR1988" s="1"/>
      <c r="CS1988" s="1"/>
      <c r="CT1988" s="1"/>
      <c r="CU1988" s="1"/>
      <c r="CV1988" s="1"/>
      <c r="CW1988" s="1"/>
      <c r="CX1988" s="1"/>
      <c r="CY1988" s="1"/>
      <c r="CZ1988" s="1"/>
      <c r="DA1988" s="1"/>
      <c r="DB1988" s="1"/>
      <c r="DC1988" s="1"/>
    </row>
    <row r="1989" spans="1:107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  <c r="AL1989" s="1"/>
      <c r="AM1989" s="1"/>
      <c r="AN1989" s="1"/>
      <c r="AO1989" s="1"/>
      <c r="AP1989" s="1"/>
      <c r="AQ1989" s="1"/>
      <c r="AR1989" s="1"/>
      <c r="AS1989" s="1"/>
      <c r="AT1989" s="1"/>
      <c r="AU1989" s="1"/>
      <c r="AV1989" s="1"/>
      <c r="AW1989" s="1"/>
      <c r="AX1989" s="1"/>
      <c r="AY1989" s="1"/>
      <c r="AZ1989" s="1"/>
      <c r="BA1989" s="1"/>
      <c r="BB1989" s="1"/>
      <c r="BC1989" s="1"/>
      <c r="BD1989" s="1"/>
      <c r="BE1989" s="1"/>
      <c r="BF1989" s="1"/>
      <c r="BG1989" s="1"/>
      <c r="BH1989" s="1"/>
      <c r="BI1989" s="1"/>
      <c r="BJ1989" s="1"/>
      <c r="BK1989" s="1"/>
      <c r="BL1989" s="1"/>
      <c r="BM1989" s="1"/>
      <c r="BN1989" s="1"/>
      <c r="BO1989" s="1"/>
      <c r="BP1989" s="1"/>
      <c r="BQ1989" s="1"/>
      <c r="BR1989" s="1"/>
      <c r="BS1989" s="1"/>
      <c r="BT1989" s="1"/>
      <c r="BU1989" s="1"/>
      <c r="BV1989" s="1"/>
      <c r="BW1989" s="1"/>
      <c r="BX1989" s="1"/>
      <c r="BY1989" s="1"/>
      <c r="BZ1989" s="1"/>
      <c r="CA1989" s="1"/>
      <c r="CB1989" s="1"/>
      <c r="CC1989" s="1"/>
      <c r="CD1989" s="1"/>
      <c r="CE1989" s="1"/>
      <c r="CF1989" s="1"/>
      <c r="CG1989" s="1"/>
      <c r="CH1989" s="1"/>
      <c r="CI1989" s="1"/>
      <c r="CJ1989" s="1"/>
      <c r="CK1989" s="1"/>
      <c r="CL1989" s="1"/>
      <c r="CM1989" s="1"/>
      <c r="CN1989" s="1"/>
      <c r="CO1989" s="1"/>
      <c r="CP1989" s="1"/>
      <c r="CQ1989" s="1"/>
      <c r="CR1989" s="1"/>
      <c r="CS1989" s="1"/>
      <c r="CT1989" s="1"/>
      <c r="CU1989" s="1"/>
      <c r="CV1989" s="1"/>
      <c r="CW1989" s="1"/>
      <c r="CX1989" s="1"/>
      <c r="CY1989" s="1"/>
      <c r="CZ1989" s="1"/>
      <c r="DA1989" s="1"/>
      <c r="DB1989" s="1"/>
      <c r="DC1989" s="1"/>
    </row>
    <row r="1990" spans="1:107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  <c r="AL1990" s="1"/>
      <c r="AM1990" s="1"/>
      <c r="AN1990" s="1"/>
      <c r="AO1990" s="1"/>
      <c r="AP1990" s="1"/>
      <c r="AQ1990" s="1"/>
      <c r="AR1990" s="1"/>
      <c r="AS1990" s="1"/>
      <c r="AT1990" s="1"/>
      <c r="AU1990" s="1"/>
      <c r="AV1990" s="1"/>
      <c r="AW1990" s="1"/>
      <c r="AX1990" s="1"/>
      <c r="AY1990" s="1"/>
      <c r="AZ1990" s="1"/>
      <c r="BA1990" s="1"/>
      <c r="BB1990" s="1"/>
      <c r="BC1990" s="1"/>
      <c r="BD1990" s="1"/>
      <c r="BE1990" s="1"/>
      <c r="BF1990" s="1"/>
      <c r="BG1990" s="1"/>
      <c r="BH1990" s="1"/>
      <c r="BI1990" s="1"/>
      <c r="BJ1990" s="1"/>
      <c r="BK1990" s="1"/>
      <c r="BL1990" s="1"/>
      <c r="BM1990" s="1"/>
      <c r="BN1990" s="1"/>
      <c r="BO1990" s="1"/>
      <c r="BP1990" s="1"/>
      <c r="BQ1990" s="1"/>
      <c r="BR1990" s="1"/>
      <c r="BS1990" s="1"/>
      <c r="BT1990" s="1"/>
      <c r="BU1990" s="1"/>
      <c r="BV1990" s="1"/>
      <c r="BW1990" s="1"/>
      <c r="BX1990" s="1"/>
      <c r="BY1990" s="1"/>
      <c r="BZ1990" s="1"/>
      <c r="CA1990" s="1"/>
      <c r="CB1990" s="1"/>
      <c r="CC1990" s="1"/>
      <c r="CD1990" s="1"/>
      <c r="CE1990" s="1"/>
      <c r="CF1990" s="1"/>
      <c r="CG1990" s="1"/>
      <c r="CH1990" s="1"/>
      <c r="CI1990" s="1"/>
      <c r="CJ1990" s="1"/>
      <c r="CK1990" s="1"/>
      <c r="CL1990" s="1"/>
      <c r="CM1990" s="1"/>
      <c r="CN1990" s="1"/>
      <c r="CO1990" s="1"/>
      <c r="CP1990" s="1"/>
      <c r="CQ1990" s="1"/>
      <c r="CR1990" s="1"/>
      <c r="CS1990" s="1"/>
      <c r="CT1990" s="1"/>
      <c r="CU1990" s="1"/>
      <c r="CV1990" s="1"/>
      <c r="CW1990" s="1"/>
      <c r="CX1990" s="1"/>
      <c r="CY1990" s="1"/>
      <c r="CZ1990" s="1"/>
      <c r="DA1990" s="1"/>
      <c r="DB1990" s="1"/>
      <c r="DC1990" s="1"/>
    </row>
    <row r="1991" spans="1:107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  <c r="AL1991" s="1"/>
      <c r="AM1991" s="1"/>
      <c r="AN1991" s="1"/>
      <c r="AO1991" s="1"/>
      <c r="AP1991" s="1"/>
      <c r="AQ1991" s="1"/>
      <c r="AR1991" s="1"/>
      <c r="AS1991" s="1"/>
      <c r="AT1991" s="1"/>
      <c r="AU1991" s="1"/>
      <c r="AV1991" s="1"/>
      <c r="AW1991" s="1"/>
      <c r="AX1991" s="1"/>
      <c r="AY1991" s="1"/>
      <c r="AZ1991" s="1"/>
      <c r="BA1991" s="1"/>
      <c r="BB1991" s="1"/>
      <c r="BC1991" s="1"/>
      <c r="BD1991" s="1"/>
      <c r="BE1991" s="1"/>
      <c r="BF1991" s="1"/>
      <c r="BG1991" s="1"/>
      <c r="BH1991" s="1"/>
      <c r="BI1991" s="1"/>
      <c r="BJ1991" s="1"/>
      <c r="BK1991" s="1"/>
      <c r="BL1991" s="1"/>
      <c r="BM1991" s="1"/>
      <c r="BN1991" s="1"/>
      <c r="BO1991" s="1"/>
      <c r="BP1991" s="1"/>
      <c r="BQ1991" s="1"/>
      <c r="BR1991" s="1"/>
      <c r="BS1991" s="1"/>
      <c r="BT1991" s="1"/>
      <c r="BU1991" s="1"/>
      <c r="BV1991" s="1"/>
      <c r="BW1991" s="1"/>
      <c r="BX1991" s="1"/>
      <c r="BY1991" s="1"/>
      <c r="BZ1991" s="1"/>
      <c r="CA1991" s="1"/>
      <c r="CB1991" s="1"/>
      <c r="CC1991" s="1"/>
      <c r="CD1991" s="1"/>
      <c r="CE1991" s="1"/>
      <c r="CF1991" s="1"/>
      <c r="CG1991" s="1"/>
      <c r="CH1991" s="1"/>
      <c r="CI1991" s="1"/>
      <c r="CJ1991" s="1"/>
      <c r="CK1991" s="1"/>
      <c r="CL1991" s="1"/>
      <c r="CM1991" s="1"/>
      <c r="CN1991" s="1"/>
      <c r="CO1991" s="1"/>
      <c r="CP1991" s="1"/>
      <c r="CQ1991" s="1"/>
      <c r="CR1991" s="1"/>
      <c r="CS1991" s="1"/>
      <c r="CT1991" s="1"/>
      <c r="CU1991" s="1"/>
      <c r="CV1991" s="1"/>
      <c r="CW1991" s="1"/>
      <c r="CX1991" s="1"/>
      <c r="CY1991" s="1"/>
      <c r="CZ1991" s="1"/>
      <c r="DA1991" s="1"/>
      <c r="DB1991" s="1"/>
      <c r="DC1991" s="1"/>
    </row>
    <row r="1992" spans="1:107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  <c r="AL1992" s="1"/>
      <c r="AM1992" s="1"/>
      <c r="AN1992" s="1"/>
      <c r="AO1992" s="1"/>
      <c r="AP1992" s="1"/>
      <c r="AQ1992" s="1"/>
      <c r="AR1992" s="1"/>
      <c r="AS1992" s="1"/>
      <c r="AT1992" s="1"/>
      <c r="AU1992" s="1"/>
      <c r="AV1992" s="1"/>
      <c r="AW1992" s="1"/>
      <c r="AX1992" s="1"/>
      <c r="AY1992" s="1"/>
      <c r="AZ1992" s="1"/>
      <c r="BA1992" s="1"/>
      <c r="BB1992" s="1"/>
      <c r="BC1992" s="1"/>
      <c r="BD1992" s="1"/>
      <c r="BE1992" s="1"/>
      <c r="BF1992" s="1"/>
      <c r="BG1992" s="1"/>
      <c r="BH1992" s="1"/>
      <c r="BI1992" s="1"/>
      <c r="BJ1992" s="1"/>
      <c r="BK1992" s="1"/>
      <c r="BL1992" s="1"/>
      <c r="BM1992" s="1"/>
      <c r="BN1992" s="1"/>
      <c r="BO1992" s="1"/>
      <c r="BP1992" s="1"/>
      <c r="BQ1992" s="1"/>
      <c r="BR1992" s="1"/>
      <c r="BS1992" s="1"/>
      <c r="BT1992" s="1"/>
      <c r="BU1992" s="1"/>
      <c r="BV1992" s="1"/>
      <c r="BW1992" s="1"/>
      <c r="BX1992" s="1"/>
      <c r="BY1992" s="1"/>
      <c r="BZ1992" s="1"/>
      <c r="CA1992" s="1"/>
      <c r="CB1992" s="1"/>
      <c r="CC1992" s="1"/>
      <c r="CD1992" s="1"/>
      <c r="CE1992" s="1"/>
      <c r="CF1992" s="1"/>
      <c r="CG1992" s="1"/>
      <c r="CH1992" s="1"/>
      <c r="CI1992" s="1"/>
      <c r="CJ1992" s="1"/>
      <c r="CK1992" s="1"/>
      <c r="CL1992" s="1"/>
      <c r="CM1992" s="1"/>
      <c r="CN1992" s="1"/>
      <c r="CO1992" s="1"/>
      <c r="CP1992" s="1"/>
      <c r="CQ1992" s="1"/>
      <c r="CR1992" s="1"/>
      <c r="CS1992" s="1"/>
      <c r="CT1992" s="1"/>
      <c r="CU1992" s="1"/>
      <c r="CV1992" s="1"/>
      <c r="CW1992" s="1"/>
      <c r="CX1992" s="1"/>
      <c r="CY1992" s="1"/>
      <c r="CZ1992" s="1"/>
      <c r="DA1992" s="1"/>
      <c r="DB1992" s="1"/>
      <c r="DC1992" s="1"/>
    </row>
    <row r="1993" spans="1:107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  <c r="AL1993" s="1"/>
      <c r="AM1993" s="1"/>
      <c r="AN1993" s="1"/>
      <c r="AO1993" s="1"/>
      <c r="AP1993" s="1"/>
      <c r="AQ1993" s="1"/>
      <c r="AR1993" s="1"/>
      <c r="AS1993" s="1"/>
      <c r="AT1993" s="1"/>
      <c r="AU1993" s="1"/>
      <c r="AV1993" s="1"/>
      <c r="AW1993" s="1"/>
      <c r="AX1993" s="1"/>
      <c r="AY1993" s="1"/>
      <c r="AZ1993" s="1"/>
      <c r="BA1993" s="1"/>
      <c r="BB1993" s="1"/>
      <c r="BC1993" s="1"/>
      <c r="BD1993" s="1"/>
      <c r="BE1993" s="1"/>
      <c r="BF1993" s="1"/>
      <c r="BG1993" s="1"/>
      <c r="BH1993" s="1"/>
      <c r="BI1993" s="1"/>
      <c r="BJ1993" s="1"/>
      <c r="BK1993" s="1"/>
      <c r="BL1993" s="1"/>
      <c r="BM1993" s="1"/>
      <c r="BN1993" s="1"/>
      <c r="BO1993" s="1"/>
      <c r="BP1993" s="1"/>
      <c r="BQ1993" s="1"/>
      <c r="BR1993" s="1"/>
      <c r="BS1993" s="1"/>
      <c r="BT1993" s="1"/>
      <c r="BU1993" s="1"/>
      <c r="BV1993" s="1"/>
      <c r="BW1993" s="1"/>
      <c r="BX1993" s="1"/>
      <c r="BY1993" s="1"/>
      <c r="BZ1993" s="1"/>
      <c r="CA1993" s="1"/>
      <c r="CB1993" s="1"/>
      <c r="CC1993" s="1"/>
      <c r="CD1993" s="1"/>
      <c r="CE1993" s="1"/>
      <c r="CF1993" s="1"/>
      <c r="CG1993" s="1"/>
      <c r="CH1993" s="1"/>
      <c r="CI1993" s="1"/>
      <c r="CJ1993" s="1"/>
      <c r="CK1993" s="1"/>
      <c r="CL1993" s="1"/>
      <c r="CM1993" s="1"/>
      <c r="CN1993" s="1"/>
      <c r="CO1993" s="1"/>
      <c r="CP1993" s="1"/>
      <c r="CQ1993" s="1"/>
      <c r="CR1993" s="1"/>
      <c r="CS1993" s="1"/>
      <c r="CT1993" s="1"/>
      <c r="CU1993" s="1"/>
      <c r="CV1993" s="1"/>
      <c r="CW1993" s="1"/>
      <c r="CX1993" s="1"/>
      <c r="CY1993" s="1"/>
      <c r="CZ1993" s="1"/>
      <c r="DA1993" s="1"/>
      <c r="DB1993" s="1"/>
      <c r="DC1993" s="1"/>
    </row>
    <row r="1994" spans="1:107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  <c r="AL1994" s="1"/>
      <c r="AM1994" s="1"/>
      <c r="AN1994" s="1"/>
      <c r="AO1994" s="1"/>
      <c r="AP1994" s="1"/>
      <c r="AQ1994" s="1"/>
      <c r="AR1994" s="1"/>
      <c r="AS1994" s="1"/>
      <c r="AT1994" s="1"/>
      <c r="AU1994" s="1"/>
      <c r="AV1994" s="1"/>
      <c r="AW1994" s="1"/>
      <c r="AX1994" s="1"/>
      <c r="AY1994" s="1"/>
      <c r="AZ1994" s="1"/>
      <c r="BA1994" s="1"/>
      <c r="BB1994" s="1"/>
      <c r="BC1994" s="1"/>
      <c r="BD1994" s="1"/>
      <c r="BE1994" s="1"/>
      <c r="BF1994" s="1"/>
      <c r="BG1994" s="1"/>
      <c r="BH1994" s="1"/>
      <c r="BI1994" s="1"/>
      <c r="BJ1994" s="1"/>
      <c r="BK1994" s="1"/>
      <c r="BL1994" s="1"/>
      <c r="BM1994" s="1"/>
      <c r="BN1994" s="1"/>
      <c r="BO1994" s="1"/>
      <c r="BP1994" s="1"/>
      <c r="BQ1994" s="1"/>
      <c r="BR1994" s="1"/>
      <c r="BS1994" s="1"/>
      <c r="BT1994" s="1"/>
      <c r="BU1994" s="1"/>
      <c r="BV1994" s="1"/>
      <c r="BW1994" s="1"/>
      <c r="BX1994" s="1"/>
      <c r="BY1994" s="1"/>
      <c r="BZ1994" s="1"/>
      <c r="CA1994" s="1"/>
      <c r="CB1994" s="1"/>
      <c r="CC1994" s="1"/>
      <c r="CD1994" s="1"/>
      <c r="CE1994" s="1"/>
      <c r="CF1994" s="1"/>
      <c r="CG1994" s="1"/>
      <c r="CH1994" s="1"/>
      <c r="CI1994" s="1"/>
      <c r="CJ1994" s="1"/>
      <c r="CK1994" s="1"/>
      <c r="CL1994" s="1"/>
      <c r="CM1994" s="1"/>
      <c r="CN1994" s="1"/>
      <c r="CO1994" s="1"/>
      <c r="CP1994" s="1"/>
      <c r="CQ1994" s="1"/>
      <c r="CR1994" s="1"/>
      <c r="CS1994" s="1"/>
      <c r="CT1994" s="1"/>
      <c r="CU1994" s="1"/>
      <c r="CV1994" s="1"/>
      <c r="CW1994" s="1"/>
      <c r="CX1994" s="1"/>
      <c r="CY1994" s="1"/>
      <c r="CZ1994" s="1"/>
      <c r="DA1994" s="1"/>
      <c r="DB1994" s="1"/>
      <c r="DC1994" s="1"/>
    </row>
    <row r="1995" spans="1:107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  <c r="AP1995" s="1"/>
      <c r="AQ1995" s="1"/>
      <c r="AR1995" s="1"/>
      <c r="AS1995" s="1"/>
      <c r="AT1995" s="1"/>
      <c r="AU1995" s="1"/>
      <c r="AV1995" s="1"/>
      <c r="AW1995" s="1"/>
      <c r="AX1995" s="1"/>
      <c r="AY1995" s="1"/>
      <c r="AZ1995" s="1"/>
      <c r="BA1995" s="1"/>
      <c r="BB1995" s="1"/>
      <c r="BC1995" s="1"/>
      <c r="BD1995" s="1"/>
      <c r="BE1995" s="1"/>
      <c r="BF1995" s="1"/>
      <c r="BG1995" s="1"/>
      <c r="BH1995" s="1"/>
      <c r="BI1995" s="1"/>
      <c r="BJ1995" s="1"/>
      <c r="BK1995" s="1"/>
      <c r="BL1995" s="1"/>
      <c r="BM1995" s="1"/>
      <c r="BN1995" s="1"/>
      <c r="BO1995" s="1"/>
      <c r="BP1995" s="1"/>
      <c r="BQ1995" s="1"/>
      <c r="BR1995" s="1"/>
      <c r="BS1995" s="1"/>
      <c r="BT1995" s="1"/>
      <c r="BU1995" s="1"/>
      <c r="BV1995" s="1"/>
      <c r="BW1995" s="1"/>
      <c r="BX1995" s="1"/>
      <c r="BY1995" s="1"/>
      <c r="BZ1995" s="1"/>
      <c r="CA1995" s="1"/>
      <c r="CB1995" s="1"/>
      <c r="CC1995" s="1"/>
      <c r="CD1995" s="1"/>
      <c r="CE1995" s="1"/>
      <c r="CF1995" s="1"/>
      <c r="CG1995" s="1"/>
      <c r="CH1995" s="1"/>
      <c r="CI1995" s="1"/>
      <c r="CJ1995" s="1"/>
      <c r="CK1995" s="1"/>
      <c r="CL1995" s="1"/>
      <c r="CM1995" s="1"/>
      <c r="CN1995" s="1"/>
      <c r="CO1995" s="1"/>
      <c r="CP1995" s="1"/>
      <c r="CQ1995" s="1"/>
      <c r="CR1995" s="1"/>
      <c r="CS1995" s="1"/>
      <c r="CT1995" s="1"/>
      <c r="CU1995" s="1"/>
      <c r="CV1995" s="1"/>
      <c r="CW1995" s="1"/>
      <c r="CX1995" s="1"/>
      <c r="CY1995" s="1"/>
      <c r="CZ1995" s="1"/>
      <c r="DA1995" s="1"/>
      <c r="DB1995" s="1"/>
      <c r="DC1995" s="1"/>
    </row>
    <row r="1996" spans="1:107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  <c r="AL1996" s="1"/>
      <c r="AM1996" s="1"/>
      <c r="AN1996" s="1"/>
      <c r="AO1996" s="1"/>
      <c r="AP1996" s="1"/>
      <c r="AQ1996" s="1"/>
      <c r="AR1996" s="1"/>
      <c r="AS1996" s="1"/>
      <c r="AT1996" s="1"/>
      <c r="AU1996" s="1"/>
      <c r="AV1996" s="1"/>
      <c r="AW1996" s="1"/>
      <c r="AX1996" s="1"/>
      <c r="AY1996" s="1"/>
      <c r="AZ1996" s="1"/>
      <c r="BA1996" s="1"/>
      <c r="BB1996" s="1"/>
      <c r="BC1996" s="1"/>
      <c r="BD1996" s="1"/>
      <c r="BE1996" s="1"/>
      <c r="BF1996" s="1"/>
      <c r="BG1996" s="1"/>
      <c r="BH1996" s="1"/>
      <c r="BI1996" s="1"/>
      <c r="BJ1996" s="1"/>
      <c r="BK1996" s="1"/>
      <c r="BL1996" s="1"/>
      <c r="BM1996" s="1"/>
      <c r="BN1996" s="1"/>
      <c r="BO1996" s="1"/>
      <c r="BP1996" s="1"/>
      <c r="BQ1996" s="1"/>
      <c r="BR1996" s="1"/>
      <c r="BS1996" s="1"/>
      <c r="BT1996" s="1"/>
      <c r="BU1996" s="1"/>
      <c r="BV1996" s="1"/>
      <c r="BW1996" s="1"/>
      <c r="BX1996" s="1"/>
      <c r="BY1996" s="1"/>
      <c r="BZ1996" s="1"/>
      <c r="CA1996" s="1"/>
      <c r="CB1996" s="1"/>
      <c r="CC1996" s="1"/>
      <c r="CD1996" s="1"/>
      <c r="CE1996" s="1"/>
      <c r="CF1996" s="1"/>
      <c r="CG1996" s="1"/>
      <c r="CH1996" s="1"/>
      <c r="CI1996" s="1"/>
      <c r="CJ1996" s="1"/>
      <c r="CK1996" s="1"/>
      <c r="CL1996" s="1"/>
      <c r="CM1996" s="1"/>
      <c r="CN1996" s="1"/>
      <c r="CO1996" s="1"/>
      <c r="CP1996" s="1"/>
      <c r="CQ1996" s="1"/>
      <c r="CR1996" s="1"/>
      <c r="CS1996" s="1"/>
      <c r="CT1996" s="1"/>
      <c r="CU1996" s="1"/>
      <c r="CV1996" s="1"/>
      <c r="CW1996" s="1"/>
      <c r="CX1996" s="1"/>
      <c r="CY1996" s="1"/>
      <c r="CZ1996" s="1"/>
      <c r="DA1996" s="1"/>
      <c r="DB1996" s="1"/>
      <c r="DC1996" s="1"/>
    </row>
    <row r="1997" spans="1:107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  <c r="AL1997" s="1"/>
      <c r="AM1997" s="1"/>
      <c r="AN1997" s="1"/>
      <c r="AO1997" s="1"/>
      <c r="AP1997" s="1"/>
      <c r="AQ1997" s="1"/>
      <c r="AR1997" s="1"/>
      <c r="AS1997" s="1"/>
      <c r="AT1997" s="1"/>
      <c r="AU1997" s="1"/>
      <c r="AV1997" s="1"/>
      <c r="AW1997" s="1"/>
      <c r="AX1997" s="1"/>
      <c r="AY1997" s="1"/>
      <c r="AZ1997" s="1"/>
      <c r="BA1997" s="1"/>
      <c r="BB1997" s="1"/>
      <c r="BC1997" s="1"/>
      <c r="BD1997" s="1"/>
      <c r="BE1997" s="1"/>
      <c r="BF1997" s="1"/>
      <c r="BG1997" s="1"/>
      <c r="BH1997" s="1"/>
      <c r="BI1997" s="1"/>
      <c r="BJ1997" s="1"/>
      <c r="BK1997" s="1"/>
      <c r="BL1997" s="1"/>
      <c r="BM1997" s="1"/>
      <c r="BN1997" s="1"/>
      <c r="BO1997" s="1"/>
      <c r="BP1997" s="1"/>
      <c r="BQ1997" s="1"/>
      <c r="BR1997" s="1"/>
      <c r="BS1997" s="1"/>
      <c r="BT1997" s="1"/>
      <c r="BU1997" s="1"/>
      <c r="BV1997" s="1"/>
      <c r="BW1997" s="1"/>
      <c r="BX1997" s="1"/>
      <c r="BY1997" s="1"/>
      <c r="BZ1997" s="1"/>
      <c r="CA1997" s="1"/>
      <c r="CB1997" s="1"/>
      <c r="CC1997" s="1"/>
      <c r="CD1997" s="1"/>
      <c r="CE1997" s="1"/>
      <c r="CF1997" s="1"/>
      <c r="CG1997" s="1"/>
      <c r="CH1997" s="1"/>
      <c r="CI1997" s="1"/>
      <c r="CJ1997" s="1"/>
      <c r="CK1997" s="1"/>
      <c r="CL1997" s="1"/>
      <c r="CM1997" s="1"/>
      <c r="CN1997" s="1"/>
      <c r="CO1997" s="1"/>
      <c r="CP1997" s="1"/>
      <c r="CQ1997" s="1"/>
      <c r="CR1997" s="1"/>
      <c r="CS1997" s="1"/>
      <c r="CT1997" s="1"/>
      <c r="CU1997" s="1"/>
      <c r="CV1997" s="1"/>
      <c r="CW1997" s="1"/>
      <c r="CX1997" s="1"/>
      <c r="CY1997" s="1"/>
      <c r="CZ1997" s="1"/>
      <c r="DA1997" s="1"/>
      <c r="DB1997" s="1"/>
      <c r="DC1997" s="1"/>
    </row>
    <row r="1998" spans="1:107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  <c r="AL1998" s="1"/>
      <c r="AM1998" s="1"/>
      <c r="AN1998" s="1"/>
      <c r="AO1998" s="1"/>
      <c r="AP1998" s="1"/>
      <c r="AQ1998" s="1"/>
      <c r="AR1998" s="1"/>
      <c r="AS1998" s="1"/>
      <c r="AT1998" s="1"/>
      <c r="AU1998" s="1"/>
      <c r="AV1998" s="1"/>
      <c r="AW1998" s="1"/>
      <c r="AX1998" s="1"/>
      <c r="AY1998" s="1"/>
      <c r="AZ1998" s="1"/>
      <c r="BA1998" s="1"/>
      <c r="BB1998" s="1"/>
      <c r="BC1998" s="1"/>
      <c r="BD1998" s="1"/>
      <c r="BE1998" s="1"/>
      <c r="BF1998" s="1"/>
      <c r="BG1998" s="1"/>
      <c r="BH1998" s="1"/>
      <c r="BI1998" s="1"/>
      <c r="BJ1998" s="1"/>
      <c r="BK1998" s="1"/>
      <c r="BL1998" s="1"/>
      <c r="BM1998" s="1"/>
      <c r="BN1998" s="1"/>
      <c r="BO1998" s="1"/>
      <c r="BP1998" s="1"/>
      <c r="BQ1998" s="1"/>
      <c r="BR1998" s="1"/>
      <c r="BS1998" s="1"/>
      <c r="BT1998" s="1"/>
      <c r="BU1998" s="1"/>
      <c r="BV1998" s="1"/>
      <c r="BW1998" s="1"/>
      <c r="BX1998" s="1"/>
      <c r="BY1998" s="1"/>
      <c r="BZ1998" s="1"/>
      <c r="CA1998" s="1"/>
      <c r="CB1998" s="1"/>
      <c r="CC1998" s="1"/>
      <c r="CD1998" s="1"/>
      <c r="CE1998" s="1"/>
      <c r="CF1998" s="1"/>
      <c r="CG1998" s="1"/>
      <c r="CH1998" s="1"/>
      <c r="CI1998" s="1"/>
      <c r="CJ1998" s="1"/>
      <c r="CK1998" s="1"/>
      <c r="CL1998" s="1"/>
      <c r="CM1998" s="1"/>
      <c r="CN1998" s="1"/>
      <c r="CO1998" s="1"/>
      <c r="CP1998" s="1"/>
      <c r="CQ1998" s="1"/>
      <c r="CR1998" s="1"/>
      <c r="CS1998" s="1"/>
      <c r="CT1998" s="1"/>
      <c r="CU1998" s="1"/>
      <c r="CV1998" s="1"/>
      <c r="CW1998" s="1"/>
      <c r="CX1998" s="1"/>
      <c r="CY1998" s="1"/>
      <c r="CZ1998" s="1"/>
      <c r="DA1998" s="1"/>
      <c r="DB1998" s="1"/>
      <c r="DC1998" s="1"/>
    </row>
    <row r="1999" spans="1:107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  <c r="AL1999" s="1"/>
      <c r="AM1999" s="1"/>
      <c r="AN1999" s="1"/>
      <c r="AO1999" s="1"/>
      <c r="AP1999" s="1"/>
      <c r="AQ1999" s="1"/>
      <c r="AR1999" s="1"/>
      <c r="AS1999" s="1"/>
      <c r="AT1999" s="1"/>
      <c r="AU1999" s="1"/>
      <c r="AV1999" s="1"/>
      <c r="AW1999" s="1"/>
      <c r="AX1999" s="1"/>
      <c r="AY1999" s="1"/>
      <c r="AZ1999" s="1"/>
      <c r="BA1999" s="1"/>
      <c r="BB1999" s="1"/>
      <c r="BC1999" s="1"/>
      <c r="BD1999" s="1"/>
      <c r="BE1999" s="1"/>
      <c r="BF1999" s="1"/>
      <c r="BG1999" s="1"/>
      <c r="BH1999" s="1"/>
      <c r="BI1999" s="1"/>
      <c r="BJ1999" s="1"/>
      <c r="BK1999" s="1"/>
      <c r="BL1999" s="1"/>
      <c r="BM1999" s="1"/>
      <c r="BN1999" s="1"/>
      <c r="BO1999" s="1"/>
      <c r="BP1999" s="1"/>
      <c r="BQ1999" s="1"/>
      <c r="BR1999" s="1"/>
      <c r="BS1999" s="1"/>
      <c r="BT1999" s="1"/>
      <c r="BU1999" s="1"/>
      <c r="BV1999" s="1"/>
      <c r="BW1999" s="1"/>
      <c r="BX1999" s="1"/>
      <c r="BY1999" s="1"/>
      <c r="BZ1999" s="1"/>
      <c r="CA1999" s="1"/>
      <c r="CB1999" s="1"/>
      <c r="CC1999" s="1"/>
      <c r="CD1999" s="1"/>
      <c r="CE1999" s="1"/>
      <c r="CF1999" s="1"/>
      <c r="CG1999" s="1"/>
      <c r="CH1999" s="1"/>
      <c r="CI1999" s="1"/>
      <c r="CJ1999" s="1"/>
      <c r="CK1999" s="1"/>
      <c r="CL1999" s="1"/>
      <c r="CM1999" s="1"/>
      <c r="CN1999" s="1"/>
      <c r="CO1999" s="1"/>
      <c r="CP1999" s="1"/>
      <c r="CQ1999" s="1"/>
      <c r="CR1999" s="1"/>
      <c r="CS1999" s="1"/>
      <c r="CT1999" s="1"/>
      <c r="CU1999" s="1"/>
      <c r="CV1999" s="1"/>
      <c r="CW1999" s="1"/>
      <c r="CX1999" s="1"/>
      <c r="CY1999" s="1"/>
      <c r="CZ1999" s="1"/>
      <c r="DA1999" s="1"/>
      <c r="DB1999" s="1"/>
      <c r="DC1999" s="1"/>
    </row>
    <row r="2000" spans="1:107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  <c r="AL2000" s="1"/>
      <c r="AM2000" s="1"/>
      <c r="AN2000" s="1"/>
      <c r="AO2000" s="1"/>
      <c r="AP2000" s="1"/>
      <c r="AQ2000" s="1"/>
      <c r="AR2000" s="1"/>
      <c r="AS2000" s="1"/>
      <c r="AT2000" s="1"/>
      <c r="AU2000" s="1"/>
      <c r="AV2000" s="1"/>
      <c r="AW2000" s="1"/>
      <c r="AX2000" s="1"/>
      <c r="AY2000" s="1"/>
      <c r="AZ2000" s="1"/>
      <c r="BA2000" s="1"/>
      <c r="BB2000" s="1"/>
      <c r="BC2000" s="1"/>
      <c r="BD2000" s="1"/>
      <c r="BE2000" s="1"/>
      <c r="BF2000" s="1"/>
      <c r="BG2000" s="1"/>
      <c r="BH2000" s="1"/>
      <c r="BI2000" s="1"/>
      <c r="BJ2000" s="1"/>
      <c r="BK2000" s="1"/>
      <c r="BL2000" s="1"/>
      <c r="BM2000" s="1"/>
      <c r="BN2000" s="1"/>
      <c r="BO2000" s="1"/>
      <c r="BP2000" s="1"/>
      <c r="BQ2000" s="1"/>
      <c r="BR2000" s="1"/>
      <c r="BS2000" s="1"/>
      <c r="BT2000" s="1"/>
      <c r="BU2000" s="1"/>
      <c r="BV2000" s="1"/>
      <c r="BW2000" s="1"/>
      <c r="BX2000" s="1"/>
      <c r="BY2000" s="1"/>
      <c r="BZ2000" s="1"/>
      <c r="CA2000" s="1"/>
      <c r="CB2000" s="1"/>
      <c r="CC2000" s="1"/>
      <c r="CD2000" s="1"/>
      <c r="CE2000" s="1"/>
      <c r="CF2000" s="1"/>
      <c r="CG2000" s="1"/>
      <c r="CH2000" s="1"/>
      <c r="CI2000" s="1"/>
      <c r="CJ2000" s="1"/>
      <c r="CK2000" s="1"/>
      <c r="CL2000" s="1"/>
      <c r="CM2000" s="1"/>
      <c r="CN2000" s="1"/>
      <c r="CO2000" s="1"/>
      <c r="CP2000" s="1"/>
      <c r="CQ2000" s="1"/>
      <c r="CR2000" s="1"/>
      <c r="CS2000" s="1"/>
      <c r="CT2000" s="1"/>
      <c r="CU2000" s="1"/>
      <c r="CV2000" s="1"/>
      <c r="CW2000" s="1"/>
      <c r="CX2000" s="1"/>
      <c r="CY2000" s="1"/>
      <c r="CZ2000" s="1"/>
      <c r="DA2000" s="1"/>
      <c r="DB2000" s="1"/>
      <c r="DC2000" s="1"/>
    </row>
    <row r="2001" spans="1:107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  <c r="AG2001" s="1"/>
      <c r="AH2001" s="1"/>
      <c r="AI2001" s="1"/>
      <c r="AJ2001" s="1"/>
      <c r="AK2001" s="1"/>
      <c r="AL2001" s="1"/>
      <c r="AM2001" s="1"/>
      <c r="AN2001" s="1"/>
      <c r="AO2001" s="1"/>
      <c r="AP2001" s="1"/>
      <c r="AQ2001" s="1"/>
      <c r="AR2001" s="1"/>
      <c r="AS2001" s="1"/>
      <c r="AT2001" s="1"/>
      <c r="AU2001" s="1"/>
      <c r="AV2001" s="1"/>
      <c r="AW2001" s="1"/>
      <c r="AX2001" s="1"/>
      <c r="AY2001" s="1"/>
      <c r="AZ2001" s="1"/>
      <c r="BA2001" s="1"/>
      <c r="BB2001" s="1"/>
      <c r="BC2001" s="1"/>
      <c r="BD2001" s="1"/>
      <c r="BE2001" s="1"/>
      <c r="BF2001" s="1"/>
      <c r="BG2001" s="1"/>
      <c r="BH2001" s="1"/>
      <c r="BI2001" s="1"/>
      <c r="BJ2001" s="1"/>
      <c r="BK2001" s="1"/>
      <c r="BL2001" s="1"/>
      <c r="BM2001" s="1"/>
      <c r="BN2001" s="1"/>
      <c r="BO2001" s="1"/>
      <c r="BP2001" s="1"/>
      <c r="BQ2001" s="1"/>
      <c r="BR2001" s="1"/>
      <c r="BS2001" s="1"/>
      <c r="BT2001" s="1"/>
      <c r="BU2001" s="1"/>
      <c r="BV2001" s="1"/>
      <c r="BW2001" s="1"/>
      <c r="BX2001" s="1"/>
      <c r="BY2001" s="1"/>
      <c r="BZ2001" s="1"/>
      <c r="CA2001" s="1"/>
      <c r="CB2001" s="1"/>
      <c r="CC2001" s="1"/>
      <c r="CD2001" s="1"/>
      <c r="CE2001" s="1"/>
      <c r="CF2001" s="1"/>
      <c r="CG2001" s="1"/>
      <c r="CH2001" s="1"/>
      <c r="CI2001" s="1"/>
      <c r="CJ2001" s="1"/>
      <c r="CK2001" s="1"/>
      <c r="CL2001" s="1"/>
      <c r="CM2001" s="1"/>
      <c r="CN2001" s="1"/>
      <c r="CO2001" s="1"/>
      <c r="CP2001" s="1"/>
      <c r="CQ2001" s="1"/>
      <c r="CR2001" s="1"/>
      <c r="CS2001" s="1"/>
      <c r="CT2001" s="1"/>
      <c r="CU2001" s="1"/>
      <c r="CV2001" s="1"/>
      <c r="CW2001" s="1"/>
      <c r="CX2001" s="1"/>
      <c r="CY2001" s="1"/>
      <c r="CZ2001" s="1"/>
      <c r="DA2001" s="1"/>
      <c r="DB2001" s="1"/>
      <c r="DC2001" s="1"/>
    </row>
    <row r="2002" spans="1:107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  <c r="AG2002" s="1"/>
      <c r="AH2002" s="1"/>
      <c r="AI2002" s="1"/>
      <c r="AJ2002" s="1"/>
      <c r="AK2002" s="1"/>
      <c r="AL2002" s="1"/>
      <c r="AM2002" s="1"/>
      <c r="AN2002" s="1"/>
      <c r="AO2002" s="1"/>
      <c r="AP2002" s="1"/>
      <c r="AQ2002" s="1"/>
      <c r="AR2002" s="1"/>
      <c r="AS2002" s="1"/>
      <c r="AT2002" s="1"/>
      <c r="AU2002" s="1"/>
      <c r="AV2002" s="1"/>
      <c r="AW2002" s="1"/>
      <c r="AX2002" s="1"/>
      <c r="AY2002" s="1"/>
      <c r="AZ2002" s="1"/>
      <c r="BA2002" s="1"/>
      <c r="BB2002" s="1"/>
      <c r="BC2002" s="1"/>
      <c r="BD2002" s="1"/>
      <c r="BE2002" s="1"/>
      <c r="BF2002" s="1"/>
      <c r="BG2002" s="1"/>
      <c r="BH2002" s="1"/>
      <c r="BI2002" s="1"/>
      <c r="BJ2002" s="1"/>
      <c r="BK2002" s="1"/>
      <c r="BL2002" s="1"/>
      <c r="BM2002" s="1"/>
      <c r="BN2002" s="1"/>
      <c r="BO2002" s="1"/>
      <c r="BP2002" s="1"/>
      <c r="BQ2002" s="1"/>
      <c r="BR2002" s="1"/>
      <c r="BS2002" s="1"/>
      <c r="BT2002" s="1"/>
      <c r="BU2002" s="1"/>
      <c r="BV2002" s="1"/>
      <c r="BW2002" s="1"/>
      <c r="BX2002" s="1"/>
      <c r="BY2002" s="1"/>
      <c r="BZ2002" s="1"/>
      <c r="CA2002" s="1"/>
      <c r="CB2002" s="1"/>
      <c r="CC2002" s="1"/>
      <c r="CD2002" s="1"/>
      <c r="CE2002" s="1"/>
      <c r="CF2002" s="1"/>
      <c r="CG2002" s="1"/>
      <c r="CH2002" s="1"/>
      <c r="CI2002" s="1"/>
      <c r="CJ2002" s="1"/>
      <c r="CK2002" s="1"/>
      <c r="CL2002" s="1"/>
      <c r="CM2002" s="1"/>
      <c r="CN2002" s="1"/>
      <c r="CO2002" s="1"/>
      <c r="CP2002" s="1"/>
      <c r="CQ2002" s="1"/>
      <c r="CR2002" s="1"/>
      <c r="CS2002" s="1"/>
      <c r="CT2002" s="1"/>
      <c r="CU2002" s="1"/>
      <c r="CV2002" s="1"/>
      <c r="CW2002" s="1"/>
      <c r="CX2002" s="1"/>
      <c r="CY2002" s="1"/>
      <c r="CZ2002" s="1"/>
      <c r="DA2002" s="1"/>
      <c r="DB2002" s="1"/>
      <c r="DC2002" s="1"/>
    </row>
    <row r="2003" spans="1:107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  <c r="AG2003" s="1"/>
      <c r="AH2003" s="1"/>
      <c r="AI2003" s="1"/>
      <c r="AJ2003" s="1"/>
      <c r="AK2003" s="1"/>
      <c r="AL2003" s="1"/>
      <c r="AM2003" s="1"/>
      <c r="AN2003" s="1"/>
      <c r="AO2003" s="1"/>
      <c r="AP2003" s="1"/>
      <c r="AQ2003" s="1"/>
      <c r="AR2003" s="1"/>
      <c r="AS2003" s="1"/>
      <c r="AT2003" s="1"/>
      <c r="AU2003" s="1"/>
      <c r="AV2003" s="1"/>
      <c r="AW2003" s="1"/>
      <c r="AX2003" s="1"/>
      <c r="AY2003" s="1"/>
      <c r="AZ2003" s="1"/>
      <c r="BA2003" s="1"/>
      <c r="BB2003" s="1"/>
      <c r="BC2003" s="1"/>
      <c r="BD2003" s="1"/>
      <c r="BE2003" s="1"/>
      <c r="BF2003" s="1"/>
      <c r="BG2003" s="1"/>
      <c r="BH2003" s="1"/>
      <c r="BI2003" s="1"/>
      <c r="BJ2003" s="1"/>
      <c r="BK2003" s="1"/>
      <c r="BL2003" s="1"/>
      <c r="BM2003" s="1"/>
      <c r="BN2003" s="1"/>
      <c r="BO2003" s="1"/>
      <c r="BP2003" s="1"/>
      <c r="BQ2003" s="1"/>
      <c r="BR2003" s="1"/>
      <c r="BS2003" s="1"/>
      <c r="BT2003" s="1"/>
      <c r="BU2003" s="1"/>
      <c r="BV2003" s="1"/>
      <c r="BW2003" s="1"/>
      <c r="BX2003" s="1"/>
      <c r="BY2003" s="1"/>
      <c r="BZ2003" s="1"/>
      <c r="CA2003" s="1"/>
      <c r="CB2003" s="1"/>
      <c r="CC2003" s="1"/>
      <c r="CD2003" s="1"/>
      <c r="CE2003" s="1"/>
      <c r="CF2003" s="1"/>
      <c r="CG2003" s="1"/>
      <c r="CH2003" s="1"/>
      <c r="CI2003" s="1"/>
      <c r="CJ2003" s="1"/>
      <c r="CK2003" s="1"/>
      <c r="CL2003" s="1"/>
      <c r="CM2003" s="1"/>
      <c r="CN2003" s="1"/>
      <c r="CO2003" s="1"/>
      <c r="CP2003" s="1"/>
      <c r="CQ2003" s="1"/>
      <c r="CR2003" s="1"/>
      <c r="CS2003" s="1"/>
      <c r="CT2003" s="1"/>
      <c r="CU2003" s="1"/>
      <c r="CV2003" s="1"/>
      <c r="CW2003" s="1"/>
      <c r="CX2003" s="1"/>
      <c r="CY2003" s="1"/>
      <c r="CZ2003" s="1"/>
      <c r="DA2003" s="1"/>
      <c r="DB2003" s="1"/>
      <c r="DC2003" s="1"/>
    </row>
    <row r="2004" spans="1:107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  <c r="AG2004" s="1"/>
      <c r="AH2004" s="1"/>
      <c r="AI2004" s="1"/>
      <c r="AJ2004" s="1"/>
      <c r="AK2004" s="1"/>
      <c r="AL2004" s="1"/>
      <c r="AM2004" s="1"/>
      <c r="AN2004" s="1"/>
      <c r="AO2004" s="1"/>
      <c r="AP2004" s="1"/>
      <c r="AQ2004" s="1"/>
      <c r="AR2004" s="1"/>
      <c r="AS2004" s="1"/>
      <c r="AT2004" s="1"/>
      <c r="AU2004" s="1"/>
      <c r="AV2004" s="1"/>
      <c r="AW2004" s="1"/>
      <c r="AX2004" s="1"/>
      <c r="AY2004" s="1"/>
      <c r="AZ2004" s="1"/>
      <c r="BA2004" s="1"/>
      <c r="BB2004" s="1"/>
      <c r="BC2004" s="1"/>
      <c r="BD2004" s="1"/>
      <c r="BE2004" s="1"/>
      <c r="BF2004" s="1"/>
      <c r="BG2004" s="1"/>
      <c r="BH2004" s="1"/>
      <c r="BI2004" s="1"/>
      <c r="BJ2004" s="1"/>
      <c r="BK2004" s="1"/>
      <c r="BL2004" s="1"/>
      <c r="BM2004" s="1"/>
      <c r="BN2004" s="1"/>
      <c r="BO2004" s="1"/>
      <c r="BP2004" s="1"/>
      <c r="BQ2004" s="1"/>
      <c r="BR2004" s="1"/>
      <c r="BS2004" s="1"/>
      <c r="BT2004" s="1"/>
      <c r="BU2004" s="1"/>
      <c r="BV2004" s="1"/>
      <c r="BW2004" s="1"/>
      <c r="BX2004" s="1"/>
      <c r="BY2004" s="1"/>
      <c r="BZ2004" s="1"/>
      <c r="CA2004" s="1"/>
      <c r="CB2004" s="1"/>
      <c r="CC2004" s="1"/>
      <c r="CD2004" s="1"/>
      <c r="CE2004" s="1"/>
      <c r="CF2004" s="1"/>
      <c r="CG2004" s="1"/>
      <c r="CH2004" s="1"/>
      <c r="CI2004" s="1"/>
      <c r="CJ2004" s="1"/>
      <c r="CK2004" s="1"/>
      <c r="CL2004" s="1"/>
      <c r="CM2004" s="1"/>
      <c r="CN2004" s="1"/>
      <c r="CO2004" s="1"/>
      <c r="CP2004" s="1"/>
      <c r="CQ2004" s="1"/>
      <c r="CR2004" s="1"/>
      <c r="CS2004" s="1"/>
      <c r="CT2004" s="1"/>
      <c r="CU2004" s="1"/>
      <c r="CV2004" s="1"/>
      <c r="CW2004" s="1"/>
      <c r="CX2004" s="1"/>
      <c r="CY2004" s="1"/>
      <c r="CZ2004" s="1"/>
      <c r="DA2004" s="1"/>
      <c r="DB2004" s="1"/>
      <c r="DC2004" s="1"/>
    </row>
    <row r="2005" spans="1:107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  <c r="AG2005" s="1"/>
      <c r="AH2005" s="1"/>
      <c r="AI2005" s="1"/>
      <c r="AJ2005" s="1"/>
      <c r="AK2005" s="1"/>
      <c r="AL2005" s="1"/>
      <c r="AM2005" s="1"/>
      <c r="AN2005" s="1"/>
      <c r="AO2005" s="1"/>
      <c r="AP2005" s="1"/>
      <c r="AQ2005" s="1"/>
      <c r="AR2005" s="1"/>
      <c r="AS2005" s="1"/>
      <c r="AT2005" s="1"/>
      <c r="AU2005" s="1"/>
      <c r="AV2005" s="1"/>
      <c r="AW2005" s="1"/>
      <c r="AX2005" s="1"/>
      <c r="AY2005" s="1"/>
      <c r="AZ2005" s="1"/>
      <c r="BA2005" s="1"/>
      <c r="BB2005" s="1"/>
      <c r="BC2005" s="1"/>
      <c r="BD2005" s="1"/>
      <c r="BE2005" s="1"/>
      <c r="BF2005" s="1"/>
      <c r="BG2005" s="1"/>
      <c r="BH2005" s="1"/>
      <c r="BI2005" s="1"/>
      <c r="BJ2005" s="1"/>
      <c r="BK2005" s="1"/>
      <c r="BL2005" s="1"/>
      <c r="BM2005" s="1"/>
      <c r="BN2005" s="1"/>
      <c r="BO2005" s="1"/>
      <c r="BP2005" s="1"/>
      <c r="BQ2005" s="1"/>
      <c r="BR2005" s="1"/>
      <c r="BS2005" s="1"/>
      <c r="BT2005" s="1"/>
      <c r="BU2005" s="1"/>
      <c r="BV2005" s="1"/>
      <c r="BW2005" s="1"/>
      <c r="BX2005" s="1"/>
      <c r="BY2005" s="1"/>
      <c r="BZ2005" s="1"/>
      <c r="CA2005" s="1"/>
      <c r="CB2005" s="1"/>
      <c r="CC2005" s="1"/>
      <c r="CD2005" s="1"/>
      <c r="CE2005" s="1"/>
      <c r="CF2005" s="1"/>
      <c r="CG2005" s="1"/>
      <c r="CH2005" s="1"/>
      <c r="CI2005" s="1"/>
      <c r="CJ2005" s="1"/>
      <c r="CK2005" s="1"/>
      <c r="CL2005" s="1"/>
      <c r="CM2005" s="1"/>
      <c r="CN2005" s="1"/>
      <c r="CO2005" s="1"/>
      <c r="CP2005" s="1"/>
      <c r="CQ2005" s="1"/>
      <c r="CR2005" s="1"/>
      <c r="CS2005" s="1"/>
      <c r="CT2005" s="1"/>
      <c r="CU2005" s="1"/>
      <c r="CV2005" s="1"/>
      <c r="CW2005" s="1"/>
      <c r="CX2005" s="1"/>
      <c r="CY2005" s="1"/>
      <c r="CZ2005" s="1"/>
      <c r="DA2005" s="1"/>
      <c r="DB2005" s="1"/>
      <c r="DC2005" s="1"/>
    </row>
    <row r="2006" spans="1:107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  <c r="AG2006" s="1"/>
      <c r="AH2006" s="1"/>
      <c r="AI2006" s="1"/>
      <c r="AJ2006" s="1"/>
      <c r="AK2006" s="1"/>
      <c r="AL2006" s="1"/>
      <c r="AM2006" s="1"/>
      <c r="AN2006" s="1"/>
      <c r="AO2006" s="1"/>
      <c r="AP2006" s="1"/>
      <c r="AQ2006" s="1"/>
      <c r="AR2006" s="1"/>
      <c r="AS2006" s="1"/>
      <c r="AT2006" s="1"/>
      <c r="AU2006" s="1"/>
      <c r="AV2006" s="1"/>
      <c r="AW2006" s="1"/>
      <c r="AX2006" s="1"/>
      <c r="AY2006" s="1"/>
      <c r="AZ2006" s="1"/>
      <c r="BA2006" s="1"/>
      <c r="BB2006" s="1"/>
      <c r="BC2006" s="1"/>
      <c r="BD2006" s="1"/>
      <c r="BE2006" s="1"/>
      <c r="BF2006" s="1"/>
      <c r="BG2006" s="1"/>
      <c r="BH2006" s="1"/>
      <c r="BI2006" s="1"/>
      <c r="BJ2006" s="1"/>
      <c r="BK2006" s="1"/>
      <c r="BL2006" s="1"/>
      <c r="BM2006" s="1"/>
      <c r="BN2006" s="1"/>
      <c r="BO2006" s="1"/>
      <c r="BP2006" s="1"/>
      <c r="BQ2006" s="1"/>
      <c r="BR2006" s="1"/>
      <c r="BS2006" s="1"/>
      <c r="BT2006" s="1"/>
      <c r="BU2006" s="1"/>
      <c r="BV2006" s="1"/>
      <c r="BW2006" s="1"/>
      <c r="BX2006" s="1"/>
      <c r="BY2006" s="1"/>
      <c r="BZ2006" s="1"/>
      <c r="CA2006" s="1"/>
      <c r="CB2006" s="1"/>
      <c r="CC2006" s="1"/>
      <c r="CD2006" s="1"/>
      <c r="CE2006" s="1"/>
      <c r="CF2006" s="1"/>
      <c r="CG2006" s="1"/>
      <c r="CH2006" s="1"/>
      <c r="CI2006" s="1"/>
      <c r="CJ2006" s="1"/>
      <c r="CK2006" s="1"/>
      <c r="CL2006" s="1"/>
      <c r="CM2006" s="1"/>
      <c r="CN2006" s="1"/>
      <c r="CO2006" s="1"/>
      <c r="CP2006" s="1"/>
      <c r="CQ2006" s="1"/>
      <c r="CR2006" s="1"/>
      <c r="CS2006" s="1"/>
      <c r="CT2006" s="1"/>
      <c r="CU2006" s="1"/>
      <c r="CV2006" s="1"/>
      <c r="CW2006" s="1"/>
      <c r="CX2006" s="1"/>
      <c r="CY2006" s="1"/>
      <c r="CZ2006" s="1"/>
      <c r="DA2006" s="1"/>
      <c r="DB2006" s="1"/>
      <c r="DC2006" s="1"/>
    </row>
    <row r="2007" spans="1:107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  <c r="AG2007" s="1"/>
      <c r="AH2007" s="1"/>
      <c r="AI2007" s="1"/>
      <c r="AJ2007" s="1"/>
      <c r="AK2007" s="1"/>
      <c r="AL2007" s="1"/>
      <c r="AM2007" s="1"/>
      <c r="AN2007" s="1"/>
      <c r="AO2007" s="1"/>
      <c r="AP2007" s="1"/>
      <c r="AQ2007" s="1"/>
      <c r="AR2007" s="1"/>
      <c r="AS2007" s="1"/>
      <c r="AT2007" s="1"/>
      <c r="AU2007" s="1"/>
      <c r="AV2007" s="1"/>
      <c r="AW2007" s="1"/>
      <c r="AX2007" s="1"/>
      <c r="AY2007" s="1"/>
      <c r="AZ2007" s="1"/>
      <c r="BA2007" s="1"/>
      <c r="BB2007" s="1"/>
      <c r="BC2007" s="1"/>
      <c r="BD2007" s="1"/>
      <c r="BE2007" s="1"/>
      <c r="BF2007" s="1"/>
      <c r="BG2007" s="1"/>
      <c r="BH2007" s="1"/>
      <c r="BI2007" s="1"/>
      <c r="BJ2007" s="1"/>
      <c r="BK2007" s="1"/>
      <c r="BL2007" s="1"/>
      <c r="BM2007" s="1"/>
      <c r="BN2007" s="1"/>
      <c r="BO2007" s="1"/>
      <c r="BP2007" s="1"/>
      <c r="BQ2007" s="1"/>
      <c r="BR2007" s="1"/>
      <c r="BS2007" s="1"/>
      <c r="BT2007" s="1"/>
      <c r="BU2007" s="1"/>
      <c r="BV2007" s="1"/>
      <c r="BW2007" s="1"/>
      <c r="BX2007" s="1"/>
      <c r="BY2007" s="1"/>
      <c r="BZ2007" s="1"/>
      <c r="CA2007" s="1"/>
      <c r="CB2007" s="1"/>
      <c r="CC2007" s="1"/>
      <c r="CD2007" s="1"/>
      <c r="CE2007" s="1"/>
      <c r="CF2007" s="1"/>
      <c r="CG2007" s="1"/>
      <c r="CH2007" s="1"/>
      <c r="CI2007" s="1"/>
      <c r="CJ2007" s="1"/>
      <c r="CK2007" s="1"/>
      <c r="CL2007" s="1"/>
      <c r="CM2007" s="1"/>
      <c r="CN2007" s="1"/>
      <c r="CO2007" s="1"/>
      <c r="CP2007" s="1"/>
      <c r="CQ2007" s="1"/>
      <c r="CR2007" s="1"/>
      <c r="CS2007" s="1"/>
      <c r="CT2007" s="1"/>
      <c r="CU2007" s="1"/>
      <c r="CV2007" s="1"/>
      <c r="CW2007" s="1"/>
      <c r="CX2007" s="1"/>
      <c r="CY2007" s="1"/>
      <c r="CZ2007" s="1"/>
      <c r="DA2007" s="1"/>
      <c r="DB2007" s="1"/>
      <c r="DC2007" s="1"/>
    </row>
    <row r="2008" spans="1:107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  <c r="AG2008" s="1"/>
      <c r="AH2008" s="1"/>
      <c r="AI2008" s="1"/>
      <c r="AJ2008" s="1"/>
      <c r="AK2008" s="1"/>
      <c r="AL2008" s="1"/>
      <c r="AM2008" s="1"/>
      <c r="AN2008" s="1"/>
      <c r="AO2008" s="1"/>
      <c r="AP2008" s="1"/>
      <c r="AQ2008" s="1"/>
      <c r="AR2008" s="1"/>
      <c r="AS2008" s="1"/>
      <c r="AT2008" s="1"/>
      <c r="AU2008" s="1"/>
      <c r="AV2008" s="1"/>
      <c r="AW2008" s="1"/>
      <c r="AX2008" s="1"/>
      <c r="AY2008" s="1"/>
      <c r="AZ2008" s="1"/>
      <c r="BA2008" s="1"/>
      <c r="BB2008" s="1"/>
      <c r="BC2008" s="1"/>
      <c r="BD2008" s="1"/>
      <c r="BE2008" s="1"/>
      <c r="BF2008" s="1"/>
      <c r="BG2008" s="1"/>
      <c r="BH2008" s="1"/>
      <c r="BI2008" s="1"/>
      <c r="BJ2008" s="1"/>
      <c r="BK2008" s="1"/>
      <c r="BL2008" s="1"/>
      <c r="BM2008" s="1"/>
      <c r="BN2008" s="1"/>
      <c r="BO2008" s="1"/>
      <c r="BP2008" s="1"/>
      <c r="BQ2008" s="1"/>
      <c r="BR2008" s="1"/>
      <c r="BS2008" s="1"/>
      <c r="BT2008" s="1"/>
      <c r="BU2008" s="1"/>
      <c r="BV2008" s="1"/>
      <c r="BW2008" s="1"/>
      <c r="BX2008" s="1"/>
      <c r="BY2008" s="1"/>
      <c r="BZ2008" s="1"/>
      <c r="CA2008" s="1"/>
      <c r="CB2008" s="1"/>
      <c r="CC2008" s="1"/>
      <c r="CD2008" s="1"/>
      <c r="CE2008" s="1"/>
      <c r="CF2008" s="1"/>
      <c r="CG2008" s="1"/>
      <c r="CH2008" s="1"/>
      <c r="CI2008" s="1"/>
      <c r="CJ2008" s="1"/>
      <c r="CK2008" s="1"/>
      <c r="CL2008" s="1"/>
      <c r="CM2008" s="1"/>
      <c r="CN2008" s="1"/>
      <c r="CO2008" s="1"/>
      <c r="CP2008" s="1"/>
      <c r="CQ2008" s="1"/>
      <c r="CR2008" s="1"/>
      <c r="CS2008" s="1"/>
      <c r="CT2008" s="1"/>
      <c r="CU2008" s="1"/>
      <c r="CV2008" s="1"/>
      <c r="CW2008" s="1"/>
      <c r="CX2008" s="1"/>
      <c r="CY2008" s="1"/>
      <c r="CZ2008" s="1"/>
      <c r="DA2008" s="1"/>
      <c r="DB2008" s="1"/>
      <c r="DC2008" s="1"/>
    </row>
    <row r="2009" spans="1:107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  <c r="AG2009" s="1"/>
      <c r="AH2009" s="1"/>
      <c r="AI2009" s="1"/>
      <c r="AJ2009" s="1"/>
      <c r="AK2009" s="1"/>
      <c r="AL2009" s="1"/>
      <c r="AM2009" s="1"/>
      <c r="AN2009" s="1"/>
      <c r="AO2009" s="1"/>
      <c r="AP2009" s="1"/>
      <c r="AQ2009" s="1"/>
      <c r="AR2009" s="1"/>
      <c r="AS2009" s="1"/>
      <c r="AT2009" s="1"/>
      <c r="AU2009" s="1"/>
      <c r="AV2009" s="1"/>
      <c r="AW2009" s="1"/>
      <c r="AX2009" s="1"/>
      <c r="AY2009" s="1"/>
      <c r="AZ2009" s="1"/>
      <c r="BA2009" s="1"/>
      <c r="BB2009" s="1"/>
      <c r="BC2009" s="1"/>
      <c r="BD2009" s="1"/>
      <c r="BE2009" s="1"/>
      <c r="BF2009" s="1"/>
      <c r="BG2009" s="1"/>
      <c r="BH2009" s="1"/>
      <c r="BI2009" s="1"/>
      <c r="BJ2009" s="1"/>
      <c r="BK2009" s="1"/>
      <c r="BL2009" s="1"/>
      <c r="BM2009" s="1"/>
      <c r="BN2009" s="1"/>
      <c r="BO2009" s="1"/>
      <c r="BP2009" s="1"/>
      <c r="BQ2009" s="1"/>
      <c r="BR2009" s="1"/>
      <c r="BS2009" s="1"/>
      <c r="BT2009" s="1"/>
      <c r="BU2009" s="1"/>
      <c r="BV2009" s="1"/>
      <c r="BW2009" s="1"/>
      <c r="BX2009" s="1"/>
      <c r="BY2009" s="1"/>
      <c r="BZ2009" s="1"/>
      <c r="CA2009" s="1"/>
      <c r="CB2009" s="1"/>
      <c r="CC2009" s="1"/>
      <c r="CD2009" s="1"/>
      <c r="CE2009" s="1"/>
      <c r="CF2009" s="1"/>
      <c r="CG2009" s="1"/>
      <c r="CH2009" s="1"/>
      <c r="CI2009" s="1"/>
      <c r="CJ2009" s="1"/>
      <c r="CK2009" s="1"/>
      <c r="CL2009" s="1"/>
      <c r="CM2009" s="1"/>
      <c r="CN2009" s="1"/>
      <c r="CO2009" s="1"/>
      <c r="CP2009" s="1"/>
      <c r="CQ2009" s="1"/>
      <c r="CR2009" s="1"/>
      <c r="CS2009" s="1"/>
      <c r="CT2009" s="1"/>
      <c r="CU2009" s="1"/>
      <c r="CV2009" s="1"/>
      <c r="CW2009" s="1"/>
      <c r="CX2009" s="1"/>
      <c r="CY2009" s="1"/>
      <c r="CZ2009" s="1"/>
      <c r="DA2009" s="1"/>
      <c r="DB2009" s="1"/>
      <c r="DC2009" s="1"/>
    </row>
    <row r="2010" spans="1:107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  <c r="AE2010" s="1"/>
      <c r="AF2010" s="1"/>
      <c r="AG2010" s="1"/>
      <c r="AH2010" s="1"/>
      <c r="AI2010" s="1"/>
      <c r="AJ2010" s="1"/>
      <c r="AK2010" s="1"/>
      <c r="AL2010" s="1"/>
      <c r="AM2010" s="1"/>
      <c r="AN2010" s="1"/>
      <c r="AO2010" s="1"/>
      <c r="AP2010" s="1"/>
      <c r="AQ2010" s="1"/>
      <c r="AR2010" s="1"/>
      <c r="AS2010" s="1"/>
      <c r="AT2010" s="1"/>
      <c r="AU2010" s="1"/>
      <c r="AV2010" s="1"/>
      <c r="AW2010" s="1"/>
      <c r="AX2010" s="1"/>
      <c r="AY2010" s="1"/>
      <c r="AZ2010" s="1"/>
      <c r="BA2010" s="1"/>
      <c r="BB2010" s="1"/>
      <c r="BC2010" s="1"/>
      <c r="BD2010" s="1"/>
      <c r="BE2010" s="1"/>
      <c r="BF2010" s="1"/>
      <c r="BG2010" s="1"/>
      <c r="BH2010" s="1"/>
      <c r="BI2010" s="1"/>
      <c r="BJ2010" s="1"/>
      <c r="BK2010" s="1"/>
      <c r="BL2010" s="1"/>
      <c r="BM2010" s="1"/>
      <c r="BN2010" s="1"/>
      <c r="BO2010" s="1"/>
      <c r="BP2010" s="1"/>
      <c r="BQ2010" s="1"/>
      <c r="BR2010" s="1"/>
      <c r="BS2010" s="1"/>
      <c r="BT2010" s="1"/>
      <c r="BU2010" s="1"/>
      <c r="BV2010" s="1"/>
      <c r="BW2010" s="1"/>
      <c r="BX2010" s="1"/>
      <c r="BY2010" s="1"/>
      <c r="BZ2010" s="1"/>
      <c r="CA2010" s="1"/>
      <c r="CB2010" s="1"/>
      <c r="CC2010" s="1"/>
      <c r="CD2010" s="1"/>
      <c r="CE2010" s="1"/>
      <c r="CF2010" s="1"/>
      <c r="CG2010" s="1"/>
      <c r="CH2010" s="1"/>
      <c r="CI2010" s="1"/>
      <c r="CJ2010" s="1"/>
      <c r="CK2010" s="1"/>
      <c r="CL2010" s="1"/>
      <c r="CM2010" s="1"/>
      <c r="CN2010" s="1"/>
      <c r="CO2010" s="1"/>
      <c r="CP2010" s="1"/>
      <c r="CQ2010" s="1"/>
      <c r="CR2010" s="1"/>
      <c r="CS2010" s="1"/>
      <c r="CT2010" s="1"/>
      <c r="CU2010" s="1"/>
      <c r="CV2010" s="1"/>
      <c r="CW2010" s="1"/>
      <c r="CX2010" s="1"/>
      <c r="CY2010" s="1"/>
      <c r="CZ2010" s="1"/>
      <c r="DA2010" s="1"/>
      <c r="DB2010" s="1"/>
      <c r="DC2010" s="1"/>
    </row>
    <row r="2011" spans="1:107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  <c r="AE2011" s="1"/>
      <c r="AF2011" s="1"/>
      <c r="AG2011" s="1"/>
      <c r="AH2011" s="1"/>
      <c r="AI2011" s="1"/>
      <c r="AJ2011" s="1"/>
      <c r="AK2011" s="1"/>
      <c r="AL2011" s="1"/>
      <c r="AM2011" s="1"/>
      <c r="AN2011" s="1"/>
      <c r="AO2011" s="1"/>
      <c r="AP2011" s="1"/>
      <c r="AQ2011" s="1"/>
      <c r="AR2011" s="1"/>
      <c r="AS2011" s="1"/>
      <c r="AT2011" s="1"/>
      <c r="AU2011" s="1"/>
      <c r="AV2011" s="1"/>
      <c r="AW2011" s="1"/>
      <c r="AX2011" s="1"/>
      <c r="AY2011" s="1"/>
      <c r="AZ2011" s="1"/>
      <c r="BA2011" s="1"/>
      <c r="BB2011" s="1"/>
      <c r="BC2011" s="1"/>
      <c r="BD2011" s="1"/>
      <c r="BE2011" s="1"/>
      <c r="BF2011" s="1"/>
      <c r="BG2011" s="1"/>
      <c r="BH2011" s="1"/>
      <c r="BI2011" s="1"/>
      <c r="BJ2011" s="1"/>
      <c r="BK2011" s="1"/>
      <c r="BL2011" s="1"/>
      <c r="BM2011" s="1"/>
      <c r="BN2011" s="1"/>
      <c r="BO2011" s="1"/>
      <c r="BP2011" s="1"/>
      <c r="BQ2011" s="1"/>
      <c r="BR2011" s="1"/>
      <c r="BS2011" s="1"/>
      <c r="BT2011" s="1"/>
      <c r="BU2011" s="1"/>
      <c r="BV2011" s="1"/>
      <c r="BW2011" s="1"/>
      <c r="BX2011" s="1"/>
      <c r="BY2011" s="1"/>
      <c r="BZ2011" s="1"/>
      <c r="CA2011" s="1"/>
      <c r="CB2011" s="1"/>
      <c r="CC2011" s="1"/>
      <c r="CD2011" s="1"/>
      <c r="CE2011" s="1"/>
      <c r="CF2011" s="1"/>
      <c r="CG2011" s="1"/>
      <c r="CH2011" s="1"/>
      <c r="CI2011" s="1"/>
      <c r="CJ2011" s="1"/>
      <c r="CK2011" s="1"/>
      <c r="CL2011" s="1"/>
      <c r="CM2011" s="1"/>
      <c r="CN2011" s="1"/>
      <c r="CO2011" s="1"/>
      <c r="CP2011" s="1"/>
      <c r="CQ2011" s="1"/>
      <c r="CR2011" s="1"/>
      <c r="CS2011" s="1"/>
      <c r="CT2011" s="1"/>
      <c r="CU2011" s="1"/>
      <c r="CV2011" s="1"/>
      <c r="CW2011" s="1"/>
      <c r="CX2011" s="1"/>
      <c r="CY2011" s="1"/>
      <c r="CZ2011" s="1"/>
      <c r="DA2011" s="1"/>
      <c r="DB2011" s="1"/>
      <c r="DC2011" s="1"/>
    </row>
    <row r="2012" spans="1:107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  <c r="AD2012" s="1"/>
      <c r="AE2012" s="1"/>
      <c r="AF2012" s="1"/>
      <c r="AG2012" s="1"/>
      <c r="AH2012" s="1"/>
      <c r="AI2012" s="1"/>
      <c r="AJ2012" s="1"/>
      <c r="AK2012" s="1"/>
      <c r="AL2012" s="1"/>
      <c r="AM2012" s="1"/>
      <c r="AN2012" s="1"/>
      <c r="AO2012" s="1"/>
      <c r="AP2012" s="1"/>
      <c r="AQ2012" s="1"/>
      <c r="AR2012" s="1"/>
      <c r="AS2012" s="1"/>
      <c r="AT2012" s="1"/>
      <c r="AU2012" s="1"/>
      <c r="AV2012" s="1"/>
      <c r="AW2012" s="1"/>
      <c r="AX2012" s="1"/>
      <c r="AY2012" s="1"/>
      <c r="AZ2012" s="1"/>
      <c r="BA2012" s="1"/>
      <c r="BB2012" s="1"/>
      <c r="BC2012" s="1"/>
      <c r="BD2012" s="1"/>
      <c r="BE2012" s="1"/>
      <c r="BF2012" s="1"/>
      <c r="BG2012" s="1"/>
      <c r="BH2012" s="1"/>
      <c r="BI2012" s="1"/>
      <c r="BJ2012" s="1"/>
      <c r="BK2012" s="1"/>
      <c r="BL2012" s="1"/>
      <c r="BM2012" s="1"/>
      <c r="BN2012" s="1"/>
      <c r="BO2012" s="1"/>
      <c r="BP2012" s="1"/>
      <c r="BQ2012" s="1"/>
      <c r="BR2012" s="1"/>
      <c r="BS2012" s="1"/>
      <c r="BT2012" s="1"/>
      <c r="BU2012" s="1"/>
      <c r="BV2012" s="1"/>
      <c r="BW2012" s="1"/>
      <c r="BX2012" s="1"/>
      <c r="BY2012" s="1"/>
      <c r="BZ2012" s="1"/>
      <c r="CA2012" s="1"/>
      <c r="CB2012" s="1"/>
      <c r="CC2012" s="1"/>
      <c r="CD2012" s="1"/>
      <c r="CE2012" s="1"/>
      <c r="CF2012" s="1"/>
      <c r="CG2012" s="1"/>
      <c r="CH2012" s="1"/>
      <c r="CI2012" s="1"/>
      <c r="CJ2012" s="1"/>
      <c r="CK2012" s="1"/>
      <c r="CL2012" s="1"/>
      <c r="CM2012" s="1"/>
      <c r="CN2012" s="1"/>
      <c r="CO2012" s="1"/>
      <c r="CP2012" s="1"/>
      <c r="CQ2012" s="1"/>
      <c r="CR2012" s="1"/>
      <c r="CS2012" s="1"/>
      <c r="CT2012" s="1"/>
      <c r="CU2012" s="1"/>
      <c r="CV2012" s="1"/>
      <c r="CW2012" s="1"/>
      <c r="CX2012" s="1"/>
      <c r="CY2012" s="1"/>
      <c r="CZ2012" s="1"/>
      <c r="DA2012" s="1"/>
      <c r="DB2012" s="1"/>
      <c r="DC2012" s="1"/>
    </row>
    <row r="2013" spans="1:107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  <c r="AD2013" s="1"/>
      <c r="AE2013" s="1"/>
      <c r="AF2013" s="1"/>
      <c r="AG2013" s="1"/>
      <c r="AH2013" s="1"/>
      <c r="AI2013" s="1"/>
      <c r="AJ2013" s="1"/>
      <c r="AK2013" s="1"/>
      <c r="AL2013" s="1"/>
      <c r="AM2013" s="1"/>
      <c r="AN2013" s="1"/>
      <c r="AO2013" s="1"/>
      <c r="AP2013" s="1"/>
      <c r="AQ2013" s="1"/>
      <c r="AR2013" s="1"/>
      <c r="AS2013" s="1"/>
      <c r="AT2013" s="1"/>
      <c r="AU2013" s="1"/>
      <c r="AV2013" s="1"/>
      <c r="AW2013" s="1"/>
      <c r="AX2013" s="1"/>
      <c r="AY2013" s="1"/>
      <c r="AZ2013" s="1"/>
      <c r="BA2013" s="1"/>
      <c r="BB2013" s="1"/>
      <c r="BC2013" s="1"/>
      <c r="BD2013" s="1"/>
      <c r="BE2013" s="1"/>
      <c r="BF2013" s="1"/>
      <c r="BG2013" s="1"/>
      <c r="BH2013" s="1"/>
      <c r="BI2013" s="1"/>
      <c r="BJ2013" s="1"/>
      <c r="BK2013" s="1"/>
      <c r="BL2013" s="1"/>
      <c r="BM2013" s="1"/>
      <c r="BN2013" s="1"/>
      <c r="BO2013" s="1"/>
      <c r="BP2013" s="1"/>
      <c r="BQ2013" s="1"/>
      <c r="BR2013" s="1"/>
      <c r="BS2013" s="1"/>
      <c r="BT2013" s="1"/>
      <c r="BU2013" s="1"/>
      <c r="BV2013" s="1"/>
      <c r="BW2013" s="1"/>
      <c r="BX2013" s="1"/>
      <c r="BY2013" s="1"/>
      <c r="BZ2013" s="1"/>
      <c r="CA2013" s="1"/>
      <c r="CB2013" s="1"/>
      <c r="CC2013" s="1"/>
      <c r="CD2013" s="1"/>
      <c r="CE2013" s="1"/>
      <c r="CF2013" s="1"/>
      <c r="CG2013" s="1"/>
      <c r="CH2013" s="1"/>
      <c r="CI2013" s="1"/>
      <c r="CJ2013" s="1"/>
      <c r="CK2013" s="1"/>
      <c r="CL2013" s="1"/>
      <c r="CM2013" s="1"/>
      <c r="CN2013" s="1"/>
      <c r="CO2013" s="1"/>
      <c r="CP2013" s="1"/>
      <c r="CQ2013" s="1"/>
      <c r="CR2013" s="1"/>
      <c r="CS2013" s="1"/>
      <c r="CT2013" s="1"/>
      <c r="CU2013" s="1"/>
      <c r="CV2013" s="1"/>
      <c r="CW2013" s="1"/>
      <c r="CX2013" s="1"/>
      <c r="CY2013" s="1"/>
      <c r="CZ2013" s="1"/>
      <c r="DA2013" s="1"/>
      <c r="DB2013" s="1"/>
      <c r="DC2013" s="1"/>
    </row>
    <row r="2014" spans="1:107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  <c r="AD2014" s="1"/>
      <c r="AE2014" s="1"/>
      <c r="AF2014" s="1"/>
      <c r="AG2014" s="1"/>
      <c r="AH2014" s="1"/>
      <c r="AI2014" s="1"/>
      <c r="AJ2014" s="1"/>
      <c r="AK2014" s="1"/>
      <c r="AL2014" s="1"/>
      <c r="AM2014" s="1"/>
      <c r="AN2014" s="1"/>
      <c r="AO2014" s="1"/>
      <c r="AP2014" s="1"/>
      <c r="AQ2014" s="1"/>
      <c r="AR2014" s="1"/>
      <c r="AS2014" s="1"/>
      <c r="AT2014" s="1"/>
      <c r="AU2014" s="1"/>
      <c r="AV2014" s="1"/>
      <c r="AW2014" s="1"/>
      <c r="AX2014" s="1"/>
      <c r="AY2014" s="1"/>
      <c r="AZ2014" s="1"/>
      <c r="BA2014" s="1"/>
      <c r="BB2014" s="1"/>
      <c r="BC2014" s="1"/>
      <c r="BD2014" s="1"/>
      <c r="BE2014" s="1"/>
      <c r="BF2014" s="1"/>
      <c r="BG2014" s="1"/>
      <c r="BH2014" s="1"/>
      <c r="BI2014" s="1"/>
      <c r="BJ2014" s="1"/>
      <c r="BK2014" s="1"/>
      <c r="BL2014" s="1"/>
      <c r="BM2014" s="1"/>
      <c r="BN2014" s="1"/>
      <c r="BO2014" s="1"/>
      <c r="BP2014" s="1"/>
      <c r="BQ2014" s="1"/>
      <c r="BR2014" s="1"/>
      <c r="BS2014" s="1"/>
      <c r="BT2014" s="1"/>
      <c r="BU2014" s="1"/>
      <c r="BV2014" s="1"/>
      <c r="BW2014" s="1"/>
      <c r="BX2014" s="1"/>
      <c r="BY2014" s="1"/>
      <c r="BZ2014" s="1"/>
      <c r="CA2014" s="1"/>
      <c r="CB2014" s="1"/>
      <c r="CC2014" s="1"/>
      <c r="CD2014" s="1"/>
      <c r="CE2014" s="1"/>
      <c r="CF2014" s="1"/>
      <c r="CG2014" s="1"/>
      <c r="CH2014" s="1"/>
      <c r="CI2014" s="1"/>
      <c r="CJ2014" s="1"/>
      <c r="CK2014" s="1"/>
      <c r="CL2014" s="1"/>
      <c r="CM2014" s="1"/>
      <c r="CN2014" s="1"/>
      <c r="CO2014" s="1"/>
      <c r="CP2014" s="1"/>
      <c r="CQ2014" s="1"/>
      <c r="CR2014" s="1"/>
      <c r="CS2014" s="1"/>
      <c r="CT2014" s="1"/>
      <c r="CU2014" s="1"/>
      <c r="CV2014" s="1"/>
      <c r="CW2014" s="1"/>
      <c r="CX2014" s="1"/>
      <c r="CY2014" s="1"/>
      <c r="CZ2014" s="1"/>
      <c r="DA2014" s="1"/>
      <c r="DB2014" s="1"/>
      <c r="DC2014" s="1"/>
    </row>
    <row r="2015" spans="1:107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  <c r="AG2015" s="1"/>
      <c r="AH2015" s="1"/>
      <c r="AI2015" s="1"/>
      <c r="AJ2015" s="1"/>
      <c r="AK2015" s="1"/>
      <c r="AL2015" s="1"/>
      <c r="AM2015" s="1"/>
      <c r="AN2015" s="1"/>
      <c r="AO2015" s="1"/>
      <c r="AP2015" s="1"/>
      <c r="AQ2015" s="1"/>
      <c r="AR2015" s="1"/>
      <c r="AS2015" s="1"/>
      <c r="AT2015" s="1"/>
      <c r="AU2015" s="1"/>
      <c r="AV2015" s="1"/>
      <c r="AW2015" s="1"/>
      <c r="AX2015" s="1"/>
      <c r="AY2015" s="1"/>
      <c r="AZ2015" s="1"/>
      <c r="BA2015" s="1"/>
      <c r="BB2015" s="1"/>
      <c r="BC2015" s="1"/>
      <c r="BD2015" s="1"/>
      <c r="BE2015" s="1"/>
      <c r="BF2015" s="1"/>
      <c r="BG2015" s="1"/>
      <c r="BH2015" s="1"/>
      <c r="BI2015" s="1"/>
      <c r="BJ2015" s="1"/>
      <c r="BK2015" s="1"/>
      <c r="BL2015" s="1"/>
      <c r="BM2015" s="1"/>
      <c r="BN2015" s="1"/>
      <c r="BO2015" s="1"/>
      <c r="BP2015" s="1"/>
      <c r="BQ2015" s="1"/>
      <c r="BR2015" s="1"/>
      <c r="BS2015" s="1"/>
      <c r="BT2015" s="1"/>
      <c r="BU2015" s="1"/>
      <c r="BV2015" s="1"/>
      <c r="BW2015" s="1"/>
      <c r="BX2015" s="1"/>
      <c r="BY2015" s="1"/>
      <c r="BZ2015" s="1"/>
      <c r="CA2015" s="1"/>
      <c r="CB2015" s="1"/>
      <c r="CC2015" s="1"/>
      <c r="CD2015" s="1"/>
      <c r="CE2015" s="1"/>
      <c r="CF2015" s="1"/>
      <c r="CG2015" s="1"/>
      <c r="CH2015" s="1"/>
      <c r="CI2015" s="1"/>
      <c r="CJ2015" s="1"/>
      <c r="CK2015" s="1"/>
      <c r="CL2015" s="1"/>
      <c r="CM2015" s="1"/>
      <c r="CN2015" s="1"/>
      <c r="CO2015" s="1"/>
      <c r="CP2015" s="1"/>
      <c r="CQ2015" s="1"/>
      <c r="CR2015" s="1"/>
      <c r="CS2015" s="1"/>
      <c r="CT2015" s="1"/>
      <c r="CU2015" s="1"/>
      <c r="CV2015" s="1"/>
      <c r="CW2015" s="1"/>
      <c r="CX2015" s="1"/>
      <c r="CY2015" s="1"/>
      <c r="CZ2015" s="1"/>
      <c r="DA2015" s="1"/>
      <c r="DB2015" s="1"/>
      <c r="DC2015" s="1"/>
    </row>
    <row r="2016" spans="1:107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1"/>
      <c r="AD2016" s="1"/>
      <c r="AE2016" s="1"/>
      <c r="AF2016" s="1"/>
      <c r="AG2016" s="1"/>
      <c r="AH2016" s="1"/>
      <c r="AI2016" s="1"/>
      <c r="AJ2016" s="1"/>
      <c r="AK2016" s="1"/>
      <c r="AL2016" s="1"/>
      <c r="AM2016" s="1"/>
      <c r="AN2016" s="1"/>
      <c r="AO2016" s="1"/>
      <c r="AP2016" s="1"/>
      <c r="AQ2016" s="1"/>
      <c r="AR2016" s="1"/>
      <c r="AS2016" s="1"/>
      <c r="AT2016" s="1"/>
      <c r="AU2016" s="1"/>
      <c r="AV2016" s="1"/>
      <c r="AW2016" s="1"/>
      <c r="AX2016" s="1"/>
      <c r="AY2016" s="1"/>
      <c r="AZ2016" s="1"/>
      <c r="BA2016" s="1"/>
      <c r="BB2016" s="1"/>
      <c r="BC2016" s="1"/>
      <c r="BD2016" s="1"/>
      <c r="BE2016" s="1"/>
      <c r="BF2016" s="1"/>
      <c r="BG2016" s="1"/>
      <c r="BH2016" s="1"/>
      <c r="BI2016" s="1"/>
      <c r="BJ2016" s="1"/>
      <c r="BK2016" s="1"/>
      <c r="BL2016" s="1"/>
      <c r="BM2016" s="1"/>
      <c r="BN2016" s="1"/>
      <c r="BO2016" s="1"/>
      <c r="BP2016" s="1"/>
      <c r="BQ2016" s="1"/>
      <c r="BR2016" s="1"/>
      <c r="BS2016" s="1"/>
      <c r="BT2016" s="1"/>
      <c r="BU2016" s="1"/>
      <c r="BV2016" s="1"/>
      <c r="BW2016" s="1"/>
      <c r="BX2016" s="1"/>
      <c r="BY2016" s="1"/>
      <c r="BZ2016" s="1"/>
      <c r="CA2016" s="1"/>
      <c r="CB2016" s="1"/>
      <c r="CC2016" s="1"/>
      <c r="CD2016" s="1"/>
      <c r="CE2016" s="1"/>
      <c r="CF2016" s="1"/>
      <c r="CG2016" s="1"/>
      <c r="CH2016" s="1"/>
      <c r="CI2016" s="1"/>
      <c r="CJ2016" s="1"/>
      <c r="CK2016" s="1"/>
      <c r="CL2016" s="1"/>
      <c r="CM2016" s="1"/>
      <c r="CN2016" s="1"/>
      <c r="CO2016" s="1"/>
      <c r="CP2016" s="1"/>
      <c r="CQ2016" s="1"/>
      <c r="CR2016" s="1"/>
      <c r="CS2016" s="1"/>
      <c r="CT2016" s="1"/>
      <c r="CU2016" s="1"/>
      <c r="CV2016" s="1"/>
      <c r="CW2016" s="1"/>
      <c r="CX2016" s="1"/>
      <c r="CY2016" s="1"/>
      <c r="CZ2016" s="1"/>
      <c r="DA2016" s="1"/>
      <c r="DB2016" s="1"/>
      <c r="DC2016" s="1"/>
    </row>
    <row r="2017" spans="1:107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  <c r="AE2017" s="1"/>
      <c r="AF2017" s="1"/>
      <c r="AG2017" s="1"/>
      <c r="AH2017" s="1"/>
      <c r="AI2017" s="1"/>
      <c r="AJ2017" s="1"/>
      <c r="AK2017" s="1"/>
      <c r="AL2017" s="1"/>
      <c r="AM2017" s="1"/>
      <c r="AN2017" s="1"/>
      <c r="AO2017" s="1"/>
      <c r="AP2017" s="1"/>
      <c r="AQ2017" s="1"/>
      <c r="AR2017" s="1"/>
      <c r="AS2017" s="1"/>
      <c r="AT2017" s="1"/>
      <c r="AU2017" s="1"/>
      <c r="AV2017" s="1"/>
      <c r="AW2017" s="1"/>
      <c r="AX2017" s="1"/>
      <c r="AY2017" s="1"/>
      <c r="AZ2017" s="1"/>
      <c r="BA2017" s="1"/>
      <c r="BB2017" s="1"/>
      <c r="BC2017" s="1"/>
      <c r="BD2017" s="1"/>
      <c r="BE2017" s="1"/>
      <c r="BF2017" s="1"/>
      <c r="BG2017" s="1"/>
      <c r="BH2017" s="1"/>
      <c r="BI2017" s="1"/>
      <c r="BJ2017" s="1"/>
      <c r="BK2017" s="1"/>
      <c r="BL2017" s="1"/>
      <c r="BM2017" s="1"/>
      <c r="BN2017" s="1"/>
      <c r="BO2017" s="1"/>
      <c r="BP2017" s="1"/>
      <c r="BQ2017" s="1"/>
      <c r="BR2017" s="1"/>
      <c r="BS2017" s="1"/>
      <c r="BT2017" s="1"/>
      <c r="BU2017" s="1"/>
      <c r="BV2017" s="1"/>
      <c r="BW2017" s="1"/>
      <c r="BX2017" s="1"/>
      <c r="BY2017" s="1"/>
      <c r="BZ2017" s="1"/>
      <c r="CA2017" s="1"/>
      <c r="CB2017" s="1"/>
      <c r="CC2017" s="1"/>
      <c r="CD2017" s="1"/>
      <c r="CE2017" s="1"/>
      <c r="CF2017" s="1"/>
      <c r="CG2017" s="1"/>
      <c r="CH2017" s="1"/>
      <c r="CI2017" s="1"/>
      <c r="CJ2017" s="1"/>
      <c r="CK2017" s="1"/>
      <c r="CL2017" s="1"/>
      <c r="CM2017" s="1"/>
      <c r="CN2017" s="1"/>
      <c r="CO2017" s="1"/>
      <c r="CP2017" s="1"/>
      <c r="CQ2017" s="1"/>
      <c r="CR2017" s="1"/>
      <c r="CS2017" s="1"/>
      <c r="CT2017" s="1"/>
      <c r="CU2017" s="1"/>
      <c r="CV2017" s="1"/>
      <c r="CW2017" s="1"/>
      <c r="CX2017" s="1"/>
      <c r="CY2017" s="1"/>
      <c r="CZ2017" s="1"/>
      <c r="DA2017" s="1"/>
      <c r="DB2017" s="1"/>
      <c r="DC2017" s="1"/>
    </row>
    <row r="2018" spans="1:107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/>
      <c r="AE2018" s="1"/>
      <c r="AF2018" s="1"/>
      <c r="AG2018" s="1"/>
      <c r="AH2018" s="1"/>
      <c r="AI2018" s="1"/>
      <c r="AJ2018" s="1"/>
      <c r="AK2018" s="1"/>
      <c r="AL2018" s="1"/>
      <c r="AM2018" s="1"/>
      <c r="AN2018" s="1"/>
      <c r="AO2018" s="1"/>
      <c r="AP2018" s="1"/>
      <c r="AQ2018" s="1"/>
      <c r="AR2018" s="1"/>
      <c r="AS2018" s="1"/>
      <c r="AT2018" s="1"/>
      <c r="AU2018" s="1"/>
      <c r="AV2018" s="1"/>
      <c r="AW2018" s="1"/>
      <c r="AX2018" s="1"/>
      <c r="AY2018" s="1"/>
      <c r="AZ2018" s="1"/>
      <c r="BA2018" s="1"/>
      <c r="BB2018" s="1"/>
      <c r="BC2018" s="1"/>
      <c r="BD2018" s="1"/>
      <c r="BE2018" s="1"/>
      <c r="BF2018" s="1"/>
      <c r="BG2018" s="1"/>
      <c r="BH2018" s="1"/>
      <c r="BI2018" s="1"/>
      <c r="BJ2018" s="1"/>
      <c r="BK2018" s="1"/>
      <c r="BL2018" s="1"/>
      <c r="BM2018" s="1"/>
      <c r="BN2018" s="1"/>
      <c r="BO2018" s="1"/>
      <c r="BP2018" s="1"/>
      <c r="BQ2018" s="1"/>
      <c r="BR2018" s="1"/>
      <c r="BS2018" s="1"/>
      <c r="BT2018" s="1"/>
      <c r="BU2018" s="1"/>
      <c r="BV2018" s="1"/>
      <c r="BW2018" s="1"/>
      <c r="BX2018" s="1"/>
      <c r="BY2018" s="1"/>
      <c r="BZ2018" s="1"/>
      <c r="CA2018" s="1"/>
      <c r="CB2018" s="1"/>
      <c r="CC2018" s="1"/>
      <c r="CD2018" s="1"/>
      <c r="CE2018" s="1"/>
      <c r="CF2018" s="1"/>
      <c r="CG2018" s="1"/>
      <c r="CH2018" s="1"/>
      <c r="CI2018" s="1"/>
      <c r="CJ2018" s="1"/>
      <c r="CK2018" s="1"/>
      <c r="CL2018" s="1"/>
      <c r="CM2018" s="1"/>
      <c r="CN2018" s="1"/>
      <c r="CO2018" s="1"/>
      <c r="CP2018" s="1"/>
      <c r="CQ2018" s="1"/>
      <c r="CR2018" s="1"/>
      <c r="CS2018" s="1"/>
      <c r="CT2018" s="1"/>
      <c r="CU2018" s="1"/>
      <c r="CV2018" s="1"/>
      <c r="CW2018" s="1"/>
      <c r="CX2018" s="1"/>
      <c r="CY2018" s="1"/>
      <c r="CZ2018" s="1"/>
      <c r="DA2018" s="1"/>
      <c r="DB2018" s="1"/>
      <c r="DC2018" s="1"/>
    </row>
    <row r="2019" spans="1:107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  <c r="AE2019" s="1"/>
      <c r="AF2019" s="1"/>
      <c r="AG2019" s="1"/>
      <c r="AH2019" s="1"/>
      <c r="AI2019" s="1"/>
      <c r="AJ2019" s="1"/>
      <c r="AK2019" s="1"/>
      <c r="AL2019" s="1"/>
      <c r="AM2019" s="1"/>
      <c r="AN2019" s="1"/>
      <c r="AO2019" s="1"/>
      <c r="AP2019" s="1"/>
      <c r="AQ2019" s="1"/>
      <c r="AR2019" s="1"/>
      <c r="AS2019" s="1"/>
      <c r="AT2019" s="1"/>
      <c r="AU2019" s="1"/>
      <c r="AV2019" s="1"/>
      <c r="AW2019" s="1"/>
      <c r="AX2019" s="1"/>
      <c r="AY2019" s="1"/>
      <c r="AZ2019" s="1"/>
      <c r="BA2019" s="1"/>
      <c r="BB2019" s="1"/>
      <c r="BC2019" s="1"/>
      <c r="BD2019" s="1"/>
      <c r="BE2019" s="1"/>
      <c r="BF2019" s="1"/>
      <c r="BG2019" s="1"/>
      <c r="BH2019" s="1"/>
      <c r="BI2019" s="1"/>
      <c r="BJ2019" s="1"/>
      <c r="BK2019" s="1"/>
      <c r="BL2019" s="1"/>
      <c r="BM2019" s="1"/>
      <c r="BN2019" s="1"/>
      <c r="BO2019" s="1"/>
      <c r="BP2019" s="1"/>
      <c r="BQ2019" s="1"/>
      <c r="BR2019" s="1"/>
      <c r="BS2019" s="1"/>
      <c r="BT2019" s="1"/>
      <c r="BU2019" s="1"/>
      <c r="BV2019" s="1"/>
      <c r="BW2019" s="1"/>
      <c r="BX2019" s="1"/>
      <c r="BY2019" s="1"/>
      <c r="BZ2019" s="1"/>
      <c r="CA2019" s="1"/>
      <c r="CB2019" s="1"/>
      <c r="CC2019" s="1"/>
      <c r="CD2019" s="1"/>
      <c r="CE2019" s="1"/>
      <c r="CF2019" s="1"/>
      <c r="CG2019" s="1"/>
      <c r="CH2019" s="1"/>
      <c r="CI2019" s="1"/>
      <c r="CJ2019" s="1"/>
      <c r="CK2019" s="1"/>
      <c r="CL2019" s="1"/>
      <c r="CM2019" s="1"/>
      <c r="CN2019" s="1"/>
      <c r="CO2019" s="1"/>
      <c r="CP2019" s="1"/>
      <c r="CQ2019" s="1"/>
      <c r="CR2019" s="1"/>
      <c r="CS2019" s="1"/>
      <c r="CT2019" s="1"/>
      <c r="CU2019" s="1"/>
      <c r="CV2019" s="1"/>
      <c r="CW2019" s="1"/>
      <c r="CX2019" s="1"/>
      <c r="CY2019" s="1"/>
      <c r="CZ2019" s="1"/>
      <c r="DA2019" s="1"/>
      <c r="DB2019" s="1"/>
      <c r="DC2019" s="1"/>
    </row>
    <row r="2020" spans="1:107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1"/>
      <c r="AF2020" s="1"/>
      <c r="AG2020" s="1"/>
      <c r="AH2020" s="1"/>
      <c r="AI2020" s="1"/>
      <c r="AJ2020" s="1"/>
      <c r="AK2020" s="1"/>
      <c r="AL2020" s="1"/>
      <c r="AM2020" s="1"/>
      <c r="AN2020" s="1"/>
      <c r="AO2020" s="1"/>
      <c r="AP2020" s="1"/>
      <c r="AQ2020" s="1"/>
      <c r="AR2020" s="1"/>
      <c r="AS2020" s="1"/>
      <c r="AT2020" s="1"/>
      <c r="AU2020" s="1"/>
      <c r="AV2020" s="1"/>
      <c r="AW2020" s="1"/>
      <c r="AX2020" s="1"/>
      <c r="AY2020" s="1"/>
      <c r="AZ2020" s="1"/>
      <c r="BA2020" s="1"/>
      <c r="BB2020" s="1"/>
      <c r="BC2020" s="1"/>
      <c r="BD2020" s="1"/>
      <c r="BE2020" s="1"/>
      <c r="BF2020" s="1"/>
      <c r="BG2020" s="1"/>
      <c r="BH2020" s="1"/>
      <c r="BI2020" s="1"/>
      <c r="BJ2020" s="1"/>
      <c r="BK2020" s="1"/>
      <c r="BL2020" s="1"/>
      <c r="BM2020" s="1"/>
      <c r="BN2020" s="1"/>
      <c r="BO2020" s="1"/>
      <c r="BP2020" s="1"/>
      <c r="BQ2020" s="1"/>
      <c r="BR2020" s="1"/>
      <c r="BS2020" s="1"/>
      <c r="BT2020" s="1"/>
      <c r="BU2020" s="1"/>
      <c r="BV2020" s="1"/>
      <c r="BW2020" s="1"/>
      <c r="BX2020" s="1"/>
      <c r="BY2020" s="1"/>
      <c r="BZ2020" s="1"/>
      <c r="CA2020" s="1"/>
      <c r="CB2020" s="1"/>
      <c r="CC2020" s="1"/>
      <c r="CD2020" s="1"/>
      <c r="CE2020" s="1"/>
      <c r="CF2020" s="1"/>
      <c r="CG2020" s="1"/>
      <c r="CH2020" s="1"/>
      <c r="CI2020" s="1"/>
      <c r="CJ2020" s="1"/>
      <c r="CK2020" s="1"/>
      <c r="CL2020" s="1"/>
      <c r="CM2020" s="1"/>
      <c r="CN2020" s="1"/>
      <c r="CO2020" s="1"/>
      <c r="CP2020" s="1"/>
      <c r="CQ2020" s="1"/>
      <c r="CR2020" s="1"/>
      <c r="CS2020" s="1"/>
      <c r="CT2020" s="1"/>
      <c r="CU2020" s="1"/>
      <c r="CV2020" s="1"/>
      <c r="CW2020" s="1"/>
      <c r="CX2020" s="1"/>
      <c r="CY2020" s="1"/>
      <c r="CZ2020" s="1"/>
      <c r="DA2020" s="1"/>
      <c r="DB2020" s="1"/>
      <c r="DC2020" s="1"/>
    </row>
    <row r="2021" spans="1:107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  <c r="AG2021" s="1"/>
      <c r="AH2021" s="1"/>
      <c r="AI2021" s="1"/>
      <c r="AJ2021" s="1"/>
      <c r="AK2021" s="1"/>
      <c r="AL2021" s="1"/>
      <c r="AM2021" s="1"/>
      <c r="AN2021" s="1"/>
      <c r="AO2021" s="1"/>
      <c r="AP2021" s="1"/>
      <c r="AQ2021" s="1"/>
      <c r="AR2021" s="1"/>
      <c r="AS2021" s="1"/>
      <c r="AT2021" s="1"/>
      <c r="AU2021" s="1"/>
      <c r="AV2021" s="1"/>
      <c r="AW2021" s="1"/>
      <c r="AX2021" s="1"/>
      <c r="AY2021" s="1"/>
      <c r="AZ2021" s="1"/>
      <c r="BA2021" s="1"/>
      <c r="BB2021" s="1"/>
      <c r="BC2021" s="1"/>
      <c r="BD2021" s="1"/>
      <c r="BE2021" s="1"/>
      <c r="BF2021" s="1"/>
      <c r="BG2021" s="1"/>
      <c r="BH2021" s="1"/>
      <c r="BI2021" s="1"/>
      <c r="BJ2021" s="1"/>
      <c r="BK2021" s="1"/>
      <c r="BL2021" s="1"/>
      <c r="BM2021" s="1"/>
      <c r="BN2021" s="1"/>
      <c r="BO2021" s="1"/>
      <c r="BP2021" s="1"/>
      <c r="BQ2021" s="1"/>
      <c r="BR2021" s="1"/>
      <c r="BS2021" s="1"/>
      <c r="BT2021" s="1"/>
      <c r="BU2021" s="1"/>
      <c r="BV2021" s="1"/>
      <c r="BW2021" s="1"/>
      <c r="BX2021" s="1"/>
      <c r="BY2021" s="1"/>
      <c r="BZ2021" s="1"/>
      <c r="CA2021" s="1"/>
      <c r="CB2021" s="1"/>
      <c r="CC2021" s="1"/>
      <c r="CD2021" s="1"/>
      <c r="CE2021" s="1"/>
      <c r="CF2021" s="1"/>
      <c r="CG2021" s="1"/>
      <c r="CH2021" s="1"/>
      <c r="CI2021" s="1"/>
      <c r="CJ2021" s="1"/>
      <c r="CK2021" s="1"/>
      <c r="CL2021" s="1"/>
      <c r="CM2021" s="1"/>
      <c r="CN2021" s="1"/>
      <c r="CO2021" s="1"/>
      <c r="CP2021" s="1"/>
      <c r="CQ2021" s="1"/>
      <c r="CR2021" s="1"/>
      <c r="CS2021" s="1"/>
      <c r="CT2021" s="1"/>
      <c r="CU2021" s="1"/>
      <c r="CV2021" s="1"/>
      <c r="CW2021" s="1"/>
      <c r="CX2021" s="1"/>
      <c r="CY2021" s="1"/>
      <c r="CZ2021" s="1"/>
      <c r="DA2021" s="1"/>
      <c r="DB2021" s="1"/>
      <c r="DC2021" s="1"/>
    </row>
    <row r="2022" spans="1:107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  <c r="AE2022" s="1"/>
      <c r="AF2022" s="1"/>
      <c r="AG2022" s="1"/>
      <c r="AH2022" s="1"/>
      <c r="AI2022" s="1"/>
      <c r="AJ2022" s="1"/>
      <c r="AK2022" s="1"/>
      <c r="AL2022" s="1"/>
      <c r="AM2022" s="1"/>
      <c r="AN2022" s="1"/>
      <c r="AO2022" s="1"/>
      <c r="AP2022" s="1"/>
      <c r="AQ2022" s="1"/>
      <c r="AR2022" s="1"/>
      <c r="AS2022" s="1"/>
      <c r="AT2022" s="1"/>
      <c r="AU2022" s="1"/>
      <c r="AV2022" s="1"/>
      <c r="AW2022" s="1"/>
      <c r="AX2022" s="1"/>
      <c r="AY2022" s="1"/>
      <c r="AZ2022" s="1"/>
      <c r="BA2022" s="1"/>
      <c r="BB2022" s="1"/>
      <c r="BC2022" s="1"/>
      <c r="BD2022" s="1"/>
      <c r="BE2022" s="1"/>
      <c r="BF2022" s="1"/>
      <c r="BG2022" s="1"/>
      <c r="BH2022" s="1"/>
      <c r="BI2022" s="1"/>
      <c r="BJ2022" s="1"/>
      <c r="BK2022" s="1"/>
      <c r="BL2022" s="1"/>
      <c r="BM2022" s="1"/>
      <c r="BN2022" s="1"/>
      <c r="BO2022" s="1"/>
      <c r="BP2022" s="1"/>
      <c r="BQ2022" s="1"/>
      <c r="BR2022" s="1"/>
      <c r="BS2022" s="1"/>
      <c r="BT2022" s="1"/>
      <c r="BU2022" s="1"/>
      <c r="BV2022" s="1"/>
      <c r="BW2022" s="1"/>
      <c r="BX2022" s="1"/>
      <c r="BY2022" s="1"/>
      <c r="BZ2022" s="1"/>
      <c r="CA2022" s="1"/>
      <c r="CB2022" s="1"/>
      <c r="CC2022" s="1"/>
      <c r="CD2022" s="1"/>
      <c r="CE2022" s="1"/>
      <c r="CF2022" s="1"/>
      <c r="CG2022" s="1"/>
      <c r="CH2022" s="1"/>
      <c r="CI2022" s="1"/>
      <c r="CJ2022" s="1"/>
      <c r="CK2022" s="1"/>
      <c r="CL2022" s="1"/>
      <c r="CM2022" s="1"/>
      <c r="CN2022" s="1"/>
      <c r="CO2022" s="1"/>
      <c r="CP2022" s="1"/>
      <c r="CQ2022" s="1"/>
      <c r="CR2022" s="1"/>
      <c r="CS2022" s="1"/>
      <c r="CT2022" s="1"/>
      <c r="CU2022" s="1"/>
      <c r="CV2022" s="1"/>
      <c r="CW2022" s="1"/>
      <c r="CX2022" s="1"/>
      <c r="CY2022" s="1"/>
      <c r="CZ2022" s="1"/>
      <c r="DA2022" s="1"/>
      <c r="DB2022" s="1"/>
      <c r="DC2022" s="1"/>
    </row>
    <row r="2023" spans="1:107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  <c r="AE2023" s="1"/>
      <c r="AF2023" s="1"/>
      <c r="AG2023" s="1"/>
      <c r="AH2023" s="1"/>
      <c r="AI2023" s="1"/>
      <c r="AJ2023" s="1"/>
      <c r="AK2023" s="1"/>
      <c r="AL2023" s="1"/>
      <c r="AM2023" s="1"/>
      <c r="AN2023" s="1"/>
      <c r="AO2023" s="1"/>
      <c r="AP2023" s="1"/>
      <c r="AQ2023" s="1"/>
      <c r="AR2023" s="1"/>
      <c r="AS2023" s="1"/>
      <c r="AT2023" s="1"/>
      <c r="AU2023" s="1"/>
      <c r="AV2023" s="1"/>
      <c r="AW2023" s="1"/>
      <c r="AX2023" s="1"/>
      <c r="AY2023" s="1"/>
      <c r="AZ2023" s="1"/>
      <c r="BA2023" s="1"/>
      <c r="BB2023" s="1"/>
      <c r="BC2023" s="1"/>
      <c r="BD2023" s="1"/>
      <c r="BE2023" s="1"/>
      <c r="BF2023" s="1"/>
      <c r="BG2023" s="1"/>
      <c r="BH2023" s="1"/>
      <c r="BI2023" s="1"/>
      <c r="BJ2023" s="1"/>
      <c r="BK2023" s="1"/>
      <c r="BL2023" s="1"/>
      <c r="BM2023" s="1"/>
      <c r="BN2023" s="1"/>
      <c r="BO2023" s="1"/>
      <c r="BP2023" s="1"/>
      <c r="BQ2023" s="1"/>
      <c r="BR2023" s="1"/>
      <c r="BS2023" s="1"/>
      <c r="BT2023" s="1"/>
      <c r="BU2023" s="1"/>
      <c r="BV2023" s="1"/>
      <c r="BW2023" s="1"/>
      <c r="BX2023" s="1"/>
      <c r="BY2023" s="1"/>
      <c r="BZ2023" s="1"/>
      <c r="CA2023" s="1"/>
      <c r="CB2023" s="1"/>
      <c r="CC2023" s="1"/>
      <c r="CD2023" s="1"/>
      <c r="CE2023" s="1"/>
      <c r="CF2023" s="1"/>
      <c r="CG2023" s="1"/>
      <c r="CH2023" s="1"/>
      <c r="CI2023" s="1"/>
      <c r="CJ2023" s="1"/>
      <c r="CK2023" s="1"/>
      <c r="CL2023" s="1"/>
      <c r="CM2023" s="1"/>
      <c r="CN2023" s="1"/>
      <c r="CO2023" s="1"/>
      <c r="CP2023" s="1"/>
      <c r="CQ2023" s="1"/>
      <c r="CR2023" s="1"/>
      <c r="CS2023" s="1"/>
      <c r="CT2023" s="1"/>
      <c r="CU2023" s="1"/>
      <c r="CV2023" s="1"/>
      <c r="CW2023" s="1"/>
      <c r="CX2023" s="1"/>
      <c r="CY2023" s="1"/>
      <c r="CZ2023" s="1"/>
      <c r="DA2023" s="1"/>
      <c r="DB2023" s="1"/>
      <c r="DC2023" s="1"/>
    </row>
    <row r="2024" spans="1:107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1"/>
      <c r="AD2024" s="1"/>
      <c r="AE2024" s="1"/>
      <c r="AF2024" s="1"/>
      <c r="AG2024" s="1"/>
      <c r="AH2024" s="1"/>
      <c r="AI2024" s="1"/>
      <c r="AJ2024" s="1"/>
      <c r="AK2024" s="1"/>
      <c r="AL2024" s="1"/>
      <c r="AM2024" s="1"/>
      <c r="AN2024" s="1"/>
      <c r="AO2024" s="1"/>
      <c r="AP2024" s="1"/>
      <c r="AQ2024" s="1"/>
      <c r="AR2024" s="1"/>
      <c r="AS2024" s="1"/>
      <c r="AT2024" s="1"/>
      <c r="AU2024" s="1"/>
      <c r="AV2024" s="1"/>
      <c r="AW2024" s="1"/>
      <c r="AX2024" s="1"/>
      <c r="AY2024" s="1"/>
      <c r="AZ2024" s="1"/>
      <c r="BA2024" s="1"/>
      <c r="BB2024" s="1"/>
      <c r="BC2024" s="1"/>
      <c r="BD2024" s="1"/>
      <c r="BE2024" s="1"/>
      <c r="BF2024" s="1"/>
      <c r="BG2024" s="1"/>
      <c r="BH2024" s="1"/>
      <c r="BI2024" s="1"/>
      <c r="BJ2024" s="1"/>
      <c r="BK2024" s="1"/>
      <c r="BL2024" s="1"/>
      <c r="BM2024" s="1"/>
      <c r="BN2024" s="1"/>
      <c r="BO2024" s="1"/>
      <c r="BP2024" s="1"/>
      <c r="BQ2024" s="1"/>
      <c r="BR2024" s="1"/>
      <c r="BS2024" s="1"/>
      <c r="BT2024" s="1"/>
      <c r="BU2024" s="1"/>
      <c r="BV2024" s="1"/>
      <c r="BW2024" s="1"/>
      <c r="BX2024" s="1"/>
      <c r="BY2024" s="1"/>
      <c r="BZ2024" s="1"/>
      <c r="CA2024" s="1"/>
      <c r="CB2024" s="1"/>
      <c r="CC2024" s="1"/>
      <c r="CD2024" s="1"/>
      <c r="CE2024" s="1"/>
      <c r="CF2024" s="1"/>
      <c r="CG2024" s="1"/>
      <c r="CH2024" s="1"/>
      <c r="CI2024" s="1"/>
      <c r="CJ2024" s="1"/>
      <c r="CK2024" s="1"/>
      <c r="CL2024" s="1"/>
      <c r="CM2024" s="1"/>
      <c r="CN2024" s="1"/>
      <c r="CO2024" s="1"/>
      <c r="CP2024" s="1"/>
      <c r="CQ2024" s="1"/>
      <c r="CR2024" s="1"/>
      <c r="CS2024" s="1"/>
      <c r="CT2024" s="1"/>
      <c r="CU2024" s="1"/>
      <c r="CV2024" s="1"/>
      <c r="CW2024" s="1"/>
      <c r="CX2024" s="1"/>
      <c r="CY2024" s="1"/>
      <c r="CZ2024" s="1"/>
      <c r="DA2024" s="1"/>
      <c r="DB2024" s="1"/>
      <c r="DC2024" s="1"/>
    </row>
    <row r="2025" spans="1:107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1"/>
      <c r="AD2025" s="1"/>
      <c r="AE2025" s="1"/>
      <c r="AF2025" s="1"/>
      <c r="AG2025" s="1"/>
      <c r="AH2025" s="1"/>
      <c r="AI2025" s="1"/>
      <c r="AJ2025" s="1"/>
      <c r="AK2025" s="1"/>
      <c r="AL2025" s="1"/>
      <c r="AM2025" s="1"/>
      <c r="AN2025" s="1"/>
      <c r="AO2025" s="1"/>
      <c r="AP2025" s="1"/>
      <c r="AQ2025" s="1"/>
      <c r="AR2025" s="1"/>
      <c r="AS2025" s="1"/>
      <c r="AT2025" s="1"/>
      <c r="AU2025" s="1"/>
      <c r="AV2025" s="1"/>
      <c r="AW2025" s="1"/>
      <c r="AX2025" s="1"/>
      <c r="AY2025" s="1"/>
      <c r="AZ2025" s="1"/>
      <c r="BA2025" s="1"/>
      <c r="BB2025" s="1"/>
      <c r="BC2025" s="1"/>
      <c r="BD2025" s="1"/>
      <c r="BE2025" s="1"/>
      <c r="BF2025" s="1"/>
      <c r="BG2025" s="1"/>
      <c r="BH2025" s="1"/>
      <c r="BI2025" s="1"/>
      <c r="BJ2025" s="1"/>
      <c r="BK2025" s="1"/>
      <c r="BL2025" s="1"/>
      <c r="BM2025" s="1"/>
      <c r="BN2025" s="1"/>
      <c r="BO2025" s="1"/>
      <c r="BP2025" s="1"/>
      <c r="BQ2025" s="1"/>
      <c r="BR2025" s="1"/>
      <c r="BS2025" s="1"/>
      <c r="BT2025" s="1"/>
      <c r="BU2025" s="1"/>
      <c r="BV2025" s="1"/>
      <c r="BW2025" s="1"/>
      <c r="BX2025" s="1"/>
      <c r="BY2025" s="1"/>
      <c r="BZ2025" s="1"/>
      <c r="CA2025" s="1"/>
      <c r="CB2025" s="1"/>
      <c r="CC2025" s="1"/>
      <c r="CD2025" s="1"/>
      <c r="CE2025" s="1"/>
      <c r="CF2025" s="1"/>
      <c r="CG2025" s="1"/>
      <c r="CH2025" s="1"/>
      <c r="CI2025" s="1"/>
      <c r="CJ2025" s="1"/>
      <c r="CK2025" s="1"/>
      <c r="CL2025" s="1"/>
      <c r="CM2025" s="1"/>
      <c r="CN2025" s="1"/>
      <c r="CO2025" s="1"/>
      <c r="CP2025" s="1"/>
      <c r="CQ2025" s="1"/>
      <c r="CR2025" s="1"/>
      <c r="CS2025" s="1"/>
      <c r="CT2025" s="1"/>
      <c r="CU2025" s="1"/>
      <c r="CV2025" s="1"/>
      <c r="CW2025" s="1"/>
      <c r="CX2025" s="1"/>
      <c r="CY2025" s="1"/>
      <c r="CZ2025" s="1"/>
      <c r="DA2025" s="1"/>
      <c r="DB2025" s="1"/>
      <c r="DC2025" s="1"/>
    </row>
    <row r="2026" spans="1:107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  <c r="AE2026" s="1"/>
      <c r="AF2026" s="1"/>
      <c r="AG2026" s="1"/>
      <c r="AH2026" s="1"/>
      <c r="AI2026" s="1"/>
      <c r="AJ2026" s="1"/>
      <c r="AK2026" s="1"/>
      <c r="AL2026" s="1"/>
      <c r="AM2026" s="1"/>
      <c r="AN2026" s="1"/>
      <c r="AO2026" s="1"/>
      <c r="AP2026" s="1"/>
      <c r="AQ2026" s="1"/>
      <c r="AR2026" s="1"/>
      <c r="AS2026" s="1"/>
      <c r="AT2026" s="1"/>
      <c r="AU2026" s="1"/>
      <c r="AV2026" s="1"/>
      <c r="AW2026" s="1"/>
      <c r="AX2026" s="1"/>
      <c r="AY2026" s="1"/>
      <c r="AZ2026" s="1"/>
      <c r="BA2026" s="1"/>
      <c r="BB2026" s="1"/>
      <c r="BC2026" s="1"/>
      <c r="BD2026" s="1"/>
      <c r="BE2026" s="1"/>
      <c r="BF2026" s="1"/>
      <c r="BG2026" s="1"/>
      <c r="BH2026" s="1"/>
      <c r="BI2026" s="1"/>
      <c r="BJ2026" s="1"/>
      <c r="BK2026" s="1"/>
      <c r="BL2026" s="1"/>
      <c r="BM2026" s="1"/>
      <c r="BN2026" s="1"/>
      <c r="BO2026" s="1"/>
      <c r="BP2026" s="1"/>
      <c r="BQ2026" s="1"/>
      <c r="BR2026" s="1"/>
      <c r="BS2026" s="1"/>
      <c r="BT2026" s="1"/>
      <c r="BU2026" s="1"/>
      <c r="BV2026" s="1"/>
      <c r="BW2026" s="1"/>
      <c r="BX2026" s="1"/>
      <c r="BY2026" s="1"/>
      <c r="BZ2026" s="1"/>
      <c r="CA2026" s="1"/>
      <c r="CB2026" s="1"/>
      <c r="CC2026" s="1"/>
      <c r="CD2026" s="1"/>
      <c r="CE2026" s="1"/>
      <c r="CF2026" s="1"/>
      <c r="CG2026" s="1"/>
      <c r="CH2026" s="1"/>
      <c r="CI2026" s="1"/>
      <c r="CJ2026" s="1"/>
      <c r="CK2026" s="1"/>
      <c r="CL2026" s="1"/>
      <c r="CM2026" s="1"/>
      <c r="CN2026" s="1"/>
      <c r="CO2026" s="1"/>
      <c r="CP2026" s="1"/>
      <c r="CQ2026" s="1"/>
      <c r="CR2026" s="1"/>
      <c r="CS2026" s="1"/>
      <c r="CT2026" s="1"/>
      <c r="CU2026" s="1"/>
      <c r="CV2026" s="1"/>
      <c r="CW2026" s="1"/>
      <c r="CX2026" s="1"/>
      <c r="CY2026" s="1"/>
      <c r="CZ2026" s="1"/>
      <c r="DA2026" s="1"/>
      <c r="DB2026" s="1"/>
      <c r="DC2026" s="1"/>
    </row>
    <row r="2027" spans="1:107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  <c r="AE2027" s="1"/>
      <c r="AF2027" s="1"/>
      <c r="AG2027" s="1"/>
      <c r="AH2027" s="1"/>
      <c r="AI2027" s="1"/>
      <c r="AJ2027" s="1"/>
      <c r="AK2027" s="1"/>
      <c r="AL2027" s="1"/>
      <c r="AM2027" s="1"/>
      <c r="AN2027" s="1"/>
      <c r="AO2027" s="1"/>
      <c r="AP2027" s="1"/>
      <c r="AQ2027" s="1"/>
      <c r="AR2027" s="1"/>
      <c r="AS2027" s="1"/>
      <c r="AT2027" s="1"/>
      <c r="AU2027" s="1"/>
      <c r="AV2027" s="1"/>
      <c r="AW2027" s="1"/>
      <c r="AX2027" s="1"/>
      <c r="AY2027" s="1"/>
      <c r="AZ2027" s="1"/>
      <c r="BA2027" s="1"/>
      <c r="BB2027" s="1"/>
      <c r="BC2027" s="1"/>
      <c r="BD2027" s="1"/>
      <c r="BE2027" s="1"/>
      <c r="BF2027" s="1"/>
      <c r="BG2027" s="1"/>
      <c r="BH2027" s="1"/>
      <c r="BI2027" s="1"/>
      <c r="BJ2027" s="1"/>
      <c r="BK2027" s="1"/>
      <c r="BL2027" s="1"/>
      <c r="BM2027" s="1"/>
      <c r="BN2027" s="1"/>
      <c r="BO2027" s="1"/>
      <c r="BP2027" s="1"/>
      <c r="BQ2027" s="1"/>
      <c r="BR2027" s="1"/>
      <c r="BS2027" s="1"/>
      <c r="BT2027" s="1"/>
      <c r="BU2027" s="1"/>
      <c r="BV2027" s="1"/>
      <c r="BW2027" s="1"/>
      <c r="BX2027" s="1"/>
      <c r="BY2027" s="1"/>
      <c r="BZ2027" s="1"/>
      <c r="CA2027" s="1"/>
      <c r="CB2027" s="1"/>
      <c r="CC2027" s="1"/>
      <c r="CD2027" s="1"/>
      <c r="CE2027" s="1"/>
      <c r="CF2027" s="1"/>
      <c r="CG2027" s="1"/>
      <c r="CH2027" s="1"/>
      <c r="CI2027" s="1"/>
      <c r="CJ2027" s="1"/>
      <c r="CK2027" s="1"/>
      <c r="CL2027" s="1"/>
      <c r="CM2027" s="1"/>
      <c r="CN2027" s="1"/>
      <c r="CO2027" s="1"/>
      <c r="CP2027" s="1"/>
      <c r="CQ2027" s="1"/>
      <c r="CR2027" s="1"/>
      <c r="CS2027" s="1"/>
      <c r="CT2027" s="1"/>
      <c r="CU2027" s="1"/>
      <c r="CV2027" s="1"/>
      <c r="CW2027" s="1"/>
      <c r="CX2027" s="1"/>
      <c r="CY2027" s="1"/>
      <c r="CZ2027" s="1"/>
      <c r="DA2027" s="1"/>
      <c r="DB2027" s="1"/>
      <c r="DC2027" s="1"/>
    </row>
    <row r="2028" spans="1:107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1"/>
      <c r="AF2028" s="1"/>
      <c r="AG2028" s="1"/>
      <c r="AH2028" s="1"/>
      <c r="AI2028" s="1"/>
      <c r="AJ2028" s="1"/>
      <c r="AK2028" s="1"/>
      <c r="AL2028" s="1"/>
      <c r="AM2028" s="1"/>
      <c r="AN2028" s="1"/>
      <c r="AO2028" s="1"/>
      <c r="AP2028" s="1"/>
      <c r="AQ2028" s="1"/>
      <c r="AR2028" s="1"/>
      <c r="AS2028" s="1"/>
      <c r="AT2028" s="1"/>
      <c r="AU2028" s="1"/>
      <c r="AV2028" s="1"/>
      <c r="AW2028" s="1"/>
      <c r="AX2028" s="1"/>
      <c r="AY2028" s="1"/>
      <c r="AZ2028" s="1"/>
      <c r="BA2028" s="1"/>
      <c r="BB2028" s="1"/>
      <c r="BC2028" s="1"/>
      <c r="BD2028" s="1"/>
      <c r="BE2028" s="1"/>
      <c r="BF2028" s="1"/>
      <c r="BG2028" s="1"/>
      <c r="BH2028" s="1"/>
      <c r="BI2028" s="1"/>
      <c r="BJ2028" s="1"/>
      <c r="BK2028" s="1"/>
      <c r="BL2028" s="1"/>
      <c r="BM2028" s="1"/>
      <c r="BN2028" s="1"/>
      <c r="BO2028" s="1"/>
      <c r="BP2028" s="1"/>
      <c r="BQ2028" s="1"/>
      <c r="BR2028" s="1"/>
      <c r="BS2028" s="1"/>
      <c r="BT2028" s="1"/>
      <c r="BU2028" s="1"/>
      <c r="BV2028" s="1"/>
      <c r="BW2028" s="1"/>
      <c r="BX2028" s="1"/>
      <c r="BY2028" s="1"/>
      <c r="BZ2028" s="1"/>
      <c r="CA2028" s="1"/>
      <c r="CB2028" s="1"/>
      <c r="CC2028" s="1"/>
      <c r="CD2028" s="1"/>
      <c r="CE2028" s="1"/>
      <c r="CF2028" s="1"/>
      <c r="CG2028" s="1"/>
      <c r="CH2028" s="1"/>
      <c r="CI2028" s="1"/>
      <c r="CJ2028" s="1"/>
      <c r="CK2028" s="1"/>
      <c r="CL2028" s="1"/>
      <c r="CM2028" s="1"/>
      <c r="CN2028" s="1"/>
      <c r="CO2028" s="1"/>
      <c r="CP2028" s="1"/>
      <c r="CQ2028" s="1"/>
      <c r="CR2028" s="1"/>
      <c r="CS2028" s="1"/>
      <c r="CT2028" s="1"/>
      <c r="CU2028" s="1"/>
      <c r="CV2028" s="1"/>
      <c r="CW2028" s="1"/>
      <c r="CX2028" s="1"/>
      <c r="CY2028" s="1"/>
      <c r="CZ2028" s="1"/>
      <c r="DA2028" s="1"/>
      <c r="DB2028" s="1"/>
      <c r="DC2028" s="1"/>
    </row>
    <row r="2029" spans="1:107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  <c r="AE2029" s="1"/>
      <c r="AF2029" s="1"/>
      <c r="AG2029" s="1"/>
      <c r="AH2029" s="1"/>
      <c r="AI2029" s="1"/>
      <c r="AJ2029" s="1"/>
      <c r="AK2029" s="1"/>
      <c r="AL2029" s="1"/>
      <c r="AM2029" s="1"/>
      <c r="AN2029" s="1"/>
      <c r="AO2029" s="1"/>
      <c r="AP2029" s="1"/>
      <c r="AQ2029" s="1"/>
      <c r="AR2029" s="1"/>
      <c r="AS2029" s="1"/>
      <c r="AT2029" s="1"/>
      <c r="AU2029" s="1"/>
      <c r="AV2029" s="1"/>
      <c r="AW2029" s="1"/>
      <c r="AX2029" s="1"/>
      <c r="AY2029" s="1"/>
      <c r="AZ2029" s="1"/>
      <c r="BA2029" s="1"/>
      <c r="BB2029" s="1"/>
      <c r="BC2029" s="1"/>
      <c r="BD2029" s="1"/>
      <c r="BE2029" s="1"/>
      <c r="BF2029" s="1"/>
      <c r="BG2029" s="1"/>
      <c r="BH2029" s="1"/>
      <c r="BI2029" s="1"/>
      <c r="BJ2029" s="1"/>
      <c r="BK2029" s="1"/>
      <c r="BL2029" s="1"/>
      <c r="BM2029" s="1"/>
      <c r="BN2029" s="1"/>
      <c r="BO2029" s="1"/>
      <c r="BP2029" s="1"/>
      <c r="BQ2029" s="1"/>
      <c r="BR2029" s="1"/>
      <c r="BS2029" s="1"/>
      <c r="BT2029" s="1"/>
      <c r="BU2029" s="1"/>
      <c r="BV2029" s="1"/>
      <c r="BW2029" s="1"/>
      <c r="BX2029" s="1"/>
      <c r="BY2029" s="1"/>
      <c r="BZ2029" s="1"/>
      <c r="CA2029" s="1"/>
      <c r="CB2029" s="1"/>
      <c r="CC2029" s="1"/>
      <c r="CD2029" s="1"/>
      <c r="CE2029" s="1"/>
      <c r="CF2029" s="1"/>
      <c r="CG2029" s="1"/>
      <c r="CH2029" s="1"/>
      <c r="CI2029" s="1"/>
      <c r="CJ2029" s="1"/>
      <c r="CK2029" s="1"/>
      <c r="CL2029" s="1"/>
      <c r="CM2029" s="1"/>
      <c r="CN2029" s="1"/>
      <c r="CO2029" s="1"/>
      <c r="CP2029" s="1"/>
      <c r="CQ2029" s="1"/>
      <c r="CR2029" s="1"/>
      <c r="CS2029" s="1"/>
      <c r="CT2029" s="1"/>
      <c r="CU2029" s="1"/>
      <c r="CV2029" s="1"/>
      <c r="CW2029" s="1"/>
      <c r="CX2029" s="1"/>
      <c r="CY2029" s="1"/>
      <c r="CZ2029" s="1"/>
      <c r="DA2029" s="1"/>
      <c r="DB2029" s="1"/>
      <c r="DC2029" s="1"/>
    </row>
    <row r="2030" spans="1:107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  <c r="AE2030" s="1"/>
      <c r="AF2030" s="1"/>
      <c r="AG2030" s="1"/>
      <c r="AH2030" s="1"/>
      <c r="AI2030" s="1"/>
      <c r="AJ2030" s="1"/>
      <c r="AK2030" s="1"/>
      <c r="AL2030" s="1"/>
      <c r="AM2030" s="1"/>
      <c r="AN2030" s="1"/>
      <c r="AO2030" s="1"/>
      <c r="AP2030" s="1"/>
      <c r="AQ2030" s="1"/>
      <c r="AR2030" s="1"/>
      <c r="AS2030" s="1"/>
      <c r="AT2030" s="1"/>
      <c r="AU2030" s="1"/>
      <c r="AV2030" s="1"/>
      <c r="AW2030" s="1"/>
      <c r="AX2030" s="1"/>
      <c r="AY2030" s="1"/>
      <c r="AZ2030" s="1"/>
      <c r="BA2030" s="1"/>
      <c r="BB2030" s="1"/>
      <c r="BC2030" s="1"/>
      <c r="BD2030" s="1"/>
      <c r="BE2030" s="1"/>
      <c r="BF2030" s="1"/>
      <c r="BG2030" s="1"/>
      <c r="BH2030" s="1"/>
      <c r="BI2030" s="1"/>
      <c r="BJ2030" s="1"/>
      <c r="BK2030" s="1"/>
      <c r="BL2030" s="1"/>
      <c r="BM2030" s="1"/>
      <c r="BN2030" s="1"/>
      <c r="BO2030" s="1"/>
      <c r="BP2030" s="1"/>
      <c r="BQ2030" s="1"/>
      <c r="BR2030" s="1"/>
      <c r="BS2030" s="1"/>
      <c r="BT2030" s="1"/>
      <c r="BU2030" s="1"/>
      <c r="BV2030" s="1"/>
      <c r="BW2030" s="1"/>
      <c r="BX2030" s="1"/>
      <c r="BY2030" s="1"/>
      <c r="BZ2030" s="1"/>
      <c r="CA2030" s="1"/>
      <c r="CB2030" s="1"/>
      <c r="CC2030" s="1"/>
      <c r="CD2030" s="1"/>
      <c r="CE2030" s="1"/>
      <c r="CF2030" s="1"/>
      <c r="CG2030" s="1"/>
      <c r="CH2030" s="1"/>
      <c r="CI2030" s="1"/>
      <c r="CJ2030" s="1"/>
      <c r="CK2030" s="1"/>
      <c r="CL2030" s="1"/>
      <c r="CM2030" s="1"/>
      <c r="CN2030" s="1"/>
      <c r="CO2030" s="1"/>
      <c r="CP2030" s="1"/>
      <c r="CQ2030" s="1"/>
      <c r="CR2030" s="1"/>
      <c r="CS2030" s="1"/>
      <c r="CT2030" s="1"/>
      <c r="CU2030" s="1"/>
      <c r="CV2030" s="1"/>
      <c r="CW2030" s="1"/>
      <c r="CX2030" s="1"/>
      <c r="CY2030" s="1"/>
      <c r="CZ2030" s="1"/>
      <c r="DA2030" s="1"/>
      <c r="DB2030" s="1"/>
      <c r="DC2030" s="1"/>
    </row>
    <row r="2031" spans="1:107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  <c r="AD2031" s="1"/>
      <c r="AE2031" s="1"/>
      <c r="AF2031" s="1"/>
      <c r="AG2031" s="1"/>
      <c r="AH2031" s="1"/>
      <c r="AI2031" s="1"/>
      <c r="AJ2031" s="1"/>
      <c r="AK2031" s="1"/>
      <c r="AL2031" s="1"/>
      <c r="AM2031" s="1"/>
      <c r="AN2031" s="1"/>
      <c r="AO2031" s="1"/>
      <c r="AP2031" s="1"/>
      <c r="AQ2031" s="1"/>
      <c r="AR2031" s="1"/>
      <c r="AS2031" s="1"/>
      <c r="AT2031" s="1"/>
      <c r="AU2031" s="1"/>
      <c r="AV2031" s="1"/>
      <c r="AW2031" s="1"/>
      <c r="AX2031" s="1"/>
      <c r="AY2031" s="1"/>
      <c r="AZ2031" s="1"/>
      <c r="BA2031" s="1"/>
      <c r="BB2031" s="1"/>
      <c r="BC2031" s="1"/>
      <c r="BD2031" s="1"/>
      <c r="BE2031" s="1"/>
      <c r="BF2031" s="1"/>
      <c r="BG2031" s="1"/>
      <c r="BH2031" s="1"/>
      <c r="BI2031" s="1"/>
      <c r="BJ2031" s="1"/>
      <c r="BK2031" s="1"/>
      <c r="BL2031" s="1"/>
      <c r="BM2031" s="1"/>
      <c r="BN2031" s="1"/>
      <c r="BO2031" s="1"/>
      <c r="BP2031" s="1"/>
      <c r="BQ2031" s="1"/>
      <c r="BR2031" s="1"/>
      <c r="BS2031" s="1"/>
      <c r="BT2031" s="1"/>
      <c r="BU2031" s="1"/>
      <c r="BV2031" s="1"/>
      <c r="BW2031" s="1"/>
      <c r="BX2031" s="1"/>
      <c r="BY2031" s="1"/>
      <c r="BZ2031" s="1"/>
      <c r="CA2031" s="1"/>
      <c r="CB2031" s="1"/>
      <c r="CC2031" s="1"/>
      <c r="CD2031" s="1"/>
      <c r="CE2031" s="1"/>
      <c r="CF2031" s="1"/>
      <c r="CG2031" s="1"/>
      <c r="CH2031" s="1"/>
      <c r="CI2031" s="1"/>
      <c r="CJ2031" s="1"/>
      <c r="CK2031" s="1"/>
      <c r="CL2031" s="1"/>
      <c r="CM2031" s="1"/>
      <c r="CN2031" s="1"/>
      <c r="CO2031" s="1"/>
      <c r="CP2031" s="1"/>
      <c r="CQ2031" s="1"/>
      <c r="CR2031" s="1"/>
      <c r="CS2031" s="1"/>
      <c r="CT2031" s="1"/>
      <c r="CU2031" s="1"/>
      <c r="CV2031" s="1"/>
      <c r="CW2031" s="1"/>
      <c r="CX2031" s="1"/>
      <c r="CY2031" s="1"/>
      <c r="CZ2031" s="1"/>
      <c r="DA2031" s="1"/>
      <c r="DB2031" s="1"/>
      <c r="DC2031" s="1"/>
    </row>
    <row r="2032" spans="1:107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1"/>
      <c r="AD2032" s="1"/>
      <c r="AE2032" s="1"/>
      <c r="AF2032" s="1"/>
      <c r="AG2032" s="1"/>
      <c r="AH2032" s="1"/>
      <c r="AI2032" s="1"/>
      <c r="AJ2032" s="1"/>
      <c r="AK2032" s="1"/>
      <c r="AL2032" s="1"/>
      <c r="AM2032" s="1"/>
      <c r="AN2032" s="1"/>
      <c r="AO2032" s="1"/>
      <c r="AP2032" s="1"/>
      <c r="AQ2032" s="1"/>
      <c r="AR2032" s="1"/>
      <c r="AS2032" s="1"/>
      <c r="AT2032" s="1"/>
      <c r="AU2032" s="1"/>
      <c r="AV2032" s="1"/>
      <c r="AW2032" s="1"/>
      <c r="AX2032" s="1"/>
      <c r="AY2032" s="1"/>
      <c r="AZ2032" s="1"/>
      <c r="BA2032" s="1"/>
      <c r="BB2032" s="1"/>
      <c r="BC2032" s="1"/>
      <c r="BD2032" s="1"/>
      <c r="BE2032" s="1"/>
      <c r="BF2032" s="1"/>
      <c r="BG2032" s="1"/>
      <c r="BH2032" s="1"/>
      <c r="BI2032" s="1"/>
      <c r="BJ2032" s="1"/>
      <c r="BK2032" s="1"/>
      <c r="BL2032" s="1"/>
      <c r="BM2032" s="1"/>
      <c r="BN2032" s="1"/>
      <c r="BO2032" s="1"/>
      <c r="BP2032" s="1"/>
      <c r="BQ2032" s="1"/>
      <c r="BR2032" s="1"/>
      <c r="BS2032" s="1"/>
      <c r="BT2032" s="1"/>
      <c r="BU2032" s="1"/>
      <c r="BV2032" s="1"/>
      <c r="BW2032" s="1"/>
      <c r="BX2032" s="1"/>
      <c r="BY2032" s="1"/>
      <c r="BZ2032" s="1"/>
      <c r="CA2032" s="1"/>
      <c r="CB2032" s="1"/>
      <c r="CC2032" s="1"/>
      <c r="CD2032" s="1"/>
      <c r="CE2032" s="1"/>
      <c r="CF2032" s="1"/>
      <c r="CG2032" s="1"/>
      <c r="CH2032" s="1"/>
      <c r="CI2032" s="1"/>
      <c r="CJ2032" s="1"/>
      <c r="CK2032" s="1"/>
      <c r="CL2032" s="1"/>
      <c r="CM2032" s="1"/>
      <c r="CN2032" s="1"/>
      <c r="CO2032" s="1"/>
      <c r="CP2032" s="1"/>
      <c r="CQ2032" s="1"/>
      <c r="CR2032" s="1"/>
      <c r="CS2032" s="1"/>
      <c r="CT2032" s="1"/>
      <c r="CU2032" s="1"/>
      <c r="CV2032" s="1"/>
      <c r="CW2032" s="1"/>
      <c r="CX2032" s="1"/>
      <c r="CY2032" s="1"/>
      <c r="CZ2032" s="1"/>
      <c r="DA2032" s="1"/>
      <c r="DB2032" s="1"/>
      <c r="DC2032" s="1"/>
    </row>
    <row r="2033" spans="1:107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  <c r="AD2033" s="1"/>
      <c r="AE2033" s="1"/>
      <c r="AF2033" s="1"/>
      <c r="AG2033" s="1"/>
      <c r="AH2033" s="1"/>
      <c r="AI2033" s="1"/>
      <c r="AJ2033" s="1"/>
      <c r="AK2033" s="1"/>
      <c r="AL2033" s="1"/>
      <c r="AM2033" s="1"/>
      <c r="AN2033" s="1"/>
      <c r="AO2033" s="1"/>
      <c r="AP2033" s="1"/>
      <c r="AQ2033" s="1"/>
      <c r="AR2033" s="1"/>
      <c r="AS2033" s="1"/>
      <c r="AT2033" s="1"/>
      <c r="AU2033" s="1"/>
      <c r="AV2033" s="1"/>
      <c r="AW2033" s="1"/>
      <c r="AX2033" s="1"/>
      <c r="AY2033" s="1"/>
      <c r="AZ2033" s="1"/>
      <c r="BA2033" s="1"/>
      <c r="BB2033" s="1"/>
      <c r="BC2033" s="1"/>
      <c r="BD2033" s="1"/>
      <c r="BE2033" s="1"/>
      <c r="BF2033" s="1"/>
      <c r="BG2033" s="1"/>
      <c r="BH2033" s="1"/>
      <c r="BI2033" s="1"/>
      <c r="BJ2033" s="1"/>
      <c r="BK2033" s="1"/>
      <c r="BL2033" s="1"/>
      <c r="BM2033" s="1"/>
      <c r="BN2033" s="1"/>
      <c r="BO2033" s="1"/>
      <c r="BP2033" s="1"/>
      <c r="BQ2033" s="1"/>
      <c r="BR2033" s="1"/>
      <c r="BS2033" s="1"/>
      <c r="BT2033" s="1"/>
      <c r="BU2033" s="1"/>
      <c r="BV2033" s="1"/>
      <c r="BW2033" s="1"/>
      <c r="BX2033" s="1"/>
      <c r="BY2033" s="1"/>
      <c r="BZ2033" s="1"/>
      <c r="CA2033" s="1"/>
      <c r="CB2033" s="1"/>
      <c r="CC2033" s="1"/>
      <c r="CD2033" s="1"/>
      <c r="CE2033" s="1"/>
      <c r="CF2033" s="1"/>
      <c r="CG2033" s="1"/>
      <c r="CH2033" s="1"/>
      <c r="CI2033" s="1"/>
      <c r="CJ2033" s="1"/>
      <c r="CK2033" s="1"/>
      <c r="CL2033" s="1"/>
      <c r="CM2033" s="1"/>
      <c r="CN2033" s="1"/>
      <c r="CO2033" s="1"/>
      <c r="CP2033" s="1"/>
      <c r="CQ2033" s="1"/>
      <c r="CR2033" s="1"/>
      <c r="CS2033" s="1"/>
      <c r="CT2033" s="1"/>
      <c r="CU2033" s="1"/>
      <c r="CV2033" s="1"/>
      <c r="CW2033" s="1"/>
      <c r="CX2033" s="1"/>
      <c r="CY2033" s="1"/>
      <c r="CZ2033" s="1"/>
      <c r="DA2033" s="1"/>
      <c r="DB2033" s="1"/>
      <c r="DC2033" s="1"/>
    </row>
    <row r="2034" spans="1:107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1"/>
      <c r="AE2034" s="1"/>
      <c r="AF2034" s="1"/>
      <c r="AG2034" s="1"/>
      <c r="AH2034" s="1"/>
      <c r="AI2034" s="1"/>
      <c r="AJ2034" s="1"/>
      <c r="AK2034" s="1"/>
      <c r="AL2034" s="1"/>
      <c r="AM2034" s="1"/>
      <c r="AN2034" s="1"/>
      <c r="AO2034" s="1"/>
      <c r="AP2034" s="1"/>
      <c r="AQ2034" s="1"/>
      <c r="AR2034" s="1"/>
      <c r="AS2034" s="1"/>
      <c r="AT2034" s="1"/>
      <c r="AU2034" s="1"/>
      <c r="AV2034" s="1"/>
      <c r="AW2034" s="1"/>
      <c r="AX2034" s="1"/>
      <c r="AY2034" s="1"/>
      <c r="AZ2034" s="1"/>
      <c r="BA2034" s="1"/>
      <c r="BB2034" s="1"/>
      <c r="BC2034" s="1"/>
      <c r="BD2034" s="1"/>
      <c r="BE2034" s="1"/>
      <c r="BF2034" s="1"/>
      <c r="BG2034" s="1"/>
      <c r="BH2034" s="1"/>
      <c r="BI2034" s="1"/>
      <c r="BJ2034" s="1"/>
      <c r="BK2034" s="1"/>
      <c r="BL2034" s="1"/>
      <c r="BM2034" s="1"/>
      <c r="BN2034" s="1"/>
      <c r="BO2034" s="1"/>
      <c r="BP2034" s="1"/>
      <c r="BQ2034" s="1"/>
      <c r="BR2034" s="1"/>
      <c r="BS2034" s="1"/>
      <c r="BT2034" s="1"/>
      <c r="BU2034" s="1"/>
      <c r="BV2034" s="1"/>
      <c r="BW2034" s="1"/>
      <c r="BX2034" s="1"/>
      <c r="BY2034" s="1"/>
      <c r="BZ2034" s="1"/>
      <c r="CA2034" s="1"/>
      <c r="CB2034" s="1"/>
      <c r="CC2034" s="1"/>
      <c r="CD2034" s="1"/>
      <c r="CE2034" s="1"/>
      <c r="CF2034" s="1"/>
      <c r="CG2034" s="1"/>
      <c r="CH2034" s="1"/>
      <c r="CI2034" s="1"/>
      <c r="CJ2034" s="1"/>
      <c r="CK2034" s="1"/>
      <c r="CL2034" s="1"/>
      <c r="CM2034" s="1"/>
      <c r="CN2034" s="1"/>
      <c r="CO2034" s="1"/>
      <c r="CP2034" s="1"/>
      <c r="CQ2034" s="1"/>
      <c r="CR2034" s="1"/>
      <c r="CS2034" s="1"/>
      <c r="CT2034" s="1"/>
      <c r="CU2034" s="1"/>
      <c r="CV2034" s="1"/>
      <c r="CW2034" s="1"/>
      <c r="CX2034" s="1"/>
      <c r="CY2034" s="1"/>
      <c r="CZ2034" s="1"/>
      <c r="DA2034" s="1"/>
      <c r="DB2034" s="1"/>
      <c r="DC2034" s="1"/>
    </row>
    <row r="2035" spans="1:107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  <c r="AD2035" s="1"/>
      <c r="AE2035" s="1"/>
      <c r="AF2035" s="1"/>
      <c r="AG2035" s="1"/>
      <c r="AH2035" s="1"/>
      <c r="AI2035" s="1"/>
      <c r="AJ2035" s="1"/>
      <c r="AK2035" s="1"/>
      <c r="AL2035" s="1"/>
      <c r="AM2035" s="1"/>
      <c r="AN2035" s="1"/>
      <c r="AO2035" s="1"/>
      <c r="AP2035" s="1"/>
      <c r="AQ2035" s="1"/>
      <c r="AR2035" s="1"/>
      <c r="AS2035" s="1"/>
      <c r="AT2035" s="1"/>
      <c r="AU2035" s="1"/>
      <c r="AV2035" s="1"/>
      <c r="AW2035" s="1"/>
      <c r="AX2035" s="1"/>
      <c r="AY2035" s="1"/>
      <c r="AZ2035" s="1"/>
      <c r="BA2035" s="1"/>
      <c r="BB2035" s="1"/>
      <c r="BC2035" s="1"/>
      <c r="BD2035" s="1"/>
      <c r="BE2035" s="1"/>
      <c r="BF2035" s="1"/>
      <c r="BG2035" s="1"/>
      <c r="BH2035" s="1"/>
      <c r="BI2035" s="1"/>
      <c r="BJ2035" s="1"/>
      <c r="BK2035" s="1"/>
      <c r="BL2035" s="1"/>
      <c r="BM2035" s="1"/>
      <c r="BN2035" s="1"/>
      <c r="BO2035" s="1"/>
      <c r="BP2035" s="1"/>
      <c r="BQ2035" s="1"/>
      <c r="BR2035" s="1"/>
      <c r="BS2035" s="1"/>
      <c r="BT2035" s="1"/>
      <c r="BU2035" s="1"/>
      <c r="BV2035" s="1"/>
      <c r="BW2035" s="1"/>
      <c r="BX2035" s="1"/>
      <c r="BY2035" s="1"/>
      <c r="BZ2035" s="1"/>
      <c r="CA2035" s="1"/>
      <c r="CB2035" s="1"/>
      <c r="CC2035" s="1"/>
      <c r="CD2035" s="1"/>
      <c r="CE2035" s="1"/>
      <c r="CF2035" s="1"/>
      <c r="CG2035" s="1"/>
      <c r="CH2035" s="1"/>
      <c r="CI2035" s="1"/>
      <c r="CJ2035" s="1"/>
      <c r="CK2035" s="1"/>
      <c r="CL2035" s="1"/>
      <c r="CM2035" s="1"/>
      <c r="CN2035" s="1"/>
      <c r="CO2035" s="1"/>
      <c r="CP2035" s="1"/>
      <c r="CQ2035" s="1"/>
      <c r="CR2035" s="1"/>
      <c r="CS2035" s="1"/>
      <c r="CT2035" s="1"/>
      <c r="CU2035" s="1"/>
      <c r="CV2035" s="1"/>
      <c r="CW2035" s="1"/>
      <c r="CX2035" s="1"/>
      <c r="CY2035" s="1"/>
      <c r="CZ2035" s="1"/>
      <c r="DA2035" s="1"/>
      <c r="DB2035" s="1"/>
      <c r="DC2035" s="1"/>
    </row>
    <row r="2036" spans="1:107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D2036" s="1"/>
      <c r="AE2036" s="1"/>
      <c r="AF2036" s="1"/>
      <c r="AG2036" s="1"/>
      <c r="AH2036" s="1"/>
      <c r="AI2036" s="1"/>
      <c r="AJ2036" s="1"/>
      <c r="AK2036" s="1"/>
      <c r="AL2036" s="1"/>
      <c r="AM2036" s="1"/>
      <c r="AN2036" s="1"/>
      <c r="AO2036" s="1"/>
      <c r="AP2036" s="1"/>
      <c r="AQ2036" s="1"/>
      <c r="AR2036" s="1"/>
      <c r="AS2036" s="1"/>
      <c r="AT2036" s="1"/>
      <c r="AU2036" s="1"/>
      <c r="AV2036" s="1"/>
      <c r="AW2036" s="1"/>
      <c r="AX2036" s="1"/>
      <c r="AY2036" s="1"/>
      <c r="AZ2036" s="1"/>
      <c r="BA2036" s="1"/>
      <c r="BB2036" s="1"/>
      <c r="BC2036" s="1"/>
      <c r="BD2036" s="1"/>
      <c r="BE2036" s="1"/>
      <c r="BF2036" s="1"/>
      <c r="BG2036" s="1"/>
      <c r="BH2036" s="1"/>
      <c r="BI2036" s="1"/>
      <c r="BJ2036" s="1"/>
      <c r="BK2036" s="1"/>
      <c r="BL2036" s="1"/>
      <c r="BM2036" s="1"/>
      <c r="BN2036" s="1"/>
      <c r="BO2036" s="1"/>
      <c r="BP2036" s="1"/>
      <c r="BQ2036" s="1"/>
      <c r="BR2036" s="1"/>
      <c r="BS2036" s="1"/>
      <c r="BT2036" s="1"/>
      <c r="BU2036" s="1"/>
      <c r="BV2036" s="1"/>
      <c r="BW2036" s="1"/>
      <c r="BX2036" s="1"/>
      <c r="BY2036" s="1"/>
      <c r="BZ2036" s="1"/>
      <c r="CA2036" s="1"/>
      <c r="CB2036" s="1"/>
      <c r="CC2036" s="1"/>
      <c r="CD2036" s="1"/>
      <c r="CE2036" s="1"/>
      <c r="CF2036" s="1"/>
      <c r="CG2036" s="1"/>
      <c r="CH2036" s="1"/>
      <c r="CI2036" s="1"/>
      <c r="CJ2036" s="1"/>
      <c r="CK2036" s="1"/>
      <c r="CL2036" s="1"/>
      <c r="CM2036" s="1"/>
      <c r="CN2036" s="1"/>
      <c r="CO2036" s="1"/>
      <c r="CP2036" s="1"/>
      <c r="CQ2036" s="1"/>
      <c r="CR2036" s="1"/>
      <c r="CS2036" s="1"/>
      <c r="CT2036" s="1"/>
      <c r="CU2036" s="1"/>
      <c r="CV2036" s="1"/>
      <c r="CW2036" s="1"/>
      <c r="CX2036" s="1"/>
      <c r="CY2036" s="1"/>
      <c r="CZ2036" s="1"/>
      <c r="DA2036" s="1"/>
      <c r="DB2036" s="1"/>
      <c r="DC2036" s="1"/>
    </row>
    <row r="2037" spans="1:107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D2037" s="1"/>
      <c r="AE2037" s="1"/>
      <c r="AF2037" s="1"/>
      <c r="AG2037" s="1"/>
      <c r="AH2037" s="1"/>
      <c r="AI2037" s="1"/>
      <c r="AJ2037" s="1"/>
      <c r="AK2037" s="1"/>
      <c r="AL2037" s="1"/>
      <c r="AM2037" s="1"/>
      <c r="AN2037" s="1"/>
      <c r="AO2037" s="1"/>
      <c r="AP2037" s="1"/>
      <c r="AQ2037" s="1"/>
      <c r="AR2037" s="1"/>
      <c r="AS2037" s="1"/>
      <c r="AT2037" s="1"/>
      <c r="AU2037" s="1"/>
      <c r="AV2037" s="1"/>
      <c r="AW2037" s="1"/>
      <c r="AX2037" s="1"/>
      <c r="AY2037" s="1"/>
      <c r="AZ2037" s="1"/>
      <c r="BA2037" s="1"/>
      <c r="BB2037" s="1"/>
      <c r="BC2037" s="1"/>
      <c r="BD2037" s="1"/>
      <c r="BE2037" s="1"/>
      <c r="BF2037" s="1"/>
      <c r="BG2037" s="1"/>
      <c r="BH2037" s="1"/>
      <c r="BI2037" s="1"/>
      <c r="BJ2037" s="1"/>
      <c r="BK2037" s="1"/>
      <c r="BL2037" s="1"/>
      <c r="BM2037" s="1"/>
      <c r="BN2037" s="1"/>
      <c r="BO2037" s="1"/>
      <c r="BP2037" s="1"/>
      <c r="BQ2037" s="1"/>
      <c r="BR2037" s="1"/>
      <c r="BS2037" s="1"/>
      <c r="BT2037" s="1"/>
      <c r="BU2037" s="1"/>
      <c r="BV2037" s="1"/>
      <c r="BW2037" s="1"/>
      <c r="BX2037" s="1"/>
      <c r="BY2037" s="1"/>
      <c r="BZ2037" s="1"/>
      <c r="CA2037" s="1"/>
      <c r="CB2037" s="1"/>
      <c r="CC2037" s="1"/>
      <c r="CD2037" s="1"/>
      <c r="CE2037" s="1"/>
      <c r="CF2037" s="1"/>
      <c r="CG2037" s="1"/>
      <c r="CH2037" s="1"/>
      <c r="CI2037" s="1"/>
      <c r="CJ2037" s="1"/>
      <c r="CK2037" s="1"/>
      <c r="CL2037" s="1"/>
      <c r="CM2037" s="1"/>
      <c r="CN2037" s="1"/>
      <c r="CO2037" s="1"/>
      <c r="CP2037" s="1"/>
      <c r="CQ2037" s="1"/>
      <c r="CR2037" s="1"/>
      <c r="CS2037" s="1"/>
      <c r="CT2037" s="1"/>
      <c r="CU2037" s="1"/>
      <c r="CV2037" s="1"/>
      <c r="CW2037" s="1"/>
      <c r="CX2037" s="1"/>
      <c r="CY2037" s="1"/>
      <c r="CZ2037" s="1"/>
      <c r="DA2037" s="1"/>
      <c r="DB2037" s="1"/>
      <c r="DC2037" s="1"/>
    </row>
    <row r="2038" spans="1:107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1"/>
      <c r="AD2038" s="1"/>
      <c r="AE2038" s="1"/>
      <c r="AF2038" s="1"/>
      <c r="AG2038" s="1"/>
      <c r="AH2038" s="1"/>
      <c r="AI2038" s="1"/>
      <c r="AJ2038" s="1"/>
      <c r="AK2038" s="1"/>
      <c r="AL2038" s="1"/>
      <c r="AM2038" s="1"/>
      <c r="AN2038" s="1"/>
      <c r="AO2038" s="1"/>
      <c r="AP2038" s="1"/>
      <c r="AQ2038" s="1"/>
      <c r="AR2038" s="1"/>
      <c r="AS2038" s="1"/>
      <c r="AT2038" s="1"/>
      <c r="AU2038" s="1"/>
      <c r="AV2038" s="1"/>
      <c r="AW2038" s="1"/>
      <c r="AX2038" s="1"/>
      <c r="AY2038" s="1"/>
      <c r="AZ2038" s="1"/>
      <c r="BA2038" s="1"/>
      <c r="BB2038" s="1"/>
      <c r="BC2038" s="1"/>
      <c r="BD2038" s="1"/>
      <c r="BE2038" s="1"/>
      <c r="BF2038" s="1"/>
      <c r="BG2038" s="1"/>
      <c r="BH2038" s="1"/>
      <c r="BI2038" s="1"/>
      <c r="BJ2038" s="1"/>
      <c r="BK2038" s="1"/>
      <c r="BL2038" s="1"/>
      <c r="BM2038" s="1"/>
      <c r="BN2038" s="1"/>
      <c r="BO2038" s="1"/>
      <c r="BP2038" s="1"/>
      <c r="BQ2038" s="1"/>
      <c r="BR2038" s="1"/>
      <c r="BS2038" s="1"/>
      <c r="BT2038" s="1"/>
      <c r="BU2038" s="1"/>
      <c r="BV2038" s="1"/>
      <c r="BW2038" s="1"/>
      <c r="BX2038" s="1"/>
      <c r="BY2038" s="1"/>
      <c r="BZ2038" s="1"/>
      <c r="CA2038" s="1"/>
      <c r="CB2038" s="1"/>
      <c r="CC2038" s="1"/>
      <c r="CD2038" s="1"/>
      <c r="CE2038" s="1"/>
      <c r="CF2038" s="1"/>
      <c r="CG2038" s="1"/>
      <c r="CH2038" s="1"/>
      <c r="CI2038" s="1"/>
      <c r="CJ2038" s="1"/>
      <c r="CK2038" s="1"/>
      <c r="CL2038" s="1"/>
      <c r="CM2038" s="1"/>
      <c r="CN2038" s="1"/>
      <c r="CO2038" s="1"/>
      <c r="CP2038" s="1"/>
      <c r="CQ2038" s="1"/>
      <c r="CR2038" s="1"/>
      <c r="CS2038" s="1"/>
      <c r="CT2038" s="1"/>
      <c r="CU2038" s="1"/>
      <c r="CV2038" s="1"/>
      <c r="CW2038" s="1"/>
      <c r="CX2038" s="1"/>
      <c r="CY2038" s="1"/>
      <c r="CZ2038" s="1"/>
      <c r="DA2038" s="1"/>
      <c r="DB2038" s="1"/>
      <c r="DC2038" s="1"/>
    </row>
    <row r="2039" spans="1:107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1"/>
      <c r="AE2039" s="1"/>
      <c r="AF2039" s="1"/>
      <c r="AG2039" s="1"/>
      <c r="AH2039" s="1"/>
      <c r="AI2039" s="1"/>
      <c r="AJ2039" s="1"/>
      <c r="AK2039" s="1"/>
      <c r="AL2039" s="1"/>
      <c r="AM2039" s="1"/>
      <c r="AN2039" s="1"/>
      <c r="AO2039" s="1"/>
      <c r="AP2039" s="1"/>
      <c r="AQ2039" s="1"/>
      <c r="AR2039" s="1"/>
      <c r="AS2039" s="1"/>
      <c r="AT2039" s="1"/>
      <c r="AU2039" s="1"/>
      <c r="AV2039" s="1"/>
      <c r="AW2039" s="1"/>
      <c r="AX2039" s="1"/>
      <c r="AY2039" s="1"/>
      <c r="AZ2039" s="1"/>
      <c r="BA2039" s="1"/>
      <c r="BB2039" s="1"/>
      <c r="BC2039" s="1"/>
      <c r="BD2039" s="1"/>
      <c r="BE2039" s="1"/>
      <c r="BF2039" s="1"/>
      <c r="BG2039" s="1"/>
      <c r="BH2039" s="1"/>
      <c r="BI2039" s="1"/>
      <c r="BJ2039" s="1"/>
      <c r="BK2039" s="1"/>
      <c r="BL2039" s="1"/>
      <c r="BM2039" s="1"/>
      <c r="BN2039" s="1"/>
      <c r="BO2039" s="1"/>
      <c r="BP2039" s="1"/>
      <c r="BQ2039" s="1"/>
      <c r="BR2039" s="1"/>
      <c r="BS2039" s="1"/>
      <c r="BT2039" s="1"/>
      <c r="BU2039" s="1"/>
      <c r="BV2039" s="1"/>
      <c r="BW2039" s="1"/>
      <c r="BX2039" s="1"/>
      <c r="BY2039" s="1"/>
      <c r="BZ2039" s="1"/>
      <c r="CA2039" s="1"/>
      <c r="CB2039" s="1"/>
      <c r="CC2039" s="1"/>
      <c r="CD2039" s="1"/>
      <c r="CE2039" s="1"/>
      <c r="CF2039" s="1"/>
      <c r="CG2039" s="1"/>
      <c r="CH2039" s="1"/>
      <c r="CI2039" s="1"/>
      <c r="CJ2039" s="1"/>
      <c r="CK2039" s="1"/>
      <c r="CL2039" s="1"/>
      <c r="CM2039" s="1"/>
      <c r="CN2039" s="1"/>
      <c r="CO2039" s="1"/>
      <c r="CP2039" s="1"/>
      <c r="CQ2039" s="1"/>
      <c r="CR2039" s="1"/>
      <c r="CS2039" s="1"/>
      <c r="CT2039" s="1"/>
      <c r="CU2039" s="1"/>
      <c r="CV2039" s="1"/>
      <c r="CW2039" s="1"/>
      <c r="CX2039" s="1"/>
      <c r="CY2039" s="1"/>
      <c r="CZ2039" s="1"/>
      <c r="DA2039" s="1"/>
      <c r="DB2039" s="1"/>
      <c r="DC2039" s="1"/>
    </row>
    <row r="2040" spans="1:107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1"/>
      <c r="AD2040" s="1"/>
      <c r="AE2040" s="1"/>
      <c r="AF2040" s="1"/>
      <c r="AG2040" s="1"/>
      <c r="AH2040" s="1"/>
      <c r="AI2040" s="1"/>
      <c r="AJ2040" s="1"/>
      <c r="AK2040" s="1"/>
      <c r="AL2040" s="1"/>
      <c r="AM2040" s="1"/>
      <c r="AN2040" s="1"/>
      <c r="AO2040" s="1"/>
      <c r="AP2040" s="1"/>
      <c r="AQ2040" s="1"/>
      <c r="AR2040" s="1"/>
      <c r="AS2040" s="1"/>
      <c r="AT2040" s="1"/>
      <c r="AU2040" s="1"/>
      <c r="AV2040" s="1"/>
      <c r="AW2040" s="1"/>
      <c r="AX2040" s="1"/>
      <c r="AY2040" s="1"/>
      <c r="AZ2040" s="1"/>
      <c r="BA2040" s="1"/>
      <c r="BB2040" s="1"/>
      <c r="BC2040" s="1"/>
      <c r="BD2040" s="1"/>
      <c r="BE2040" s="1"/>
      <c r="BF2040" s="1"/>
      <c r="BG2040" s="1"/>
      <c r="BH2040" s="1"/>
      <c r="BI2040" s="1"/>
      <c r="BJ2040" s="1"/>
      <c r="BK2040" s="1"/>
      <c r="BL2040" s="1"/>
      <c r="BM2040" s="1"/>
      <c r="BN2040" s="1"/>
      <c r="BO2040" s="1"/>
      <c r="BP2040" s="1"/>
      <c r="BQ2040" s="1"/>
      <c r="BR2040" s="1"/>
      <c r="BS2040" s="1"/>
      <c r="BT2040" s="1"/>
      <c r="BU2040" s="1"/>
      <c r="BV2040" s="1"/>
      <c r="BW2040" s="1"/>
      <c r="BX2040" s="1"/>
      <c r="BY2040" s="1"/>
      <c r="BZ2040" s="1"/>
      <c r="CA2040" s="1"/>
      <c r="CB2040" s="1"/>
      <c r="CC2040" s="1"/>
      <c r="CD2040" s="1"/>
      <c r="CE2040" s="1"/>
      <c r="CF2040" s="1"/>
      <c r="CG2040" s="1"/>
      <c r="CH2040" s="1"/>
      <c r="CI2040" s="1"/>
      <c r="CJ2040" s="1"/>
      <c r="CK2040" s="1"/>
      <c r="CL2040" s="1"/>
      <c r="CM2040" s="1"/>
      <c r="CN2040" s="1"/>
      <c r="CO2040" s="1"/>
      <c r="CP2040" s="1"/>
      <c r="CQ2040" s="1"/>
      <c r="CR2040" s="1"/>
      <c r="CS2040" s="1"/>
      <c r="CT2040" s="1"/>
      <c r="CU2040" s="1"/>
      <c r="CV2040" s="1"/>
      <c r="CW2040" s="1"/>
      <c r="CX2040" s="1"/>
      <c r="CY2040" s="1"/>
      <c r="CZ2040" s="1"/>
      <c r="DA2040" s="1"/>
      <c r="DB2040" s="1"/>
      <c r="DC2040" s="1"/>
    </row>
    <row r="2041" spans="1:107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  <c r="AE2041" s="1"/>
      <c r="AF2041" s="1"/>
      <c r="AG2041" s="1"/>
      <c r="AH2041" s="1"/>
      <c r="AI2041" s="1"/>
      <c r="AJ2041" s="1"/>
      <c r="AK2041" s="1"/>
      <c r="AL2041" s="1"/>
      <c r="AM2041" s="1"/>
      <c r="AN2041" s="1"/>
      <c r="AO2041" s="1"/>
      <c r="AP2041" s="1"/>
      <c r="AQ2041" s="1"/>
      <c r="AR2041" s="1"/>
      <c r="AS2041" s="1"/>
      <c r="AT2041" s="1"/>
      <c r="AU2041" s="1"/>
      <c r="AV2041" s="1"/>
      <c r="AW2041" s="1"/>
      <c r="AX2041" s="1"/>
      <c r="AY2041" s="1"/>
      <c r="AZ2041" s="1"/>
      <c r="BA2041" s="1"/>
      <c r="BB2041" s="1"/>
      <c r="BC2041" s="1"/>
      <c r="BD2041" s="1"/>
      <c r="BE2041" s="1"/>
      <c r="BF2041" s="1"/>
      <c r="BG2041" s="1"/>
      <c r="BH2041" s="1"/>
      <c r="BI2041" s="1"/>
      <c r="BJ2041" s="1"/>
      <c r="BK2041" s="1"/>
      <c r="BL2041" s="1"/>
      <c r="BM2041" s="1"/>
      <c r="BN2041" s="1"/>
      <c r="BO2041" s="1"/>
      <c r="BP2041" s="1"/>
      <c r="BQ2041" s="1"/>
      <c r="BR2041" s="1"/>
      <c r="BS2041" s="1"/>
      <c r="BT2041" s="1"/>
      <c r="BU2041" s="1"/>
      <c r="BV2041" s="1"/>
      <c r="BW2041" s="1"/>
      <c r="BX2041" s="1"/>
      <c r="BY2041" s="1"/>
      <c r="BZ2041" s="1"/>
      <c r="CA2041" s="1"/>
      <c r="CB2041" s="1"/>
      <c r="CC2041" s="1"/>
      <c r="CD2041" s="1"/>
      <c r="CE2041" s="1"/>
      <c r="CF2041" s="1"/>
      <c r="CG2041" s="1"/>
      <c r="CH2041" s="1"/>
      <c r="CI2041" s="1"/>
      <c r="CJ2041" s="1"/>
      <c r="CK2041" s="1"/>
      <c r="CL2041" s="1"/>
      <c r="CM2041" s="1"/>
      <c r="CN2041" s="1"/>
      <c r="CO2041" s="1"/>
      <c r="CP2041" s="1"/>
      <c r="CQ2041" s="1"/>
      <c r="CR2041" s="1"/>
      <c r="CS2041" s="1"/>
      <c r="CT2041" s="1"/>
      <c r="CU2041" s="1"/>
      <c r="CV2041" s="1"/>
      <c r="CW2041" s="1"/>
      <c r="CX2041" s="1"/>
      <c r="CY2041" s="1"/>
      <c r="CZ2041" s="1"/>
      <c r="DA2041" s="1"/>
      <c r="DB2041" s="1"/>
      <c r="DC2041" s="1"/>
    </row>
    <row r="2042" spans="1:107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  <c r="AD2042" s="1"/>
      <c r="AE2042" s="1"/>
      <c r="AF2042" s="1"/>
      <c r="AG2042" s="1"/>
      <c r="AH2042" s="1"/>
      <c r="AI2042" s="1"/>
      <c r="AJ2042" s="1"/>
      <c r="AK2042" s="1"/>
      <c r="AL2042" s="1"/>
      <c r="AM2042" s="1"/>
      <c r="AN2042" s="1"/>
      <c r="AO2042" s="1"/>
      <c r="AP2042" s="1"/>
      <c r="AQ2042" s="1"/>
      <c r="AR2042" s="1"/>
      <c r="AS2042" s="1"/>
      <c r="AT2042" s="1"/>
      <c r="AU2042" s="1"/>
      <c r="AV2042" s="1"/>
      <c r="AW2042" s="1"/>
      <c r="AX2042" s="1"/>
      <c r="AY2042" s="1"/>
      <c r="AZ2042" s="1"/>
      <c r="BA2042" s="1"/>
      <c r="BB2042" s="1"/>
      <c r="BC2042" s="1"/>
      <c r="BD2042" s="1"/>
      <c r="BE2042" s="1"/>
      <c r="BF2042" s="1"/>
      <c r="BG2042" s="1"/>
      <c r="BH2042" s="1"/>
      <c r="BI2042" s="1"/>
      <c r="BJ2042" s="1"/>
      <c r="BK2042" s="1"/>
      <c r="BL2042" s="1"/>
      <c r="BM2042" s="1"/>
      <c r="BN2042" s="1"/>
      <c r="BO2042" s="1"/>
      <c r="BP2042" s="1"/>
      <c r="BQ2042" s="1"/>
      <c r="BR2042" s="1"/>
      <c r="BS2042" s="1"/>
      <c r="BT2042" s="1"/>
      <c r="BU2042" s="1"/>
      <c r="BV2042" s="1"/>
      <c r="BW2042" s="1"/>
      <c r="BX2042" s="1"/>
      <c r="BY2042" s="1"/>
      <c r="BZ2042" s="1"/>
      <c r="CA2042" s="1"/>
      <c r="CB2042" s="1"/>
      <c r="CC2042" s="1"/>
      <c r="CD2042" s="1"/>
      <c r="CE2042" s="1"/>
      <c r="CF2042" s="1"/>
      <c r="CG2042" s="1"/>
      <c r="CH2042" s="1"/>
      <c r="CI2042" s="1"/>
      <c r="CJ2042" s="1"/>
      <c r="CK2042" s="1"/>
      <c r="CL2042" s="1"/>
      <c r="CM2042" s="1"/>
      <c r="CN2042" s="1"/>
      <c r="CO2042" s="1"/>
      <c r="CP2042" s="1"/>
      <c r="CQ2042" s="1"/>
      <c r="CR2042" s="1"/>
      <c r="CS2042" s="1"/>
      <c r="CT2042" s="1"/>
      <c r="CU2042" s="1"/>
      <c r="CV2042" s="1"/>
      <c r="CW2042" s="1"/>
      <c r="CX2042" s="1"/>
      <c r="CY2042" s="1"/>
      <c r="CZ2042" s="1"/>
      <c r="DA2042" s="1"/>
      <c r="DB2042" s="1"/>
      <c r="DC2042" s="1"/>
    </row>
    <row r="2043" spans="1:107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  <c r="AG2043" s="1"/>
      <c r="AH2043" s="1"/>
      <c r="AI2043" s="1"/>
      <c r="AJ2043" s="1"/>
      <c r="AK2043" s="1"/>
      <c r="AL2043" s="1"/>
      <c r="AM2043" s="1"/>
      <c r="AN2043" s="1"/>
      <c r="AO2043" s="1"/>
      <c r="AP2043" s="1"/>
      <c r="AQ2043" s="1"/>
      <c r="AR2043" s="1"/>
      <c r="AS2043" s="1"/>
      <c r="AT2043" s="1"/>
      <c r="AU2043" s="1"/>
      <c r="AV2043" s="1"/>
      <c r="AW2043" s="1"/>
      <c r="AX2043" s="1"/>
      <c r="AY2043" s="1"/>
      <c r="AZ2043" s="1"/>
      <c r="BA2043" s="1"/>
      <c r="BB2043" s="1"/>
      <c r="BC2043" s="1"/>
      <c r="BD2043" s="1"/>
      <c r="BE2043" s="1"/>
      <c r="BF2043" s="1"/>
      <c r="BG2043" s="1"/>
      <c r="BH2043" s="1"/>
      <c r="BI2043" s="1"/>
      <c r="BJ2043" s="1"/>
      <c r="BK2043" s="1"/>
      <c r="BL2043" s="1"/>
      <c r="BM2043" s="1"/>
      <c r="BN2043" s="1"/>
      <c r="BO2043" s="1"/>
      <c r="BP2043" s="1"/>
      <c r="BQ2043" s="1"/>
      <c r="BR2043" s="1"/>
      <c r="BS2043" s="1"/>
      <c r="BT2043" s="1"/>
      <c r="BU2043" s="1"/>
      <c r="BV2043" s="1"/>
      <c r="BW2043" s="1"/>
      <c r="BX2043" s="1"/>
      <c r="BY2043" s="1"/>
      <c r="BZ2043" s="1"/>
      <c r="CA2043" s="1"/>
      <c r="CB2043" s="1"/>
      <c r="CC2043" s="1"/>
      <c r="CD2043" s="1"/>
      <c r="CE2043" s="1"/>
      <c r="CF2043" s="1"/>
      <c r="CG2043" s="1"/>
      <c r="CH2043" s="1"/>
      <c r="CI2043" s="1"/>
      <c r="CJ2043" s="1"/>
      <c r="CK2043" s="1"/>
      <c r="CL2043" s="1"/>
      <c r="CM2043" s="1"/>
      <c r="CN2043" s="1"/>
      <c r="CO2043" s="1"/>
      <c r="CP2043" s="1"/>
      <c r="CQ2043" s="1"/>
      <c r="CR2043" s="1"/>
      <c r="CS2043" s="1"/>
      <c r="CT2043" s="1"/>
      <c r="CU2043" s="1"/>
      <c r="CV2043" s="1"/>
      <c r="CW2043" s="1"/>
      <c r="CX2043" s="1"/>
      <c r="CY2043" s="1"/>
      <c r="CZ2043" s="1"/>
      <c r="DA2043" s="1"/>
      <c r="DB2043" s="1"/>
      <c r="DC2043" s="1"/>
    </row>
    <row r="2044" spans="1:107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  <c r="AE2044" s="1"/>
      <c r="AF2044" s="1"/>
      <c r="AG2044" s="1"/>
      <c r="AH2044" s="1"/>
      <c r="AI2044" s="1"/>
      <c r="AJ2044" s="1"/>
      <c r="AK2044" s="1"/>
      <c r="AL2044" s="1"/>
      <c r="AM2044" s="1"/>
      <c r="AN2044" s="1"/>
      <c r="AO2044" s="1"/>
      <c r="AP2044" s="1"/>
      <c r="AQ2044" s="1"/>
      <c r="AR2044" s="1"/>
      <c r="AS2044" s="1"/>
      <c r="AT2044" s="1"/>
      <c r="AU2044" s="1"/>
      <c r="AV2044" s="1"/>
      <c r="AW2044" s="1"/>
      <c r="AX2044" s="1"/>
      <c r="AY2044" s="1"/>
      <c r="AZ2044" s="1"/>
      <c r="BA2044" s="1"/>
      <c r="BB2044" s="1"/>
      <c r="BC2044" s="1"/>
      <c r="BD2044" s="1"/>
      <c r="BE2044" s="1"/>
      <c r="BF2044" s="1"/>
      <c r="BG2044" s="1"/>
      <c r="BH2044" s="1"/>
      <c r="BI2044" s="1"/>
      <c r="BJ2044" s="1"/>
      <c r="BK2044" s="1"/>
      <c r="BL2044" s="1"/>
      <c r="BM2044" s="1"/>
      <c r="BN2044" s="1"/>
      <c r="BO2044" s="1"/>
      <c r="BP2044" s="1"/>
      <c r="BQ2044" s="1"/>
      <c r="BR2044" s="1"/>
      <c r="BS2044" s="1"/>
      <c r="BT2044" s="1"/>
      <c r="BU2044" s="1"/>
      <c r="BV2044" s="1"/>
      <c r="BW2044" s="1"/>
      <c r="BX2044" s="1"/>
      <c r="BY2044" s="1"/>
      <c r="BZ2044" s="1"/>
      <c r="CA2044" s="1"/>
      <c r="CB2044" s="1"/>
      <c r="CC2044" s="1"/>
      <c r="CD2044" s="1"/>
      <c r="CE2044" s="1"/>
      <c r="CF2044" s="1"/>
      <c r="CG2044" s="1"/>
      <c r="CH2044" s="1"/>
      <c r="CI2044" s="1"/>
      <c r="CJ2044" s="1"/>
      <c r="CK2044" s="1"/>
      <c r="CL2044" s="1"/>
      <c r="CM2044" s="1"/>
      <c r="CN2044" s="1"/>
      <c r="CO2044" s="1"/>
      <c r="CP2044" s="1"/>
      <c r="CQ2044" s="1"/>
      <c r="CR2044" s="1"/>
      <c r="CS2044" s="1"/>
      <c r="CT2044" s="1"/>
      <c r="CU2044" s="1"/>
      <c r="CV2044" s="1"/>
      <c r="CW2044" s="1"/>
      <c r="CX2044" s="1"/>
      <c r="CY2044" s="1"/>
      <c r="CZ2044" s="1"/>
      <c r="DA2044" s="1"/>
      <c r="DB2044" s="1"/>
      <c r="DC2044" s="1"/>
    </row>
    <row r="2045" spans="1:107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  <c r="AG2045" s="1"/>
      <c r="AH2045" s="1"/>
      <c r="AI2045" s="1"/>
      <c r="AJ2045" s="1"/>
      <c r="AK2045" s="1"/>
      <c r="AL2045" s="1"/>
      <c r="AM2045" s="1"/>
      <c r="AN2045" s="1"/>
      <c r="AO2045" s="1"/>
      <c r="AP2045" s="1"/>
      <c r="AQ2045" s="1"/>
      <c r="AR2045" s="1"/>
      <c r="AS2045" s="1"/>
      <c r="AT2045" s="1"/>
      <c r="AU2045" s="1"/>
      <c r="AV2045" s="1"/>
      <c r="AW2045" s="1"/>
      <c r="AX2045" s="1"/>
      <c r="AY2045" s="1"/>
      <c r="AZ2045" s="1"/>
      <c r="BA2045" s="1"/>
      <c r="BB2045" s="1"/>
      <c r="BC2045" s="1"/>
      <c r="BD2045" s="1"/>
      <c r="BE2045" s="1"/>
      <c r="BF2045" s="1"/>
      <c r="BG2045" s="1"/>
      <c r="BH2045" s="1"/>
      <c r="BI2045" s="1"/>
      <c r="BJ2045" s="1"/>
      <c r="BK2045" s="1"/>
      <c r="BL2045" s="1"/>
      <c r="BM2045" s="1"/>
      <c r="BN2045" s="1"/>
      <c r="BO2045" s="1"/>
      <c r="BP2045" s="1"/>
      <c r="BQ2045" s="1"/>
      <c r="BR2045" s="1"/>
      <c r="BS2045" s="1"/>
      <c r="BT2045" s="1"/>
      <c r="BU2045" s="1"/>
      <c r="BV2045" s="1"/>
      <c r="BW2045" s="1"/>
      <c r="BX2045" s="1"/>
      <c r="BY2045" s="1"/>
      <c r="BZ2045" s="1"/>
      <c r="CA2045" s="1"/>
      <c r="CB2045" s="1"/>
      <c r="CC2045" s="1"/>
      <c r="CD2045" s="1"/>
      <c r="CE2045" s="1"/>
      <c r="CF2045" s="1"/>
      <c r="CG2045" s="1"/>
      <c r="CH2045" s="1"/>
      <c r="CI2045" s="1"/>
      <c r="CJ2045" s="1"/>
      <c r="CK2045" s="1"/>
      <c r="CL2045" s="1"/>
      <c r="CM2045" s="1"/>
      <c r="CN2045" s="1"/>
      <c r="CO2045" s="1"/>
      <c r="CP2045" s="1"/>
      <c r="CQ2045" s="1"/>
      <c r="CR2045" s="1"/>
      <c r="CS2045" s="1"/>
      <c r="CT2045" s="1"/>
      <c r="CU2045" s="1"/>
      <c r="CV2045" s="1"/>
      <c r="CW2045" s="1"/>
      <c r="CX2045" s="1"/>
      <c r="CY2045" s="1"/>
      <c r="CZ2045" s="1"/>
      <c r="DA2045" s="1"/>
      <c r="DB2045" s="1"/>
      <c r="DC2045" s="1"/>
    </row>
    <row r="2046" spans="1:107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1"/>
      <c r="AD2046" s="1"/>
      <c r="AE2046" s="1"/>
      <c r="AF2046" s="1"/>
      <c r="AG2046" s="1"/>
      <c r="AH2046" s="1"/>
      <c r="AI2046" s="1"/>
      <c r="AJ2046" s="1"/>
      <c r="AK2046" s="1"/>
      <c r="AL2046" s="1"/>
      <c r="AM2046" s="1"/>
      <c r="AN2046" s="1"/>
      <c r="AO2046" s="1"/>
      <c r="AP2046" s="1"/>
      <c r="AQ2046" s="1"/>
      <c r="AR2046" s="1"/>
      <c r="AS2046" s="1"/>
      <c r="AT2046" s="1"/>
      <c r="AU2046" s="1"/>
      <c r="AV2046" s="1"/>
      <c r="AW2046" s="1"/>
      <c r="AX2046" s="1"/>
      <c r="AY2046" s="1"/>
      <c r="AZ2046" s="1"/>
      <c r="BA2046" s="1"/>
      <c r="BB2046" s="1"/>
      <c r="BC2046" s="1"/>
      <c r="BD2046" s="1"/>
      <c r="BE2046" s="1"/>
      <c r="BF2046" s="1"/>
      <c r="BG2046" s="1"/>
      <c r="BH2046" s="1"/>
      <c r="BI2046" s="1"/>
      <c r="BJ2046" s="1"/>
      <c r="BK2046" s="1"/>
      <c r="BL2046" s="1"/>
      <c r="BM2046" s="1"/>
      <c r="BN2046" s="1"/>
      <c r="BO2046" s="1"/>
      <c r="BP2046" s="1"/>
      <c r="BQ2046" s="1"/>
      <c r="BR2046" s="1"/>
      <c r="BS2046" s="1"/>
      <c r="BT2046" s="1"/>
      <c r="BU2046" s="1"/>
      <c r="BV2046" s="1"/>
      <c r="BW2046" s="1"/>
      <c r="BX2046" s="1"/>
      <c r="BY2046" s="1"/>
      <c r="BZ2046" s="1"/>
      <c r="CA2046" s="1"/>
      <c r="CB2046" s="1"/>
      <c r="CC2046" s="1"/>
      <c r="CD2046" s="1"/>
      <c r="CE2046" s="1"/>
      <c r="CF2046" s="1"/>
      <c r="CG2046" s="1"/>
      <c r="CH2046" s="1"/>
      <c r="CI2046" s="1"/>
      <c r="CJ2046" s="1"/>
      <c r="CK2046" s="1"/>
      <c r="CL2046" s="1"/>
      <c r="CM2046" s="1"/>
      <c r="CN2046" s="1"/>
      <c r="CO2046" s="1"/>
      <c r="CP2046" s="1"/>
      <c r="CQ2046" s="1"/>
      <c r="CR2046" s="1"/>
      <c r="CS2046" s="1"/>
      <c r="CT2046" s="1"/>
      <c r="CU2046" s="1"/>
      <c r="CV2046" s="1"/>
      <c r="CW2046" s="1"/>
      <c r="CX2046" s="1"/>
      <c r="CY2046" s="1"/>
      <c r="CZ2046" s="1"/>
      <c r="DA2046" s="1"/>
      <c r="DB2046" s="1"/>
      <c r="DC2046" s="1"/>
    </row>
    <row r="2047" spans="1:107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  <c r="AD2047" s="1"/>
      <c r="AE2047" s="1"/>
      <c r="AF2047" s="1"/>
      <c r="AG2047" s="1"/>
      <c r="AH2047" s="1"/>
      <c r="AI2047" s="1"/>
      <c r="AJ2047" s="1"/>
      <c r="AK2047" s="1"/>
      <c r="AL2047" s="1"/>
      <c r="AM2047" s="1"/>
      <c r="AN2047" s="1"/>
      <c r="AO2047" s="1"/>
      <c r="AP2047" s="1"/>
      <c r="AQ2047" s="1"/>
      <c r="AR2047" s="1"/>
      <c r="AS2047" s="1"/>
      <c r="AT2047" s="1"/>
      <c r="AU2047" s="1"/>
      <c r="AV2047" s="1"/>
      <c r="AW2047" s="1"/>
      <c r="AX2047" s="1"/>
      <c r="AY2047" s="1"/>
      <c r="AZ2047" s="1"/>
      <c r="BA2047" s="1"/>
      <c r="BB2047" s="1"/>
      <c r="BC2047" s="1"/>
      <c r="BD2047" s="1"/>
      <c r="BE2047" s="1"/>
      <c r="BF2047" s="1"/>
      <c r="BG2047" s="1"/>
      <c r="BH2047" s="1"/>
      <c r="BI2047" s="1"/>
      <c r="BJ2047" s="1"/>
      <c r="BK2047" s="1"/>
      <c r="BL2047" s="1"/>
      <c r="BM2047" s="1"/>
      <c r="BN2047" s="1"/>
      <c r="BO2047" s="1"/>
      <c r="BP2047" s="1"/>
      <c r="BQ2047" s="1"/>
      <c r="BR2047" s="1"/>
      <c r="BS2047" s="1"/>
      <c r="BT2047" s="1"/>
      <c r="BU2047" s="1"/>
      <c r="BV2047" s="1"/>
      <c r="BW2047" s="1"/>
      <c r="BX2047" s="1"/>
      <c r="BY2047" s="1"/>
      <c r="BZ2047" s="1"/>
      <c r="CA2047" s="1"/>
      <c r="CB2047" s="1"/>
      <c r="CC2047" s="1"/>
      <c r="CD2047" s="1"/>
      <c r="CE2047" s="1"/>
      <c r="CF2047" s="1"/>
      <c r="CG2047" s="1"/>
      <c r="CH2047" s="1"/>
      <c r="CI2047" s="1"/>
      <c r="CJ2047" s="1"/>
      <c r="CK2047" s="1"/>
      <c r="CL2047" s="1"/>
      <c r="CM2047" s="1"/>
      <c r="CN2047" s="1"/>
      <c r="CO2047" s="1"/>
      <c r="CP2047" s="1"/>
      <c r="CQ2047" s="1"/>
      <c r="CR2047" s="1"/>
      <c r="CS2047" s="1"/>
      <c r="CT2047" s="1"/>
      <c r="CU2047" s="1"/>
      <c r="CV2047" s="1"/>
      <c r="CW2047" s="1"/>
      <c r="CX2047" s="1"/>
      <c r="CY2047" s="1"/>
      <c r="CZ2047" s="1"/>
      <c r="DA2047" s="1"/>
      <c r="DB2047" s="1"/>
      <c r="DC2047" s="1"/>
    </row>
    <row r="2048" spans="1:107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D2048" s="1"/>
      <c r="AE2048" s="1"/>
      <c r="AF2048" s="1"/>
      <c r="AG2048" s="1"/>
      <c r="AH2048" s="1"/>
      <c r="AI2048" s="1"/>
      <c r="AJ2048" s="1"/>
      <c r="AK2048" s="1"/>
      <c r="AL2048" s="1"/>
      <c r="AM2048" s="1"/>
      <c r="AN2048" s="1"/>
      <c r="AO2048" s="1"/>
      <c r="AP2048" s="1"/>
      <c r="AQ2048" s="1"/>
      <c r="AR2048" s="1"/>
      <c r="AS2048" s="1"/>
      <c r="AT2048" s="1"/>
      <c r="AU2048" s="1"/>
      <c r="AV2048" s="1"/>
      <c r="AW2048" s="1"/>
      <c r="AX2048" s="1"/>
      <c r="AY2048" s="1"/>
      <c r="AZ2048" s="1"/>
      <c r="BA2048" s="1"/>
      <c r="BB2048" s="1"/>
      <c r="BC2048" s="1"/>
      <c r="BD2048" s="1"/>
      <c r="BE2048" s="1"/>
      <c r="BF2048" s="1"/>
      <c r="BG2048" s="1"/>
      <c r="BH2048" s="1"/>
      <c r="BI2048" s="1"/>
      <c r="BJ2048" s="1"/>
      <c r="BK2048" s="1"/>
      <c r="BL2048" s="1"/>
      <c r="BM2048" s="1"/>
      <c r="BN2048" s="1"/>
      <c r="BO2048" s="1"/>
      <c r="BP2048" s="1"/>
      <c r="BQ2048" s="1"/>
      <c r="BR2048" s="1"/>
      <c r="BS2048" s="1"/>
      <c r="BT2048" s="1"/>
      <c r="BU2048" s="1"/>
      <c r="BV2048" s="1"/>
      <c r="BW2048" s="1"/>
      <c r="BX2048" s="1"/>
      <c r="BY2048" s="1"/>
      <c r="BZ2048" s="1"/>
      <c r="CA2048" s="1"/>
      <c r="CB2048" s="1"/>
      <c r="CC2048" s="1"/>
      <c r="CD2048" s="1"/>
      <c r="CE2048" s="1"/>
      <c r="CF2048" s="1"/>
      <c r="CG2048" s="1"/>
      <c r="CH2048" s="1"/>
      <c r="CI2048" s="1"/>
      <c r="CJ2048" s="1"/>
      <c r="CK2048" s="1"/>
      <c r="CL2048" s="1"/>
      <c r="CM2048" s="1"/>
      <c r="CN2048" s="1"/>
      <c r="CO2048" s="1"/>
      <c r="CP2048" s="1"/>
      <c r="CQ2048" s="1"/>
      <c r="CR2048" s="1"/>
      <c r="CS2048" s="1"/>
      <c r="CT2048" s="1"/>
      <c r="CU2048" s="1"/>
      <c r="CV2048" s="1"/>
      <c r="CW2048" s="1"/>
      <c r="CX2048" s="1"/>
      <c r="CY2048" s="1"/>
      <c r="CZ2048" s="1"/>
      <c r="DA2048" s="1"/>
      <c r="DB2048" s="1"/>
      <c r="DC2048" s="1"/>
    </row>
    <row r="2049" spans="1:107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1"/>
      <c r="AD2049" s="1"/>
      <c r="AE2049" s="1"/>
      <c r="AF2049" s="1"/>
      <c r="AG2049" s="1"/>
      <c r="AH2049" s="1"/>
      <c r="AI2049" s="1"/>
      <c r="AJ2049" s="1"/>
      <c r="AK2049" s="1"/>
      <c r="AL2049" s="1"/>
      <c r="AM2049" s="1"/>
      <c r="AN2049" s="1"/>
      <c r="AO2049" s="1"/>
      <c r="AP2049" s="1"/>
      <c r="AQ2049" s="1"/>
      <c r="AR2049" s="1"/>
      <c r="AS2049" s="1"/>
      <c r="AT2049" s="1"/>
      <c r="AU2049" s="1"/>
      <c r="AV2049" s="1"/>
      <c r="AW2049" s="1"/>
      <c r="AX2049" s="1"/>
      <c r="AY2049" s="1"/>
      <c r="AZ2049" s="1"/>
      <c r="BA2049" s="1"/>
      <c r="BB2049" s="1"/>
      <c r="BC2049" s="1"/>
      <c r="BD2049" s="1"/>
      <c r="BE2049" s="1"/>
      <c r="BF2049" s="1"/>
      <c r="BG2049" s="1"/>
      <c r="BH2049" s="1"/>
      <c r="BI2049" s="1"/>
      <c r="BJ2049" s="1"/>
      <c r="BK2049" s="1"/>
      <c r="BL2049" s="1"/>
      <c r="BM2049" s="1"/>
      <c r="BN2049" s="1"/>
      <c r="BO2049" s="1"/>
      <c r="BP2049" s="1"/>
      <c r="BQ2049" s="1"/>
      <c r="BR2049" s="1"/>
      <c r="BS2049" s="1"/>
      <c r="BT2049" s="1"/>
      <c r="BU2049" s="1"/>
      <c r="BV2049" s="1"/>
      <c r="BW2049" s="1"/>
      <c r="BX2049" s="1"/>
      <c r="BY2049" s="1"/>
      <c r="BZ2049" s="1"/>
      <c r="CA2049" s="1"/>
      <c r="CB2049" s="1"/>
      <c r="CC2049" s="1"/>
      <c r="CD2049" s="1"/>
      <c r="CE2049" s="1"/>
      <c r="CF2049" s="1"/>
      <c r="CG2049" s="1"/>
      <c r="CH2049" s="1"/>
      <c r="CI2049" s="1"/>
      <c r="CJ2049" s="1"/>
      <c r="CK2049" s="1"/>
      <c r="CL2049" s="1"/>
      <c r="CM2049" s="1"/>
      <c r="CN2049" s="1"/>
      <c r="CO2049" s="1"/>
      <c r="CP2049" s="1"/>
      <c r="CQ2049" s="1"/>
      <c r="CR2049" s="1"/>
      <c r="CS2049" s="1"/>
      <c r="CT2049" s="1"/>
      <c r="CU2049" s="1"/>
      <c r="CV2049" s="1"/>
      <c r="CW2049" s="1"/>
      <c r="CX2049" s="1"/>
      <c r="CY2049" s="1"/>
      <c r="CZ2049" s="1"/>
      <c r="DA2049" s="1"/>
      <c r="DB2049" s="1"/>
      <c r="DC2049" s="1"/>
    </row>
    <row r="2050" spans="1:107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1"/>
      <c r="AD2050" s="1"/>
      <c r="AE2050" s="1"/>
      <c r="AF2050" s="1"/>
      <c r="AG2050" s="1"/>
      <c r="AH2050" s="1"/>
      <c r="AI2050" s="1"/>
      <c r="AJ2050" s="1"/>
      <c r="AK2050" s="1"/>
      <c r="AL2050" s="1"/>
      <c r="AM2050" s="1"/>
      <c r="AN2050" s="1"/>
      <c r="AO2050" s="1"/>
      <c r="AP2050" s="1"/>
      <c r="AQ2050" s="1"/>
      <c r="AR2050" s="1"/>
      <c r="AS2050" s="1"/>
      <c r="AT2050" s="1"/>
      <c r="AU2050" s="1"/>
      <c r="AV2050" s="1"/>
      <c r="AW2050" s="1"/>
      <c r="AX2050" s="1"/>
      <c r="AY2050" s="1"/>
      <c r="AZ2050" s="1"/>
      <c r="BA2050" s="1"/>
      <c r="BB2050" s="1"/>
      <c r="BC2050" s="1"/>
      <c r="BD2050" s="1"/>
      <c r="BE2050" s="1"/>
      <c r="BF2050" s="1"/>
      <c r="BG2050" s="1"/>
      <c r="BH2050" s="1"/>
      <c r="BI2050" s="1"/>
      <c r="BJ2050" s="1"/>
      <c r="BK2050" s="1"/>
      <c r="BL2050" s="1"/>
      <c r="BM2050" s="1"/>
      <c r="BN2050" s="1"/>
      <c r="BO2050" s="1"/>
      <c r="BP2050" s="1"/>
      <c r="BQ2050" s="1"/>
      <c r="BR2050" s="1"/>
      <c r="BS2050" s="1"/>
      <c r="BT2050" s="1"/>
      <c r="BU2050" s="1"/>
      <c r="BV2050" s="1"/>
      <c r="BW2050" s="1"/>
      <c r="BX2050" s="1"/>
      <c r="BY2050" s="1"/>
      <c r="BZ2050" s="1"/>
      <c r="CA2050" s="1"/>
      <c r="CB2050" s="1"/>
      <c r="CC2050" s="1"/>
      <c r="CD2050" s="1"/>
      <c r="CE2050" s="1"/>
      <c r="CF2050" s="1"/>
      <c r="CG2050" s="1"/>
      <c r="CH2050" s="1"/>
      <c r="CI2050" s="1"/>
      <c r="CJ2050" s="1"/>
      <c r="CK2050" s="1"/>
      <c r="CL2050" s="1"/>
      <c r="CM2050" s="1"/>
      <c r="CN2050" s="1"/>
      <c r="CO2050" s="1"/>
      <c r="CP2050" s="1"/>
      <c r="CQ2050" s="1"/>
      <c r="CR2050" s="1"/>
      <c r="CS2050" s="1"/>
      <c r="CT2050" s="1"/>
      <c r="CU2050" s="1"/>
      <c r="CV2050" s="1"/>
      <c r="CW2050" s="1"/>
      <c r="CX2050" s="1"/>
      <c r="CY2050" s="1"/>
      <c r="CZ2050" s="1"/>
      <c r="DA2050" s="1"/>
      <c r="DB2050" s="1"/>
      <c r="DC2050" s="1"/>
    </row>
    <row r="2051" spans="1:107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  <c r="AD2051" s="1"/>
      <c r="AE2051" s="1"/>
      <c r="AF2051" s="1"/>
      <c r="AG2051" s="1"/>
      <c r="AH2051" s="1"/>
      <c r="AI2051" s="1"/>
      <c r="AJ2051" s="1"/>
      <c r="AK2051" s="1"/>
      <c r="AL2051" s="1"/>
      <c r="AM2051" s="1"/>
      <c r="AN2051" s="1"/>
      <c r="AO2051" s="1"/>
      <c r="AP2051" s="1"/>
      <c r="AQ2051" s="1"/>
      <c r="AR2051" s="1"/>
      <c r="AS2051" s="1"/>
      <c r="AT2051" s="1"/>
      <c r="AU2051" s="1"/>
      <c r="AV2051" s="1"/>
      <c r="AW2051" s="1"/>
      <c r="AX2051" s="1"/>
      <c r="AY2051" s="1"/>
      <c r="AZ2051" s="1"/>
      <c r="BA2051" s="1"/>
      <c r="BB2051" s="1"/>
      <c r="BC2051" s="1"/>
      <c r="BD2051" s="1"/>
      <c r="BE2051" s="1"/>
      <c r="BF2051" s="1"/>
      <c r="BG2051" s="1"/>
      <c r="BH2051" s="1"/>
      <c r="BI2051" s="1"/>
      <c r="BJ2051" s="1"/>
      <c r="BK2051" s="1"/>
      <c r="BL2051" s="1"/>
      <c r="BM2051" s="1"/>
      <c r="BN2051" s="1"/>
      <c r="BO2051" s="1"/>
      <c r="BP2051" s="1"/>
      <c r="BQ2051" s="1"/>
      <c r="BR2051" s="1"/>
      <c r="BS2051" s="1"/>
      <c r="BT2051" s="1"/>
      <c r="BU2051" s="1"/>
      <c r="BV2051" s="1"/>
      <c r="BW2051" s="1"/>
      <c r="BX2051" s="1"/>
      <c r="BY2051" s="1"/>
      <c r="BZ2051" s="1"/>
      <c r="CA2051" s="1"/>
      <c r="CB2051" s="1"/>
      <c r="CC2051" s="1"/>
      <c r="CD2051" s="1"/>
      <c r="CE2051" s="1"/>
      <c r="CF2051" s="1"/>
      <c r="CG2051" s="1"/>
      <c r="CH2051" s="1"/>
      <c r="CI2051" s="1"/>
      <c r="CJ2051" s="1"/>
      <c r="CK2051" s="1"/>
      <c r="CL2051" s="1"/>
      <c r="CM2051" s="1"/>
      <c r="CN2051" s="1"/>
      <c r="CO2051" s="1"/>
      <c r="CP2051" s="1"/>
      <c r="CQ2051" s="1"/>
      <c r="CR2051" s="1"/>
      <c r="CS2051" s="1"/>
      <c r="CT2051" s="1"/>
      <c r="CU2051" s="1"/>
      <c r="CV2051" s="1"/>
      <c r="CW2051" s="1"/>
      <c r="CX2051" s="1"/>
      <c r="CY2051" s="1"/>
      <c r="CZ2051" s="1"/>
      <c r="DA2051" s="1"/>
      <c r="DB2051" s="1"/>
      <c r="DC2051" s="1"/>
    </row>
    <row r="2052" spans="1:107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  <c r="AC2052" s="1"/>
      <c r="AD2052" s="1"/>
      <c r="AE2052" s="1"/>
      <c r="AF2052" s="1"/>
      <c r="AG2052" s="1"/>
      <c r="AH2052" s="1"/>
      <c r="AI2052" s="1"/>
      <c r="AJ2052" s="1"/>
      <c r="AK2052" s="1"/>
      <c r="AL2052" s="1"/>
      <c r="AM2052" s="1"/>
      <c r="AN2052" s="1"/>
      <c r="AO2052" s="1"/>
      <c r="AP2052" s="1"/>
      <c r="AQ2052" s="1"/>
      <c r="AR2052" s="1"/>
      <c r="AS2052" s="1"/>
      <c r="AT2052" s="1"/>
      <c r="AU2052" s="1"/>
      <c r="AV2052" s="1"/>
      <c r="AW2052" s="1"/>
      <c r="AX2052" s="1"/>
      <c r="AY2052" s="1"/>
      <c r="AZ2052" s="1"/>
      <c r="BA2052" s="1"/>
      <c r="BB2052" s="1"/>
      <c r="BC2052" s="1"/>
      <c r="BD2052" s="1"/>
      <c r="BE2052" s="1"/>
      <c r="BF2052" s="1"/>
      <c r="BG2052" s="1"/>
      <c r="BH2052" s="1"/>
      <c r="BI2052" s="1"/>
      <c r="BJ2052" s="1"/>
      <c r="BK2052" s="1"/>
      <c r="BL2052" s="1"/>
      <c r="BM2052" s="1"/>
      <c r="BN2052" s="1"/>
      <c r="BO2052" s="1"/>
      <c r="BP2052" s="1"/>
      <c r="BQ2052" s="1"/>
      <c r="BR2052" s="1"/>
      <c r="BS2052" s="1"/>
      <c r="BT2052" s="1"/>
      <c r="BU2052" s="1"/>
      <c r="BV2052" s="1"/>
      <c r="BW2052" s="1"/>
      <c r="BX2052" s="1"/>
      <c r="BY2052" s="1"/>
      <c r="BZ2052" s="1"/>
      <c r="CA2052" s="1"/>
      <c r="CB2052" s="1"/>
      <c r="CC2052" s="1"/>
      <c r="CD2052" s="1"/>
      <c r="CE2052" s="1"/>
      <c r="CF2052" s="1"/>
      <c r="CG2052" s="1"/>
      <c r="CH2052" s="1"/>
      <c r="CI2052" s="1"/>
      <c r="CJ2052" s="1"/>
      <c r="CK2052" s="1"/>
      <c r="CL2052" s="1"/>
      <c r="CM2052" s="1"/>
      <c r="CN2052" s="1"/>
      <c r="CO2052" s="1"/>
      <c r="CP2052" s="1"/>
      <c r="CQ2052" s="1"/>
      <c r="CR2052" s="1"/>
      <c r="CS2052" s="1"/>
      <c r="CT2052" s="1"/>
      <c r="CU2052" s="1"/>
      <c r="CV2052" s="1"/>
      <c r="CW2052" s="1"/>
      <c r="CX2052" s="1"/>
      <c r="CY2052" s="1"/>
      <c r="CZ2052" s="1"/>
      <c r="DA2052" s="1"/>
      <c r="DB2052" s="1"/>
      <c r="DC2052" s="1"/>
    </row>
    <row r="2053" spans="1:107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  <c r="AD2053" s="1"/>
      <c r="AE2053" s="1"/>
      <c r="AF2053" s="1"/>
      <c r="AG2053" s="1"/>
      <c r="AH2053" s="1"/>
      <c r="AI2053" s="1"/>
      <c r="AJ2053" s="1"/>
      <c r="AK2053" s="1"/>
      <c r="AL2053" s="1"/>
      <c r="AM2053" s="1"/>
      <c r="AN2053" s="1"/>
      <c r="AO2053" s="1"/>
      <c r="AP2053" s="1"/>
      <c r="AQ2053" s="1"/>
      <c r="AR2053" s="1"/>
      <c r="AS2053" s="1"/>
      <c r="AT2053" s="1"/>
      <c r="AU2053" s="1"/>
      <c r="AV2053" s="1"/>
      <c r="AW2053" s="1"/>
      <c r="AX2053" s="1"/>
      <c r="AY2053" s="1"/>
      <c r="AZ2053" s="1"/>
      <c r="BA2053" s="1"/>
      <c r="BB2053" s="1"/>
      <c r="BC2053" s="1"/>
      <c r="BD2053" s="1"/>
      <c r="BE2053" s="1"/>
      <c r="BF2053" s="1"/>
      <c r="BG2053" s="1"/>
      <c r="BH2053" s="1"/>
      <c r="BI2053" s="1"/>
      <c r="BJ2053" s="1"/>
      <c r="BK2053" s="1"/>
      <c r="BL2053" s="1"/>
      <c r="BM2053" s="1"/>
      <c r="BN2053" s="1"/>
      <c r="BO2053" s="1"/>
      <c r="BP2053" s="1"/>
      <c r="BQ2053" s="1"/>
      <c r="BR2053" s="1"/>
      <c r="BS2053" s="1"/>
      <c r="BT2053" s="1"/>
      <c r="BU2053" s="1"/>
      <c r="BV2053" s="1"/>
      <c r="BW2053" s="1"/>
      <c r="BX2053" s="1"/>
      <c r="BY2053" s="1"/>
      <c r="BZ2053" s="1"/>
      <c r="CA2053" s="1"/>
      <c r="CB2053" s="1"/>
      <c r="CC2053" s="1"/>
      <c r="CD2053" s="1"/>
      <c r="CE2053" s="1"/>
      <c r="CF2053" s="1"/>
      <c r="CG2053" s="1"/>
      <c r="CH2053" s="1"/>
      <c r="CI2053" s="1"/>
      <c r="CJ2053" s="1"/>
      <c r="CK2053" s="1"/>
      <c r="CL2053" s="1"/>
      <c r="CM2053" s="1"/>
      <c r="CN2053" s="1"/>
      <c r="CO2053" s="1"/>
      <c r="CP2053" s="1"/>
      <c r="CQ2053" s="1"/>
      <c r="CR2053" s="1"/>
      <c r="CS2053" s="1"/>
      <c r="CT2053" s="1"/>
      <c r="CU2053" s="1"/>
      <c r="CV2053" s="1"/>
      <c r="CW2053" s="1"/>
      <c r="CX2053" s="1"/>
      <c r="CY2053" s="1"/>
      <c r="CZ2053" s="1"/>
      <c r="DA2053" s="1"/>
      <c r="DB2053" s="1"/>
      <c r="DC2053" s="1"/>
    </row>
    <row r="2054" spans="1:107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1"/>
      <c r="AD2054" s="1"/>
      <c r="AE2054" s="1"/>
      <c r="AF2054" s="1"/>
      <c r="AG2054" s="1"/>
      <c r="AH2054" s="1"/>
      <c r="AI2054" s="1"/>
      <c r="AJ2054" s="1"/>
      <c r="AK2054" s="1"/>
      <c r="AL2054" s="1"/>
      <c r="AM2054" s="1"/>
      <c r="AN2054" s="1"/>
      <c r="AO2054" s="1"/>
      <c r="AP2054" s="1"/>
      <c r="AQ2054" s="1"/>
      <c r="AR2054" s="1"/>
      <c r="AS2054" s="1"/>
      <c r="AT2054" s="1"/>
      <c r="AU2054" s="1"/>
      <c r="AV2054" s="1"/>
      <c r="AW2054" s="1"/>
      <c r="AX2054" s="1"/>
      <c r="AY2054" s="1"/>
      <c r="AZ2054" s="1"/>
      <c r="BA2054" s="1"/>
      <c r="BB2054" s="1"/>
      <c r="BC2054" s="1"/>
      <c r="BD2054" s="1"/>
      <c r="BE2054" s="1"/>
      <c r="BF2054" s="1"/>
      <c r="BG2054" s="1"/>
      <c r="BH2054" s="1"/>
      <c r="BI2054" s="1"/>
      <c r="BJ2054" s="1"/>
      <c r="BK2054" s="1"/>
      <c r="BL2054" s="1"/>
      <c r="BM2054" s="1"/>
      <c r="BN2054" s="1"/>
      <c r="BO2054" s="1"/>
      <c r="BP2054" s="1"/>
      <c r="BQ2054" s="1"/>
      <c r="BR2054" s="1"/>
      <c r="BS2054" s="1"/>
      <c r="BT2054" s="1"/>
      <c r="BU2054" s="1"/>
      <c r="BV2054" s="1"/>
      <c r="BW2054" s="1"/>
      <c r="BX2054" s="1"/>
      <c r="BY2054" s="1"/>
      <c r="BZ2054" s="1"/>
      <c r="CA2054" s="1"/>
      <c r="CB2054" s="1"/>
      <c r="CC2054" s="1"/>
      <c r="CD2054" s="1"/>
      <c r="CE2054" s="1"/>
      <c r="CF2054" s="1"/>
      <c r="CG2054" s="1"/>
      <c r="CH2054" s="1"/>
      <c r="CI2054" s="1"/>
      <c r="CJ2054" s="1"/>
      <c r="CK2054" s="1"/>
      <c r="CL2054" s="1"/>
      <c r="CM2054" s="1"/>
      <c r="CN2054" s="1"/>
      <c r="CO2054" s="1"/>
      <c r="CP2054" s="1"/>
      <c r="CQ2054" s="1"/>
      <c r="CR2054" s="1"/>
      <c r="CS2054" s="1"/>
      <c r="CT2054" s="1"/>
      <c r="CU2054" s="1"/>
      <c r="CV2054" s="1"/>
      <c r="CW2054" s="1"/>
      <c r="CX2054" s="1"/>
      <c r="CY2054" s="1"/>
      <c r="CZ2054" s="1"/>
      <c r="DA2054" s="1"/>
      <c r="DB2054" s="1"/>
      <c r="DC2054" s="1"/>
    </row>
    <row r="2055" spans="1:107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  <c r="AD2055" s="1"/>
      <c r="AE2055" s="1"/>
      <c r="AF2055" s="1"/>
      <c r="AG2055" s="1"/>
      <c r="AH2055" s="1"/>
      <c r="AI2055" s="1"/>
      <c r="AJ2055" s="1"/>
      <c r="AK2055" s="1"/>
      <c r="AL2055" s="1"/>
      <c r="AM2055" s="1"/>
      <c r="AN2055" s="1"/>
      <c r="AO2055" s="1"/>
      <c r="AP2055" s="1"/>
      <c r="AQ2055" s="1"/>
      <c r="AR2055" s="1"/>
      <c r="AS2055" s="1"/>
      <c r="AT2055" s="1"/>
      <c r="AU2055" s="1"/>
      <c r="AV2055" s="1"/>
      <c r="AW2055" s="1"/>
      <c r="AX2055" s="1"/>
      <c r="AY2055" s="1"/>
      <c r="AZ2055" s="1"/>
      <c r="BA2055" s="1"/>
      <c r="BB2055" s="1"/>
      <c r="BC2055" s="1"/>
      <c r="BD2055" s="1"/>
      <c r="BE2055" s="1"/>
      <c r="BF2055" s="1"/>
      <c r="BG2055" s="1"/>
      <c r="BH2055" s="1"/>
      <c r="BI2055" s="1"/>
      <c r="BJ2055" s="1"/>
      <c r="BK2055" s="1"/>
      <c r="BL2055" s="1"/>
      <c r="BM2055" s="1"/>
      <c r="BN2055" s="1"/>
      <c r="BO2055" s="1"/>
      <c r="BP2055" s="1"/>
      <c r="BQ2055" s="1"/>
      <c r="BR2055" s="1"/>
      <c r="BS2055" s="1"/>
      <c r="BT2055" s="1"/>
      <c r="BU2055" s="1"/>
      <c r="BV2055" s="1"/>
      <c r="BW2055" s="1"/>
      <c r="BX2055" s="1"/>
      <c r="BY2055" s="1"/>
      <c r="BZ2055" s="1"/>
      <c r="CA2055" s="1"/>
      <c r="CB2055" s="1"/>
      <c r="CC2055" s="1"/>
      <c r="CD2055" s="1"/>
      <c r="CE2055" s="1"/>
      <c r="CF2055" s="1"/>
      <c r="CG2055" s="1"/>
      <c r="CH2055" s="1"/>
      <c r="CI2055" s="1"/>
      <c r="CJ2055" s="1"/>
      <c r="CK2055" s="1"/>
      <c r="CL2055" s="1"/>
      <c r="CM2055" s="1"/>
      <c r="CN2055" s="1"/>
      <c r="CO2055" s="1"/>
      <c r="CP2055" s="1"/>
      <c r="CQ2055" s="1"/>
      <c r="CR2055" s="1"/>
      <c r="CS2055" s="1"/>
      <c r="CT2055" s="1"/>
      <c r="CU2055" s="1"/>
      <c r="CV2055" s="1"/>
      <c r="CW2055" s="1"/>
      <c r="CX2055" s="1"/>
      <c r="CY2055" s="1"/>
      <c r="CZ2055" s="1"/>
      <c r="DA2055" s="1"/>
      <c r="DB2055" s="1"/>
      <c r="DC2055" s="1"/>
    </row>
    <row r="2056" spans="1:107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1"/>
      <c r="AD2056" s="1"/>
      <c r="AE2056" s="1"/>
      <c r="AF2056" s="1"/>
      <c r="AG2056" s="1"/>
      <c r="AH2056" s="1"/>
      <c r="AI2056" s="1"/>
      <c r="AJ2056" s="1"/>
      <c r="AK2056" s="1"/>
      <c r="AL2056" s="1"/>
      <c r="AM2056" s="1"/>
      <c r="AN2056" s="1"/>
      <c r="AO2056" s="1"/>
      <c r="AP2056" s="1"/>
      <c r="AQ2056" s="1"/>
      <c r="AR2056" s="1"/>
      <c r="AS2056" s="1"/>
      <c r="AT2056" s="1"/>
      <c r="AU2056" s="1"/>
      <c r="AV2056" s="1"/>
      <c r="AW2056" s="1"/>
      <c r="AX2056" s="1"/>
      <c r="AY2056" s="1"/>
      <c r="AZ2056" s="1"/>
      <c r="BA2056" s="1"/>
      <c r="BB2056" s="1"/>
      <c r="BC2056" s="1"/>
      <c r="BD2056" s="1"/>
      <c r="BE2056" s="1"/>
      <c r="BF2056" s="1"/>
      <c r="BG2056" s="1"/>
      <c r="BH2056" s="1"/>
      <c r="BI2056" s="1"/>
      <c r="BJ2056" s="1"/>
      <c r="BK2056" s="1"/>
      <c r="BL2056" s="1"/>
      <c r="BM2056" s="1"/>
      <c r="BN2056" s="1"/>
      <c r="BO2056" s="1"/>
      <c r="BP2056" s="1"/>
      <c r="BQ2056" s="1"/>
      <c r="BR2056" s="1"/>
      <c r="BS2056" s="1"/>
      <c r="BT2056" s="1"/>
      <c r="BU2056" s="1"/>
      <c r="BV2056" s="1"/>
      <c r="BW2056" s="1"/>
      <c r="BX2056" s="1"/>
      <c r="BY2056" s="1"/>
      <c r="BZ2056" s="1"/>
      <c r="CA2056" s="1"/>
      <c r="CB2056" s="1"/>
      <c r="CC2056" s="1"/>
      <c r="CD2056" s="1"/>
      <c r="CE2056" s="1"/>
      <c r="CF2056" s="1"/>
      <c r="CG2056" s="1"/>
      <c r="CH2056" s="1"/>
      <c r="CI2056" s="1"/>
      <c r="CJ2056" s="1"/>
      <c r="CK2056" s="1"/>
      <c r="CL2056" s="1"/>
      <c r="CM2056" s="1"/>
      <c r="CN2056" s="1"/>
      <c r="CO2056" s="1"/>
      <c r="CP2056" s="1"/>
      <c r="CQ2056" s="1"/>
      <c r="CR2056" s="1"/>
      <c r="CS2056" s="1"/>
      <c r="CT2056" s="1"/>
      <c r="CU2056" s="1"/>
      <c r="CV2056" s="1"/>
      <c r="CW2056" s="1"/>
      <c r="CX2056" s="1"/>
      <c r="CY2056" s="1"/>
      <c r="CZ2056" s="1"/>
      <c r="DA2056" s="1"/>
      <c r="DB2056" s="1"/>
      <c r="DC2056" s="1"/>
    </row>
    <row r="2057" spans="1:107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1"/>
      <c r="AD2057" s="1"/>
      <c r="AE2057" s="1"/>
      <c r="AF2057" s="1"/>
      <c r="AG2057" s="1"/>
      <c r="AH2057" s="1"/>
      <c r="AI2057" s="1"/>
      <c r="AJ2057" s="1"/>
      <c r="AK2057" s="1"/>
      <c r="AL2057" s="1"/>
      <c r="AM2057" s="1"/>
      <c r="AN2057" s="1"/>
      <c r="AO2057" s="1"/>
      <c r="AP2057" s="1"/>
      <c r="AQ2057" s="1"/>
      <c r="AR2057" s="1"/>
      <c r="AS2057" s="1"/>
      <c r="AT2057" s="1"/>
      <c r="AU2057" s="1"/>
      <c r="AV2057" s="1"/>
      <c r="AW2057" s="1"/>
      <c r="AX2057" s="1"/>
      <c r="AY2057" s="1"/>
      <c r="AZ2057" s="1"/>
      <c r="BA2057" s="1"/>
      <c r="BB2057" s="1"/>
      <c r="BC2057" s="1"/>
      <c r="BD2057" s="1"/>
      <c r="BE2057" s="1"/>
      <c r="BF2057" s="1"/>
      <c r="BG2057" s="1"/>
      <c r="BH2057" s="1"/>
      <c r="BI2057" s="1"/>
      <c r="BJ2057" s="1"/>
      <c r="BK2057" s="1"/>
      <c r="BL2057" s="1"/>
      <c r="BM2057" s="1"/>
      <c r="BN2057" s="1"/>
      <c r="BO2057" s="1"/>
      <c r="BP2057" s="1"/>
      <c r="BQ2057" s="1"/>
      <c r="BR2057" s="1"/>
      <c r="BS2057" s="1"/>
      <c r="BT2057" s="1"/>
      <c r="BU2057" s="1"/>
      <c r="BV2057" s="1"/>
      <c r="BW2057" s="1"/>
      <c r="BX2057" s="1"/>
      <c r="BY2057" s="1"/>
      <c r="BZ2057" s="1"/>
      <c r="CA2057" s="1"/>
      <c r="CB2057" s="1"/>
      <c r="CC2057" s="1"/>
      <c r="CD2057" s="1"/>
      <c r="CE2057" s="1"/>
      <c r="CF2057" s="1"/>
      <c r="CG2057" s="1"/>
      <c r="CH2057" s="1"/>
      <c r="CI2057" s="1"/>
      <c r="CJ2057" s="1"/>
      <c r="CK2057" s="1"/>
      <c r="CL2057" s="1"/>
      <c r="CM2057" s="1"/>
      <c r="CN2057" s="1"/>
      <c r="CO2057" s="1"/>
      <c r="CP2057" s="1"/>
      <c r="CQ2057" s="1"/>
      <c r="CR2057" s="1"/>
      <c r="CS2057" s="1"/>
      <c r="CT2057" s="1"/>
      <c r="CU2057" s="1"/>
      <c r="CV2057" s="1"/>
      <c r="CW2057" s="1"/>
      <c r="CX2057" s="1"/>
      <c r="CY2057" s="1"/>
      <c r="CZ2057" s="1"/>
      <c r="DA2057" s="1"/>
      <c r="DB2057" s="1"/>
      <c r="DC2057" s="1"/>
    </row>
    <row r="2058" spans="1:107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  <c r="AC2058" s="1"/>
      <c r="AD2058" s="1"/>
      <c r="AE2058" s="1"/>
      <c r="AF2058" s="1"/>
      <c r="AG2058" s="1"/>
      <c r="AH2058" s="1"/>
      <c r="AI2058" s="1"/>
      <c r="AJ2058" s="1"/>
      <c r="AK2058" s="1"/>
      <c r="AL2058" s="1"/>
      <c r="AM2058" s="1"/>
      <c r="AN2058" s="1"/>
      <c r="AO2058" s="1"/>
      <c r="AP2058" s="1"/>
      <c r="AQ2058" s="1"/>
      <c r="AR2058" s="1"/>
      <c r="AS2058" s="1"/>
      <c r="AT2058" s="1"/>
      <c r="AU2058" s="1"/>
      <c r="AV2058" s="1"/>
      <c r="AW2058" s="1"/>
      <c r="AX2058" s="1"/>
      <c r="AY2058" s="1"/>
      <c r="AZ2058" s="1"/>
      <c r="BA2058" s="1"/>
      <c r="BB2058" s="1"/>
      <c r="BC2058" s="1"/>
      <c r="BD2058" s="1"/>
      <c r="BE2058" s="1"/>
      <c r="BF2058" s="1"/>
      <c r="BG2058" s="1"/>
      <c r="BH2058" s="1"/>
      <c r="BI2058" s="1"/>
      <c r="BJ2058" s="1"/>
      <c r="BK2058" s="1"/>
      <c r="BL2058" s="1"/>
      <c r="BM2058" s="1"/>
      <c r="BN2058" s="1"/>
      <c r="BO2058" s="1"/>
      <c r="BP2058" s="1"/>
      <c r="BQ2058" s="1"/>
      <c r="BR2058" s="1"/>
      <c r="BS2058" s="1"/>
      <c r="BT2058" s="1"/>
      <c r="BU2058" s="1"/>
      <c r="BV2058" s="1"/>
      <c r="BW2058" s="1"/>
      <c r="BX2058" s="1"/>
      <c r="BY2058" s="1"/>
      <c r="BZ2058" s="1"/>
      <c r="CA2058" s="1"/>
      <c r="CB2058" s="1"/>
      <c r="CC2058" s="1"/>
      <c r="CD2058" s="1"/>
      <c r="CE2058" s="1"/>
      <c r="CF2058" s="1"/>
      <c r="CG2058" s="1"/>
      <c r="CH2058" s="1"/>
      <c r="CI2058" s="1"/>
      <c r="CJ2058" s="1"/>
      <c r="CK2058" s="1"/>
      <c r="CL2058" s="1"/>
      <c r="CM2058" s="1"/>
      <c r="CN2058" s="1"/>
      <c r="CO2058" s="1"/>
      <c r="CP2058" s="1"/>
      <c r="CQ2058" s="1"/>
      <c r="CR2058" s="1"/>
      <c r="CS2058" s="1"/>
      <c r="CT2058" s="1"/>
      <c r="CU2058" s="1"/>
      <c r="CV2058" s="1"/>
      <c r="CW2058" s="1"/>
      <c r="CX2058" s="1"/>
      <c r="CY2058" s="1"/>
      <c r="CZ2058" s="1"/>
      <c r="DA2058" s="1"/>
      <c r="DB2058" s="1"/>
      <c r="DC2058" s="1"/>
    </row>
    <row r="2059" spans="1:107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  <c r="AD2059" s="1"/>
      <c r="AE2059" s="1"/>
      <c r="AF2059" s="1"/>
      <c r="AG2059" s="1"/>
      <c r="AH2059" s="1"/>
      <c r="AI2059" s="1"/>
      <c r="AJ2059" s="1"/>
      <c r="AK2059" s="1"/>
      <c r="AL2059" s="1"/>
      <c r="AM2059" s="1"/>
      <c r="AN2059" s="1"/>
      <c r="AO2059" s="1"/>
      <c r="AP2059" s="1"/>
      <c r="AQ2059" s="1"/>
      <c r="AR2059" s="1"/>
      <c r="AS2059" s="1"/>
      <c r="AT2059" s="1"/>
      <c r="AU2059" s="1"/>
      <c r="AV2059" s="1"/>
      <c r="AW2059" s="1"/>
      <c r="AX2059" s="1"/>
      <c r="AY2059" s="1"/>
      <c r="AZ2059" s="1"/>
      <c r="BA2059" s="1"/>
      <c r="BB2059" s="1"/>
      <c r="BC2059" s="1"/>
      <c r="BD2059" s="1"/>
      <c r="BE2059" s="1"/>
      <c r="BF2059" s="1"/>
      <c r="BG2059" s="1"/>
      <c r="BH2059" s="1"/>
      <c r="BI2059" s="1"/>
      <c r="BJ2059" s="1"/>
      <c r="BK2059" s="1"/>
      <c r="BL2059" s="1"/>
      <c r="BM2059" s="1"/>
      <c r="BN2059" s="1"/>
      <c r="BO2059" s="1"/>
      <c r="BP2059" s="1"/>
      <c r="BQ2059" s="1"/>
      <c r="BR2059" s="1"/>
      <c r="BS2059" s="1"/>
      <c r="BT2059" s="1"/>
      <c r="BU2059" s="1"/>
      <c r="BV2059" s="1"/>
      <c r="BW2059" s="1"/>
      <c r="BX2059" s="1"/>
      <c r="BY2059" s="1"/>
      <c r="BZ2059" s="1"/>
      <c r="CA2059" s="1"/>
      <c r="CB2059" s="1"/>
      <c r="CC2059" s="1"/>
      <c r="CD2059" s="1"/>
      <c r="CE2059" s="1"/>
      <c r="CF2059" s="1"/>
      <c r="CG2059" s="1"/>
      <c r="CH2059" s="1"/>
      <c r="CI2059" s="1"/>
      <c r="CJ2059" s="1"/>
      <c r="CK2059" s="1"/>
      <c r="CL2059" s="1"/>
      <c r="CM2059" s="1"/>
      <c r="CN2059" s="1"/>
      <c r="CO2059" s="1"/>
      <c r="CP2059" s="1"/>
      <c r="CQ2059" s="1"/>
      <c r="CR2059" s="1"/>
      <c r="CS2059" s="1"/>
      <c r="CT2059" s="1"/>
      <c r="CU2059" s="1"/>
      <c r="CV2059" s="1"/>
      <c r="CW2059" s="1"/>
      <c r="CX2059" s="1"/>
      <c r="CY2059" s="1"/>
      <c r="CZ2059" s="1"/>
      <c r="DA2059" s="1"/>
      <c r="DB2059" s="1"/>
      <c r="DC2059" s="1"/>
    </row>
    <row r="2060" spans="1:107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  <c r="AD2060" s="1"/>
      <c r="AE2060" s="1"/>
      <c r="AF2060" s="1"/>
      <c r="AG2060" s="1"/>
      <c r="AH2060" s="1"/>
      <c r="AI2060" s="1"/>
      <c r="AJ2060" s="1"/>
      <c r="AK2060" s="1"/>
      <c r="AL2060" s="1"/>
      <c r="AM2060" s="1"/>
      <c r="AN2060" s="1"/>
      <c r="AO2060" s="1"/>
      <c r="AP2060" s="1"/>
      <c r="AQ2060" s="1"/>
      <c r="AR2060" s="1"/>
      <c r="AS2060" s="1"/>
      <c r="AT2060" s="1"/>
      <c r="AU2060" s="1"/>
      <c r="AV2060" s="1"/>
      <c r="AW2060" s="1"/>
      <c r="AX2060" s="1"/>
      <c r="AY2060" s="1"/>
      <c r="AZ2060" s="1"/>
      <c r="BA2060" s="1"/>
      <c r="BB2060" s="1"/>
      <c r="BC2060" s="1"/>
      <c r="BD2060" s="1"/>
      <c r="BE2060" s="1"/>
      <c r="BF2060" s="1"/>
      <c r="BG2060" s="1"/>
      <c r="BH2060" s="1"/>
      <c r="BI2060" s="1"/>
      <c r="BJ2060" s="1"/>
      <c r="BK2060" s="1"/>
      <c r="BL2060" s="1"/>
      <c r="BM2060" s="1"/>
      <c r="BN2060" s="1"/>
      <c r="BO2060" s="1"/>
      <c r="BP2060" s="1"/>
      <c r="BQ2060" s="1"/>
      <c r="BR2060" s="1"/>
      <c r="BS2060" s="1"/>
      <c r="BT2060" s="1"/>
      <c r="BU2060" s="1"/>
      <c r="BV2060" s="1"/>
      <c r="BW2060" s="1"/>
      <c r="BX2060" s="1"/>
      <c r="BY2060" s="1"/>
      <c r="BZ2060" s="1"/>
      <c r="CA2060" s="1"/>
      <c r="CB2060" s="1"/>
      <c r="CC2060" s="1"/>
      <c r="CD2060" s="1"/>
      <c r="CE2060" s="1"/>
      <c r="CF2060" s="1"/>
      <c r="CG2060" s="1"/>
      <c r="CH2060" s="1"/>
      <c r="CI2060" s="1"/>
      <c r="CJ2060" s="1"/>
      <c r="CK2060" s="1"/>
      <c r="CL2060" s="1"/>
      <c r="CM2060" s="1"/>
      <c r="CN2060" s="1"/>
      <c r="CO2060" s="1"/>
      <c r="CP2060" s="1"/>
      <c r="CQ2060" s="1"/>
      <c r="CR2060" s="1"/>
      <c r="CS2060" s="1"/>
      <c r="CT2060" s="1"/>
      <c r="CU2060" s="1"/>
      <c r="CV2060" s="1"/>
      <c r="CW2060" s="1"/>
      <c r="CX2060" s="1"/>
      <c r="CY2060" s="1"/>
      <c r="CZ2060" s="1"/>
      <c r="DA2060" s="1"/>
      <c r="DB2060" s="1"/>
      <c r="DC2060" s="1"/>
    </row>
    <row r="2061" spans="1:107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1"/>
      <c r="AD2061" s="1"/>
      <c r="AE2061" s="1"/>
      <c r="AF2061" s="1"/>
      <c r="AG2061" s="1"/>
      <c r="AH2061" s="1"/>
      <c r="AI2061" s="1"/>
      <c r="AJ2061" s="1"/>
      <c r="AK2061" s="1"/>
      <c r="AL2061" s="1"/>
      <c r="AM2061" s="1"/>
      <c r="AN2061" s="1"/>
      <c r="AO2061" s="1"/>
      <c r="AP2061" s="1"/>
      <c r="AQ2061" s="1"/>
      <c r="AR2061" s="1"/>
      <c r="AS2061" s="1"/>
      <c r="AT2061" s="1"/>
      <c r="AU2061" s="1"/>
      <c r="AV2061" s="1"/>
      <c r="AW2061" s="1"/>
      <c r="AX2061" s="1"/>
      <c r="AY2061" s="1"/>
      <c r="AZ2061" s="1"/>
      <c r="BA2061" s="1"/>
      <c r="BB2061" s="1"/>
      <c r="BC2061" s="1"/>
      <c r="BD2061" s="1"/>
      <c r="BE2061" s="1"/>
      <c r="BF2061" s="1"/>
      <c r="BG2061" s="1"/>
      <c r="BH2061" s="1"/>
      <c r="BI2061" s="1"/>
      <c r="BJ2061" s="1"/>
      <c r="BK2061" s="1"/>
      <c r="BL2061" s="1"/>
      <c r="BM2061" s="1"/>
      <c r="BN2061" s="1"/>
      <c r="BO2061" s="1"/>
      <c r="BP2061" s="1"/>
      <c r="BQ2061" s="1"/>
      <c r="BR2061" s="1"/>
      <c r="BS2061" s="1"/>
      <c r="BT2061" s="1"/>
      <c r="BU2061" s="1"/>
      <c r="BV2061" s="1"/>
      <c r="BW2061" s="1"/>
      <c r="BX2061" s="1"/>
      <c r="BY2061" s="1"/>
      <c r="BZ2061" s="1"/>
      <c r="CA2061" s="1"/>
      <c r="CB2061" s="1"/>
      <c r="CC2061" s="1"/>
      <c r="CD2061" s="1"/>
      <c r="CE2061" s="1"/>
      <c r="CF2061" s="1"/>
      <c r="CG2061" s="1"/>
      <c r="CH2061" s="1"/>
      <c r="CI2061" s="1"/>
      <c r="CJ2061" s="1"/>
      <c r="CK2061" s="1"/>
      <c r="CL2061" s="1"/>
      <c r="CM2061" s="1"/>
      <c r="CN2061" s="1"/>
      <c r="CO2061" s="1"/>
      <c r="CP2061" s="1"/>
      <c r="CQ2061" s="1"/>
      <c r="CR2061" s="1"/>
      <c r="CS2061" s="1"/>
      <c r="CT2061" s="1"/>
      <c r="CU2061" s="1"/>
      <c r="CV2061" s="1"/>
      <c r="CW2061" s="1"/>
      <c r="CX2061" s="1"/>
      <c r="CY2061" s="1"/>
      <c r="CZ2061" s="1"/>
      <c r="DA2061" s="1"/>
      <c r="DB2061" s="1"/>
      <c r="DC2061" s="1"/>
    </row>
    <row r="2062" spans="1:107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  <c r="AC2062" s="1"/>
      <c r="AD2062" s="1"/>
      <c r="AE2062" s="1"/>
      <c r="AF2062" s="1"/>
      <c r="AG2062" s="1"/>
      <c r="AH2062" s="1"/>
      <c r="AI2062" s="1"/>
      <c r="AJ2062" s="1"/>
      <c r="AK2062" s="1"/>
      <c r="AL2062" s="1"/>
      <c r="AM2062" s="1"/>
      <c r="AN2062" s="1"/>
      <c r="AO2062" s="1"/>
      <c r="AP2062" s="1"/>
      <c r="AQ2062" s="1"/>
      <c r="AR2062" s="1"/>
      <c r="AS2062" s="1"/>
      <c r="AT2062" s="1"/>
      <c r="AU2062" s="1"/>
      <c r="AV2062" s="1"/>
      <c r="AW2062" s="1"/>
      <c r="AX2062" s="1"/>
      <c r="AY2062" s="1"/>
      <c r="AZ2062" s="1"/>
      <c r="BA2062" s="1"/>
      <c r="BB2062" s="1"/>
      <c r="BC2062" s="1"/>
      <c r="BD2062" s="1"/>
      <c r="BE2062" s="1"/>
      <c r="BF2062" s="1"/>
      <c r="BG2062" s="1"/>
      <c r="BH2062" s="1"/>
      <c r="BI2062" s="1"/>
      <c r="BJ2062" s="1"/>
      <c r="BK2062" s="1"/>
      <c r="BL2062" s="1"/>
      <c r="BM2062" s="1"/>
      <c r="BN2062" s="1"/>
      <c r="BO2062" s="1"/>
      <c r="BP2062" s="1"/>
      <c r="BQ2062" s="1"/>
      <c r="BR2062" s="1"/>
      <c r="BS2062" s="1"/>
      <c r="BT2062" s="1"/>
      <c r="BU2062" s="1"/>
      <c r="BV2062" s="1"/>
      <c r="BW2062" s="1"/>
      <c r="BX2062" s="1"/>
      <c r="BY2062" s="1"/>
      <c r="BZ2062" s="1"/>
      <c r="CA2062" s="1"/>
      <c r="CB2062" s="1"/>
      <c r="CC2062" s="1"/>
      <c r="CD2062" s="1"/>
      <c r="CE2062" s="1"/>
      <c r="CF2062" s="1"/>
      <c r="CG2062" s="1"/>
      <c r="CH2062" s="1"/>
      <c r="CI2062" s="1"/>
      <c r="CJ2062" s="1"/>
      <c r="CK2062" s="1"/>
      <c r="CL2062" s="1"/>
      <c r="CM2062" s="1"/>
      <c r="CN2062" s="1"/>
      <c r="CO2062" s="1"/>
      <c r="CP2062" s="1"/>
      <c r="CQ2062" s="1"/>
      <c r="CR2062" s="1"/>
      <c r="CS2062" s="1"/>
      <c r="CT2062" s="1"/>
      <c r="CU2062" s="1"/>
      <c r="CV2062" s="1"/>
      <c r="CW2062" s="1"/>
      <c r="CX2062" s="1"/>
      <c r="CY2062" s="1"/>
      <c r="CZ2062" s="1"/>
      <c r="DA2062" s="1"/>
      <c r="DB2062" s="1"/>
      <c r="DC2062" s="1"/>
    </row>
    <row r="2063" spans="1:107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1"/>
      <c r="AD2063" s="1"/>
      <c r="AE2063" s="1"/>
      <c r="AF2063" s="1"/>
      <c r="AG2063" s="1"/>
      <c r="AH2063" s="1"/>
      <c r="AI2063" s="1"/>
      <c r="AJ2063" s="1"/>
      <c r="AK2063" s="1"/>
      <c r="AL2063" s="1"/>
      <c r="AM2063" s="1"/>
      <c r="AN2063" s="1"/>
      <c r="AO2063" s="1"/>
      <c r="AP2063" s="1"/>
      <c r="AQ2063" s="1"/>
      <c r="AR2063" s="1"/>
      <c r="AS2063" s="1"/>
      <c r="AT2063" s="1"/>
      <c r="AU2063" s="1"/>
      <c r="AV2063" s="1"/>
      <c r="AW2063" s="1"/>
      <c r="AX2063" s="1"/>
      <c r="AY2063" s="1"/>
      <c r="AZ2063" s="1"/>
      <c r="BA2063" s="1"/>
      <c r="BB2063" s="1"/>
      <c r="BC2063" s="1"/>
      <c r="BD2063" s="1"/>
      <c r="BE2063" s="1"/>
      <c r="BF2063" s="1"/>
      <c r="BG2063" s="1"/>
      <c r="BH2063" s="1"/>
      <c r="BI2063" s="1"/>
      <c r="BJ2063" s="1"/>
      <c r="BK2063" s="1"/>
      <c r="BL2063" s="1"/>
      <c r="BM2063" s="1"/>
      <c r="BN2063" s="1"/>
      <c r="BO2063" s="1"/>
      <c r="BP2063" s="1"/>
      <c r="BQ2063" s="1"/>
      <c r="BR2063" s="1"/>
      <c r="BS2063" s="1"/>
      <c r="BT2063" s="1"/>
      <c r="BU2063" s="1"/>
      <c r="BV2063" s="1"/>
      <c r="BW2063" s="1"/>
      <c r="BX2063" s="1"/>
      <c r="BY2063" s="1"/>
      <c r="BZ2063" s="1"/>
      <c r="CA2063" s="1"/>
      <c r="CB2063" s="1"/>
      <c r="CC2063" s="1"/>
      <c r="CD2063" s="1"/>
      <c r="CE2063" s="1"/>
      <c r="CF2063" s="1"/>
      <c r="CG2063" s="1"/>
      <c r="CH2063" s="1"/>
      <c r="CI2063" s="1"/>
      <c r="CJ2063" s="1"/>
      <c r="CK2063" s="1"/>
      <c r="CL2063" s="1"/>
      <c r="CM2063" s="1"/>
      <c r="CN2063" s="1"/>
      <c r="CO2063" s="1"/>
      <c r="CP2063" s="1"/>
      <c r="CQ2063" s="1"/>
      <c r="CR2063" s="1"/>
      <c r="CS2063" s="1"/>
      <c r="CT2063" s="1"/>
      <c r="CU2063" s="1"/>
      <c r="CV2063" s="1"/>
      <c r="CW2063" s="1"/>
      <c r="CX2063" s="1"/>
      <c r="CY2063" s="1"/>
      <c r="CZ2063" s="1"/>
      <c r="DA2063" s="1"/>
      <c r="DB2063" s="1"/>
      <c r="DC2063" s="1"/>
    </row>
    <row r="2064" spans="1:107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  <c r="AD2064" s="1"/>
      <c r="AE2064" s="1"/>
      <c r="AF2064" s="1"/>
      <c r="AG2064" s="1"/>
      <c r="AH2064" s="1"/>
      <c r="AI2064" s="1"/>
      <c r="AJ2064" s="1"/>
      <c r="AK2064" s="1"/>
      <c r="AL2064" s="1"/>
      <c r="AM2064" s="1"/>
      <c r="AN2064" s="1"/>
      <c r="AO2064" s="1"/>
      <c r="AP2064" s="1"/>
      <c r="AQ2064" s="1"/>
      <c r="AR2064" s="1"/>
      <c r="AS2064" s="1"/>
      <c r="AT2064" s="1"/>
      <c r="AU2064" s="1"/>
      <c r="AV2064" s="1"/>
      <c r="AW2064" s="1"/>
      <c r="AX2064" s="1"/>
      <c r="AY2064" s="1"/>
      <c r="AZ2064" s="1"/>
      <c r="BA2064" s="1"/>
      <c r="BB2064" s="1"/>
      <c r="BC2064" s="1"/>
      <c r="BD2064" s="1"/>
      <c r="BE2064" s="1"/>
      <c r="BF2064" s="1"/>
      <c r="BG2064" s="1"/>
      <c r="BH2064" s="1"/>
      <c r="BI2064" s="1"/>
      <c r="BJ2064" s="1"/>
      <c r="BK2064" s="1"/>
      <c r="BL2064" s="1"/>
      <c r="BM2064" s="1"/>
      <c r="BN2064" s="1"/>
      <c r="BO2064" s="1"/>
      <c r="BP2064" s="1"/>
      <c r="BQ2064" s="1"/>
      <c r="BR2064" s="1"/>
      <c r="BS2064" s="1"/>
      <c r="BT2064" s="1"/>
      <c r="BU2064" s="1"/>
      <c r="BV2064" s="1"/>
      <c r="BW2064" s="1"/>
      <c r="BX2064" s="1"/>
      <c r="BY2064" s="1"/>
      <c r="BZ2064" s="1"/>
      <c r="CA2064" s="1"/>
      <c r="CB2064" s="1"/>
      <c r="CC2064" s="1"/>
      <c r="CD2064" s="1"/>
      <c r="CE2064" s="1"/>
      <c r="CF2064" s="1"/>
      <c r="CG2064" s="1"/>
      <c r="CH2064" s="1"/>
      <c r="CI2064" s="1"/>
      <c r="CJ2064" s="1"/>
      <c r="CK2064" s="1"/>
      <c r="CL2064" s="1"/>
      <c r="CM2064" s="1"/>
      <c r="CN2064" s="1"/>
      <c r="CO2064" s="1"/>
      <c r="CP2064" s="1"/>
      <c r="CQ2064" s="1"/>
      <c r="CR2064" s="1"/>
      <c r="CS2064" s="1"/>
      <c r="CT2064" s="1"/>
      <c r="CU2064" s="1"/>
      <c r="CV2064" s="1"/>
      <c r="CW2064" s="1"/>
      <c r="CX2064" s="1"/>
      <c r="CY2064" s="1"/>
      <c r="CZ2064" s="1"/>
      <c r="DA2064" s="1"/>
      <c r="DB2064" s="1"/>
      <c r="DC2064" s="1"/>
    </row>
    <row r="2065" spans="1:107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  <c r="AC2065" s="1"/>
      <c r="AD2065" s="1"/>
      <c r="AE2065" s="1"/>
      <c r="AF2065" s="1"/>
      <c r="AG2065" s="1"/>
      <c r="AH2065" s="1"/>
      <c r="AI2065" s="1"/>
      <c r="AJ2065" s="1"/>
      <c r="AK2065" s="1"/>
      <c r="AL2065" s="1"/>
      <c r="AM2065" s="1"/>
      <c r="AN2065" s="1"/>
      <c r="AO2065" s="1"/>
      <c r="AP2065" s="1"/>
      <c r="AQ2065" s="1"/>
      <c r="AR2065" s="1"/>
      <c r="AS2065" s="1"/>
      <c r="AT2065" s="1"/>
      <c r="AU2065" s="1"/>
      <c r="AV2065" s="1"/>
      <c r="AW2065" s="1"/>
      <c r="AX2065" s="1"/>
      <c r="AY2065" s="1"/>
      <c r="AZ2065" s="1"/>
      <c r="BA2065" s="1"/>
      <c r="BB2065" s="1"/>
      <c r="BC2065" s="1"/>
      <c r="BD2065" s="1"/>
      <c r="BE2065" s="1"/>
      <c r="BF2065" s="1"/>
      <c r="BG2065" s="1"/>
      <c r="BH2065" s="1"/>
      <c r="BI2065" s="1"/>
      <c r="BJ2065" s="1"/>
      <c r="BK2065" s="1"/>
      <c r="BL2065" s="1"/>
      <c r="BM2065" s="1"/>
      <c r="BN2065" s="1"/>
      <c r="BO2065" s="1"/>
      <c r="BP2065" s="1"/>
      <c r="BQ2065" s="1"/>
      <c r="BR2065" s="1"/>
      <c r="BS2065" s="1"/>
      <c r="BT2065" s="1"/>
      <c r="BU2065" s="1"/>
      <c r="BV2065" s="1"/>
      <c r="BW2065" s="1"/>
      <c r="BX2065" s="1"/>
      <c r="BY2065" s="1"/>
      <c r="BZ2065" s="1"/>
      <c r="CA2065" s="1"/>
      <c r="CB2065" s="1"/>
      <c r="CC2065" s="1"/>
      <c r="CD2065" s="1"/>
      <c r="CE2065" s="1"/>
      <c r="CF2065" s="1"/>
      <c r="CG2065" s="1"/>
      <c r="CH2065" s="1"/>
      <c r="CI2065" s="1"/>
      <c r="CJ2065" s="1"/>
      <c r="CK2065" s="1"/>
      <c r="CL2065" s="1"/>
      <c r="CM2065" s="1"/>
      <c r="CN2065" s="1"/>
      <c r="CO2065" s="1"/>
      <c r="CP2065" s="1"/>
      <c r="CQ2065" s="1"/>
      <c r="CR2065" s="1"/>
      <c r="CS2065" s="1"/>
      <c r="CT2065" s="1"/>
      <c r="CU2065" s="1"/>
      <c r="CV2065" s="1"/>
      <c r="CW2065" s="1"/>
      <c r="CX2065" s="1"/>
      <c r="CY2065" s="1"/>
      <c r="CZ2065" s="1"/>
      <c r="DA2065" s="1"/>
      <c r="DB2065" s="1"/>
      <c r="DC2065" s="1"/>
    </row>
    <row r="2066" spans="1:107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1"/>
      <c r="AD2066" s="1"/>
      <c r="AE2066" s="1"/>
      <c r="AF2066" s="1"/>
      <c r="AG2066" s="1"/>
      <c r="AH2066" s="1"/>
      <c r="AI2066" s="1"/>
      <c r="AJ2066" s="1"/>
      <c r="AK2066" s="1"/>
      <c r="AL2066" s="1"/>
      <c r="AM2066" s="1"/>
      <c r="AN2066" s="1"/>
      <c r="AO2066" s="1"/>
      <c r="AP2066" s="1"/>
      <c r="AQ2066" s="1"/>
      <c r="AR2066" s="1"/>
      <c r="AS2066" s="1"/>
      <c r="AT2066" s="1"/>
      <c r="AU2066" s="1"/>
      <c r="AV2066" s="1"/>
      <c r="AW2066" s="1"/>
      <c r="AX2066" s="1"/>
      <c r="AY2066" s="1"/>
      <c r="AZ2066" s="1"/>
      <c r="BA2066" s="1"/>
      <c r="BB2066" s="1"/>
      <c r="BC2066" s="1"/>
      <c r="BD2066" s="1"/>
      <c r="BE2066" s="1"/>
      <c r="BF2066" s="1"/>
      <c r="BG2066" s="1"/>
      <c r="BH2066" s="1"/>
      <c r="BI2066" s="1"/>
      <c r="BJ2066" s="1"/>
      <c r="BK2066" s="1"/>
      <c r="BL2066" s="1"/>
      <c r="BM2066" s="1"/>
      <c r="BN2066" s="1"/>
      <c r="BO2066" s="1"/>
      <c r="BP2066" s="1"/>
      <c r="BQ2066" s="1"/>
      <c r="BR2066" s="1"/>
      <c r="BS2066" s="1"/>
      <c r="BT2066" s="1"/>
      <c r="BU2066" s="1"/>
      <c r="BV2066" s="1"/>
      <c r="BW2066" s="1"/>
      <c r="BX2066" s="1"/>
      <c r="BY2066" s="1"/>
      <c r="BZ2066" s="1"/>
      <c r="CA2066" s="1"/>
      <c r="CB2066" s="1"/>
      <c r="CC2066" s="1"/>
      <c r="CD2066" s="1"/>
      <c r="CE2066" s="1"/>
      <c r="CF2066" s="1"/>
      <c r="CG2066" s="1"/>
      <c r="CH2066" s="1"/>
      <c r="CI2066" s="1"/>
      <c r="CJ2066" s="1"/>
      <c r="CK2066" s="1"/>
      <c r="CL2066" s="1"/>
      <c r="CM2066" s="1"/>
      <c r="CN2066" s="1"/>
      <c r="CO2066" s="1"/>
      <c r="CP2066" s="1"/>
      <c r="CQ2066" s="1"/>
      <c r="CR2066" s="1"/>
      <c r="CS2066" s="1"/>
      <c r="CT2066" s="1"/>
      <c r="CU2066" s="1"/>
      <c r="CV2066" s="1"/>
      <c r="CW2066" s="1"/>
      <c r="CX2066" s="1"/>
      <c r="CY2066" s="1"/>
      <c r="CZ2066" s="1"/>
      <c r="DA2066" s="1"/>
      <c r="DB2066" s="1"/>
      <c r="DC2066" s="1"/>
    </row>
    <row r="2067" spans="1:107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  <c r="AE2067" s="1"/>
      <c r="AF2067" s="1"/>
      <c r="AG2067" s="1"/>
      <c r="AH2067" s="1"/>
      <c r="AI2067" s="1"/>
      <c r="AJ2067" s="1"/>
      <c r="AK2067" s="1"/>
      <c r="AL2067" s="1"/>
      <c r="AM2067" s="1"/>
      <c r="AN2067" s="1"/>
      <c r="AO2067" s="1"/>
      <c r="AP2067" s="1"/>
      <c r="AQ2067" s="1"/>
      <c r="AR2067" s="1"/>
      <c r="AS2067" s="1"/>
      <c r="AT2067" s="1"/>
      <c r="AU2067" s="1"/>
      <c r="AV2067" s="1"/>
      <c r="AW2067" s="1"/>
      <c r="AX2067" s="1"/>
      <c r="AY2067" s="1"/>
      <c r="AZ2067" s="1"/>
      <c r="BA2067" s="1"/>
      <c r="BB2067" s="1"/>
      <c r="BC2067" s="1"/>
      <c r="BD2067" s="1"/>
      <c r="BE2067" s="1"/>
      <c r="BF2067" s="1"/>
      <c r="BG2067" s="1"/>
      <c r="BH2067" s="1"/>
      <c r="BI2067" s="1"/>
      <c r="BJ2067" s="1"/>
      <c r="BK2067" s="1"/>
      <c r="BL2067" s="1"/>
      <c r="BM2067" s="1"/>
      <c r="BN2067" s="1"/>
      <c r="BO2067" s="1"/>
      <c r="BP2067" s="1"/>
      <c r="BQ2067" s="1"/>
      <c r="BR2067" s="1"/>
      <c r="BS2067" s="1"/>
      <c r="BT2067" s="1"/>
      <c r="BU2067" s="1"/>
      <c r="BV2067" s="1"/>
      <c r="BW2067" s="1"/>
      <c r="BX2067" s="1"/>
      <c r="BY2067" s="1"/>
      <c r="BZ2067" s="1"/>
      <c r="CA2067" s="1"/>
      <c r="CB2067" s="1"/>
      <c r="CC2067" s="1"/>
      <c r="CD2067" s="1"/>
      <c r="CE2067" s="1"/>
      <c r="CF2067" s="1"/>
      <c r="CG2067" s="1"/>
      <c r="CH2067" s="1"/>
      <c r="CI2067" s="1"/>
      <c r="CJ2067" s="1"/>
      <c r="CK2067" s="1"/>
      <c r="CL2067" s="1"/>
      <c r="CM2067" s="1"/>
      <c r="CN2067" s="1"/>
      <c r="CO2067" s="1"/>
      <c r="CP2067" s="1"/>
      <c r="CQ2067" s="1"/>
      <c r="CR2067" s="1"/>
      <c r="CS2067" s="1"/>
      <c r="CT2067" s="1"/>
      <c r="CU2067" s="1"/>
      <c r="CV2067" s="1"/>
      <c r="CW2067" s="1"/>
      <c r="CX2067" s="1"/>
      <c r="CY2067" s="1"/>
      <c r="CZ2067" s="1"/>
      <c r="DA2067" s="1"/>
      <c r="DB2067" s="1"/>
      <c r="DC2067" s="1"/>
    </row>
    <row r="2068" spans="1:107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  <c r="AC2068" s="1"/>
      <c r="AD2068" s="1"/>
      <c r="AE2068" s="1"/>
      <c r="AF2068" s="1"/>
      <c r="AG2068" s="1"/>
      <c r="AH2068" s="1"/>
      <c r="AI2068" s="1"/>
      <c r="AJ2068" s="1"/>
      <c r="AK2068" s="1"/>
      <c r="AL2068" s="1"/>
      <c r="AM2068" s="1"/>
      <c r="AN2068" s="1"/>
      <c r="AO2068" s="1"/>
      <c r="AP2068" s="1"/>
      <c r="AQ2068" s="1"/>
      <c r="AR2068" s="1"/>
      <c r="AS2068" s="1"/>
      <c r="AT2068" s="1"/>
      <c r="AU2068" s="1"/>
      <c r="AV2068" s="1"/>
      <c r="AW2068" s="1"/>
      <c r="AX2068" s="1"/>
      <c r="AY2068" s="1"/>
      <c r="AZ2068" s="1"/>
      <c r="BA2068" s="1"/>
      <c r="BB2068" s="1"/>
      <c r="BC2068" s="1"/>
      <c r="BD2068" s="1"/>
      <c r="BE2068" s="1"/>
      <c r="BF2068" s="1"/>
      <c r="BG2068" s="1"/>
      <c r="BH2068" s="1"/>
      <c r="BI2068" s="1"/>
      <c r="BJ2068" s="1"/>
      <c r="BK2068" s="1"/>
      <c r="BL2068" s="1"/>
      <c r="BM2068" s="1"/>
      <c r="BN2068" s="1"/>
      <c r="BO2068" s="1"/>
      <c r="BP2068" s="1"/>
      <c r="BQ2068" s="1"/>
      <c r="BR2068" s="1"/>
      <c r="BS2068" s="1"/>
      <c r="BT2068" s="1"/>
      <c r="BU2068" s="1"/>
      <c r="BV2068" s="1"/>
      <c r="BW2068" s="1"/>
      <c r="BX2068" s="1"/>
      <c r="BY2068" s="1"/>
      <c r="BZ2068" s="1"/>
      <c r="CA2068" s="1"/>
      <c r="CB2068" s="1"/>
      <c r="CC2068" s="1"/>
      <c r="CD2068" s="1"/>
      <c r="CE2068" s="1"/>
      <c r="CF2068" s="1"/>
      <c r="CG2068" s="1"/>
      <c r="CH2068" s="1"/>
      <c r="CI2068" s="1"/>
      <c r="CJ2068" s="1"/>
      <c r="CK2068" s="1"/>
      <c r="CL2068" s="1"/>
      <c r="CM2068" s="1"/>
      <c r="CN2068" s="1"/>
      <c r="CO2068" s="1"/>
      <c r="CP2068" s="1"/>
      <c r="CQ2068" s="1"/>
      <c r="CR2068" s="1"/>
      <c r="CS2068" s="1"/>
      <c r="CT2068" s="1"/>
      <c r="CU2068" s="1"/>
      <c r="CV2068" s="1"/>
      <c r="CW2068" s="1"/>
      <c r="CX2068" s="1"/>
      <c r="CY2068" s="1"/>
      <c r="CZ2068" s="1"/>
      <c r="DA2068" s="1"/>
      <c r="DB2068" s="1"/>
      <c r="DC2068" s="1"/>
    </row>
    <row r="2069" spans="1:107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  <c r="AD2069" s="1"/>
      <c r="AE2069" s="1"/>
      <c r="AF2069" s="1"/>
      <c r="AG2069" s="1"/>
      <c r="AH2069" s="1"/>
      <c r="AI2069" s="1"/>
      <c r="AJ2069" s="1"/>
      <c r="AK2069" s="1"/>
      <c r="AL2069" s="1"/>
      <c r="AM2069" s="1"/>
      <c r="AN2069" s="1"/>
      <c r="AO2069" s="1"/>
      <c r="AP2069" s="1"/>
      <c r="AQ2069" s="1"/>
      <c r="AR2069" s="1"/>
      <c r="AS2069" s="1"/>
      <c r="AT2069" s="1"/>
      <c r="AU2069" s="1"/>
      <c r="AV2069" s="1"/>
      <c r="AW2069" s="1"/>
      <c r="AX2069" s="1"/>
      <c r="AY2069" s="1"/>
      <c r="AZ2069" s="1"/>
      <c r="BA2069" s="1"/>
      <c r="BB2069" s="1"/>
      <c r="BC2069" s="1"/>
      <c r="BD2069" s="1"/>
      <c r="BE2069" s="1"/>
      <c r="BF2069" s="1"/>
      <c r="BG2069" s="1"/>
      <c r="BH2069" s="1"/>
      <c r="BI2069" s="1"/>
      <c r="BJ2069" s="1"/>
      <c r="BK2069" s="1"/>
      <c r="BL2069" s="1"/>
      <c r="BM2069" s="1"/>
      <c r="BN2069" s="1"/>
      <c r="BO2069" s="1"/>
      <c r="BP2069" s="1"/>
      <c r="BQ2069" s="1"/>
      <c r="BR2069" s="1"/>
      <c r="BS2069" s="1"/>
      <c r="BT2069" s="1"/>
      <c r="BU2069" s="1"/>
      <c r="BV2069" s="1"/>
      <c r="BW2069" s="1"/>
      <c r="BX2069" s="1"/>
      <c r="BY2069" s="1"/>
      <c r="BZ2069" s="1"/>
      <c r="CA2069" s="1"/>
      <c r="CB2069" s="1"/>
      <c r="CC2069" s="1"/>
      <c r="CD2069" s="1"/>
      <c r="CE2069" s="1"/>
      <c r="CF2069" s="1"/>
      <c r="CG2069" s="1"/>
      <c r="CH2069" s="1"/>
      <c r="CI2069" s="1"/>
      <c r="CJ2069" s="1"/>
      <c r="CK2069" s="1"/>
      <c r="CL2069" s="1"/>
      <c r="CM2069" s="1"/>
      <c r="CN2069" s="1"/>
      <c r="CO2069" s="1"/>
      <c r="CP2069" s="1"/>
      <c r="CQ2069" s="1"/>
      <c r="CR2069" s="1"/>
      <c r="CS2069" s="1"/>
      <c r="CT2069" s="1"/>
      <c r="CU2069" s="1"/>
      <c r="CV2069" s="1"/>
      <c r="CW2069" s="1"/>
      <c r="CX2069" s="1"/>
      <c r="CY2069" s="1"/>
      <c r="CZ2069" s="1"/>
      <c r="DA2069" s="1"/>
      <c r="DB2069" s="1"/>
      <c r="DC2069" s="1"/>
    </row>
    <row r="2070" spans="1:107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  <c r="AE2070" s="1"/>
      <c r="AF2070" s="1"/>
      <c r="AG2070" s="1"/>
      <c r="AH2070" s="1"/>
      <c r="AI2070" s="1"/>
      <c r="AJ2070" s="1"/>
      <c r="AK2070" s="1"/>
      <c r="AL2070" s="1"/>
      <c r="AM2070" s="1"/>
      <c r="AN2070" s="1"/>
      <c r="AO2070" s="1"/>
      <c r="AP2070" s="1"/>
      <c r="AQ2070" s="1"/>
      <c r="AR2070" s="1"/>
      <c r="AS2070" s="1"/>
      <c r="AT2070" s="1"/>
      <c r="AU2070" s="1"/>
      <c r="AV2070" s="1"/>
      <c r="AW2070" s="1"/>
      <c r="AX2070" s="1"/>
      <c r="AY2070" s="1"/>
      <c r="AZ2070" s="1"/>
      <c r="BA2070" s="1"/>
      <c r="BB2070" s="1"/>
      <c r="BC2070" s="1"/>
      <c r="BD2070" s="1"/>
      <c r="BE2070" s="1"/>
      <c r="BF2070" s="1"/>
      <c r="BG2070" s="1"/>
      <c r="BH2070" s="1"/>
      <c r="BI2070" s="1"/>
      <c r="BJ2070" s="1"/>
      <c r="BK2070" s="1"/>
      <c r="BL2070" s="1"/>
      <c r="BM2070" s="1"/>
      <c r="BN2070" s="1"/>
      <c r="BO2070" s="1"/>
      <c r="BP2070" s="1"/>
      <c r="BQ2070" s="1"/>
      <c r="BR2070" s="1"/>
      <c r="BS2070" s="1"/>
      <c r="BT2070" s="1"/>
      <c r="BU2070" s="1"/>
      <c r="BV2070" s="1"/>
      <c r="BW2070" s="1"/>
      <c r="BX2070" s="1"/>
      <c r="BY2070" s="1"/>
      <c r="BZ2070" s="1"/>
      <c r="CA2070" s="1"/>
      <c r="CB2070" s="1"/>
      <c r="CC2070" s="1"/>
      <c r="CD2070" s="1"/>
      <c r="CE2070" s="1"/>
      <c r="CF2070" s="1"/>
      <c r="CG2070" s="1"/>
      <c r="CH2070" s="1"/>
      <c r="CI2070" s="1"/>
      <c r="CJ2070" s="1"/>
      <c r="CK2070" s="1"/>
      <c r="CL2070" s="1"/>
      <c r="CM2070" s="1"/>
      <c r="CN2070" s="1"/>
      <c r="CO2070" s="1"/>
      <c r="CP2070" s="1"/>
      <c r="CQ2070" s="1"/>
      <c r="CR2070" s="1"/>
      <c r="CS2070" s="1"/>
      <c r="CT2070" s="1"/>
      <c r="CU2070" s="1"/>
      <c r="CV2070" s="1"/>
      <c r="CW2070" s="1"/>
      <c r="CX2070" s="1"/>
      <c r="CY2070" s="1"/>
      <c r="CZ2070" s="1"/>
      <c r="DA2070" s="1"/>
      <c r="DB2070" s="1"/>
      <c r="DC2070" s="1"/>
    </row>
    <row r="2071" spans="1:107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1"/>
      <c r="AD2071" s="1"/>
      <c r="AE2071" s="1"/>
      <c r="AF2071" s="1"/>
      <c r="AG2071" s="1"/>
      <c r="AH2071" s="1"/>
      <c r="AI2071" s="1"/>
      <c r="AJ2071" s="1"/>
      <c r="AK2071" s="1"/>
      <c r="AL2071" s="1"/>
      <c r="AM2071" s="1"/>
      <c r="AN2071" s="1"/>
      <c r="AO2071" s="1"/>
      <c r="AP2071" s="1"/>
      <c r="AQ2071" s="1"/>
      <c r="AR2071" s="1"/>
      <c r="AS2071" s="1"/>
      <c r="AT2071" s="1"/>
      <c r="AU2071" s="1"/>
      <c r="AV2071" s="1"/>
      <c r="AW2071" s="1"/>
      <c r="AX2071" s="1"/>
      <c r="AY2071" s="1"/>
      <c r="AZ2071" s="1"/>
      <c r="BA2071" s="1"/>
      <c r="BB2071" s="1"/>
      <c r="BC2071" s="1"/>
      <c r="BD2071" s="1"/>
      <c r="BE2071" s="1"/>
      <c r="BF2071" s="1"/>
      <c r="BG2071" s="1"/>
      <c r="BH2071" s="1"/>
      <c r="BI2071" s="1"/>
      <c r="BJ2071" s="1"/>
      <c r="BK2071" s="1"/>
      <c r="BL2071" s="1"/>
      <c r="BM2071" s="1"/>
      <c r="BN2071" s="1"/>
      <c r="BO2071" s="1"/>
      <c r="BP2071" s="1"/>
      <c r="BQ2071" s="1"/>
      <c r="BR2071" s="1"/>
      <c r="BS2071" s="1"/>
      <c r="BT2071" s="1"/>
      <c r="BU2071" s="1"/>
      <c r="BV2071" s="1"/>
      <c r="BW2071" s="1"/>
      <c r="BX2071" s="1"/>
      <c r="BY2071" s="1"/>
      <c r="BZ2071" s="1"/>
      <c r="CA2071" s="1"/>
      <c r="CB2071" s="1"/>
      <c r="CC2071" s="1"/>
      <c r="CD2071" s="1"/>
      <c r="CE2071" s="1"/>
      <c r="CF2071" s="1"/>
      <c r="CG2071" s="1"/>
      <c r="CH2071" s="1"/>
      <c r="CI2071" s="1"/>
      <c r="CJ2071" s="1"/>
      <c r="CK2071" s="1"/>
      <c r="CL2071" s="1"/>
      <c r="CM2071" s="1"/>
      <c r="CN2071" s="1"/>
      <c r="CO2071" s="1"/>
      <c r="CP2071" s="1"/>
      <c r="CQ2071" s="1"/>
      <c r="CR2071" s="1"/>
      <c r="CS2071" s="1"/>
      <c r="CT2071" s="1"/>
      <c r="CU2071" s="1"/>
      <c r="CV2071" s="1"/>
      <c r="CW2071" s="1"/>
      <c r="CX2071" s="1"/>
      <c r="CY2071" s="1"/>
      <c r="CZ2071" s="1"/>
      <c r="DA2071" s="1"/>
      <c r="DB2071" s="1"/>
      <c r="DC2071" s="1"/>
    </row>
    <row r="2072" spans="1:107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  <c r="AD2072" s="1"/>
      <c r="AE2072" s="1"/>
      <c r="AF2072" s="1"/>
      <c r="AG2072" s="1"/>
      <c r="AH2072" s="1"/>
      <c r="AI2072" s="1"/>
      <c r="AJ2072" s="1"/>
      <c r="AK2072" s="1"/>
      <c r="AL2072" s="1"/>
      <c r="AM2072" s="1"/>
      <c r="AN2072" s="1"/>
      <c r="AO2072" s="1"/>
      <c r="AP2072" s="1"/>
      <c r="AQ2072" s="1"/>
      <c r="AR2072" s="1"/>
      <c r="AS2072" s="1"/>
      <c r="AT2072" s="1"/>
      <c r="AU2072" s="1"/>
      <c r="AV2072" s="1"/>
      <c r="AW2072" s="1"/>
      <c r="AX2072" s="1"/>
      <c r="AY2072" s="1"/>
      <c r="AZ2072" s="1"/>
      <c r="BA2072" s="1"/>
      <c r="BB2072" s="1"/>
      <c r="BC2072" s="1"/>
      <c r="BD2072" s="1"/>
      <c r="BE2072" s="1"/>
      <c r="BF2072" s="1"/>
      <c r="BG2072" s="1"/>
      <c r="BH2072" s="1"/>
      <c r="BI2072" s="1"/>
      <c r="BJ2072" s="1"/>
      <c r="BK2072" s="1"/>
      <c r="BL2072" s="1"/>
      <c r="BM2072" s="1"/>
      <c r="BN2072" s="1"/>
      <c r="BO2072" s="1"/>
      <c r="BP2072" s="1"/>
      <c r="BQ2072" s="1"/>
      <c r="BR2072" s="1"/>
      <c r="BS2072" s="1"/>
      <c r="BT2072" s="1"/>
      <c r="BU2072" s="1"/>
      <c r="BV2072" s="1"/>
      <c r="BW2072" s="1"/>
      <c r="BX2072" s="1"/>
      <c r="BY2072" s="1"/>
      <c r="BZ2072" s="1"/>
      <c r="CA2072" s="1"/>
      <c r="CB2072" s="1"/>
      <c r="CC2072" s="1"/>
      <c r="CD2072" s="1"/>
      <c r="CE2072" s="1"/>
      <c r="CF2072" s="1"/>
      <c r="CG2072" s="1"/>
      <c r="CH2072" s="1"/>
      <c r="CI2072" s="1"/>
      <c r="CJ2072" s="1"/>
      <c r="CK2072" s="1"/>
      <c r="CL2072" s="1"/>
      <c r="CM2072" s="1"/>
      <c r="CN2072" s="1"/>
      <c r="CO2072" s="1"/>
      <c r="CP2072" s="1"/>
      <c r="CQ2072" s="1"/>
      <c r="CR2072" s="1"/>
      <c r="CS2072" s="1"/>
      <c r="CT2072" s="1"/>
      <c r="CU2072" s="1"/>
      <c r="CV2072" s="1"/>
      <c r="CW2072" s="1"/>
      <c r="CX2072" s="1"/>
      <c r="CY2072" s="1"/>
      <c r="CZ2072" s="1"/>
      <c r="DA2072" s="1"/>
      <c r="DB2072" s="1"/>
      <c r="DC2072" s="1"/>
    </row>
    <row r="2073" spans="1:107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  <c r="AD2073" s="1"/>
      <c r="AE2073" s="1"/>
      <c r="AF2073" s="1"/>
      <c r="AG2073" s="1"/>
      <c r="AH2073" s="1"/>
      <c r="AI2073" s="1"/>
      <c r="AJ2073" s="1"/>
      <c r="AK2073" s="1"/>
      <c r="AL2073" s="1"/>
      <c r="AM2073" s="1"/>
      <c r="AN2073" s="1"/>
      <c r="AO2073" s="1"/>
      <c r="AP2073" s="1"/>
      <c r="AQ2073" s="1"/>
      <c r="AR2073" s="1"/>
      <c r="AS2073" s="1"/>
      <c r="AT2073" s="1"/>
      <c r="AU2073" s="1"/>
      <c r="AV2073" s="1"/>
      <c r="AW2073" s="1"/>
      <c r="AX2073" s="1"/>
      <c r="AY2073" s="1"/>
      <c r="AZ2073" s="1"/>
      <c r="BA2073" s="1"/>
      <c r="BB2073" s="1"/>
      <c r="BC2073" s="1"/>
      <c r="BD2073" s="1"/>
      <c r="BE2073" s="1"/>
      <c r="BF2073" s="1"/>
      <c r="BG2073" s="1"/>
      <c r="BH2073" s="1"/>
      <c r="BI2073" s="1"/>
      <c r="BJ2073" s="1"/>
      <c r="BK2073" s="1"/>
      <c r="BL2073" s="1"/>
      <c r="BM2073" s="1"/>
      <c r="BN2073" s="1"/>
      <c r="BO2073" s="1"/>
      <c r="BP2073" s="1"/>
      <c r="BQ2073" s="1"/>
      <c r="BR2073" s="1"/>
      <c r="BS2073" s="1"/>
      <c r="BT2073" s="1"/>
      <c r="BU2073" s="1"/>
      <c r="BV2073" s="1"/>
      <c r="BW2073" s="1"/>
      <c r="BX2073" s="1"/>
      <c r="BY2073" s="1"/>
      <c r="BZ2073" s="1"/>
      <c r="CA2073" s="1"/>
      <c r="CB2073" s="1"/>
      <c r="CC2073" s="1"/>
      <c r="CD2073" s="1"/>
      <c r="CE2073" s="1"/>
      <c r="CF2073" s="1"/>
      <c r="CG2073" s="1"/>
      <c r="CH2073" s="1"/>
      <c r="CI2073" s="1"/>
      <c r="CJ2073" s="1"/>
      <c r="CK2073" s="1"/>
      <c r="CL2073" s="1"/>
      <c r="CM2073" s="1"/>
      <c r="CN2073" s="1"/>
      <c r="CO2073" s="1"/>
      <c r="CP2073" s="1"/>
      <c r="CQ2073" s="1"/>
      <c r="CR2073" s="1"/>
      <c r="CS2073" s="1"/>
      <c r="CT2073" s="1"/>
      <c r="CU2073" s="1"/>
      <c r="CV2073" s="1"/>
      <c r="CW2073" s="1"/>
      <c r="CX2073" s="1"/>
      <c r="CY2073" s="1"/>
      <c r="CZ2073" s="1"/>
      <c r="DA2073" s="1"/>
      <c r="DB2073" s="1"/>
      <c r="DC2073" s="1"/>
    </row>
    <row r="2074" spans="1:107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  <c r="AE2074" s="1"/>
      <c r="AF2074" s="1"/>
      <c r="AG2074" s="1"/>
      <c r="AH2074" s="1"/>
      <c r="AI2074" s="1"/>
      <c r="AJ2074" s="1"/>
      <c r="AK2074" s="1"/>
      <c r="AL2074" s="1"/>
      <c r="AM2074" s="1"/>
      <c r="AN2074" s="1"/>
      <c r="AO2074" s="1"/>
      <c r="AP2074" s="1"/>
      <c r="AQ2074" s="1"/>
      <c r="AR2074" s="1"/>
      <c r="AS2074" s="1"/>
      <c r="AT2074" s="1"/>
      <c r="AU2074" s="1"/>
      <c r="AV2074" s="1"/>
      <c r="AW2074" s="1"/>
      <c r="AX2074" s="1"/>
      <c r="AY2074" s="1"/>
      <c r="AZ2074" s="1"/>
      <c r="BA2074" s="1"/>
      <c r="BB2074" s="1"/>
      <c r="BC2074" s="1"/>
      <c r="BD2074" s="1"/>
      <c r="BE2074" s="1"/>
      <c r="BF2074" s="1"/>
      <c r="BG2074" s="1"/>
      <c r="BH2074" s="1"/>
      <c r="BI2074" s="1"/>
      <c r="BJ2074" s="1"/>
      <c r="BK2074" s="1"/>
      <c r="BL2074" s="1"/>
      <c r="BM2074" s="1"/>
      <c r="BN2074" s="1"/>
      <c r="BO2074" s="1"/>
      <c r="BP2074" s="1"/>
      <c r="BQ2074" s="1"/>
      <c r="BR2074" s="1"/>
      <c r="BS2074" s="1"/>
      <c r="BT2074" s="1"/>
      <c r="BU2074" s="1"/>
      <c r="BV2074" s="1"/>
      <c r="BW2074" s="1"/>
      <c r="BX2074" s="1"/>
      <c r="BY2074" s="1"/>
      <c r="BZ2074" s="1"/>
      <c r="CA2074" s="1"/>
      <c r="CB2074" s="1"/>
      <c r="CC2074" s="1"/>
      <c r="CD2074" s="1"/>
      <c r="CE2074" s="1"/>
      <c r="CF2074" s="1"/>
      <c r="CG2074" s="1"/>
      <c r="CH2074" s="1"/>
      <c r="CI2074" s="1"/>
      <c r="CJ2074" s="1"/>
      <c r="CK2074" s="1"/>
      <c r="CL2074" s="1"/>
      <c r="CM2074" s="1"/>
      <c r="CN2074" s="1"/>
      <c r="CO2074" s="1"/>
      <c r="CP2074" s="1"/>
      <c r="CQ2074" s="1"/>
      <c r="CR2074" s="1"/>
      <c r="CS2074" s="1"/>
      <c r="CT2074" s="1"/>
      <c r="CU2074" s="1"/>
      <c r="CV2074" s="1"/>
      <c r="CW2074" s="1"/>
      <c r="CX2074" s="1"/>
      <c r="CY2074" s="1"/>
      <c r="CZ2074" s="1"/>
      <c r="DA2074" s="1"/>
      <c r="DB2074" s="1"/>
      <c r="DC2074" s="1"/>
    </row>
    <row r="2075" spans="1:107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  <c r="AE2075" s="1"/>
      <c r="AF2075" s="1"/>
      <c r="AG2075" s="1"/>
      <c r="AH2075" s="1"/>
      <c r="AI2075" s="1"/>
      <c r="AJ2075" s="1"/>
      <c r="AK2075" s="1"/>
      <c r="AL2075" s="1"/>
      <c r="AM2075" s="1"/>
      <c r="AN2075" s="1"/>
      <c r="AO2075" s="1"/>
      <c r="AP2075" s="1"/>
      <c r="AQ2075" s="1"/>
      <c r="AR2075" s="1"/>
      <c r="AS2075" s="1"/>
      <c r="AT2075" s="1"/>
      <c r="AU2075" s="1"/>
      <c r="AV2075" s="1"/>
      <c r="AW2075" s="1"/>
      <c r="AX2075" s="1"/>
      <c r="AY2075" s="1"/>
      <c r="AZ2075" s="1"/>
      <c r="BA2075" s="1"/>
      <c r="BB2075" s="1"/>
      <c r="BC2075" s="1"/>
      <c r="BD2075" s="1"/>
      <c r="BE2075" s="1"/>
      <c r="BF2075" s="1"/>
      <c r="BG2075" s="1"/>
      <c r="BH2075" s="1"/>
      <c r="BI2075" s="1"/>
      <c r="BJ2075" s="1"/>
      <c r="BK2075" s="1"/>
      <c r="BL2075" s="1"/>
      <c r="BM2075" s="1"/>
      <c r="BN2075" s="1"/>
      <c r="BO2075" s="1"/>
      <c r="BP2075" s="1"/>
      <c r="BQ2075" s="1"/>
      <c r="BR2075" s="1"/>
      <c r="BS2075" s="1"/>
      <c r="BT2075" s="1"/>
      <c r="BU2075" s="1"/>
      <c r="BV2075" s="1"/>
      <c r="BW2075" s="1"/>
      <c r="BX2075" s="1"/>
      <c r="BY2075" s="1"/>
      <c r="BZ2075" s="1"/>
      <c r="CA2075" s="1"/>
      <c r="CB2075" s="1"/>
      <c r="CC2075" s="1"/>
      <c r="CD2075" s="1"/>
      <c r="CE2075" s="1"/>
      <c r="CF2075" s="1"/>
      <c r="CG2075" s="1"/>
      <c r="CH2075" s="1"/>
      <c r="CI2075" s="1"/>
      <c r="CJ2075" s="1"/>
      <c r="CK2075" s="1"/>
      <c r="CL2075" s="1"/>
      <c r="CM2075" s="1"/>
      <c r="CN2075" s="1"/>
      <c r="CO2075" s="1"/>
      <c r="CP2075" s="1"/>
      <c r="CQ2075" s="1"/>
      <c r="CR2075" s="1"/>
      <c r="CS2075" s="1"/>
      <c r="CT2075" s="1"/>
      <c r="CU2075" s="1"/>
      <c r="CV2075" s="1"/>
      <c r="CW2075" s="1"/>
      <c r="CX2075" s="1"/>
      <c r="CY2075" s="1"/>
      <c r="CZ2075" s="1"/>
      <c r="DA2075" s="1"/>
      <c r="DB2075" s="1"/>
      <c r="DC2075" s="1"/>
    </row>
    <row r="2076" spans="1:107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  <c r="AE2076" s="1"/>
      <c r="AF2076" s="1"/>
      <c r="AG2076" s="1"/>
      <c r="AH2076" s="1"/>
      <c r="AI2076" s="1"/>
      <c r="AJ2076" s="1"/>
      <c r="AK2076" s="1"/>
      <c r="AL2076" s="1"/>
      <c r="AM2076" s="1"/>
      <c r="AN2076" s="1"/>
      <c r="AO2076" s="1"/>
      <c r="AP2076" s="1"/>
      <c r="AQ2076" s="1"/>
      <c r="AR2076" s="1"/>
      <c r="AS2076" s="1"/>
      <c r="AT2076" s="1"/>
      <c r="AU2076" s="1"/>
      <c r="AV2076" s="1"/>
      <c r="AW2076" s="1"/>
      <c r="AX2076" s="1"/>
      <c r="AY2076" s="1"/>
      <c r="AZ2076" s="1"/>
      <c r="BA2076" s="1"/>
      <c r="BB2076" s="1"/>
      <c r="BC2076" s="1"/>
      <c r="BD2076" s="1"/>
      <c r="BE2076" s="1"/>
      <c r="BF2076" s="1"/>
      <c r="BG2076" s="1"/>
      <c r="BH2076" s="1"/>
      <c r="BI2076" s="1"/>
      <c r="BJ2076" s="1"/>
      <c r="BK2076" s="1"/>
      <c r="BL2076" s="1"/>
      <c r="BM2076" s="1"/>
      <c r="BN2076" s="1"/>
      <c r="BO2076" s="1"/>
      <c r="BP2076" s="1"/>
      <c r="BQ2076" s="1"/>
      <c r="BR2076" s="1"/>
      <c r="BS2076" s="1"/>
      <c r="BT2076" s="1"/>
      <c r="BU2076" s="1"/>
      <c r="BV2076" s="1"/>
      <c r="BW2076" s="1"/>
      <c r="BX2076" s="1"/>
      <c r="BY2076" s="1"/>
      <c r="BZ2076" s="1"/>
      <c r="CA2076" s="1"/>
      <c r="CB2076" s="1"/>
      <c r="CC2076" s="1"/>
      <c r="CD2076" s="1"/>
      <c r="CE2076" s="1"/>
      <c r="CF2076" s="1"/>
      <c r="CG2076" s="1"/>
      <c r="CH2076" s="1"/>
      <c r="CI2076" s="1"/>
      <c r="CJ2076" s="1"/>
      <c r="CK2076" s="1"/>
      <c r="CL2076" s="1"/>
      <c r="CM2076" s="1"/>
      <c r="CN2076" s="1"/>
      <c r="CO2076" s="1"/>
      <c r="CP2076" s="1"/>
      <c r="CQ2076" s="1"/>
      <c r="CR2076" s="1"/>
      <c r="CS2076" s="1"/>
      <c r="CT2076" s="1"/>
      <c r="CU2076" s="1"/>
      <c r="CV2076" s="1"/>
      <c r="CW2076" s="1"/>
      <c r="CX2076" s="1"/>
      <c r="CY2076" s="1"/>
      <c r="CZ2076" s="1"/>
      <c r="DA2076" s="1"/>
      <c r="DB2076" s="1"/>
      <c r="DC2076" s="1"/>
    </row>
    <row r="2077" spans="1:107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1"/>
      <c r="AF2077" s="1"/>
      <c r="AG2077" s="1"/>
      <c r="AH2077" s="1"/>
      <c r="AI2077" s="1"/>
      <c r="AJ2077" s="1"/>
      <c r="AK2077" s="1"/>
      <c r="AL2077" s="1"/>
      <c r="AM2077" s="1"/>
      <c r="AN2077" s="1"/>
      <c r="AO2077" s="1"/>
      <c r="AP2077" s="1"/>
      <c r="AQ2077" s="1"/>
      <c r="AR2077" s="1"/>
      <c r="AS2077" s="1"/>
      <c r="AT2077" s="1"/>
      <c r="AU2077" s="1"/>
      <c r="AV2077" s="1"/>
      <c r="AW2077" s="1"/>
      <c r="AX2077" s="1"/>
      <c r="AY2077" s="1"/>
      <c r="AZ2077" s="1"/>
      <c r="BA2077" s="1"/>
      <c r="BB2077" s="1"/>
      <c r="BC2077" s="1"/>
      <c r="BD2077" s="1"/>
      <c r="BE2077" s="1"/>
      <c r="BF2077" s="1"/>
      <c r="BG2077" s="1"/>
      <c r="BH2077" s="1"/>
      <c r="BI2077" s="1"/>
      <c r="BJ2077" s="1"/>
      <c r="BK2077" s="1"/>
      <c r="BL2077" s="1"/>
      <c r="BM2077" s="1"/>
      <c r="BN2077" s="1"/>
      <c r="BO2077" s="1"/>
      <c r="BP2077" s="1"/>
      <c r="BQ2077" s="1"/>
      <c r="BR2077" s="1"/>
      <c r="BS2077" s="1"/>
      <c r="BT2077" s="1"/>
      <c r="BU2077" s="1"/>
      <c r="BV2077" s="1"/>
      <c r="BW2077" s="1"/>
      <c r="BX2077" s="1"/>
      <c r="BY2077" s="1"/>
      <c r="BZ2077" s="1"/>
      <c r="CA2077" s="1"/>
      <c r="CB2077" s="1"/>
      <c r="CC2077" s="1"/>
      <c r="CD2077" s="1"/>
      <c r="CE2077" s="1"/>
      <c r="CF2077" s="1"/>
      <c r="CG2077" s="1"/>
      <c r="CH2077" s="1"/>
      <c r="CI2077" s="1"/>
      <c r="CJ2077" s="1"/>
      <c r="CK2077" s="1"/>
      <c r="CL2077" s="1"/>
      <c r="CM2077" s="1"/>
      <c r="CN2077" s="1"/>
      <c r="CO2077" s="1"/>
      <c r="CP2077" s="1"/>
      <c r="CQ2077" s="1"/>
      <c r="CR2077" s="1"/>
      <c r="CS2077" s="1"/>
      <c r="CT2077" s="1"/>
      <c r="CU2077" s="1"/>
      <c r="CV2077" s="1"/>
      <c r="CW2077" s="1"/>
      <c r="CX2077" s="1"/>
      <c r="CY2077" s="1"/>
      <c r="CZ2077" s="1"/>
      <c r="DA2077" s="1"/>
      <c r="DB2077" s="1"/>
      <c r="DC2077" s="1"/>
    </row>
    <row r="2078" spans="1:107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  <c r="AE2078" s="1"/>
      <c r="AF2078" s="1"/>
      <c r="AG2078" s="1"/>
      <c r="AH2078" s="1"/>
      <c r="AI2078" s="1"/>
      <c r="AJ2078" s="1"/>
      <c r="AK2078" s="1"/>
      <c r="AL2078" s="1"/>
      <c r="AM2078" s="1"/>
      <c r="AN2078" s="1"/>
      <c r="AO2078" s="1"/>
      <c r="AP2078" s="1"/>
      <c r="AQ2078" s="1"/>
      <c r="AR2078" s="1"/>
      <c r="AS2078" s="1"/>
      <c r="AT2078" s="1"/>
      <c r="AU2078" s="1"/>
      <c r="AV2078" s="1"/>
      <c r="AW2078" s="1"/>
      <c r="AX2078" s="1"/>
      <c r="AY2078" s="1"/>
      <c r="AZ2078" s="1"/>
      <c r="BA2078" s="1"/>
      <c r="BB2078" s="1"/>
      <c r="BC2078" s="1"/>
      <c r="BD2078" s="1"/>
      <c r="BE2078" s="1"/>
      <c r="BF2078" s="1"/>
      <c r="BG2078" s="1"/>
      <c r="BH2078" s="1"/>
      <c r="BI2078" s="1"/>
      <c r="BJ2078" s="1"/>
      <c r="BK2078" s="1"/>
      <c r="BL2078" s="1"/>
      <c r="BM2078" s="1"/>
      <c r="BN2078" s="1"/>
      <c r="BO2078" s="1"/>
      <c r="BP2078" s="1"/>
      <c r="BQ2078" s="1"/>
      <c r="BR2078" s="1"/>
      <c r="BS2078" s="1"/>
      <c r="BT2078" s="1"/>
      <c r="BU2078" s="1"/>
      <c r="BV2078" s="1"/>
      <c r="BW2078" s="1"/>
      <c r="BX2078" s="1"/>
      <c r="BY2078" s="1"/>
      <c r="BZ2078" s="1"/>
      <c r="CA2078" s="1"/>
      <c r="CB2078" s="1"/>
      <c r="CC2078" s="1"/>
      <c r="CD2078" s="1"/>
      <c r="CE2078" s="1"/>
      <c r="CF2078" s="1"/>
      <c r="CG2078" s="1"/>
      <c r="CH2078" s="1"/>
      <c r="CI2078" s="1"/>
      <c r="CJ2078" s="1"/>
      <c r="CK2078" s="1"/>
      <c r="CL2078" s="1"/>
      <c r="CM2078" s="1"/>
      <c r="CN2078" s="1"/>
      <c r="CO2078" s="1"/>
      <c r="CP2078" s="1"/>
      <c r="CQ2078" s="1"/>
      <c r="CR2078" s="1"/>
      <c r="CS2078" s="1"/>
      <c r="CT2078" s="1"/>
      <c r="CU2078" s="1"/>
      <c r="CV2078" s="1"/>
      <c r="CW2078" s="1"/>
      <c r="CX2078" s="1"/>
      <c r="CY2078" s="1"/>
      <c r="CZ2078" s="1"/>
      <c r="DA2078" s="1"/>
      <c r="DB2078" s="1"/>
      <c r="DC2078" s="1"/>
    </row>
    <row r="2079" spans="1:107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  <c r="AC2079" s="1"/>
      <c r="AD2079" s="1"/>
      <c r="AE2079" s="1"/>
      <c r="AF2079" s="1"/>
      <c r="AG2079" s="1"/>
      <c r="AH2079" s="1"/>
      <c r="AI2079" s="1"/>
      <c r="AJ2079" s="1"/>
      <c r="AK2079" s="1"/>
      <c r="AL2079" s="1"/>
      <c r="AM2079" s="1"/>
      <c r="AN2079" s="1"/>
      <c r="AO2079" s="1"/>
      <c r="AP2079" s="1"/>
      <c r="AQ2079" s="1"/>
      <c r="AR2079" s="1"/>
      <c r="AS2079" s="1"/>
      <c r="AT2079" s="1"/>
      <c r="AU2079" s="1"/>
      <c r="AV2079" s="1"/>
      <c r="AW2079" s="1"/>
      <c r="AX2079" s="1"/>
      <c r="AY2079" s="1"/>
      <c r="AZ2079" s="1"/>
      <c r="BA2079" s="1"/>
      <c r="BB2079" s="1"/>
      <c r="BC2079" s="1"/>
      <c r="BD2079" s="1"/>
      <c r="BE2079" s="1"/>
      <c r="BF2079" s="1"/>
      <c r="BG2079" s="1"/>
      <c r="BH2079" s="1"/>
      <c r="BI2079" s="1"/>
      <c r="BJ2079" s="1"/>
      <c r="BK2079" s="1"/>
      <c r="BL2079" s="1"/>
      <c r="BM2079" s="1"/>
      <c r="BN2079" s="1"/>
      <c r="BO2079" s="1"/>
      <c r="BP2079" s="1"/>
      <c r="BQ2079" s="1"/>
      <c r="BR2079" s="1"/>
      <c r="BS2079" s="1"/>
      <c r="BT2079" s="1"/>
      <c r="BU2079" s="1"/>
      <c r="BV2079" s="1"/>
      <c r="BW2079" s="1"/>
      <c r="BX2079" s="1"/>
      <c r="BY2079" s="1"/>
      <c r="BZ2079" s="1"/>
      <c r="CA2079" s="1"/>
      <c r="CB2079" s="1"/>
      <c r="CC2079" s="1"/>
      <c r="CD2079" s="1"/>
      <c r="CE2079" s="1"/>
      <c r="CF2079" s="1"/>
      <c r="CG2079" s="1"/>
      <c r="CH2079" s="1"/>
      <c r="CI2079" s="1"/>
      <c r="CJ2079" s="1"/>
      <c r="CK2079" s="1"/>
      <c r="CL2079" s="1"/>
      <c r="CM2079" s="1"/>
      <c r="CN2079" s="1"/>
      <c r="CO2079" s="1"/>
      <c r="CP2079" s="1"/>
      <c r="CQ2079" s="1"/>
      <c r="CR2079" s="1"/>
      <c r="CS2079" s="1"/>
      <c r="CT2079" s="1"/>
      <c r="CU2079" s="1"/>
      <c r="CV2079" s="1"/>
      <c r="CW2079" s="1"/>
      <c r="CX2079" s="1"/>
      <c r="CY2079" s="1"/>
      <c r="CZ2079" s="1"/>
      <c r="DA2079" s="1"/>
      <c r="DB2079" s="1"/>
      <c r="DC2079" s="1"/>
    </row>
    <row r="2080" spans="1:107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  <c r="AE2080" s="1"/>
      <c r="AF2080" s="1"/>
      <c r="AG2080" s="1"/>
      <c r="AH2080" s="1"/>
      <c r="AI2080" s="1"/>
      <c r="AJ2080" s="1"/>
      <c r="AK2080" s="1"/>
      <c r="AL2080" s="1"/>
      <c r="AM2080" s="1"/>
      <c r="AN2080" s="1"/>
      <c r="AO2080" s="1"/>
      <c r="AP2080" s="1"/>
      <c r="AQ2080" s="1"/>
      <c r="AR2080" s="1"/>
      <c r="AS2080" s="1"/>
      <c r="AT2080" s="1"/>
      <c r="AU2080" s="1"/>
      <c r="AV2080" s="1"/>
      <c r="AW2080" s="1"/>
      <c r="AX2080" s="1"/>
      <c r="AY2080" s="1"/>
      <c r="AZ2080" s="1"/>
      <c r="BA2080" s="1"/>
      <c r="BB2080" s="1"/>
      <c r="BC2080" s="1"/>
      <c r="BD2080" s="1"/>
      <c r="BE2080" s="1"/>
      <c r="BF2080" s="1"/>
      <c r="BG2080" s="1"/>
      <c r="BH2080" s="1"/>
      <c r="BI2080" s="1"/>
      <c r="BJ2080" s="1"/>
      <c r="BK2080" s="1"/>
      <c r="BL2080" s="1"/>
      <c r="BM2080" s="1"/>
      <c r="BN2080" s="1"/>
      <c r="BO2080" s="1"/>
      <c r="BP2080" s="1"/>
      <c r="BQ2080" s="1"/>
      <c r="BR2080" s="1"/>
      <c r="BS2080" s="1"/>
      <c r="BT2080" s="1"/>
      <c r="BU2080" s="1"/>
      <c r="BV2080" s="1"/>
      <c r="BW2080" s="1"/>
      <c r="BX2080" s="1"/>
      <c r="BY2080" s="1"/>
      <c r="BZ2080" s="1"/>
      <c r="CA2080" s="1"/>
      <c r="CB2080" s="1"/>
      <c r="CC2080" s="1"/>
      <c r="CD2080" s="1"/>
      <c r="CE2080" s="1"/>
      <c r="CF2080" s="1"/>
      <c r="CG2080" s="1"/>
      <c r="CH2080" s="1"/>
      <c r="CI2080" s="1"/>
      <c r="CJ2080" s="1"/>
      <c r="CK2080" s="1"/>
      <c r="CL2080" s="1"/>
      <c r="CM2080" s="1"/>
      <c r="CN2080" s="1"/>
      <c r="CO2080" s="1"/>
      <c r="CP2080" s="1"/>
      <c r="CQ2080" s="1"/>
      <c r="CR2080" s="1"/>
      <c r="CS2080" s="1"/>
      <c r="CT2080" s="1"/>
      <c r="CU2080" s="1"/>
      <c r="CV2080" s="1"/>
      <c r="CW2080" s="1"/>
      <c r="CX2080" s="1"/>
      <c r="CY2080" s="1"/>
      <c r="CZ2080" s="1"/>
      <c r="DA2080" s="1"/>
      <c r="DB2080" s="1"/>
      <c r="DC2080" s="1"/>
    </row>
    <row r="2081" spans="1:107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1"/>
      <c r="AD2081" s="1"/>
      <c r="AE2081" s="1"/>
      <c r="AF2081" s="1"/>
      <c r="AG2081" s="1"/>
      <c r="AH2081" s="1"/>
      <c r="AI2081" s="1"/>
      <c r="AJ2081" s="1"/>
      <c r="AK2081" s="1"/>
      <c r="AL2081" s="1"/>
      <c r="AM2081" s="1"/>
      <c r="AN2081" s="1"/>
      <c r="AO2081" s="1"/>
      <c r="AP2081" s="1"/>
      <c r="AQ2081" s="1"/>
      <c r="AR2081" s="1"/>
      <c r="AS2081" s="1"/>
      <c r="AT2081" s="1"/>
      <c r="AU2081" s="1"/>
      <c r="AV2081" s="1"/>
      <c r="AW2081" s="1"/>
      <c r="AX2081" s="1"/>
      <c r="AY2081" s="1"/>
      <c r="AZ2081" s="1"/>
      <c r="BA2081" s="1"/>
      <c r="BB2081" s="1"/>
      <c r="BC2081" s="1"/>
      <c r="BD2081" s="1"/>
      <c r="BE2081" s="1"/>
      <c r="BF2081" s="1"/>
      <c r="BG2081" s="1"/>
      <c r="BH2081" s="1"/>
      <c r="BI2081" s="1"/>
      <c r="BJ2081" s="1"/>
      <c r="BK2081" s="1"/>
      <c r="BL2081" s="1"/>
      <c r="BM2081" s="1"/>
      <c r="BN2081" s="1"/>
      <c r="BO2081" s="1"/>
      <c r="BP2081" s="1"/>
      <c r="BQ2081" s="1"/>
      <c r="BR2081" s="1"/>
      <c r="BS2081" s="1"/>
      <c r="BT2081" s="1"/>
      <c r="BU2081" s="1"/>
      <c r="BV2081" s="1"/>
      <c r="BW2081" s="1"/>
      <c r="BX2081" s="1"/>
      <c r="BY2081" s="1"/>
      <c r="BZ2081" s="1"/>
      <c r="CA2081" s="1"/>
      <c r="CB2081" s="1"/>
      <c r="CC2081" s="1"/>
      <c r="CD2081" s="1"/>
      <c r="CE2081" s="1"/>
      <c r="CF2081" s="1"/>
      <c r="CG2081" s="1"/>
      <c r="CH2081" s="1"/>
      <c r="CI2081" s="1"/>
      <c r="CJ2081" s="1"/>
      <c r="CK2081" s="1"/>
      <c r="CL2081" s="1"/>
      <c r="CM2081" s="1"/>
      <c r="CN2081" s="1"/>
      <c r="CO2081" s="1"/>
      <c r="CP2081" s="1"/>
      <c r="CQ2081" s="1"/>
      <c r="CR2081" s="1"/>
      <c r="CS2081" s="1"/>
      <c r="CT2081" s="1"/>
      <c r="CU2081" s="1"/>
      <c r="CV2081" s="1"/>
      <c r="CW2081" s="1"/>
      <c r="CX2081" s="1"/>
      <c r="CY2081" s="1"/>
      <c r="CZ2081" s="1"/>
      <c r="DA2081" s="1"/>
      <c r="DB2081" s="1"/>
      <c r="DC2081" s="1"/>
    </row>
    <row r="2082" spans="1:107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  <c r="AC2082" s="1"/>
      <c r="AD2082" s="1"/>
      <c r="AE2082" s="1"/>
      <c r="AF2082" s="1"/>
      <c r="AG2082" s="1"/>
      <c r="AH2082" s="1"/>
      <c r="AI2082" s="1"/>
      <c r="AJ2082" s="1"/>
      <c r="AK2082" s="1"/>
      <c r="AL2082" s="1"/>
      <c r="AM2082" s="1"/>
      <c r="AN2082" s="1"/>
      <c r="AO2082" s="1"/>
      <c r="AP2082" s="1"/>
      <c r="AQ2082" s="1"/>
      <c r="AR2082" s="1"/>
      <c r="AS2082" s="1"/>
      <c r="AT2082" s="1"/>
      <c r="AU2082" s="1"/>
      <c r="AV2082" s="1"/>
      <c r="AW2082" s="1"/>
      <c r="AX2082" s="1"/>
      <c r="AY2082" s="1"/>
      <c r="AZ2082" s="1"/>
      <c r="BA2082" s="1"/>
      <c r="BB2082" s="1"/>
      <c r="BC2082" s="1"/>
      <c r="BD2082" s="1"/>
      <c r="BE2082" s="1"/>
      <c r="BF2082" s="1"/>
      <c r="BG2082" s="1"/>
      <c r="BH2082" s="1"/>
      <c r="BI2082" s="1"/>
      <c r="BJ2082" s="1"/>
      <c r="BK2082" s="1"/>
      <c r="BL2082" s="1"/>
      <c r="BM2082" s="1"/>
      <c r="BN2082" s="1"/>
      <c r="BO2082" s="1"/>
      <c r="BP2082" s="1"/>
      <c r="BQ2082" s="1"/>
      <c r="BR2082" s="1"/>
      <c r="BS2082" s="1"/>
      <c r="BT2082" s="1"/>
      <c r="BU2082" s="1"/>
      <c r="BV2082" s="1"/>
      <c r="BW2082" s="1"/>
      <c r="BX2082" s="1"/>
      <c r="BY2082" s="1"/>
      <c r="BZ2082" s="1"/>
      <c r="CA2082" s="1"/>
      <c r="CB2082" s="1"/>
      <c r="CC2082" s="1"/>
      <c r="CD2082" s="1"/>
      <c r="CE2082" s="1"/>
      <c r="CF2082" s="1"/>
      <c r="CG2082" s="1"/>
      <c r="CH2082" s="1"/>
      <c r="CI2082" s="1"/>
      <c r="CJ2082" s="1"/>
      <c r="CK2082" s="1"/>
      <c r="CL2082" s="1"/>
      <c r="CM2082" s="1"/>
      <c r="CN2082" s="1"/>
      <c r="CO2082" s="1"/>
      <c r="CP2082" s="1"/>
      <c r="CQ2082" s="1"/>
      <c r="CR2082" s="1"/>
      <c r="CS2082" s="1"/>
      <c r="CT2082" s="1"/>
      <c r="CU2082" s="1"/>
      <c r="CV2082" s="1"/>
      <c r="CW2082" s="1"/>
      <c r="CX2082" s="1"/>
      <c r="CY2082" s="1"/>
      <c r="CZ2082" s="1"/>
      <c r="DA2082" s="1"/>
      <c r="DB2082" s="1"/>
      <c r="DC2082" s="1"/>
    </row>
    <row r="2083" spans="1:107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  <c r="AC2083" s="1"/>
      <c r="AD2083" s="1"/>
      <c r="AE2083" s="1"/>
      <c r="AF2083" s="1"/>
      <c r="AG2083" s="1"/>
      <c r="AH2083" s="1"/>
      <c r="AI2083" s="1"/>
      <c r="AJ2083" s="1"/>
      <c r="AK2083" s="1"/>
      <c r="AL2083" s="1"/>
      <c r="AM2083" s="1"/>
      <c r="AN2083" s="1"/>
      <c r="AO2083" s="1"/>
      <c r="AP2083" s="1"/>
      <c r="AQ2083" s="1"/>
      <c r="AR2083" s="1"/>
      <c r="AS2083" s="1"/>
      <c r="AT2083" s="1"/>
      <c r="AU2083" s="1"/>
      <c r="AV2083" s="1"/>
      <c r="AW2083" s="1"/>
      <c r="AX2083" s="1"/>
      <c r="AY2083" s="1"/>
      <c r="AZ2083" s="1"/>
      <c r="BA2083" s="1"/>
      <c r="BB2083" s="1"/>
      <c r="BC2083" s="1"/>
      <c r="BD2083" s="1"/>
      <c r="BE2083" s="1"/>
      <c r="BF2083" s="1"/>
      <c r="BG2083" s="1"/>
      <c r="BH2083" s="1"/>
      <c r="BI2083" s="1"/>
      <c r="BJ2083" s="1"/>
      <c r="BK2083" s="1"/>
      <c r="BL2083" s="1"/>
      <c r="BM2083" s="1"/>
      <c r="BN2083" s="1"/>
      <c r="BO2083" s="1"/>
      <c r="BP2083" s="1"/>
      <c r="BQ2083" s="1"/>
      <c r="BR2083" s="1"/>
      <c r="BS2083" s="1"/>
      <c r="BT2083" s="1"/>
      <c r="BU2083" s="1"/>
      <c r="BV2083" s="1"/>
      <c r="BW2083" s="1"/>
      <c r="BX2083" s="1"/>
      <c r="BY2083" s="1"/>
      <c r="BZ2083" s="1"/>
      <c r="CA2083" s="1"/>
      <c r="CB2083" s="1"/>
      <c r="CC2083" s="1"/>
      <c r="CD2083" s="1"/>
      <c r="CE2083" s="1"/>
      <c r="CF2083" s="1"/>
      <c r="CG2083" s="1"/>
      <c r="CH2083" s="1"/>
      <c r="CI2083" s="1"/>
      <c r="CJ2083" s="1"/>
      <c r="CK2083" s="1"/>
      <c r="CL2083" s="1"/>
      <c r="CM2083" s="1"/>
      <c r="CN2083" s="1"/>
      <c r="CO2083" s="1"/>
      <c r="CP2083" s="1"/>
      <c r="CQ2083" s="1"/>
      <c r="CR2083" s="1"/>
      <c r="CS2083" s="1"/>
      <c r="CT2083" s="1"/>
      <c r="CU2083" s="1"/>
      <c r="CV2083" s="1"/>
      <c r="CW2083" s="1"/>
      <c r="CX2083" s="1"/>
      <c r="CY2083" s="1"/>
      <c r="CZ2083" s="1"/>
      <c r="DA2083" s="1"/>
      <c r="DB2083" s="1"/>
      <c r="DC2083" s="1"/>
    </row>
    <row r="2084" spans="1:107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1"/>
      <c r="AD2084" s="1"/>
      <c r="AE2084" s="1"/>
      <c r="AF2084" s="1"/>
      <c r="AG2084" s="1"/>
      <c r="AH2084" s="1"/>
      <c r="AI2084" s="1"/>
      <c r="AJ2084" s="1"/>
      <c r="AK2084" s="1"/>
      <c r="AL2084" s="1"/>
      <c r="AM2084" s="1"/>
      <c r="AN2084" s="1"/>
      <c r="AO2084" s="1"/>
      <c r="AP2084" s="1"/>
      <c r="AQ2084" s="1"/>
      <c r="AR2084" s="1"/>
      <c r="AS2084" s="1"/>
      <c r="AT2084" s="1"/>
      <c r="AU2084" s="1"/>
      <c r="AV2084" s="1"/>
      <c r="AW2084" s="1"/>
      <c r="AX2084" s="1"/>
      <c r="AY2084" s="1"/>
      <c r="AZ2084" s="1"/>
      <c r="BA2084" s="1"/>
      <c r="BB2084" s="1"/>
      <c r="BC2084" s="1"/>
      <c r="BD2084" s="1"/>
      <c r="BE2084" s="1"/>
      <c r="BF2084" s="1"/>
      <c r="BG2084" s="1"/>
      <c r="BH2084" s="1"/>
      <c r="BI2084" s="1"/>
      <c r="BJ2084" s="1"/>
      <c r="BK2084" s="1"/>
      <c r="BL2084" s="1"/>
      <c r="BM2084" s="1"/>
      <c r="BN2084" s="1"/>
      <c r="BO2084" s="1"/>
      <c r="BP2084" s="1"/>
      <c r="BQ2084" s="1"/>
      <c r="BR2084" s="1"/>
      <c r="BS2084" s="1"/>
      <c r="BT2084" s="1"/>
      <c r="BU2084" s="1"/>
      <c r="BV2084" s="1"/>
      <c r="BW2084" s="1"/>
      <c r="BX2084" s="1"/>
      <c r="BY2084" s="1"/>
      <c r="BZ2084" s="1"/>
      <c r="CA2084" s="1"/>
      <c r="CB2084" s="1"/>
      <c r="CC2084" s="1"/>
      <c r="CD2084" s="1"/>
      <c r="CE2084" s="1"/>
      <c r="CF2084" s="1"/>
      <c r="CG2084" s="1"/>
      <c r="CH2084" s="1"/>
      <c r="CI2084" s="1"/>
      <c r="CJ2084" s="1"/>
      <c r="CK2084" s="1"/>
      <c r="CL2084" s="1"/>
      <c r="CM2084" s="1"/>
      <c r="CN2084" s="1"/>
      <c r="CO2084" s="1"/>
      <c r="CP2084" s="1"/>
      <c r="CQ2084" s="1"/>
      <c r="CR2084" s="1"/>
      <c r="CS2084" s="1"/>
      <c r="CT2084" s="1"/>
      <c r="CU2084" s="1"/>
      <c r="CV2084" s="1"/>
      <c r="CW2084" s="1"/>
      <c r="CX2084" s="1"/>
      <c r="CY2084" s="1"/>
      <c r="CZ2084" s="1"/>
      <c r="DA2084" s="1"/>
      <c r="DB2084" s="1"/>
      <c r="DC2084" s="1"/>
    </row>
    <row r="2085" spans="1:107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  <c r="AD2085" s="1"/>
      <c r="AE2085" s="1"/>
      <c r="AF2085" s="1"/>
      <c r="AG2085" s="1"/>
      <c r="AH2085" s="1"/>
      <c r="AI2085" s="1"/>
      <c r="AJ2085" s="1"/>
      <c r="AK2085" s="1"/>
      <c r="AL2085" s="1"/>
      <c r="AM2085" s="1"/>
      <c r="AN2085" s="1"/>
      <c r="AO2085" s="1"/>
      <c r="AP2085" s="1"/>
      <c r="AQ2085" s="1"/>
      <c r="AR2085" s="1"/>
      <c r="AS2085" s="1"/>
      <c r="AT2085" s="1"/>
      <c r="AU2085" s="1"/>
      <c r="AV2085" s="1"/>
      <c r="AW2085" s="1"/>
      <c r="AX2085" s="1"/>
      <c r="AY2085" s="1"/>
      <c r="AZ2085" s="1"/>
      <c r="BA2085" s="1"/>
      <c r="BB2085" s="1"/>
      <c r="BC2085" s="1"/>
      <c r="BD2085" s="1"/>
      <c r="BE2085" s="1"/>
      <c r="BF2085" s="1"/>
      <c r="BG2085" s="1"/>
      <c r="BH2085" s="1"/>
      <c r="BI2085" s="1"/>
      <c r="BJ2085" s="1"/>
      <c r="BK2085" s="1"/>
      <c r="BL2085" s="1"/>
      <c r="BM2085" s="1"/>
      <c r="BN2085" s="1"/>
      <c r="BO2085" s="1"/>
      <c r="BP2085" s="1"/>
      <c r="BQ2085" s="1"/>
      <c r="BR2085" s="1"/>
      <c r="BS2085" s="1"/>
      <c r="BT2085" s="1"/>
      <c r="BU2085" s="1"/>
      <c r="BV2085" s="1"/>
      <c r="BW2085" s="1"/>
      <c r="BX2085" s="1"/>
      <c r="BY2085" s="1"/>
      <c r="BZ2085" s="1"/>
      <c r="CA2085" s="1"/>
      <c r="CB2085" s="1"/>
      <c r="CC2085" s="1"/>
      <c r="CD2085" s="1"/>
      <c r="CE2085" s="1"/>
      <c r="CF2085" s="1"/>
      <c r="CG2085" s="1"/>
      <c r="CH2085" s="1"/>
      <c r="CI2085" s="1"/>
      <c r="CJ2085" s="1"/>
      <c r="CK2085" s="1"/>
      <c r="CL2085" s="1"/>
      <c r="CM2085" s="1"/>
      <c r="CN2085" s="1"/>
      <c r="CO2085" s="1"/>
      <c r="CP2085" s="1"/>
      <c r="CQ2085" s="1"/>
      <c r="CR2085" s="1"/>
      <c r="CS2085" s="1"/>
      <c r="CT2085" s="1"/>
      <c r="CU2085" s="1"/>
      <c r="CV2085" s="1"/>
      <c r="CW2085" s="1"/>
      <c r="CX2085" s="1"/>
      <c r="CY2085" s="1"/>
      <c r="CZ2085" s="1"/>
      <c r="DA2085" s="1"/>
      <c r="DB2085" s="1"/>
      <c r="DC2085" s="1"/>
    </row>
    <row r="2086" spans="1:107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  <c r="AD2086" s="1"/>
      <c r="AE2086" s="1"/>
      <c r="AF2086" s="1"/>
      <c r="AG2086" s="1"/>
      <c r="AH2086" s="1"/>
      <c r="AI2086" s="1"/>
      <c r="AJ2086" s="1"/>
      <c r="AK2086" s="1"/>
      <c r="AL2086" s="1"/>
      <c r="AM2086" s="1"/>
      <c r="AN2086" s="1"/>
      <c r="AO2086" s="1"/>
      <c r="AP2086" s="1"/>
      <c r="AQ2086" s="1"/>
      <c r="AR2086" s="1"/>
      <c r="AS2086" s="1"/>
      <c r="AT2086" s="1"/>
      <c r="AU2086" s="1"/>
      <c r="AV2086" s="1"/>
      <c r="AW2086" s="1"/>
      <c r="AX2086" s="1"/>
      <c r="AY2086" s="1"/>
      <c r="AZ2086" s="1"/>
      <c r="BA2086" s="1"/>
      <c r="BB2086" s="1"/>
      <c r="BC2086" s="1"/>
      <c r="BD2086" s="1"/>
      <c r="BE2086" s="1"/>
      <c r="BF2086" s="1"/>
      <c r="BG2086" s="1"/>
      <c r="BH2086" s="1"/>
      <c r="BI2086" s="1"/>
      <c r="BJ2086" s="1"/>
      <c r="BK2086" s="1"/>
      <c r="BL2086" s="1"/>
      <c r="BM2086" s="1"/>
      <c r="BN2086" s="1"/>
      <c r="BO2086" s="1"/>
      <c r="BP2086" s="1"/>
      <c r="BQ2086" s="1"/>
      <c r="BR2086" s="1"/>
      <c r="BS2086" s="1"/>
      <c r="BT2086" s="1"/>
      <c r="BU2086" s="1"/>
      <c r="BV2086" s="1"/>
      <c r="BW2086" s="1"/>
      <c r="BX2086" s="1"/>
      <c r="BY2086" s="1"/>
      <c r="BZ2086" s="1"/>
      <c r="CA2086" s="1"/>
      <c r="CB2086" s="1"/>
      <c r="CC2086" s="1"/>
      <c r="CD2086" s="1"/>
      <c r="CE2086" s="1"/>
      <c r="CF2086" s="1"/>
      <c r="CG2086" s="1"/>
      <c r="CH2086" s="1"/>
      <c r="CI2086" s="1"/>
      <c r="CJ2086" s="1"/>
      <c r="CK2086" s="1"/>
      <c r="CL2086" s="1"/>
      <c r="CM2086" s="1"/>
      <c r="CN2086" s="1"/>
      <c r="CO2086" s="1"/>
      <c r="CP2086" s="1"/>
      <c r="CQ2086" s="1"/>
      <c r="CR2086" s="1"/>
      <c r="CS2086" s="1"/>
      <c r="CT2086" s="1"/>
      <c r="CU2086" s="1"/>
      <c r="CV2086" s="1"/>
      <c r="CW2086" s="1"/>
      <c r="CX2086" s="1"/>
      <c r="CY2086" s="1"/>
      <c r="CZ2086" s="1"/>
      <c r="DA2086" s="1"/>
      <c r="DB2086" s="1"/>
      <c r="DC2086" s="1"/>
    </row>
    <row r="2087" spans="1:107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  <c r="AD2087" s="1"/>
      <c r="AE2087" s="1"/>
      <c r="AF2087" s="1"/>
      <c r="AG2087" s="1"/>
      <c r="AH2087" s="1"/>
      <c r="AI2087" s="1"/>
      <c r="AJ2087" s="1"/>
      <c r="AK2087" s="1"/>
      <c r="AL2087" s="1"/>
      <c r="AM2087" s="1"/>
      <c r="AN2087" s="1"/>
      <c r="AO2087" s="1"/>
      <c r="AP2087" s="1"/>
      <c r="AQ2087" s="1"/>
      <c r="AR2087" s="1"/>
      <c r="AS2087" s="1"/>
      <c r="AT2087" s="1"/>
      <c r="AU2087" s="1"/>
      <c r="AV2087" s="1"/>
      <c r="AW2087" s="1"/>
      <c r="AX2087" s="1"/>
      <c r="AY2087" s="1"/>
      <c r="AZ2087" s="1"/>
      <c r="BA2087" s="1"/>
      <c r="BB2087" s="1"/>
      <c r="BC2087" s="1"/>
      <c r="BD2087" s="1"/>
      <c r="BE2087" s="1"/>
      <c r="BF2087" s="1"/>
      <c r="BG2087" s="1"/>
      <c r="BH2087" s="1"/>
      <c r="BI2087" s="1"/>
      <c r="BJ2087" s="1"/>
      <c r="BK2087" s="1"/>
      <c r="BL2087" s="1"/>
      <c r="BM2087" s="1"/>
      <c r="BN2087" s="1"/>
      <c r="BO2087" s="1"/>
      <c r="BP2087" s="1"/>
      <c r="BQ2087" s="1"/>
      <c r="BR2087" s="1"/>
      <c r="BS2087" s="1"/>
      <c r="BT2087" s="1"/>
      <c r="BU2087" s="1"/>
      <c r="BV2087" s="1"/>
      <c r="BW2087" s="1"/>
      <c r="BX2087" s="1"/>
      <c r="BY2087" s="1"/>
      <c r="BZ2087" s="1"/>
      <c r="CA2087" s="1"/>
      <c r="CB2087" s="1"/>
      <c r="CC2087" s="1"/>
      <c r="CD2087" s="1"/>
      <c r="CE2087" s="1"/>
      <c r="CF2087" s="1"/>
      <c r="CG2087" s="1"/>
      <c r="CH2087" s="1"/>
      <c r="CI2087" s="1"/>
      <c r="CJ2087" s="1"/>
      <c r="CK2087" s="1"/>
      <c r="CL2087" s="1"/>
      <c r="CM2087" s="1"/>
      <c r="CN2087" s="1"/>
      <c r="CO2087" s="1"/>
      <c r="CP2087" s="1"/>
      <c r="CQ2087" s="1"/>
      <c r="CR2087" s="1"/>
      <c r="CS2087" s="1"/>
      <c r="CT2087" s="1"/>
      <c r="CU2087" s="1"/>
      <c r="CV2087" s="1"/>
      <c r="CW2087" s="1"/>
      <c r="CX2087" s="1"/>
      <c r="CY2087" s="1"/>
      <c r="CZ2087" s="1"/>
      <c r="DA2087" s="1"/>
      <c r="DB2087" s="1"/>
      <c r="DC2087" s="1"/>
    </row>
    <row r="2088" spans="1:107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  <c r="AD2088" s="1"/>
      <c r="AE2088" s="1"/>
      <c r="AF2088" s="1"/>
      <c r="AG2088" s="1"/>
      <c r="AH2088" s="1"/>
      <c r="AI2088" s="1"/>
      <c r="AJ2088" s="1"/>
      <c r="AK2088" s="1"/>
      <c r="AL2088" s="1"/>
      <c r="AM2088" s="1"/>
      <c r="AN2088" s="1"/>
      <c r="AO2088" s="1"/>
      <c r="AP2088" s="1"/>
      <c r="AQ2088" s="1"/>
      <c r="AR2088" s="1"/>
      <c r="AS2088" s="1"/>
      <c r="AT2088" s="1"/>
      <c r="AU2088" s="1"/>
      <c r="AV2088" s="1"/>
      <c r="AW2088" s="1"/>
      <c r="AX2088" s="1"/>
      <c r="AY2088" s="1"/>
      <c r="AZ2088" s="1"/>
      <c r="BA2088" s="1"/>
      <c r="BB2088" s="1"/>
      <c r="BC2088" s="1"/>
      <c r="BD2088" s="1"/>
      <c r="BE2088" s="1"/>
      <c r="BF2088" s="1"/>
      <c r="BG2088" s="1"/>
      <c r="BH2088" s="1"/>
      <c r="BI2088" s="1"/>
      <c r="BJ2088" s="1"/>
      <c r="BK2088" s="1"/>
      <c r="BL2088" s="1"/>
      <c r="BM2088" s="1"/>
      <c r="BN2088" s="1"/>
      <c r="BO2088" s="1"/>
      <c r="BP2088" s="1"/>
      <c r="BQ2088" s="1"/>
      <c r="BR2088" s="1"/>
      <c r="BS2088" s="1"/>
      <c r="BT2088" s="1"/>
      <c r="BU2088" s="1"/>
      <c r="BV2088" s="1"/>
      <c r="BW2088" s="1"/>
      <c r="BX2088" s="1"/>
      <c r="BY2088" s="1"/>
      <c r="BZ2088" s="1"/>
      <c r="CA2088" s="1"/>
      <c r="CB2088" s="1"/>
      <c r="CC2088" s="1"/>
      <c r="CD2088" s="1"/>
      <c r="CE2088" s="1"/>
      <c r="CF2088" s="1"/>
      <c r="CG2088" s="1"/>
      <c r="CH2088" s="1"/>
      <c r="CI2088" s="1"/>
      <c r="CJ2088" s="1"/>
      <c r="CK2088" s="1"/>
      <c r="CL2088" s="1"/>
      <c r="CM2088" s="1"/>
      <c r="CN2088" s="1"/>
      <c r="CO2088" s="1"/>
      <c r="CP2088" s="1"/>
      <c r="CQ2088" s="1"/>
      <c r="CR2088" s="1"/>
      <c r="CS2088" s="1"/>
      <c r="CT2088" s="1"/>
      <c r="CU2088" s="1"/>
      <c r="CV2088" s="1"/>
      <c r="CW2088" s="1"/>
      <c r="CX2088" s="1"/>
      <c r="CY2088" s="1"/>
      <c r="CZ2088" s="1"/>
      <c r="DA2088" s="1"/>
      <c r="DB2088" s="1"/>
      <c r="DC2088" s="1"/>
    </row>
    <row r="2089" spans="1:107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  <c r="AD2089" s="1"/>
      <c r="AE2089" s="1"/>
      <c r="AF2089" s="1"/>
      <c r="AG2089" s="1"/>
      <c r="AH2089" s="1"/>
      <c r="AI2089" s="1"/>
      <c r="AJ2089" s="1"/>
      <c r="AK2089" s="1"/>
      <c r="AL2089" s="1"/>
      <c r="AM2089" s="1"/>
      <c r="AN2089" s="1"/>
      <c r="AO2089" s="1"/>
      <c r="AP2089" s="1"/>
      <c r="AQ2089" s="1"/>
      <c r="AR2089" s="1"/>
      <c r="AS2089" s="1"/>
      <c r="AT2089" s="1"/>
      <c r="AU2089" s="1"/>
      <c r="AV2089" s="1"/>
      <c r="AW2089" s="1"/>
      <c r="AX2089" s="1"/>
      <c r="AY2089" s="1"/>
      <c r="AZ2089" s="1"/>
      <c r="BA2089" s="1"/>
      <c r="BB2089" s="1"/>
      <c r="BC2089" s="1"/>
      <c r="BD2089" s="1"/>
      <c r="BE2089" s="1"/>
      <c r="BF2089" s="1"/>
      <c r="BG2089" s="1"/>
      <c r="BH2089" s="1"/>
      <c r="BI2089" s="1"/>
      <c r="BJ2089" s="1"/>
      <c r="BK2089" s="1"/>
      <c r="BL2089" s="1"/>
      <c r="BM2089" s="1"/>
      <c r="BN2089" s="1"/>
      <c r="BO2089" s="1"/>
      <c r="BP2089" s="1"/>
      <c r="BQ2089" s="1"/>
      <c r="BR2089" s="1"/>
      <c r="BS2089" s="1"/>
      <c r="BT2089" s="1"/>
      <c r="BU2089" s="1"/>
      <c r="BV2089" s="1"/>
      <c r="BW2089" s="1"/>
      <c r="BX2089" s="1"/>
      <c r="BY2089" s="1"/>
      <c r="BZ2089" s="1"/>
      <c r="CA2089" s="1"/>
      <c r="CB2089" s="1"/>
      <c r="CC2089" s="1"/>
      <c r="CD2089" s="1"/>
      <c r="CE2089" s="1"/>
      <c r="CF2089" s="1"/>
      <c r="CG2089" s="1"/>
      <c r="CH2089" s="1"/>
      <c r="CI2089" s="1"/>
      <c r="CJ2089" s="1"/>
      <c r="CK2089" s="1"/>
      <c r="CL2089" s="1"/>
      <c r="CM2089" s="1"/>
      <c r="CN2089" s="1"/>
      <c r="CO2089" s="1"/>
      <c r="CP2089" s="1"/>
      <c r="CQ2089" s="1"/>
      <c r="CR2089" s="1"/>
      <c r="CS2089" s="1"/>
      <c r="CT2089" s="1"/>
      <c r="CU2089" s="1"/>
      <c r="CV2089" s="1"/>
      <c r="CW2089" s="1"/>
      <c r="CX2089" s="1"/>
      <c r="CY2089" s="1"/>
      <c r="CZ2089" s="1"/>
      <c r="DA2089" s="1"/>
      <c r="DB2089" s="1"/>
      <c r="DC2089" s="1"/>
    </row>
    <row r="2090" spans="1:107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  <c r="AD2090" s="1"/>
      <c r="AE2090" s="1"/>
      <c r="AF2090" s="1"/>
      <c r="AG2090" s="1"/>
      <c r="AH2090" s="1"/>
      <c r="AI2090" s="1"/>
      <c r="AJ2090" s="1"/>
      <c r="AK2090" s="1"/>
      <c r="AL2090" s="1"/>
      <c r="AM2090" s="1"/>
      <c r="AN2090" s="1"/>
      <c r="AO2090" s="1"/>
      <c r="AP2090" s="1"/>
      <c r="AQ2090" s="1"/>
      <c r="AR2090" s="1"/>
      <c r="AS2090" s="1"/>
      <c r="AT2090" s="1"/>
      <c r="AU2090" s="1"/>
      <c r="AV2090" s="1"/>
      <c r="AW2090" s="1"/>
      <c r="AX2090" s="1"/>
      <c r="AY2090" s="1"/>
      <c r="AZ2090" s="1"/>
      <c r="BA2090" s="1"/>
      <c r="BB2090" s="1"/>
      <c r="BC2090" s="1"/>
      <c r="BD2090" s="1"/>
      <c r="BE2090" s="1"/>
      <c r="BF2090" s="1"/>
      <c r="BG2090" s="1"/>
      <c r="BH2090" s="1"/>
      <c r="BI2090" s="1"/>
      <c r="BJ2090" s="1"/>
      <c r="BK2090" s="1"/>
      <c r="BL2090" s="1"/>
      <c r="BM2090" s="1"/>
      <c r="BN2090" s="1"/>
      <c r="BO2090" s="1"/>
      <c r="BP2090" s="1"/>
      <c r="BQ2090" s="1"/>
      <c r="BR2090" s="1"/>
      <c r="BS2090" s="1"/>
      <c r="BT2090" s="1"/>
      <c r="BU2090" s="1"/>
      <c r="BV2090" s="1"/>
      <c r="BW2090" s="1"/>
      <c r="BX2090" s="1"/>
      <c r="BY2090" s="1"/>
      <c r="BZ2090" s="1"/>
      <c r="CA2090" s="1"/>
      <c r="CB2090" s="1"/>
      <c r="CC2090" s="1"/>
      <c r="CD2090" s="1"/>
      <c r="CE2090" s="1"/>
      <c r="CF2090" s="1"/>
      <c r="CG2090" s="1"/>
      <c r="CH2090" s="1"/>
      <c r="CI2090" s="1"/>
      <c r="CJ2090" s="1"/>
      <c r="CK2090" s="1"/>
      <c r="CL2090" s="1"/>
      <c r="CM2090" s="1"/>
      <c r="CN2090" s="1"/>
      <c r="CO2090" s="1"/>
      <c r="CP2090" s="1"/>
      <c r="CQ2090" s="1"/>
      <c r="CR2090" s="1"/>
      <c r="CS2090" s="1"/>
      <c r="CT2090" s="1"/>
      <c r="CU2090" s="1"/>
      <c r="CV2090" s="1"/>
      <c r="CW2090" s="1"/>
      <c r="CX2090" s="1"/>
      <c r="CY2090" s="1"/>
      <c r="CZ2090" s="1"/>
      <c r="DA2090" s="1"/>
      <c r="DB2090" s="1"/>
      <c r="DC2090" s="1"/>
    </row>
    <row r="2091" spans="1:107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  <c r="AD2091" s="1"/>
      <c r="AE2091" s="1"/>
      <c r="AF2091" s="1"/>
      <c r="AG2091" s="1"/>
      <c r="AH2091" s="1"/>
      <c r="AI2091" s="1"/>
      <c r="AJ2091" s="1"/>
      <c r="AK2091" s="1"/>
      <c r="AL2091" s="1"/>
      <c r="AM2091" s="1"/>
      <c r="AN2091" s="1"/>
      <c r="AO2091" s="1"/>
      <c r="AP2091" s="1"/>
      <c r="AQ2091" s="1"/>
      <c r="AR2091" s="1"/>
      <c r="AS2091" s="1"/>
      <c r="AT2091" s="1"/>
      <c r="AU2091" s="1"/>
      <c r="AV2091" s="1"/>
      <c r="AW2091" s="1"/>
      <c r="AX2091" s="1"/>
      <c r="AY2091" s="1"/>
      <c r="AZ2091" s="1"/>
      <c r="BA2091" s="1"/>
      <c r="BB2091" s="1"/>
      <c r="BC2091" s="1"/>
      <c r="BD2091" s="1"/>
      <c r="BE2091" s="1"/>
      <c r="BF2091" s="1"/>
      <c r="BG2091" s="1"/>
      <c r="BH2091" s="1"/>
      <c r="BI2091" s="1"/>
      <c r="BJ2091" s="1"/>
      <c r="BK2091" s="1"/>
      <c r="BL2091" s="1"/>
      <c r="BM2091" s="1"/>
      <c r="BN2091" s="1"/>
      <c r="BO2091" s="1"/>
      <c r="BP2091" s="1"/>
      <c r="BQ2091" s="1"/>
      <c r="BR2091" s="1"/>
      <c r="BS2091" s="1"/>
      <c r="BT2091" s="1"/>
      <c r="BU2091" s="1"/>
      <c r="BV2091" s="1"/>
      <c r="BW2091" s="1"/>
      <c r="BX2091" s="1"/>
      <c r="BY2091" s="1"/>
      <c r="BZ2091" s="1"/>
      <c r="CA2091" s="1"/>
      <c r="CB2091" s="1"/>
      <c r="CC2091" s="1"/>
      <c r="CD2091" s="1"/>
      <c r="CE2091" s="1"/>
      <c r="CF2091" s="1"/>
      <c r="CG2091" s="1"/>
      <c r="CH2091" s="1"/>
      <c r="CI2091" s="1"/>
      <c r="CJ2091" s="1"/>
      <c r="CK2091" s="1"/>
      <c r="CL2091" s="1"/>
      <c r="CM2091" s="1"/>
      <c r="CN2091" s="1"/>
      <c r="CO2091" s="1"/>
      <c r="CP2091" s="1"/>
      <c r="CQ2091" s="1"/>
      <c r="CR2091" s="1"/>
      <c r="CS2091" s="1"/>
      <c r="CT2091" s="1"/>
      <c r="CU2091" s="1"/>
      <c r="CV2091" s="1"/>
      <c r="CW2091" s="1"/>
      <c r="CX2091" s="1"/>
      <c r="CY2091" s="1"/>
      <c r="CZ2091" s="1"/>
      <c r="DA2091" s="1"/>
      <c r="DB2091" s="1"/>
      <c r="DC2091" s="1"/>
    </row>
    <row r="2092" spans="1:107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1"/>
      <c r="AD2092" s="1"/>
      <c r="AE2092" s="1"/>
      <c r="AF2092" s="1"/>
      <c r="AG2092" s="1"/>
      <c r="AH2092" s="1"/>
      <c r="AI2092" s="1"/>
      <c r="AJ2092" s="1"/>
      <c r="AK2092" s="1"/>
      <c r="AL2092" s="1"/>
      <c r="AM2092" s="1"/>
      <c r="AN2092" s="1"/>
      <c r="AO2092" s="1"/>
      <c r="AP2092" s="1"/>
      <c r="AQ2092" s="1"/>
      <c r="AR2092" s="1"/>
      <c r="AS2092" s="1"/>
      <c r="AT2092" s="1"/>
      <c r="AU2092" s="1"/>
      <c r="AV2092" s="1"/>
      <c r="AW2092" s="1"/>
      <c r="AX2092" s="1"/>
      <c r="AY2092" s="1"/>
      <c r="AZ2092" s="1"/>
      <c r="BA2092" s="1"/>
      <c r="BB2092" s="1"/>
      <c r="BC2092" s="1"/>
      <c r="BD2092" s="1"/>
      <c r="BE2092" s="1"/>
      <c r="BF2092" s="1"/>
      <c r="BG2092" s="1"/>
      <c r="BH2092" s="1"/>
      <c r="BI2092" s="1"/>
      <c r="BJ2092" s="1"/>
      <c r="BK2092" s="1"/>
      <c r="BL2092" s="1"/>
      <c r="BM2092" s="1"/>
      <c r="BN2092" s="1"/>
      <c r="BO2092" s="1"/>
      <c r="BP2092" s="1"/>
      <c r="BQ2092" s="1"/>
      <c r="BR2092" s="1"/>
      <c r="BS2092" s="1"/>
      <c r="BT2092" s="1"/>
      <c r="BU2092" s="1"/>
      <c r="BV2092" s="1"/>
      <c r="BW2092" s="1"/>
      <c r="BX2092" s="1"/>
      <c r="BY2092" s="1"/>
      <c r="BZ2092" s="1"/>
      <c r="CA2092" s="1"/>
      <c r="CB2092" s="1"/>
      <c r="CC2092" s="1"/>
      <c r="CD2092" s="1"/>
      <c r="CE2092" s="1"/>
      <c r="CF2092" s="1"/>
      <c r="CG2092" s="1"/>
      <c r="CH2092" s="1"/>
      <c r="CI2092" s="1"/>
      <c r="CJ2092" s="1"/>
      <c r="CK2092" s="1"/>
      <c r="CL2092" s="1"/>
      <c r="CM2092" s="1"/>
      <c r="CN2092" s="1"/>
      <c r="CO2092" s="1"/>
      <c r="CP2092" s="1"/>
      <c r="CQ2092" s="1"/>
      <c r="CR2092" s="1"/>
      <c r="CS2092" s="1"/>
      <c r="CT2092" s="1"/>
      <c r="CU2092" s="1"/>
      <c r="CV2092" s="1"/>
      <c r="CW2092" s="1"/>
      <c r="CX2092" s="1"/>
      <c r="CY2092" s="1"/>
      <c r="CZ2092" s="1"/>
      <c r="DA2092" s="1"/>
      <c r="DB2092" s="1"/>
      <c r="DC2092" s="1"/>
    </row>
    <row r="2093" spans="1:107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  <c r="AC2093" s="1"/>
      <c r="AD2093" s="1"/>
      <c r="AE2093" s="1"/>
      <c r="AF2093" s="1"/>
      <c r="AG2093" s="1"/>
      <c r="AH2093" s="1"/>
      <c r="AI2093" s="1"/>
      <c r="AJ2093" s="1"/>
      <c r="AK2093" s="1"/>
      <c r="AL2093" s="1"/>
      <c r="AM2093" s="1"/>
      <c r="AN2093" s="1"/>
      <c r="AO2093" s="1"/>
      <c r="AP2093" s="1"/>
      <c r="AQ2093" s="1"/>
      <c r="AR2093" s="1"/>
      <c r="AS2093" s="1"/>
      <c r="AT2093" s="1"/>
      <c r="AU2093" s="1"/>
      <c r="AV2093" s="1"/>
      <c r="AW2093" s="1"/>
      <c r="AX2093" s="1"/>
      <c r="AY2093" s="1"/>
      <c r="AZ2093" s="1"/>
      <c r="BA2093" s="1"/>
      <c r="BB2093" s="1"/>
      <c r="BC2093" s="1"/>
      <c r="BD2093" s="1"/>
      <c r="BE2093" s="1"/>
      <c r="BF2093" s="1"/>
      <c r="BG2093" s="1"/>
      <c r="BH2093" s="1"/>
      <c r="BI2093" s="1"/>
      <c r="BJ2093" s="1"/>
      <c r="BK2093" s="1"/>
      <c r="BL2093" s="1"/>
      <c r="BM2093" s="1"/>
      <c r="BN2093" s="1"/>
      <c r="BO2093" s="1"/>
      <c r="BP2093" s="1"/>
      <c r="BQ2093" s="1"/>
      <c r="BR2093" s="1"/>
      <c r="BS2093" s="1"/>
      <c r="BT2093" s="1"/>
      <c r="BU2093" s="1"/>
      <c r="BV2093" s="1"/>
      <c r="BW2093" s="1"/>
      <c r="BX2093" s="1"/>
      <c r="BY2093" s="1"/>
      <c r="BZ2093" s="1"/>
      <c r="CA2093" s="1"/>
      <c r="CB2093" s="1"/>
      <c r="CC2093" s="1"/>
      <c r="CD2093" s="1"/>
      <c r="CE2093" s="1"/>
      <c r="CF2093" s="1"/>
      <c r="CG2093" s="1"/>
      <c r="CH2093" s="1"/>
      <c r="CI2093" s="1"/>
      <c r="CJ2093" s="1"/>
      <c r="CK2093" s="1"/>
      <c r="CL2093" s="1"/>
      <c r="CM2093" s="1"/>
      <c r="CN2093" s="1"/>
      <c r="CO2093" s="1"/>
      <c r="CP2093" s="1"/>
      <c r="CQ2093" s="1"/>
      <c r="CR2093" s="1"/>
      <c r="CS2093" s="1"/>
      <c r="CT2093" s="1"/>
      <c r="CU2093" s="1"/>
      <c r="CV2093" s="1"/>
      <c r="CW2093" s="1"/>
      <c r="CX2093" s="1"/>
      <c r="CY2093" s="1"/>
      <c r="CZ2093" s="1"/>
      <c r="DA2093" s="1"/>
      <c r="DB2093" s="1"/>
      <c r="DC2093" s="1"/>
    </row>
    <row r="2094" spans="1:107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  <c r="AC2094" s="1"/>
      <c r="AD2094" s="1"/>
      <c r="AE2094" s="1"/>
      <c r="AF2094" s="1"/>
      <c r="AG2094" s="1"/>
      <c r="AH2094" s="1"/>
      <c r="AI2094" s="1"/>
      <c r="AJ2094" s="1"/>
      <c r="AK2094" s="1"/>
      <c r="AL2094" s="1"/>
      <c r="AM2094" s="1"/>
      <c r="AN2094" s="1"/>
      <c r="AO2094" s="1"/>
      <c r="AP2094" s="1"/>
      <c r="AQ2094" s="1"/>
      <c r="AR2094" s="1"/>
      <c r="AS2094" s="1"/>
      <c r="AT2094" s="1"/>
      <c r="AU2094" s="1"/>
      <c r="AV2094" s="1"/>
      <c r="AW2094" s="1"/>
      <c r="AX2094" s="1"/>
      <c r="AY2094" s="1"/>
      <c r="AZ2094" s="1"/>
      <c r="BA2094" s="1"/>
      <c r="BB2094" s="1"/>
      <c r="BC2094" s="1"/>
      <c r="BD2094" s="1"/>
      <c r="BE2094" s="1"/>
      <c r="BF2094" s="1"/>
      <c r="BG2094" s="1"/>
      <c r="BH2094" s="1"/>
      <c r="BI2094" s="1"/>
      <c r="BJ2094" s="1"/>
      <c r="BK2094" s="1"/>
      <c r="BL2094" s="1"/>
      <c r="BM2094" s="1"/>
      <c r="BN2094" s="1"/>
      <c r="BO2094" s="1"/>
      <c r="BP2094" s="1"/>
      <c r="BQ2094" s="1"/>
      <c r="BR2094" s="1"/>
      <c r="BS2094" s="1"/>
      <c r="BT2094" s="1"/>
      <c r="BU2094" s="1"/>
      <c r="BV2094" s="1"/>
      <c r="BW2094" s="1"/>
      <c r="BX2094" s="1"/>
      <c r="BY2094" s="1"/>
      <c r="BZ2094" s="1"/>
      <c r="CA2094" s="1"/>
      <c r="CB2094" s="1"/>
      <c r="CC2094" s="1"/>
      <c r="CD2094" s="1"/>
      <c r="CE2094" s="1"/>
      <c r="CF2094" s="1"/>
      <c r="CG2094" s="1"/>
      <c r="CH2094" s="1"/>
      <c r="CI2094" s="1"/>
      <c r="CJ2094" s="1"/>
      <c r="CK2094" s="1"/>
      <c r="CL2094" s="1"/>
      <c r="CM2094" s="1"/>
      <c r="CN2094" s="1"/>
      <c r="CO2094" s="1"/>
      <c r="CP2094" s="1"/>
      <c r="CQ2094" s="1"/>
      <c r="CR2094" s="1"/>
      <c r="CS2094" s="1"/>
      <c r="CT2094" s="1"/>
      <c r="CU2094" s="1"/>
      <c r="CV2094" s="1"/>
      <c r="CW2094" s="1"/>
      <c r="CX2094" s="1"/>
      <c r="CY2094" s="1"/>
      <c r="CZ2094" s="1"/>
      <c r="DA2094" s="1"/>
      <c r="DB2094" s="1"/>
      <c r="DC2094" s="1"/>
    </row>
    <row r="2095" spans="1:107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  <c r="AC2095" s="1"/>
      <c r="AD2095" s="1"/>
      <c r="AE2095" s="1"/>
      <c r="AF2095" s="1"/>
      <c r="AG2095" s="1"/>
      <c r="AH2095" s="1"/>
      <c r="AI2095" s="1"/>
      <c r="AJ2095" s="1"/>
      <c r="AK2095" s="1"/>
      <c r="AL2095" s="1"/>
      <c r="AM2095" s="1"/>
      <c r="AN2095" s="1"/>
      <c r="AO2095" s="1"/>
      <c r="AP2095" s="1"/>
      <c r="AQ2095" s="1"/>
      <c r="AR2095" s="1"/>
      <c r="AS2095" s="1"/>
      <c r="AT2095" s="1"/>
      <c r="AU2095" s="1"/>
      <c r="AV2095" s="1"/>
      <c r="AW2095" s="1"/>
      <c r="AX2095" s="1"/>
      <c r="AY2095" s="1"/>
      <c r="AZ2095" s="1"/>
      <c r="BA2095" s="1"/>
      <c r="BB2095" s="1"/>
      <c r="BC2095" s="1"/>
      <c r="BD2095" s="1"/>
      <c r="BE2095" s="1"/>
      <c r="BF2095" s="1"/>
      <c r="BG2095" s="1"/>
      <c r="BH2095" s="1"/>
      <c r="BI2095" s="1"/>
      <c r="BJ2095" s="1"/>
      <c r="BK2095" s="1"/>
      <c r="BL2095" s="1"/>
      <c r="BM2095" s="1"/>
      <c r="BN2095" s="1"/>
      <c r="BO2095" s="1"/>
      <c r="BP2095" s="1"/>
      <c r="BQ2095" s="1"/>
      <c r="BR2095" s="1"/>
      <c r="BS2095" s="1"/>
      <c r="BT2095" s="1"/>
      <c r="BU2095" s="1"/>
      <c r="BV2095" s="1"/>
      <c r="BW2095" s="1"/>
      <c r="BX2095" s="1"/>
      <c r="BY2095" s="1"/>
      <c r="BZ2095" s="1"/>
      <c r="CA2095" s="1"/>
      <c r="CB2095" s="1"/>
      <c r="CC2095" s="1"/>
      <c r="CD2095" s="1"/>
      <c r="CE2095" s="1"/>
      <c r="CF2095" s="1"/>
      <c r="CG2095" s="1"/>
      <c r="CH2095" s="1"/>
      <c r="CI2095" s="1"/>
      <c r="CJ2095" s="1"/>
      <c r="CK2095" s="1"/>
      <c r="CL2095" s="1"/>
      <c r="CM2095" s="1"/>
      <c r="CN2095" s="1"/>
      <c r="CO2095" s="1"/>
      <c r="CP2095" s="1"/>
      <c r="CQ2095" s="1"/>
      <c r="CR2095" s="1"/>
      <c r="CS2095" s="1"/>
      <c r="CT2095" s="1"/>
      <c r="CU2095" s="1"/>
      <c r="CV2095" s="1"/>
      <c r="CW2095" s="1"/>
      <c r="CX2095" s="1"/>
      <c r="CY2095" s="1"/>
      <c r="CZ2095" s="1"/>
      <c r="DA2095" s="1"/>
      <c r="DB2095" s="1"/>
      <c r="DC2095" s="1"/>
    </row>
    <row r="2096" spans="1:107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  <c r="AC2096" s="1"/>
      <c r="AD2096" s="1"/>
      <c r="AE2096" s="1"/>
      <c r="AF2096" s="1"/>
      <c r="AG2096" s="1"/>
      <c r="AH2096" s="1"/>
      <c r="AI2096" s="1"/>
      <c r="AJ2096" s="1"/>
      <c r="AK2096" s="1"/>
      <c r="AL2096" s="1"/>
      <c r="AM2096" s="1"/>
      <c r="AN2096" s="1"/>
      <c r="AO2096" s="1"/>
      <c r="AP2096" s="1"/>
      <c r="AQ2096" s="1"/>
      <c r="AR2096" s="1"/>
      <c r="AS2096" s="1"/>
      <c r="AT2096" s="1"/>
      <c r="AU2096" s="1"/>
      <c r="AV2096" s="1"/>
      <c r="AW2096" s="1"/>
      <c r="AX2096" s="1"/>
      <c r="AY2096" s="1"/>
      <c r="AZ2096" s="1"/>
      <c r="BA2096" s="1"/>
      <c r="BB2096" s="1"/>
      <c r="BC2096" s="1"/>
      <c r="BD2096" s="1"/>
      <c r="BE2096" s="1"/>
      <c r="BF2096" s="1"/>
      <c r="BG2096" s="1"/>
      <c r="BH2096" s="1"/>
      <c r="BI2096" s="1"/>
      <c r="BJ2096" s="1"/>
      <c r="BK2096" s="1"/>
      <c r="BL2096" s="1"/>
      <c r="BM2096" s="1"/>
      <c r="BN2096" s="1"/>
      <c r="BO2096" s="1"/>
      <c r="BP2096" s="1"/>
      <c r="BQ2096" s="1"/>
      <c r="BR2096" s="1"/>
      <c r="BS2096" s="1"/>
      <c r="BT2096" s="1"/>
      <c r="BU2096" s="1"/>
      <c r="BV2096" s="1"/>
      <c r="BW2096" s="1"/>
      <c r="BX2096" s="1"/>
      <c r="BY2096" s="1"/>
      <c r="BZ2096" s="1"/>
      <c r="CA2096" s="1"/>
      <c r="CB2096" s="1"/>
      <c r="CC2096" s="1"/>
      <c r="CD2096" s="1"/>
      <c r="CE2096" s="1"/>
      <c r="CF2096" s="1"/>
      <c r="CG2096" s="1"/>
      <c r="CH2096" s="1"/>
      <c r="CI2096" s="1"/>
      <c r="CJ2096" s="1"/>
      <c r="CK2096" s="1"/>
      <c r="CL2096" s="1"/>
      <c r="CM2096" s="1"/>
      <c r="CN2096" s="1"/>
      <c r="CO2096" s="1"/>
      <c r="CP2096" s="1"/>
      <c r="CQ2096" s="1"/>
      <c r="CR2096" s="1"/>
      <c r="CS2096" s="1"/>
      <c r="CT2096" s="1"/>
      <c r="CU2096" s="1"/>
      <c r="CV2096" s="1"/>
      <c r="CW2096" s="1"/>
      <c r="CX2096" s="1"/>
      <c r="CY2096" s="1"/>
      <c r="CZ2096" s="1"/>
      <c r="DA2096" s="1"/>
      <c r="DB2096" s="1"/>
      <c r="DC2096" s="1"/>
    </row>
    <row r="2097" spans="1:107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1"/>
      <c r="AD2097" s="1"/>
      <c r="AE2097" s="1"/>
      <c r="AF2097" s="1"/>
      <c r="AG2097" s="1"/>
      <c r="AH2097" s="1"/>
      <c r="AI2097" s="1"/>
      <c r="AJ2097" s="1"/>
      <c r="AK2097" s="1"/>
      <c r="AL2097" s="1"/>
      <c r="AM2097" s="1"/>
      <c r="AN2097" s="1"/>
      <c r="AO2097" s="1"/>
      <c r="AP2097" s="1"/>
      <c r="AQ2097" s="1"/>
      <c r="AR2097" s="1"/>
      <c r="AS2097" s="1"/>
      <c r="AT2097" s="1"/>
      <c r="AU2097" s="1"/>
      <c r="AV2097" s="1"/>
      <c r="AW2097" s="1"/>
      <c r="AX2097" s="1"/>
      <c r="AY2097" s="1"/>
      <c r="AZ2097" s="1"/>
      <c r="BA2097" s="1"/>
      <c r="BB2097" s="1"/>
      <c r="BC2097" s="1"/>
      <c r="BD2097" s="1"/>
      <c r="BE2097" s="1"/>
      <c r="BF2097" s="1"/>
      <c r="BG2097" s="1"/>
      <c r="BH2097" s="1"/>
      <c r="BI2097" s="1"/>
      <c r="BJ2097" s="1"/>
      <c r="BK2097" s="1"/>
      <c r="BL2097" s="1"/>
      <c r="BM2097" s="1"/>
      <c r="BN2097" s="1"/>
      <c r="BO2097" s="1"/>
      <c r="BP2097" s="1"/>
      <c r="BQ2097" s="1"/>
      <c r="BR2097" s="1"/>
      <c r="BS2097" s="1"/>
      <c r="BT2097" s="1"/>
      <c r="BU2097" s="1"/>
      <c r="BV2097" s="1"/>
      <c r="BW2097" s="1"/>
      <c r="BX2097" s="1"/>
      <c r="BY2097" s="1"/>
      <c r="BZ2097" s="1"/>
      <c r="CA2097" s="1"/>
      <c r="CB2097" s="1"/>
      <c r="CC2097" s="1"/>
      <c r="CD2097" s="1"/>
      <c r="CE2097" s="1"/>
      <c r="CF2097" s="1"/>
      <c r="CG2097" s="1"/>
      <c r="CH2097" s="1"/>
      <c r="CI2097" s="1"/>
      <c r="CJ2097" s="1"/>
      <c r="CK2097" s="1"/>
      <c r="CL2097" s="1"/>
      <c r="CM2097" s="1"/>
      <c r="CN2097" s="1"/>
      <c r="CO2097" s="1"/>
      <c r="CP2097" s="1"/>
      <c r="CQ2097" s="1"/>
      <c r="CR2097" s="1"/>
      <c r="CS2097" s="1"/>
      <c r="CT2097" s="1"/>
      <c r="CU2097" s="1"/>
      <c r="CV2097" s="1"/>
      <c r="CW2097" s="1"/>
      <c r="CX2097" s="1"/>
      <c r="CY2097" s="1"/>
      <c r="CZ2097" s="1"/>
      <c r="DA2097" s="1"/>
      <c r="DB2097" s="1"/>
      <c r="DC2097" s="1"/>
    </row>
    <row r="2098" spans="1:107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1"/>
      <c r="AE2098" s="1"/>
      <c r="AF2098" s="1"/>
      <c r="AG2098" s="1"/>
      <c r="AH2098" s="1"/>
      <c r="AI2098" s="1"/>
      <c r="AJ2098" s="1"/>
      <c r="AK2098" s="1"/>
      <c r="AL2098" s="1"/>
      <c r="AM2098" s="1"/>
      <c r="AN2098" s="1"/>
      <c r="AO2098" s="1"/>
      <c r="AP2098" s="1"/>
      <c r="AQ2098" s="1"/>
      <c r="AR2098" s="1"/>
      <c r="AS2098" s="1"/>
      <c r="AT2098" s="1"/>
      <c r="AU2098" s="1"/>
      <c r="AV2098" s="1"/>
      <c r="AW2098" s="1"/>
      <c r="AX2098" s="1"/>
      <c r="AY2098" s="1"/>
      <c r="AZ2098" s="1"/>
      <c r="BA2098" s="1"/>
      <c r="BB2098" s="1"/>
      <c r="BC2098" s="1"/>
      <c r="BD2098" s="1"/>
      <c r="BE2098" s="1"/>
      <c r="BF2098" s="1"/>
      <c r="BG2098" s="1"/>
      <c r="BH2098" s="1"/>
      <c r="BI2098" s="1"/>
      <c r="BJ2098" s="1"/>
      <c r="BK2098" s="1"/>
      <c r="BL2098" s="1"/>
      <c r="BM2098" s="1"/>
      <c r="BN2098" s="1"/>
      <c r="BO2098" s="1"/>
      <c r="BP2098" s="1"/>
      <c r="BQ2098" s="1"/>
      <c r="BR2098" s="1"/>
      <c r="BS2098" s="1"/>
      <c r="BT2098" s="1"/>
      <c r="BU2098" s="1"/>
      <c r="BV2098" s="1"/>
      <c r="BW2098" s="1"/>
      <c r="BX2098" s="1"/>
      <c r="BY2098" s="1"/>
      <c r="BZ2098" s="1"/>
      <c r="CA2098" s="1"/>
      <c r="CB2098" s="1"/>
      <c r="CC2098" s="1"/>
      <c r="CD2098" s="1"/>
      <c r="CE2098" s="1"/>
      <c r="CF2098" s="1"/>
      <c r="CG2098" s="1"/>
      <c r="CH2098" s="1"/>
      <c r="CI2098" s="1"/>
      <c r="CJ2098" s="1"/>
      <c r="CK2098" s="1"/>
      <c r="CL2098" s="1"/>
      <c r="CM2098" s="1"/>
      <c r="CN2098" s="1"/>
      <c r="CO2098" s="1"/>
      <c r="CP2098" s="1"/>
      <c r="CQ2098" s="1"/>
      <c r="CR2098" s="1"/>
      <c r="CS2098" s="1"/>
      <c r="CT2098" s="1"/>
      <c r="CU2098" s="1"/>
      <c r="CV2098" s="1"/>
      <c r="CW2098" s="1"/>
      <c r="CX2098" s="1"/>
      <c r="CY2098" s="1"/>
      <c r="CZ2098" s="1"/>
      <c r="DA2098" s="1"/>
      <c r="DB2098" s="1"/>
      <c r="DC2098" s="1"/>
    </row>
    <row r="2099" spans="1:107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  <c r="AC2099" s="1"/>
      <c r="AD2099" s="1"/>
      <c r="AE2099" s="1"/>
      <c r="AF2099" s="1"/>
      <c r="AG2099" s="1"/>
      <c r="AH2099" s="1"/>
      <c r="AI2099" s="1"/>
      <c r="AJ2099" s="1"/>
      <c r="AK2099" s="1"/>
      <c r="AL2099" s="1"/>
      <c r="AM2099" s="1"/>
      <c r="AN2099" s="1"/>
      <c r="AO2099" s="1"/>
      <c r="AP2099" s="1"/>
      <c r="AQ2099" s="1"/>
      <c r="AR2099" s="1"/>
      <c r="AS2099" s="1"/>
      <c r="AT2099" s="1"/>
      <c r="AU2099" s="1"/>
      <c r="AV2099" s="1"/>
      <c r="AW2099" s="1"/>
      <c r="AX2099" s="1"/>
      <c r="AY2099" s="1"/>
      <c r="AZ2099" s="1"/>
      <c r="BA2099" s="1"/>
      <c r="BB2099" s="1"/>
      <c r="BC2099" s="1"/>
      <c r="BD2099" s="1"/>
      <c r="BE2099" s="1"/>
      <c r="BF2099" s="1"/>
      <c r="BG2099" s="1"/>
      <c r="BH2099" s="1"/>
      <c r="BI2099" s="1"/>
      <c r="BJ2099" s="1"/>
      <c r="BK2099" s="1"/>
      <c r="BL2099" s="1"/>
      <c r="BM2099" s="1"/>
      <c r="BN2099" s="1"/>
      <c r="BO2099" s="1"/>
      <c r="BP2099" s="1"/>
      <c r="BQ2099" s="1"/>
      <c r="BR2099" s="1"/>
      <c r="BS2099" s="1"/>
      <c r="BT2099" s="1"/>
      <c r="BU2099" s="1"/>
      <c r="BV2099" s="1"/>
      <c r="BW2099" s="1"/>
      <c r="BX2099" s="1"/>
      <c r="BY2099" s="1"/>
      <c r="BZ2099" s="1"/>
      <c r="CA2099" s="1"/>
      <c r="CB2099" s="1"/>
      <c r="CC2099" s="1"/>
      <c r="CD2099" s="1"/>
      <c r="CE2099" s="1"/>
      <c r="CF2099" s="1"/>
      <c r="CG2099" s="1"/>
      <c r="CH2099" s="1"/>
      <c r="CI2099" s="1"/>
      <c r="CJ2099" s="1"/>
      <c r="CK2099" s="1"/>
      <c r="CL2099" s="1"/>
      <c r="CM2099" s="1"/>
      <c r="CN2099" s="1"/>
      <c r="CO2099" s="1"/>
      <c r="CP2099" s="1"/>
      <c r="CQ2099" s="1"/>
      <c r="CR2099" s="1"/>
      <c r="CS2099" s="1"/>
      <c r="CT2099" s="1"/>
      <c r="CU2099" s="1"/>
      <c r="CV2099" s="1"/>
      <c r="CW2099" s="1"/>
      <c r="CX2099" s="1"/>
      <c r="CY2099" s="1"/>
      <c r="CZ2099" s="1"/>
      <c r="DA2099" s="1"/>
      <c r="DB2099" s="1"/>
      <c r="DC2099" s="1"/>
    </row>
    <row r="2100" spans="1:107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1"/>
      <c r="AD2100" s="1"/>
      <c r="AE2100" s="1"/>
      <c r="AF2100" s="1"/>
      <c r="AG2100" s="1"/>
      <c r="AH2100" s="1"/>
      <c r="AI2100" s="1"/>
      <c r="AJ2100" s="1"/>
      <c r="AK2100" s="1"/>
      <c r="AL2100" s="1"/>
      <c r="AM2100" s="1"/>
      <c r="AN2100" s="1"/>
      <c r="AO2100" s="1"/>
      <c r="AP2100" s="1"/>
      <c r="AQ2100" s="1"/>
      <c r="AR2100" s="1"/>
      <c r="AS2100" s="1"/>
      <c r="AT2100" s="1"/>
      <c r="AU2100" s="1"/>
      <c r="AV2100" s="1"/>
      <c r="AW2100" s="1"/>
      <c r="AX2100" s="1"/>
      <c r="AY2100" s="1"/>
      <c r="AZ2100" s="1"/>
      <c r="BA2100" s="1"/>
      <c r="BB2100" s="1"/>
      <c r="BC2100" s="1"/>
      <c r="BD2100" s="1"/>
      <c r="BE2100" s="1"/>
      <c r="BF2100" s="1"/>
      <c r="BG2100" s="1"/>
      <c r="BH2100" s="1"/>
      <c r="BI2100" s="1"/>
      <c r="BJ2100" s="1"/>
      <c r="BK2100" s="1"/>
      <c r="BL2100" s="1"/>
      <c r="BM2100" s="1"/>
      <c r="BN2100" s="1"/>
      <c r="BO2100" s="1"/>
      <c r="BP2100" s="1"/>
      <c r="BQ2100" s="1"/>
      <c r="BR2100" s="1"/>
      <c r="BS2100" s="1"/>
      <c r="BT2100" s="1"/>
      <c r="BU2100" s="1"/>
      <c r="BV2100" s="1"/>
      <c r="BW2100" s="1"/>
      <c r="BX2100" s="1"/>
      <c r="BY2100" s="1"/>
      <c r="BZ2100" s="1"/>
      <c r="CA2100" s="1"/>
      <c r="CB2100" s="1"/>
      <c r="CC2100" s="1"/>
      <c r="CD2100" s="1"/>
      <c r="CE2100" s="1"/>
      <c r="CF2100" s="1"/>
      <c r="CG2100" s="1"/>
      <c r="CH2100" s="1"/>
      <c r="CI2100" s="1"/>
      <c r="CJ2100" s="1"/>
      <c r="CK2100" s="1"/>
      <c r="CL2100" s="1"/>
      <c r="CM2100" s="1"/>
      <c r="CN2100" s="1"/>
      <c r="CO2100" s="1"/>
      <c r="CP2100" s="1"/>
      <c r="CQ2100" s="1"/>
      <c r="CR2100" s="1"/>
      <c r="CS2100" s="1"/>
      <c r="CT2100" s="1"/>
      <c r="CU2100" s="1"/>
      <c r="CV2100" s="1"/>
      <c r="CW2100" s="1"/>
      <c r="CX2100" s="1"/>
      <c r="CY2100" s="1"/>
      <c r="CZ2100" s="1"/>
      <c r="DA2100" s="1"/>
      <c r="DB2100" s="1"/>
      <c r="DC2100" s="1"/>
    </row>
    <row r="2101" spans="1:107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1"/>
      <c r="AD2101" s="1"/>
      <c r="AE2101" s="1"/>
      <c r="AF2101" s="1"/>
      <c r="AG2101" s="1"/>
      <c r="AH2101" s="1"/>
      <c r="AI2101" s="1"/>
      <c r="AJ2101" s="1"/>
      <c r="AK2101" s="1"/>
      <c r="AL2101" s="1"/>
      <c r="AM2101" s="1"/>
      <c r="AN2101" s="1"/>
      <c r="AO2101" s="1"/>
      <c r="AP2101" s="1"/>
      <c r="AQ2101" s="1"/>
      <c r="AR2101" s="1"/>
      <c r="AS2101" s="1"/>
      <c r="AT2101" s="1"/>
      <c r="AU2101" s="1"/>
      <c r="AV2101" s="1"/>
      <c r="AW2101" s="1"/>
      <c r="AX2101" s="1"/>
      <c r="AY2101" s="1"/>
      <c r="AZ2101" s="1"/>
      <c r="BA2101" s="1"/>
      <c r="BB2101" s="1"/>
      <c r="BC2101" s="1"/>
      <c r="BD2101" s="1"/>
      <c r="BE2101" s="1"/>
      <c r="BF2101" s="1"/>
      <c r="BG2101" s="1"/>
      <c r="BH2101" s="1"/>
      <c r="BI2101" s="1"/>
      <c r="BJ2101" s="1"/>
      <c r="BK2101" s="1"/>
      <c r="BL2101" s="1"/>
      <c r="BM2101" s="1"/>
      <c r="BN2101" s="1"/>
      <c r="BO2101" s="1"/>
      <c r="BP2101" s="1"/>
      <c r="BQ2101" s="1"/>
      <c r="BR2101" s="1"/>
      <c r="BS2101" s="1"/>
      <c r="BT2101" s="1"/>
      <c r="BU2101" s="1"/>
      <c r="BV2101" s="1"/>
      <c r="BW2101" s="1"/>
      <c r="BX2101" s="1"/>
      <c r="BY2101" s="1"/>
      <c r="BZ2101" s="1"/>
      <c r="CA2101" s="1"/>
      <c r="CB2101" s="1"/>
      <c r="CC2101" s="1"/>
      <c r="CD2101" s="1"/>
      <c r="CE2101" s="1"/>
      <c r="CF2101" s="1"/>
      <c r="CG2101" s="1"/>
      <c r="CH2101" s="1"/>
      <c r="CI2101" s="1"/>
      <c r="CJ2101" s="1"/>
      <c r="CK2101" s="1"/>
      <c r="CL2101" s="1"/>
      <c r="CM2101" s="1"/>
      <c r="CN2101" s="1"/>
      <c r="CO2101" s="1"/>
      <c r="CP2101" s="1"/>
      <c r="CQ2101" s="1"/>
      <c r="CR2101" s="1"/>
      <c r="CS2101" s="1"/>
      <c r="CT2101" s="1"/>
      <c r="CU2101" s="1"/>
      <c r="CV2101" s="1"/>
      <c r="CW2101" s="1"/>
      <c r="CX2101" s="1"/>
      <c r="CY2101" s="1"/>
      <c r="CZ2101" s="1"/>
      <c r="DA2101" s="1"/>
      <c r="DB2101" s="1"/>
      <c r="DC2101" s="1"/>
    </row>
    <row r="2102" spans="1:107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  <c r="AC2102" s="1"/>
      <c r="AD2102" s="1"/>
      <c r="AE2102" s="1"/>
      <c r="AF2102" s="1"/>
      <c r="AG2102" s="1"/>
      <c r="AH2102" s="1"/>
      <c r="AI2102" s="1"/>
      <c r="AJ2102" s="1"/>
      <c r="AK2102" s="1"/>
      <c r="AL2102" s="1"/>
      <c r="AM2102" s="1"/>
      <c r="AN2102" s="1"/>
      <c r="AO2102" s="1"/>
      <c r="AP2102" s="1"/>
      <c r="AQ2102" s="1"/>
      <c r="AR2102" s="1"/>
      <c r="AS2102" s="1"/>
      <c r="AT2102" s="1"/>
      <c r="AU2102" s="1"/>
      <c r="AV2102" s="1"/>
      <c r="AW2102" s="1"/>
      <c r="AX2102" s="1"/>
      <c r="AY2102" s="1"/>
      <c r="AZ2102" s="1"/>
      <c r="BA2102" s="1"/>
      <c r="BB2102" s="1"/>
      <c r="BC2102" s="1"/>
      <c r="BD2102" s="1"/>
      <c r="BE2102" s="1"/>
      <c r="BF2102" s="1"/>
      <c r="BG2102" s="1"/>
      <c r="BH2102" s="1"/>
      <c r="BI2102" s="1"/>
      <c r="BJ2102" s="1"/>
      <c r="BK2102" s="1"/>
      <c r="BL2102" s="1"/>
      <c r="BM2102" s="1"/>
      <c r="BN2102" s="1"/>
      <c r="BO2102" s="1"/>
      <c r="BP2102" s="1"/>
      <c r="BQ2102" s="1"/>
      <c r="BR2102" s="1"/>
      <c r="BS2102" s="1"/>
      <c r="BT2102" s="1"/>
      <c r="BU2102" s="1"/>
      <c r="BV2102" s="1"/>
      <c r="BW2102" s="1"/>
      <c r="BX2102" s="1"/>
      <c r="BY2102" s="1"/>
      <c r="BZ2102" s="1"/>
      <c r="CA2102" s="1"/>
      <c r="CB2102" s="1"/>
      <c r="CC2102" s="1"/>
      <c r="CD2102" s="1"/>
      <c r="CE2102" s="1"/>
      <c r="CF2102" s="1"/>
      <c r="CG2102" s="1"/>
      <c r="CH2102" s="1"/>
      <c r="CI2102" s="1"/>
      <c r="CJ2102" s="1"/>
      <c r="CK2102" s="1"/>
      <c r="CL2102" s="1"/>
      <c r="CM2102" s="1"/>
      <c r="CN2102" s="1"/>
      <c r="CO2102" s="1"/>
      <c r="CP2102" s="1"/>
      <c r="CQ2102" s="1"/>
      <c r="CR2102" s="1"/>
      <c r="CS2102" s="1"/>
      <c r="CT2102" s="1"/>
      <c r="CU2102" s="1"/>
      <c r="CV2102" s="1"/>
      <c r="CW2102" s="1"/>
      <c r="CX2102" s="1"/>
      <c r="CY2102" s="1"/>
      <c r="CZ2102" s="1"/>
      <c r="DA2102" s="1"/>
      <c r="DB2102" s="1"/>
      <c r="DC2102" s="1"/>
    </row>
    <row r="2103" spans="1:107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  <c r="AC2103" s="1"/>
      <c r="AD2103" s="1"/>
      <c r="AE2103" s="1"/>
      <c r="AF2103" s="1"/>
      <c r="AG2103" s="1"/>
      <c r="AH2103" s="1"/>
      <c r="AI2103" s="1"/>
      <c r="AJ2103" s="1"/>
      <c r="AK2103" s="1"/>
      <c r="AL2103" s="1"/>
      <c r="AM2103" s="1"/>
      <c r="AN2103" s="1"/>
      <c r="AO2103" s="1"/>
      <c r="AP2103" s="1"/>
      <c r="AQ2103" s="1"/>
      <c r="AR2103" s="1"/>
      <c r="AS2103" s="1"/>
      <c r="AT2103" s="1"/>
      <c r="AU2103" s="1"/>
      <c r="AV2103" s="1"/>
      <c r="AW2103" s="1"/>
      <c r="AX2103" s="1"/>
      <c r="AY2103" s="1"/>
      <c r="AZ2103" s="1"/>
      <c r="BA2103" s="1"/>
      <c r="BB2103" s="1"/>
      <c r="BC2103" s="1"/>
      <c r="BD2103" s="1"/>
      <c r="BE2103" s="1"/>
      <c r="BF2103" s="1"/>
      <c r="BG2103" s="1"/>
      <c r="BH2103" s="1"/>
      <c r="BI2103" s="1"/>
      <c r="BJ2103" s="1"/>
      <c r="BK2103" s="1"/>
      <c r="BL2103" s="1"/>
      <c r="BM2103" s="1"/>
      <c r="BN2103" s="1"/>
      <c r="BO2103" s="1"/>
      <c r="BP2103" s="1"/>
      <c r="BQ2103" s="1"/>
      <c r="BR2103" s="1"/>
      <c r="BS2103" s="1"/>
      <c r="BT2103" s="1"/>
      <c r="BU2103" s="1"/>
      <c r="BV2103" s="1"/>
      <c r="BW2103" s="1"/>
      <c r="BX2103" s="1"/>
      <c r="BY2103" s="1"/>
      <c r="BZ2103" s="1"/>
      <c r="CA2103" s="1"/>
      <c r="CB2103" s="1"/>
      <c r="CC2103" s="1"/>
      <c r="CD2103" s="1"/>
      <c r="CE2103" s="1"/>
      <c r="CF2103" s="1"/>
      <c r="CG2103" s="1"/>
      <c r="CH2103" s="1"/>
      <c r="CI2103" s="1"/>
      <c r="CJ2103" s="1"/>
      <c r="CK2103" s="1"/>
      <c r="CL2103" s="1"/>
      <c r="CM2103" s="1"/>
      <c r="CN2103" s="1"/>
      <c r="CO2103" s="1"/>
      <c r="CP2103" s="1"/>
      <c r="CQ2103" s="1"/>
      <c r="CR2103" s="1"/>
      <c r="CS2103" s="1"/>
      <c r="CT2103" s="1"/>
      <c r="CU2103" s="1"/>
      <c r="CV2103" s="1"/>
      <c r="CW2103" s="1"/>
      <c r="CX2103" s="1"/>
      <c r="CY2103" s="1"/>
      <c r="CZ2103" s="1"/>
      <c r="DA2103" s="1"/>
      <c r="DB2103" s="1"/>
      <c r="DC2103" s="1"/>
    </row>
    <row r="2104" spans="1:107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  <c r="AC2104" s="1"/>
      <c r="AD2104" s="1"/>
      <c r="AE2104" s="1"/>
      <c r="AF2104" s="1"/>
      <c r="AG2104" s="1"/>
      <c r="AH2104" s="1"/>
      <c r="AI2104" s="1"/>
      <c r="AJ2104" s="1"/>
      <c r="AK2104" s="1"/>
      <c r="AL2104" s="1"/>
      <c r="AM2104" s="1"/>
      <c r="AN2104" s="1"/>
      <c r="AO2104" s="1"/>
      <c r="AP2104" s="1"/>
      <c r="AQ2104" s="1"/>
      <c r="AR2104" s="1"/>
      <c r="AS2104" s="1"/>
      <c r="AT2104" s="1"/>
      <c r="AU2104" s="1"/>
      <c r="AV2104" s="1"/>
      <c r="AW2104" s="1"/>
      <c r="AX2104" s="1"/>
      <c r="AY2104" s="1"/>
      <c r="AZ2104" s="1"/>
      <c r="BA2104" s="1"/>
      <c r="BB2104" s="1"/>
      <c r="BC2104" s="1"/>
      <c r="BD2104" s="1"/>
      <c r="BE2104" s="1"/>
      <c r="BF2104" s="1"/>
      <c r="BG2104" s="1"/>
      <c r="BH2104" s="1"/>
      <c r="BI2104" s="1"/>
      <c r="BJ2104" s="1"/>
      <c r="BK2104" s="1"/>
      <c r="BL2104" s="1"/>
      <c r="BM2104" s="1"/>
      <c r="BN2104" s="1"/>
      <c r="BO2104" s="1"/>
      <c r="BP2104" s="1"/>
      <c r="BQ2104" s="1"/>
      <c r="BR2104" s="1"/>
      <c r="BS2104" s="1"/>
      <c r="BT2104" s="1"/>
      <c r="BU2104" s="1"/>
      <c r="BV2104" s="1"/>
      <c r="BW2104" s="1"/>
      <c r="BX2104" s="1"/>
      <c r="BY2104" s="1"/>
      <c r="BZ2104" s="1"/>
      <c r="CA2104" s="1"/>
      <c r="CB2104" s="1"/>
      <c r="CC2104" s="1"/>
      <c r="CD2104" s="1"/>
      <c r="CE2104" s="1"/>
      <c r="CF2104" s="1"/>
      <c r="CG2104" s="1"/>
      <c r="CH2104" s="1"/>
      <c r="CI2104" s="1"/>
      <c r="CJ2104" s="1"/>
      <c r="CK2104" s="1"/>
      <c r="CL2104" s="1"/>
      <c r="CM2104" s="1"/>
      <c r="CN2104" s="1"/>
      <c r="CO2104" s="1"/>
      <c r="CP2104" s="1"/>
      <c r="CQ2104" s="1"/>
      <c r="CR2104" s="1"/>
      <c r="CS2104" s="1"/>
      <c r="CT2104" s="1"/>
      <c r="CU2104" s="1"/>
      <c r="CV2104" s="1"/>
      <c r="CW2104" s="1"/>
      <c r="CX2104" s="1"/>
      <c r="CY2104" s="1"/>
      <c r="CZ2104" s="1"/>
      <c r="DA2104" s="1"/>
      <c r="DB2104" s="1"/>
      <c r="DC2104" s="1"/>
    </row>
    <row r="2105" spans="1:107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  <c r="AC2105" s="1"/>
      <c r="AD2105" s="1"/>
      <c r="AE2105" s="1"/>
      <c r="AF2105" s="1"/>
      <c r="AG2105" s="1"/>
      <c r="AH2105" s="1"/>
      <c r="AI2105" s="1"/>
      <c r="AJ2105" s="1"/>
      <c r="AK2105" s="1"/>
      <c r="AL2105" s="1"/>
      <c r="AM2105" s="1"/>
      <c r="AN2105" s="1"/>
      <c r="AO2105" s="1"/>
      <c r="AP2105" s="1"/>
      <c r="AQ2105" s="1"/>
      <c r="AR2105" s="1"/>
      <c r="AS2105" s="1"/>
      <c r="AT2105" s="1"/>
      <c r="AU2105" s="1"/>
      <c r="AV2105" s="1"/>
      <c r="AW2105" s="1"/>
      <c r="AX2105" s="1"/>
      <c r="AY2105" s="1"/>
      <c r="AZ2105" s="1"/>
      <c r="BA2105" s="1"/>
      <c r="BB2105" s="1"/>
      <c r="BC2105" s="1"/>
      <c r="BD2105" s="1"/>
      <c r="BE2105" s="1"/>
      <c r="BF2105" s="1"/>
      <c r="BG2105" s="1"/>
      <c r="BH2105" s="1"/>
      <c r="BI2105" s="1"/>
      <c r="BJ2105" s="1"/>
      <c r="BK2105" s="1"/>
      <c r="BL2105" s="1"/>
      <c r="BM2105" s="1"/>
      <c r="BN2105" s="1"/>
      <c r="BO2105" s="1"/>
      <c r="BP2105" s="1"/>
      <c r="BQ2105" s="1"/>
      <c r="BR2105" s="1"/>
      <c r="BS2105" s="1"/>
      <c r="BT2105" s="1"/>
      <c r="BU2105" s="1"/>
      <c r="BV2105" s="1"/>
      <c r="BW2105" s="1"/>
      <c r="BX2105" s="1"/>
      <c r="BY2105" s="1"/>
      <c r="BZ2105" s="1"/>
      <c r="CA2105" s="1"/>
      <c r="CB2105" s="1"/>
      <c r="CC2105" s="1"/>
      <c r="CD2105" s="1"/>
      <c r="CE2105" s="1"/>
      <c r="CF2105" s="1"/>
      <c r="CG2105" s="1"/>
      <c r="CH2105" s="1"/>
      <c r="CI2105" s="1"/>
      <c r="CJ2105" s="1"/>
      <c r="CK2105" s="1"/>
      <c r="CL2105" s="1"/>
      <c r="CM2105" s="1"/>
      <c r="CN2105" s="1"/>
      <c r="CO2105" s="1"/>
      <c r="CP2105" s="1"/>
      <c r="CQ2105" s="1"/>
      <c r="CR2105" s="1"/>
      <c r="CS2105" s="1"/>
      <c r="CT2105" s="1"/>
      <c r="CU2105" s="1"/>
      <c r="CV2105" s="1"/>
      <c r="CW2105" s="1"/>
      <c r="CX2105" s="1"/>
      <c r="CY2105" s="1"/>
      <c r="CZ2105" s="1"/>
      <c r="DA2105" s="1"/>
      <c r="DB2105" s="1"/>
      <c r="DC2105" s="1"/>
    </row>
    <row r="2106" spans="1:107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  <c r="AC2106" s="1"/>
      <c r="AD2106" s="1"/>
      <c r="AE2106" s="1"/>
      <c r="AF2106" s="1"/>
      <c r="AG2106" s="1"/>
      <c r="AH2106" s="1"/>
      <c r="AI2106" s="1"/>
      <c r="AJ2106" s="1"/>
      <c r="AK2106" s="1"/>
      <c r="AL2106" s="1"/>
      <c r="AM2106" s="1"/>
      <c r="AN2106" s="1"/>
      <c r="AO2106" s="1"/>
      <c r="AP2106" s="1"/>
      <c r="AQ2106" s="1"/>
      <c r="AR2106" s="1"/>
      <c r="AS2106" s="1"/>
      <c r="AT2106" s="1"/>
      <c r="AU2106" s="1"/>
      <c r="AV2106" s="1"/>
      <c r="AW2106" s="1"/>
      <c r="AX2106" s="1"/>
      <c r="AY2106" s="1"/>
      <c r="AZ2106" s="1"/>
      <c r="BA2106" s="1"/>
      <c r="BB2106" s="1"/>
      <c r="BC2106" s="1"/>
      <c r="BD2106" s="1"/>
      <c r="BE2106" s="1"/>
      <c r="BF2106" s="1"/>
      <c r="BG2106" s="1"/>
      <c r="BH2106" s="1"/>
      <c r="BI2106" s="1"/>
      <c r="BJ2106" s="1"/>
      <c r="BK2106" s="1"/>
      <c r="BL2106" s="1"/>
      <c r="BM2106" s="1"/>
      <c r="BN2106" s="1"/>
      <c r="BO2106" s="1"/>
      <c r="BP2106" s="1"/>
      <c r="BQ2106" s="1"/>
      <c r="BR2106" s="1"/>
      <c r="BS2106" s="1"/>
      <c r="BT2106" s="1"/>
      <c r="BU2106" s="1"/>
      <c r="BV2106" s="1"/>
      <c r="BW2106" s="1"/>
      <c r="BX2106" s="1"/>
      <c r="BY2106" s="1"/>
      <c r="BZ2106" s="1"/>
      <c r="CA2106" s="1"/>
      <c r="CB2106" s="1"/>
      <c r="CC2106" s="1"/>
      <c r="CD2106" s="1"/>
      <c r="CE2106" s="1"/>
      <c r="CF2106" s="1"/>
      <c r="CG2106" s="1"/>
      <c r="CH2106" s="1"/>
      <c r="CI2106" s="1"/>
      <c r="CJ2106" s="1"/>
      <c r="CK2106" s="1"/>
      <c r="CL2106" s="1"/>
      <c r="CM2106" s="1"/>
      <c r="CN2106" s="1"/>
      <c r="CO2106" s="1"/>
      <c r="CP2106" s="1"/>
      <c r="CQ2106" s="1"/>
      <c r="CR2106" s="1"/>
      <c r="CS2106" s="1"/>
      <c r="CT2106" s="1"/>
      <c r="CU2106" s="1"/>
      <c r="CV2106" s="1"/>
      <c r="CW2106" s="1"/>
      <c r="CX2106" s="1"/>
      <c r="CY2106" s="1"/>
      <c r="CZ2106" s="1"/>
      <c r="DA2106" s="1"/>
      <c r="DB2106" s="1"/>
      <c r="DC2106" s="1"/>
    </row>
    <row r="2107" spans="1:107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/>
      <c r="AD2107" s="1"/>
      <c r="AE2107" s="1"/>
      <c r="AF2107" s="1"/>
      <c r="AG2107" s="1"/>
      <c r="AH2107" s="1"/>
      <c r="AI2107" s="1"/>
      <c r="AJ2107" s="1"/>
      <c r="AK2107" s="1"/>
      <c r="AL2107" s="1"/>
      <c r="AM2107" s="1"/>
      <c r="AN2107" s="1"/>
      <c r="AO2107" s="1"/>
      <c r="AP2107" s="1"/>
      <c r="AQ2107" s="1"/>
      <c r="AR2107" s="1"/>
      <c r="AS2107" s="1"/>
      <c r="AT2107" s="1"/>
      <c r="AU2107" s="1"/>
      <c r="AV2107" s="1"/>
      <c r="AW2107" s="1"/>
      <c r="AX2107" s="1"/>
      <c r="AY2107" s="1"/>
      <c r="AZ2107" s="1"/>
      <c r="BA2107" s="1"/>
      <c r="BB2107" s="1"/>
      <c r="BC2107" s="1"/>
      <c r="BD2107" s="1"/>
      <c r="BE2107" s="1"/>
      <c r="BF2107" s="1"/>
      <c r="BG2107" s="1"/>
      <c r="BH2107" s="1"/>
      <c r="BI2107" s="1"/>
      <c r="BJ2107" s="1"/>
      <c r="BK2107" s="1"/>
      <c r="BL2107" s="1"/>
      <c r="BM2107" s="1"/>
      <c r="BN2107" s="1"/>
      <c r="BO2107" s="1"/>
      <c r="BP2107" s="1"/>
      <c r="BQ2107" s="1"/>
      <c r="BR2107" s="1"/>
      <c r="BS2107" s="1"/>
      <c r="BT2107" s="1"/>
      <c r="BU2107" s="1"/>
      <c r="BV2107" s="1"/>
      <c r="BW2107" s="1"/>
      <c r="BX2107" s="1"/>
      <c r="BY2107" s="1"/>
      <c r="BZ2107" s="1"/>
      <c r="CA2107" s="1"/>
      <c r="CB2107" s="1"/>
      <c r="CC2107" s="1"/>
      <c r="CD2107" s="1"/>
      <c r="CE2107" s="1"/>
      <c r="CF2107" s="1"/>
      <c r="CG2107" s="1"/>
      <c r="CH2107" s="1"/>
      <c r="CI2107" s="1"/>
      <c r="CJ2107" s="1"/>
      <c r="CK2107" s="1"/>
      <c r="CL2107" s="1"/>
      <c r="CM2107" s="1"/>
      <c r="CN2107" s="1"/>
      <c r="CO2107" s="1"/>
      <c r="CP2107" s="1"/>
      <c r="CQ2107" s="1"/>
      <c r="CR2107" s="1"/>
      <c r="CS2107" s="1"/>
      <c r="CT2107" s="1"/>
      <c r="CU2107" s="1"/>
      <c r="CV2107" s="1"/>
      <c r="CW2107" s="1"/>
      <c r="CX2107" s="1"/>
      <c r="CY2107" s="1"/>
      <c r="CZ2107" s="1"/>
      <c r="DA2107" s="1"/>
      <c r="DB2107" s="1"/>
      <c r="DC2107" s="1"/>
    </row>
    <row r="2108" spans="1:107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  <c r="AE2108" s="1"/>
      <c r="AF2108" s="1"/>
      <c r="AG2108" s="1"/>
      <c r="AH2108" s="1"/>
      <c r="AI2108" s="1"/>
      <c r="AJ2108" s="1"/>
      <c r="AK2108" s="1"/>
      <c r="AL2108" s="1"/>
      <c r="AM2108" s="1"/>
      <c r="AN2108" s="1"/>
      <c r="AO2108" s="1"/>
      <c r="AP2108" s="1"/>
      <c r="AQ2108" s="1"/>
      <c r="AR2108" s="1"/>
      <c r="AS2108" s="1"/>
      <c r="AT2108" s="1"/>
      <c r="AU2108" s="1"/>
      <c r="AV2108" s="1"/>
      <c r="AW2108" s="1"/>
      <c r="AX2108" s="1"/>
      <c r="AY2108" s="1"/>
      <c r="AZ2108" s="1"/>
      <c r="BA2108" s="1"/>
      <c r="BB2108" s="1"/>
      <c r="BC2108" s="1"/>
      <c r="BD2108" s="1"/>
      <c r="BE2108" s="1"/>
      <c r="BF2108" s="1"/>
      <c r="BG2108" s="1"/>
      <c r="BH2108" s="1"/>
      <c r="BI2108" s="1"/>
      <c r="BJ2108" s="1"/>
      <c r="BK2108" s="1"/>
      <c r="BL2108" s="1"/>
      <c r="BM2108" s="1"/>
      <c r="BN2108" s="1"/>
      <c r="BO2108" s="1"/>
      <c r="BP2108" s="1"/>
      <c r="BQ2108" s="1"/>
      <c r="BR2108" s="1"/>
      <c r="BS2108" s="1"/>
      <c r="BT2108" s="1"/>
      <c r="BU2108" s="1"/>
      <c r="BV2108" s="1"/>
      <c r="BW2108" s="1"/>
      <c r="BX2108" s="1"/>
      <c r="BY2108" s="1"/>
      <c r="BZ2108" s="1"/>
      <c r="CA2108" s="1"/>
      <c r="CB2108" s="1"/>
      <c r="CC2108" s="1"/>
      <c r="CD2108" s="1"/>
      <c r="CE2108" s="1"/>
      <c r="CF2108" s="1"/>
      <c r="CG2108" s="1"/>
      <c r="CH2108" s="1"/>
      <c r="CI2108" s="1"/>
      <c r="CJ2108" s="1"/>
      <c r="CK2108" s="1"/>
      <c r="CL2108" s="1"/>
      <c r="CM2108" s="1"/>
      <c r="CN2108" s="1"/>
      <c r="CO2108" s="1"/>
      <c r="CP2108" s="1"/>
      <c r="CQ2108" s="1"/>
      <c r="CR2108" s="1"/>
      <c r="CS2108" s="1"/>
      <c r="CT2108" s="1"/>
      <c r="CU2108" s="1"/>
      <c r="CV2108" s="1"/>
      <c r="CW2108" s="1"/>
      <c r="CX2108" s="1"/>
      <c r="CY2108" s="1"/>
      <c r="CZ2108" s="1"/>
      <c r="DA2108" s="1"/>
      <c r="DB2108" s="1"/>
      <c r="DC2108" s="1"/>
    </row>
    <row r="2109" spans="1:107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  <c r="AE2109" s="1"/>
      <c r="AF2109" s="1"/>
      <c r="AG2109" s="1"/>
      <c r="AH2109" s="1"/>
      <c r="AI2109" s="1"/>
      <c r="AJ2109" s="1"/>
      <c r="AK2109" s="1"/>
      <c r="AL2109" s="1"/>
      <c r="AM2109" s="1"/>
      <c r="AN2109" s="1"/>
      <c r="AO2109" s="1"/>
      <c r="AP2109" s="1"/>
      <c r="AQ2109" s="1"/>
      <c r="AR2109" s="1"/>
      <c r="AS2109" s="1"/>
      <c r="AT2109" s="1"/>
      <c r="AU2109" s="1"/>
      <c r="AV2109" s="1"/>
      <c r="AW2109" s="1"/>
      <c r="AX2109" s="1"/>
      <c r="AY2109" s="1"/>
      <c r="AZ2109" s="1"/>
      <c r="BA2109" s="1"/>
      <c r="BB2109" s="1"/>
      <c r="BC2109" s="1"/>
      <c r="BD2109" s="1"/>
      <c r="BE2109" s="1"/>
      <c r="BF2109" s="1"/>
      <c r="BG2109" s="1"/>
      <c r="BH2109" s="1"/>
      <c r="BI2109" s="1"/>
      <c r="BJ2109" s="1"/>
      <c r="BK2109" s="1"/>
      <c r="BL2109" s="1"/>
      <c r="BM2109" s="1"/>
      <c r="BN2109" s="1"/>
      <c r="BO2109" s="1"/>
      <c r="BP2109" s="1"/>
      <c r="BQ2109" s="1"/>
      <c r="BR2109" s="1"/>
      <c r="BS2109" s="1"/>
      <c r="BT2109" s="1"/>
      <c r="BU2109" s="1"/>
      <c r="BV2109" s="1"/>
      <c r="BW2109" s="1"/>
      <c r="BX2109" s="1"/>
      <c r="BY2109" s="1"/>
      <c r="BZ2109" s="1"/>
      <c r="CA2109" s="1"/>
      <c r="CB2109" s="1"/>
      <c r="CC2109" s="1"/>
      <c r="CD2109" s="1"/>
      <c r="CE2109" s="1"/>
      <c r="CF2109" s="1"/>
      <c r="CG2109" s="1"/>
      <c r="CH2109" s="1"/>
      <c r="CI2109" s="1"/>
      <c r="CJ2109" s="1"/>
      <c r="CK2109" s="1"/>
      <c r="CL2109" s="1"/>
      <c r="CM2109" s="1"/>
      <c r="CN2109" s="1"/>
      <c r="CO2109" s="1"/>
      <c r="CP2109" s="1"/>
      <c r="CQ2109" s="1"/>
      <c r="CR2109" s="1"/>
      <c r="CS2109" s="1"/>
      <c r="CT2109" s="1"/>
      <c r="CU2109" s="1"/>
      <c r="CV2109" s="1"/>
      <c r="CW2109" s="1"/>
      <c r="CX2109" s="1"/>
      <c r="CY2109" s="1"/>
      <c r="CZ2109" s="1"/>
      <c r="DA2109" s="1"/>
      <c r="DB2109" s="1"/>
      <c r="DC2109" s="1"/>
    </row>
    <row r="2110" spans="1:107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1"/>
      <c r="AD2110" s="1"/>
      <c r="AE2110" s="1"/>
      <c r="AF2110" s="1"/>
      <c r="AG2110" s="1"/>
      <c r="AH2110" s="1"/>
      <c r="AI2110" s="1"/>
      <c r="AJ2110" s="1"/>
      <c r="AK2110" s="1"/>
      <c r="AL2110" s="1"/>
      <c r="AM2110" s="1"/>
      <c r="AN2110" s="1"/>
      <c r="AO2110" s="1"/>
      <c r="AP2110" s="1"/>
      <c r="AQ2110" s="1"/>
      <c r="AR2110" s="1"/>
      <c r="AS2110" s="1"/>
      <c r="AT2110" s="1"/>
      <c r="AU2110" s="1"/>
      <c r="AV2110" s="1"/>
      <c r="AW2110" s="1"/>
      <c r="AX2110" s="1"/>
      <c r="AY2110" s="1"/>
      <c r="AZ2110" s="1"/>
      <c r="BA2110" s="1"/>
      <c r="BB2110" s="1"/>
      <c r="BC2110" s="1"/>
      <c r="BD2110" s="1"/>
      <c r="BE2110" s="1"/>
      <c r="BF2110" s="1"/>
      <c r="BG2110" s="1"/>
      <c r="BH2110" s="1"/>
      <c r="BI2110" s="1"/>
      <c r="BJ2110" s="1"/>
      <c r="BK2110" s="1"/>
      <c r="BL2110" s="1"/>
      <c r="BM2110" s="1"/>
      <c r="BN2110" s="1"/>
      <c r="BO2110" s="1"/>
      <c r="BP2110" s="1"/>
      <c r="BQ2110" s="1"/>
      <c r="BR2110" s="1"/>
      <c r="BS2110" s="1"/>
      <c r="BT2110" s="1"/>
      <c r="BU2110" s="1"/>
      <c r="BV2110" s="1"/>
      <c r="BW2110" s="1"/>
      <c r="BX2110" s="1"/>
      <c r="BY2110" s="1"/>
      <c r="BZ2110" s="1"/>
      <c r="CA2110" s="1"/>
      <c r="CB2110" s="1"/>
      <c r="CC2110" s="1"/>
      <c r="CD2110" s="1"/>
      <c r="CE2110" s="1"/>
      <c r="CF2110" s="1"/>
      <c r="CG2110" s="1"/>
      <c r="CH2110" s="1"/>
      <c r="CI2110" s="1"/>
      <c r="CJ2110" s="1"/>
      <c r="CK2110" s="1"/>
      <c r="CL2110" s="1"/>
      <c r="CM2110" s="1"/>
      <c r="CN2110" s="1"/>
      <c r="CO2110" s="1"/>
      <c r="CP2110" s="1"/>
      <c r="CQ2110" s="1"/>
      <c r="CR2110" s="1"/>
      <c r="CS2110" s="1"/>
      <c r="CT2110" s="1"/>
      <c r="CU2110" s="1"/>
      <c r="CV2110" s="1"/>
      <c r="CW2110" s="1"/>
      <c r="CX2110" s="1"/>
      <c r="CY2110" s="1"/>
      <c r="CZ2110" s="1"/>
      <c r="DA2110" s="1"/>
      <c r="DB2110" s="1"/>
      <c r="DC2110" s="1"/>
    </row>
    <row r="2111" spans="1:107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  <c r="AD2111" s="1"/>
      <c r="AE2111" s="1"/>
      <c r="AF2111" s="1"/>
      <c r="AG2111" s="1"/>
      <c r="AH2111" s="1"/>
      <c r="AI2111" s="1"/>
      <c r="AJ2111" s="1"/>
      <c r="AK2111" s="1"/>
      <c r="AL2111" s="1"/>
      <c r="AM2111" s="1"/>
      <c r="AN2111" s="1"/>
      <c r="AO2111" s="1"/>
      <c r="AP2111" s="1"/>
      <c r="AQ2111" s="1"/>
      <c r="AR2111" s="1"/>
      <c r="AS2111" s="1"/>
      <c r="AT2111" s="1"/>
      <c r="AU2111" s="1"/>
      <c r="AV2111" s="1"/>
      <c r="AW2111" s="1"/>
      <c r="AX2111" s="1"/>
      <c r="AY2111" s="1"/>
      <c r="AZ2111" s="1"/>
      <c r="BA2111" s="1"/>
      <c r="BB2111" s="1"/>
      <c r="BC2111" s="1"/>
      <c r="BD2111" s="1"/>
      <c r="BE2111" s="1"/>
      <c r="BF2111" s="1"/>
      <c r="BG2111" s="1"/>
      <c r="BH2111" s="1"/>
      <c r="BI2111" s="1"/>
      <c r="BJ2111" s="1"/>
      <c r="BK2111" s="1"/>
      <c r="BL2111" s="1"/>
      <c r="BM2111" s="1"/>
      <c r="BN2111" s="1"/>
      <c r="BO2111" s="1"/>
      <c r="BP2111" s="1"/>
      <c r="BQ2111" s="1"/>
      <c r="BR2111" s="1"/>
      <c r="BS2111" s="1"/>
      <c r="BT2111" s="1"/>
      <c r="BU2111" s="1"/>
      <c r="BV2111" s="1"/>
      <c r="BW2111" s="1"/>
      <c r="BX2111" s="1"/>
      <c r="BY2111" s="1"/>
      <c r="BZ2111" s="1"/>
      <c r="CA2111" s="1"/>
      <c r="CB2111" s="1"/>
      <c r="CC2111" s="1"/>
      <c r="CD2111" s="1"/>
      <c r="CE2111" s="1"/>
      <c r="CF2111" s="1"/>
      <c r="CG2111" s="1"/>
      <c r="CH2111" s="1"/>
      <c r="CI2111" s="1"/>
      <c r="CJ2111" s="1"/>
      <c r="CK2111" s="1"/>
      <c r="CL2111" s="1"/>
      <c r="CM2111" s="1"/>
      <c r="CN2111" s="1"/>
      <c r="CO2111" s="1"/>
      <c r="CP2111" s="1"/>
      <c r="CQ2111" s="1"/>
      <c r="CR2111" s="1"/>
      <c r="CS2111" s="1"/>
      <c r="CT2111" s="1"/>
      <c r="CU2111" s="1"/>
      <c r="CV2111" s="1"/>
      <c r="CW2111" s="1"/>
      <c r="CX2111" s="1"/>
      <c r="CY2111" s="1"/>
      <c r="CZ2111" s="1"/>
      <c r="DA2111" s="1"/>
      <c r="DB2111" s="1"/>
      <c r="DC2111" s="1"/>
    </row>
    <row r="2112" spans="1:107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  <c r="AD2112" s="1"/>
      <c r="AE2112" s="1"/>
      <c r="AF2112" s="1"/>
      <c r="AG2112" s="1"/>
      <c r="AH2112" s="1"/>
      <c r="AI2112" s="1"/>
      <c r="AJ2112" s="1"/>
      <c r="AK2112" s="1"/>
      <c r="AL2112" s="1"/>
      <c r="AM2112" s="1"/>
      <c r="AN2112" s="1"/>
      <c r="AO2112" s="1"/>
      <c r="AP2112" s="1"/>
      <c r="AQ2112" s="1"/>
      <c r="AR2112" s="1"/>
      <c r="AS2112" s="1"/>
      <c r="AT2112" s="1"/>
      <c r="AU2112" s="1"/>
      <c r="AV2112" s="1"/>
      <c r="AW2112" s="1"/>
      <c r="AX2112" s="1"/>
      <c r="AY2112" s="1"/>
      <c r="AZ2112" s="1"/>
      <c r="BA2112" s="1"/>
      <c r="BB2112" s="1"/>
      <c r="BC2112" s="1"/>
      <c r="BD2112" s="1"/>
      <c r="BE2112" s="1"/>
      <c r="BF2112" s="1"/>
      <c r="BG2112" s="1"/>
      <c r="BH2112" s="1"/>
      <c r="BI2112" s="1"/>
      <c r="BJ2112" s="1"/>
      <c r="BK2112" s="1"/>
      <c r="BL2112" s="1"/>
      <c r="BM2112" s="1"/>
      <c r="BN2112" s="1"/>
      <c r="BO2112" s="1"/>
      <c r="BP2112" s="1"/>
      <c r="BQ2112" s="1"/>
      <c r="BR2112" s="1"/>
      <c r="BS2112" s="1"/>
      <c r="BT2112" s="1"/>
      <c r="BU2112" s="1"/>
      <c r="BV2112" s="1"/>
      <c r="BW2112" s="1"/>
      <c r="BX2112" s="1"/>
      <c r="BY2112" s="1"/>
      <c r="BZ2112" s="1"/>
      <c r="CA2112" s="1"/>
      <c r="CB2112" s="1"/>
      <c r="CC2112" s="1"/>
      <c r="CD2112" s="1"/>
      <c r="CE2112" s="1"/>
      <c r="CF2112" s="1"/>
      <c r="CG2112" s="1"/>
      <c r="CH2112" s="1"/>
      <c r="CI2112" s="1"/>
      <c r="CJ2112" s="1"/>
      <c r="CK2112" s="1"/>
      <c r="CL2112" s="1"/>
      <c r="CM2112" s="1"/>
      <c r="CN2112" s="1"/>
      <c r="CO2112" s="1"/>
      <c r="CP2112" s="1"/>
      <c r="CQ2112" s="1"/>
      <c r="CR2112" s="1"/>
      <c r="CS2112" s="1"/>
      <c r="CT2112" s="1"/>
      <c r="CU2112" s="1"/>
      <c r="CV2112" s="1"/>
      <c r="CW2112" s="1"/>
      <c r="CX2112" s="1"/>
      <c r="CY2112" s="1"/>
      <c r="CZ2112" s="1"/>
      <c r="DA2112" s="1"/>
      <c r="DB2112" s="1"/>
      <c r="DC2112" s="1"/>
    </row>
    <row r="2113" spans="1:107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  <c r="AD2113" s="1"/>
      <c r="AE2113" s="1"/>
      <c r="AF2113" s="1"/>
      <c r="AG2113" s="1"/>
      <c r="AH2113" s="1"/>
      <c r="AI2113" s="1"/>
      <c r="AJ2113" s="1"/>
      <c r="AK2113" s="1"/>
      <c r="AL2113" s="1"/>
      <c r="AM2113" s="1"/>
      <c r="AN2113" s="1"/>
      <c r="AO2113" s="1"/>
      <c r="AP2113" s="1"/>
      <c r="AQ2113" s="1"/>
      <c r="AR2113" s="1"/>
      <c r="AS2113" s="1"/>
      <c r="AT2113" s="1"/>
      <c r="AU2113" s="1"/>
      <c r="AV2113" s="1"/>
      <c r="AW2113" s="1"/>
      <c r="AX2113" s="1"/>
      <c r="AY2113" s="1"/>
      <c r="AZ2113" s="1"/>
      <c r="BA2113" s="1"/>
      <c r="BB2113" s="1"/>
      <c r="BC2113" s="1"/>
      <c r="BD2113" s="1"/>
      <c r="BE2113" s="1"/>
      <c r="BF2113" s="1"/>
      <c r="BG2113" s="1"/>
      <c r="BH2113" s="1"/>
      <c r="BI2113" s="1"/>
      <c r="BJ2113" s="1"/>
      <c r="BK2113" s="1"/>
      <c r="BL2113" s="1"/>
      <c r="BM2113" s="1"/>
      <c r="BN2113" s="1"/>
      <c r="BO2113" s="1"/>
      <c r="BP2113" s="1"/>
      <c r="BQ2113" s="1"/>
      <c r="BR2113" s="1"/>
      <c r="BS2113" s="1"/>
      <c r="BT2113" s="1"/>
      <c r="BU2113" s="1"/>
      <c r="BV2113" s="1"/>
      <c r="BW2113" s="1"/>
      <c r="BX2113" s="1"/>
      <c r="BY2113" s="1"/>
      <c r="BZ2113" s="1"/>
      <c r="CA2113" s="1"/>
      <c r="CB2113" s="1"/>
      <c r="CC2113" s="1"/>
      <c r="CD2113" s="1"/>
      <c r="CE2113" s="1"/>
      <c r="CF2113" s="1"/>
      <c r="CG2113" s="1"/>
      <c r="CH2113" s="1"/>
      <c r="CI2113" s="1"/>
      <c r="CJ2113" s="1"/>
      <c r="CK2113" s="1"/>
      <c r="CL2113" s="1"/>
      <c r="CM2113" s="1"/>
      <c r="CN2113" s="1"/>
      <c r="CO2113" s="1"/>
      <c r="CP2113" s="1"/>
      <c r="CQ2113" s="1"/>
      <c r="CR2113" s="1"/>
      <c r="CS2113" s="1"/>
      <c r="CT2113" s="1"/>
      <c r="CU2113" s="1"/>
      <c r="CV2113" s="1"/>
      <c r="CW2113" s="1"/>
      <c r="CX2113" s="1"/>
      <c r="CY2113" s="1"/>
      <c r="CZ2113" s="1"/>
      <c r="DA2113" s="1"/>
      <c r="DB2113" s="1"/>
      <c r="DC2113" s="1"/>
    </row>
    <row r="2114" spans="1:107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1"/>
      <c r="AD2114" s="1"/>
      <c r="AE2114" s="1"/>
      <c r="AF2114" s="1"/>
      <c r="AG2114" s="1"/>
      <c r="AH2114" s="1"/>
      <c r="AI2114" s="1"/>
      <c r="AJ2114" s="1"/>
      <c r="AK2114" s="1"/>
      <c r="AL2114" s="1"/>
      <c r="AM2114" s="1"/>
      <c r="AN2114" s="1"/>
      <c r="AO2114" s="1"/>
      <c r="AP2114" s="1"/>
      <c r="AQ2114" s="1"/>
      <c r="AR2114" s="1"/>
      <c r="AS2114" s="1"/>
      <c r="AT2114" s="1"/>
      <c r="AU2114" s="1"/>
      <c r="AV2114" s="1"/>
      <c r="AW2114" s="1"/>
      <c r="AX2114" s="1"/>
      <c r="AY2114" s="1"/>
      <c r="AZ2114" s="1"/>
      <c r="BA2114" s="1"/>
      <c r="BB2114" s="1"/>
      <c r="BC2114" s="1"/>
      <c r="BD2114" s="1"/>
      <c r="BE2114" s="1"/>
      <c r="BF2114" s="1"/>
      <c r="BG2114" s="1"/>
      <c r="BH2114" s="1"/>
      <c r="BI2114" s="1"/>
      <c r="BJ2114" s="1"/>
      <c r="BK2114" s="1"/>
      <c r="BL2114" s="1"/>
      <c r="BM2114" s="1"/>
      <c r="BN2114" s="1"/>
      <c r="BO2114" s="1"/>
      <c r="BP2114" s="1"/>
      <c r="BQ2114" s="1"/>
      <c r="BR2114" s="1"/>
      <c r="BS2114" s="1"/>
      <c r="BT2114" s="1"/>
      <c r="BU2114" s="1"/>
      <c r="BV2114" s="1"/>
      <c r="BW2114" s="1"/>
      <c r="BX2114" s="1"/>
      <c r="BY2114" s="1"/>
      <c r="BZ2114" s="1"/>
      <c r="CA2114" s="1"/>
      <c r="CB2114" s="1"/>
      <c r="CC2114" s="1"/>
      <c r="CD2114" s="1"/>
      <c r="CE2114" s="1"/>
      <c r="CF2114" s="1"/>
      <c r="CG2114" s="1"/>
      <c r="CH2114" s="1"/>
      <c r="CI2114" s="1"/>
      <c r="CJ2114" s="1"/>
      <c r="CK2114" s="1"/>
      <c r="CL2114" s="1"/>
      <c r="CM2114" s="1"/>
      <c r="CN2114" s="1"/>
      <c r="CO2114" s="1"/>
      <c r="CP2114" s="1"/>
      <c r="CQ2114" s="1"/>
      <c r="CR2114" s="1"/>
      <c r="CS2114" s="1"/>
      <c r="CT2114" s="1"/>
      <c r="CU2114" s="1"/>
      <c r="CV2114" s="1"/>
      <c r="CW2114" s="1"/>
      <c r="CX2114" s="1"/>
      <c r="CY2114" s="1"/>
      <c r="CZ2114" s="1"/>
      <c r="DA2114" s="1"/>
      <c r="DB2114" s="1"/>
      <c r="DC2114" s="1"/>
    </row>
    <row r="2115" spans="1:107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  <c r="AC2115" s="1"/>
      <c r="AD2115" s="1"/>
      <c r="AE2115" s="1"/>
      <c r="AF2115" s="1"/>
      <c r="AG2115" s="1"/>
      <c r="AH2115" s="1"/>
      <c r="AI2115" s="1"/>
      <c r="AJ2115" s="1"/>
      <c r="AK2115" s="1"/>
      <c r="AL2115" s="1"/>
      <c r="AM2115" s="1"/>
      <c r="AN2115" s="1"/>
      <c r="AO2115" s="1"/>
      <c r="AP2115" s="1"/>
      <c r="AQ2115" s="1"/>
      <c r="AR2115" s="1"/>
      <c r="AS2115" s="1"/>
      <c r="AT2115" s="1"/>
      <c r="AU2115" s="1"/>
      <c r="AV2115" s="1"/>
      <c r="AW2115" s="1"/>
      <c r="AX2115" s="1"/>
      <c r="AY2115" s="1"/>
      <c r="AZ2115" s="1"/>
      <c r="BA2115" s="1"/>
      <c r="BB2115" s="1"/>
      <c r="BC2115" s="1"/>
      <c r="BD2115" s="1"/>
      <c r="BE2115" s="1"/>
      <c r="BF2115" s="1"/>
      <c r="BG2115" s="1"/>
      <c r="BH2115" s="1"/>
      <c r="BI2115" s="1"/>
      <c r="BJ2115" s="1"/>
      <c r="BK2115" s="1"/>
      <c r="BL2115" s="1"/>
      <c r="BM2115" s="1"/>
      <c r="BN2115" s="1"/>
      <c r="BO2115" s="1"/>
      <c r="BP2115" s="1"/>
      <c r="BQ2115" s="1"/>
      <c r="BR2115" s="1"/>
      <c r="BS2115" s="1"/>
      <c r="BT2115" s="1"/>
      <c r="BU2115" s="1"/>
      <c r="BV2115" s="1"/>
      <c r="BW2115" s="1"/>
      <c r="BX2115" s="1"/>
      <c r="BY2115" s="1"/>
      <c r="BZ2115" s="1"/>
      <c r="CA2115" s="1"/>
      <c r="CB2115" s="1"/>
      <c r="CC2115" s="1"/>
      <c r="CD2115" s="1"/>
      <c r="CE2115" s="1"/>
      <c r="CF2115" s="1"/>
      <c r="CG2115" s="1"/>
      <c r="CH2115" s="1"/>
      <c r="CI2115" s="1"/>
      <c r="CJ2115" s="1"/>
      <c r="CK2115" s="1"/>
      <c r="CL2115" s="1"/>
      <c r="CM2115" s="1"/>
      <c r="CN2115" s="1"/>
      <c r="CO2115" s="1"/>
      <c r="CP2115" s="1"/>
      <c r="CQ2115" s="1"/>
      <c r="CR2115" s="1"/>
      <c r="CS2115" s="1"/>
      <c r="CT2115" s="1"/>
      <c r="CU2115" s="1"/>
      <c r="CV2115" s="1"/>
      <c r="CW2115" s="1"/>
      <c r="CX2115" s="1"/>
      <c r="CY2115" s="1"/>
      <c r="CZ2115" s="1"/>
      <c r="DA2115" s="1"/>
      <c r="DB2115" s="1"/>
      <c r="DC2115" s="1"/>
    </row>
    <row r="2116" spans="1:107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1"/>
      <c r="AD2116" s="1"/>
      <c r="AE2116" s="1"/>
      <c r="AF2116" s="1"/>
      <c r="AG2116" s="1"/>
      <c r="AH2116" s="1"/>
      <c r="AI2116" s="1"/>
      <c r="AJ2116" s="1"/>
      <c r="AK2116" s="1"/>
      <c r="AL2116" s="1"/>
      <c r="AM2116" s="1"/>
      <c r="AN2116" s="1"/>
      <c r="AO2116" s="1"/>
      <c r="AP2116" s="1"/>
      <c r="AQ2116" s="1"/>
      <c r="AR2116" s="1"/>
      <c r="AS2116" s="1"/>
      <c r="AT2116" s="1"/>
      <c r="AU2116" s="1"/>
      <c r="AV2116" s="1"/>
      <c r="AW2116" s="1"/>
      <c r="AX2116" s="1"/>
      <c r="AY2116" s="1"/>
      <c r="AZ2116" s="1"/>
      <c r="BA2116" s="1"/>
      <c r="BB2116" s="1"/>
      <c r="BC2116" s="1"/>
      <c r="BD2116" s="1"/>
      <c r="BE2116" s="1"/>
      <c r="BF2116" s="1"/>
      <c r="BG2116" s="1"/>
      <c r="BH2116" s="1"/>
      <c r="BI2116" s="1"/>
      <c r="BJ2116" s="1"/>
      <c r="BK2116" s="1"/>
      <c r="BL2116" s="1"/>
      <c r="BM2116" s="1"/>
      <c r="BN2116" s="1"/>
      <c r="BO2116" s="1"/>
      <c r="BP2116" s="1"/>
      <c r="BQ2116" s="1"/>
      <c r="BR2116" s="1"/>
      <c r="BS2116" s="1"/>
      <c r="BT2116" s="1"/>
      <c r="BU2116" s="1"/>
      <c r="BV2116" s="1"/>
      <c r="BW2116" s="1"/>
      <c r="BX2116" s="1"/>
      <c r="BY2116" s="1"/>
      <c r="BZ2116" s="1"/>
      <c r="CA2116" s="1"/>
      <c r="CB2116" s="1"/>
      <c r="CC2116" s="1"/>
      <c r="CD2116" s="1"/>
      <c r="CE2116" s="1"/>
      <c r="CF2116" s="1"/>
      <c r="CG2116" s="1"/>
      <c r="CH2116" s="1"/>
      <c r="CI2116" s="1"/>
      <c r="CJ2116" s="1"/>
      <c r="CK2116" s="1"/>
      <c r="CL2116" s="1"/>
      <c r="CM2116" s="1"/>
      <c r="CN2116" s="1"/>
      <c r="CO2116" s="1"/>
      <c r="CP2116" s="1"/>
      <c r="CQ2116" s="1"/>
      <c r="CR2116" s="1"/>
      <c r="CS2116" s="1"/>
      <c r="CT2116" s="1"/>
      <c r="CU2116" s="1"/>
      <c r="CV2116" s="1"/>
      <c r="CW2116" s="1"/>
      <c r="CX2116" s="1"/>
      <c r="CY2116" s="1"/>
      <c r="CZ2116" s="1"/>
      <c r="DA2116" s="1"/>
      <c r="DB2116" s="1"/>
      <c r="DC2116" s="1"/>
    </row>
    <row r="2117" spans="1:107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  <c r="AC2117" s="1"/>
      <c r="AD2117" s="1"/>
      <c r="AE2117" s="1"/>
      <c r="AF2117" s="1"/>
      <c r="AG2117" s="1"/>
      <c r="AH2117" s="1"/>
      <c r="AI2117" s="1"/>
      <c r="AJ2117" s="1"/>
      <c r="AK2117" s="1"/>
      <c r="AL2117" s="1"/>
      <c r="AM2117" s="1"/>
      <c r="AN2117" s="1"/>
      <c r="AO2117" s="1"/>
      <c r="AP2117" s="1"/>
      <c r="AQ2117" s="1"/>
      <c r="AR2117" s="1"/>
      <c r="AS2117" s="1"/>
      <c r="AT2117" s="1"/>
      <c r="AU2117" s="1"/>
      <c r="AV2117" s="1"/>
      <c r="AW2117" s="1"/>
      <c r="AX2117" s="1"/>
      <c r="AY2117" s="1"/>
      <c r="AZ2117" s="1"/>
      <c r="BA2117" s="1"/>
      <c r="BB2117" s="1"/>
      <c r="BC2117" s="1"/>
      <c r="BD2117" s="1"/>
      <c r="BE2117" s="1"/>
      <c r="BF2117" s="1"/>
      <c r="BG2117" s="1"/>
      <c r="BH2117" s="1"/>
      <c r="BI2117" s="1"/>
      <c r="BJ2117" s="1"/>
      <c r="BK2117" s="1"/>
      <c r="BL2117" s="1"/>
      <c r="BM2117" s="1"/>
      <c r="BN2117" s="1"/>
      <c r="BO2117" s="1"/>
      <c r="BP2117" s="1"/>
      <c r="BQ2117" s="1"/>
      <c r="BR2117" s="1"/>
      <c r="BS2117" s="1"/>
      <c r="BT2117" s="1"/>
      <c r="BU2117" s="1"/>
      <c r="BV2117" s="1"/>
      <c r="BW2117" s="1"/>
      <c r="BX2117" s="1"/>
      <c r="BY2117" s="1"/>
      <c r="BZ2117" s="1"/>
      <c r="CA2117" s="1"/>
      <c r="CB2117" s="1"/>
      <c r="CC2117" s="1"/>
      <c r="CD2117" s="1"/>
      <c r="CE2117" s="1"/>
      <c r="CF2117" s="1"/>
      <c r="CG2117" s="1"/>
      <c r="CH2117" s="1"/>
      <c r="CI2117" s="1"/>
      <c r="CJ2117" s="1"/>
      <c r="CK2117" s="1"/>
      <c r="CL2117" s="1"/>
      <c r="CM2117" s="1"/>
      <c r="CN2117" s="1"/>
      <c r="CO2117" s="1"/>
      <c r="CP2117" s="1"/>
      <c r="CQ2117" s="1"/>
      <c r="CR2117" s="1"/>
      <c r="CS2117" s="1"/>
      <c r="CT2117" s="1"/>
      <c r="CU2117" s="1"/>
      <c r="CV2117" s="1"/>
      <c r="CW2117" s="1"/>
      <c r="CX2117" s="1"/>
      <c r="CY2117" s="1"/>
      <c r="CZ2117" s="1"/>
      <c r="DA2117" s="1"/>
      <c r="DB2117" s="1"/>
      <c r="DC2117" s="1"/>
    </row>
    <row r="2118" spans="1:107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1"/>
      <c r="AD2118" s="1"/>
      <c r="AE2118" s="1"/>
      <c r="AF2118" s="1"/>
      <c r="AG2118" s="1"/>
      <c r="AH2118" s="1"/>
      <c r="AI2118" s="1"/>
      <c r="AJ2118" s="1"/>
      <c r="AK2118" s="1"/>
      <c r="AL2118" s="1"/>
      <c r="AM2118" s="1"/>
      <c r="AN2118" s="1"/>
      <c r="AO2118" s="1"/>
      <c r="AP2118" s="1"/>
      <c r="AQ2118" s="1"/>
      <c r="AR2118" s="1"/>
      <c r="AS2118" s="1"/>
      <c r="AT2118" s="1"/>
      <c r="AU2118" s="1"/>
      <c r="AV2118" s="1"/>
      <c r="AW2118" s="1"/>
      <c r="AX2118" s="1"/>
      <c r="AY2118" s="1"/>
      <c r="AZ2118" s="1"/>
      <c r="BA2118" s="1"/>
      <c r="BB2118" s="1"/>
      <c r="BC2118" s="1"/>
      <c r="BD2118" s="1"/>
      <c r="BE2118" s="1"/>
      <c r="BF2118" s="1"/>
      <c r="BG2118" s="1"/>
      <c r="BH2118" s="1"/>
      <c r="BI2118" s="1"/>
      <c r="BJ2118" s="1"/>
      <c r="BK2118" s="1"/>
      <c r="BL2118" s="1"/>
      <c r="BM2118" s="1"/>
      <c r="BN2118" s="1"/>
      <c r="BO2118" s="1"/>
      <c r="BP2118" s="1"/>
      <c r="BQ2118" s="1"/>
      <c r="BR2118" s="1"/>
      <c r="BS2118" s="1"/>
      <c r="BT2118" s="1"/>
      <c r="BU2118" s="1"/>
      <c r="BV2118" s="1"/>
      <c r="BW2118" s="1"/>
      <c r="BX2118" s="1"/>
      <c r="BY2118" s="1"/>
      <c r="BZ2118" s="1"/>
      <c r="CA2118" s="1"/>
      <c r="CB2118" s="1"/>
      <c r="CC2118" s="1"/>
      <c r="CD2118" s="1"/>
      <c r="CE2118" s="1"/>
      <c r="CF2118" s="1"/>
      <c r="CG2118" s="1"/>
      <c r="CH2118" s="1"/>
      <c r="CI2118" s="1"/>
      <c r="CJ2118" s="1"/>
      <c r="CK2118" s="1"/>
      <c r="CL2118" s="1"/>
      <c r="CM2118" s="1"/>
      <c r="CN2118" s="1"/>
      <c r="CO2118" s="1"/>
      <c r="CP2118" s="1"/>
      <c r="CQ2118" s="1"/>
      <c r="CR2118" s="1"/>
      <c r="CS2118" s="1"/>
      <c r="CT2118" s="1"/>
      <c r="CU2118" s="1"/>
      <c r="CV2118" s="1"/>
      <c r="CW2118" s="1"/>
      <c r="CX2118" s="1"/>
      <c r="CY2118" s="1"/>
      <c r="CZ2118" s="1"/>
      <c r="DA2118" s="1"/>
      <c r="DB2118" s="1"/>
      <c r="DC2118" s="1"/>
    </row>
    <row r="2119" spans="1:107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  <c r="AD2119" s="1"/>
      <c r="AE2119" s="1"/>
      <c r="AF2119" s="1"/>
      <c r="AG2119" s="1"/>
      <c r="AH2119" s="1"/>
      <c r="AI2119" s="1"/>
      <c r="AJ2119" s="1"/>
      <c r="AK2119" s="1"/>
      <c r="AL2119" s="1"/>
      <c r="AM2119" s="1"/>
      <c r="AN2119" s="1"/>
      <c r="AO2119" s="1"/>
      <c r="AP2119" s="1"/>
      <c r="AQ2119" s="1"/>
      <c r="AR2119" s="1"/>
      <c r="AS2119" s="1"/>
      <c r="AT2119" s="1"/>
      <c r="AU2119" s="1"/>
      <c r="AV2119" s="1"/>
      <c r="AW2119" s="1"/>
      <c r="AX2119" s="1"/>
      <c r="AY2119" s="1"/>
      <c r="AZ2119" s="1"/>
      <c r="BA2119" s="1"/>
      <c r="BB2119" s="1"/>
      <c r="BC2119" s="1"/>
      <c r="BD2119" s="1"/>
      <c r="BE2119" s="1"/>
      <c r="BF2119" s="1"/>
      <c r="BG2119" s="1"/>
      <c r="BH2119" s="1"/>
      <c r="BI2119" s="1"/>
      <c r="BJ2119" s="1"/>
      <c r="BK2119" s="1"/>
      <c r="BL2119" s="1"/>
      <c r="BM2119" s="1"/>
      <c r="BN2119" s="1"/>
      <c r="BO2119" s="1"/>
      <c r="BP2119" s="1"/>
      <c r="BQ2119" s="1"/>
      <c r="BR2119" s="1"/>
      <c r="BS2119" s="1"/>
      <c r="BT2119" s="1"/>
      <c r="BU2119" s="1"/>
      <c r="BV2119" s="1"/>
      <c r="BW2119" s="1"/>
      <c r="BX2119" s="1"/>
      <c r="BY2119" s="1"/>
      <c r="BZ2119" s="1"/>
      <c r="CA2119" s="1"/>
      <c r="CB2119" s="1"/>
      <c r="CC2119" s="1"/>
      <c r="CD2119" s="1"/>
      <c r="CE2119" s="1"/>
      <c r="CF2119" s="1"/>
      <c r="CG2119" s="1"/>
      <c r="CH2119" s="1"/>
      <c r="CI2119" s="1"/>
      <c r="CJ2119" s="1"/>
      <c r="CK2119" s="1"/>
      <c r="CL2119" s="1"/>
      <c r="CM2119" s="1"/>
      <c r="CN2119" s="1"/>
      <c r="CO2119" s="1"/>
      <c r="CP2119" s="1"/>
      <c r="CQ2119" s="1"/>
      <c r="CR2119" s="1"/>
      <c r="CS2119" s="1"/>
      <c r="CT2119" s="1"/>
      <c r="CU2119" s="1"/>
      <c r="CV2119" s="1"/>
      <c r="CW2119" s="1"/>
      <c r="CX2119" s="1"/>
      <c r="CY2119" s="1"/>
      <c r="CZ2119" s="1"/>
      <c r="DA2119" s="1"/>
      <c r="DB2119" s="1"/>
      <c r="DC2119" s="1"/>
    </row>
    <row r="2120" spans="1:107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  <c r="AD2120" s="1"/>
      <c r="AE2120" s="1"/>
      <c r="AF2120" s="1"/>
      <c r="AG2120" s="1"/>
      <c r="AH2120" s="1"/>
      <c r="AI2120" s="1"/>
      <c r="AJ2120" s="1"/>
      <c r="AK2120" s="1"/>
      <c r="AL2120" s="1"/>
      <c r="AM2120" s="1"/>
      <c r="AN2120" s="1"/>
      <c r="AO2120" s="1"/>
      <c r="AP2120" s="1"/>
      <c r="AQ2120" s="1"/>
      <c r="AR2120" s="1"/>
      <c r="AS2120" s="1"/>
      <c r="AT2120" s="1"/>
      <c r="AU2120" s="1"/>
      <c r="AV2120" s="1"/>
      <c r="AW2120" s="1"/>
      <c r="AX2120" s="1"/>
      <c r="AY2120" s="1"/>
      <c r="AZ2120" s="1"/>
      <c r="BA2120" s="1"/>
      <c r="BB2120" s="1"/>
      <c r="BC2120" s="1"/>
      <c r="BD2120" s="1"/>
      <c r="BE2120" s="1"/>
      <c r="BF2120" s="1"/>
      <c r="BG2120" s="1"/>
      <c r="BH2120" s="1"/>
      <c r="BI2120" s="1"/>
      <c r="BJ2120" s="1"/>
      <c r="BK2120" s="1"/>
      <c r="BL2120" s="1"/>
      <c r="BM2120" s="1"/>
      <c r="BN2120" s="1"/>
      <c r="BO2120" s="1"/>
      <c r="BP2120" s="1"/>
      <c r="BQ2120" s="1"/>
      <c r="BR2120" s="1"/>
      <c r="BS2120" s="1"/>
      <c r="BT2120" s="1"/>
      <c r="BU2120" s="1"/>
      <c r="BV2120" s="1"/>
      <c r="BW2120" s="1"/>
      <c r="BX2120" s="1"/>
      <c r="BY2120" s="1"/>
      <c r="BZ2120" s="1"/>
      <c r="CA2120" s="1"/>
      <c r="CB2120" s="1"/>
      <c r="CC2120" s="1"/>
      <c r="CD2120" s="1"/>
      <c r="CE2120" s="1"/>
      <c r="CF2120" s="1"/>
      <c r="CG2120" s="1"/>
      <c r="CH2120" s="1"/>
      <c r="CI2120" s="1"/>
      <c r="CJ2120" s="1"/>
      <c r="CK2120" s="1"/>
      <c r="CL2120" s="1"/>
      <c r="CM2120" s="1"/>
      <c r="CN2120" s="1"/>
      <c r="CO2120" s="1"/>
      <c r="CP2120" s="1"/>
      <c r="CQ2120" s="1"/>
      <c r="CR2120" s="1"/>
      <c r="CS2120" s="1"/>
      <c r="CT2120" s="1"/>
      <c r="CU2120" s="1"/>
      <c r="CV2120" s="1"/>
      <c r="CW2120" s="1"/>
      <c r="CX2120" s="1"/>
      <c r="CY2120" s="1"/>
      <c r="CZ2120" s="1"/>
      <c r="DA2120" s="1"/>
      <c r="DB2120" s="1"/>
      <c r="DC2120" s="1"/>
    </row>
    <row r="2121" spans="1:107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  <c r="AD2121" s="1"/>
      <c r="AE2121" s="1"/>
      <c r="AF2121" s="1"/>
      <c r="AG2121" s="1"/>
      <c r="AH2121" s="1"/>
      <c r="AI2121" s="1"/>
      <c r="AJ2121" s="1"/>
      <c r="AK2121" s="1"/>
      <c r="AL2121" s="1"/>
      <c r="AM2121" s="1"/>
      <c r="AN2121" s="1"/>
      <c r="AO2121" s="1"/>
      <c r="AP2121" s="1"/>
      <c r="AQ2121" s="1"/>
      <c r="AR2121" s="1"/>
      <c r="AS2121" s="1"/>
      <c r="AT2121" s="1"/>
      <c r="AU2121" s="1"/>
      <c r="AV2121" s="1"/>
      <c r="AW2121" s="1"/>
      <c r="AX2121" s="1"/>
      <c r="AY2121" s="1"/>
      <c r="AZ2121" s="1"/>
      <c r="BA2121" s="1"/>
      <c r="BB2121" s="1"/>
      <c r="BC2121" s="1"/>
      <c r="BD2121" s="1"/>
      <c r="BE2121" s="1"/>
      <c r="BF2121" s="1"/>
      <c r="BG2121" s="1"/>
      <c r="BH2121" s="1"/>
      <c r="BI2121" s="1"/>
      <c r="BJ2121" s="1"/>
      <c r="BK2121" s="1"/>
      <c r="BL2121" s="1"/>
      <c r="BM2121" s="1"/>
      <c r="BN2121" s="1"/>
      <c r="BO2121" s="1"/>
      <c r="BP2121" s="1"/>
      <c r="BQ2121" s="1"/>
      <c r="BR2121" s="1"/>
      <c r="BS2121" s="1"/>
      <c r="BT2121" s="1"/>
      <c r="BU2121" s="1"/>
      <c r="BV2121" s="1"/>
      <c r="BW2121" s="1"/>
      <c r="BX2121" s="1"/>
      <c r="BY2121" s="1"/>
      <c r="BZ2121" s="1"/>
      <c r="CA2121" s="1"/>
      <c r="CB2121" s="1"/>
      <c r="CC2121" s="1"/>
      <c r="CD2121" s="1"/>
      <c r="CE2121" s="1"/>
      <c r="CF2121" s="1"/>
      <c r="CG2121" s="1"/>
      <c r="CH2121" s="1"/>
      <c r="CI2121" s="1"/>
      <c r="CJ2121" s="1"/>
      <c r="CK2121" s="1"/>
      <c r="CL2121" s="1"/>
      <c r="CM2121" s="1"/>
      <c r="CN2121" s="1"/>
      <c r="CO2121" s="1"/>
      <c r="CP2121" s="1"/>
      <c r="CQ2121" s="1"/>
      <c r="CR2121" s="1"/>
      <c r="CS2121" s="1"/>
      <c r="CT2121" s="1"/>
      <c r="CU2121" s="1"/>
      <c r="CV2121" s="1"/>
      <c r="CW2121" s="1"/>
      <c r="CX2121" s="1"/>
      <c r="CY2121" s="1"/>
      <c r="CZ2121" s="1"/>
      <c r="DA2121" s="1"/>
      <c r="DB2121" s="1"/>
      <c r="DC2121" s="1"/>
    </row>
    <row r="2122" spans="1:107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1"/>
      <c r="AD2122" s="1"/>
      <c r="AE2122" s="1"/>
      <c r="AF2122" s="1"/>
      <c r="AG2122" s="1"/>
      <c r="AH2122" s="1"/>
      <c r="AI2122" s="1"/>
      <c r="AJ2122" s="1"/>
      <c r="AK2122" s="1"/>
      <c r="AL2122" s="1"/>
      <c r="AM2122" s="1"/>
      <c r="AN2122" s="1"/>
      <c r="AO2122" s="1"/>
      <c r="AP2122" s="1"/>
      <c r="AQ2122" s="1"/>
      <c r="AR2122" s="1"/>
      <c r="AS2122" s="1"/>
      <c r="AT2122" s="1"/>
      <c r="AU2122" s="1"/>
      <c r="AV2122" s="1"/>
      <c r="AW2122" s="1"/>
      <c r="AX2122" s="1"/>
      <c r="AY2122" s="1"/>
      <c r="AZ2122" s="1"/>
      <c r="BA2122" s="1"/>
      <c r="BB2122" s="1"/>
      <c r="BC2122" s="1"/>
      <c r="BD2122" s="1"/>
      <c r="BE2122" s="1"/>
      <c r="BF2122" s="1"/>
      <c r="BG2122" s="1"/>
      <c r="BH2122" s="1"/>
      <c r="BI2122" s="1"/>
      <c r="BJ2122" s="1"/>
      <c r="BK2122" s="1"/>
      <c r="BL2122" s="1"/>
      <c r="BM2122" s="1"/>
      <c r="BN2122" s="1"/>
      <c r="BO2122" s="1"/>
      <c r="BP2122" s="1"/>
      <c r="BQ2122" s="1"/>
      <c r="BR2122" s="1"/>
      <c r="BS2122" s="1"/>
      <c r="BT2122" s="1"/>
      <c r="BU2122" s="1"/>
      <c r="BV2122" s="1"/>
      <c r="BW2122" s="1"/>
      <c r="BX2122" s="1"/>
      <c r="BY2122" s="1"/>
      <c r="BZ2122" s="1"/>
      <c r="CA2122" s="1"/>
      <c r="CB2122" s="1"/>
      <c r="CC2122" s="1"/>
      <c r="CD2122" s="1"/>
      <c r="CE2122" s="1"/>
      <c r="CF2122" s="1"/>
      <c r="CG2122" s="1"/>
      <c r="CH2122" s="1"/>
      <c r="CI2122" s="1"/>
      <c r="CJ2122" s="1"/>
      <c r="CK2122" s="1"/>
      <c r="CL2122" s="1"/>
      <c r="CM2122" s="1"/>
      <c r="CN2122" s="1"/>
      <c r="CO2122" s="1"/>
      <c r="CP2122" s="1"/>
      <c r="CQ2122" s="1"/>
      <c r="CR2122" s="1"/>
      <c r="CS2122" s="1"/>
      <c r="CT2122" s="1"/>
      <c r="CU2122" s="1"/>
      <c r="CV2122" s="1"/>
      <c r="CW2122" s="1"/>
      <c r="CX2122" s="1"/>
      <c r="CY2122" s="1"/>
      <c r="CZ2122" s="1"/>
      <c r="DA2122" s="1"/>
      <c r="DB2122" s="1"/>
      <c r="DC2122" s="1"/>
    </row>
    <row r="2123" spans="1:107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  <c r="AC2123" s="1"/>
      <c r="AD2123" s="1"/>
      <c r="AE2123" s="1"/>
      <c r="AF2123" s="1"/>
      <c r="AG2123" s="1"/>
      <c r="AH2123" s="1"/>
      <c r="AI2123" s="1"/>
      <c r="AJ2123" s="1"/>
      <c r="AK2123" s="1"/>
      <c r="AL2123" s="1"/>
      <c r="AM2123" s="1"/>
      <c r="AN2123" s="1"/>
      <c r="AO2123" s="1"/>
      <c r="AP2123" s="1"/>
      <c r="AQ2123" s="1"/>
      <c r="AR2123" s="1"/>
      <c r="AS2123" s="1"/>
      <c r="AT2123" s="1"/>
      <c r="AU2123" s="1"/>
      <c r="AV2123" s="1"/>
      <c r="AW2123" s="1"/>
      <c r="AX2123" s="1"/>
      <c r="AY2123" s="1"/>
      <c r="AZ2123" s="1"/>
      <c r="BA2123" s="1"/>
      <c r="BB2123" s="1"/>
      <c r="BC2123" s="1"/>
      <c r="BD2123" s="1"/>
      <c r="BE2123" s="1"/>
      <c r="BF2123" s="1"/>
      <c r="BG2123" s="1"/>
      <c r="BH2123" s="1"/>
      <c r="BI2123" s="1"/>
      <c r="BJ2123" s="1"/>
      <c r="BK2123" s="1"/>
      <c r="BL2123" s="1"/>
      <c r="BM2123" s="1"/>
      <c r="BN2123" s="1"/>
      <c r="BO2123" s="1"/>
      <c r="BP2123" s="1"/>
      <c r="BQ2123" s="1"/>
      <c r="BR2123" s="1"/>
      <c r="BS2123" s="1"/>
      <c r="BT2123" s="1"/>
      <c r="BU2123" s="1"/>
      <c r="BV2123" s="1"/>
      <c r="BW2123" s="1"/>
      <c r="BX2123" s="1"/>
      <c r="BY2123" s="1"/>
      <c r="BZ2123" s="1"/>
      <c r="CA2123" s="1"/>
      <c r="CB2123" s="1"/>
      <c r="CC2123" s="1"/>
      <c r="CD2123" s="1"/>
      <c r="CE2123" s="1"/>
      <c r="CF2123" s="1"/>
      <c r="CG2123" s="1"/>
      <c r="CH2123" s="1"/>
      <c r="CI2123" s="1"/>
      <c r="CJ2123" s="1"/>
      <c r="CK2123" s="1"/>
      <c r="CL2123" s="1"/>
      <c r="CM2123" s="1"/>
      <c r="CN2123" s="1"/>
      <c r="CO2123" s="1"/>
      <c r="CP2123" s="1"/>
      <c r="CQ2123" s="1"/>
      <c r="CR2123" s="1"/>
      <c r="CS2123" s="1"/>
      <c r="CT2123" s="1"/>
      <c r="CU2123" s="1"/>
      <c r="CV2123" s="1"/>
      <c r="CW2123" s="1"/>
      <c r="CX2123" s="1"/>
      <c r="CY2123" s="1"/>
      <c r="CZ2123" s="1"/>
      <c r="DA2123" s="1"/>
      <c r="DB2123" s="1"/>
      <c r="DC2123" s="1"/>
    </row>
    <row r="2124" spans="1:107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  <c r="AC2124" s="1"/>
      <c r="AD2124" s="1"/>
      <c r="AE2124" s="1"/>
      <c r="AF2124" s="1"/>
      <c r="AG2124" s="1"/>
      <c r="AH2124" s="1"/>
      <c r="AI2124" s="1"/>
      <c r="AJ2124" s="1"/>
      <c r="AK2124" s="1"/>
      <c r="AL2124" s="1"/>
      <c r="AM2124" s="1"/>
      <c r="AN2124" s="1"/>
      <c r="AO2124" s="1"/>
      <c r="AP2124" s="1"/>
      <c r="AQ2124" s="1"/>
      <c r="AR2124" s="1"/>
      <c r="AS2124" s="1"/>
      <c r="AT2124" s="1"/>
      <c r="AU2124" s="1"/>
      <c r="AV2124" s="1"/>
      <c r="AW2124" s="1"/>
      <c r="AX2124" s="1"/>
      <c r="AY2124" s="1"/>
      <c r="AZ2124" s="1"/>
      <c r="BA2124" s="1"/>
      <c r="BB2124" s="1"/>
      <c r="BC2124" s="1"/>
      <c r="BD2124" s="1"/>
      <c r="BE2124" s="1"/>
      <c r="BF2124" s="1"/>
      <c r="BG2124" s="1"/>
      <c r="BH2124" s="1"/>
      <c r="BI2124" s="1"/>
      <c r="BJ2124" s="1"/>
      <c r="BK2124" s="1"/>
      <c r="BL2124" s="1"/>
      <c r="BM2124" s="1"/>
      <c r="BN2124" s="1"/>
      <c r="BO2124" s="1"/>
      <c r="BP2124" s="1"/>
      <c r="BQ2124" s="1"/>
      <c r="BR2124" s="1"/>
      <c r="BS2124" s="1"/>
      <c r="BT2124" s="1"/>
      <c r="BU2124" s="1"/>
      <c r="BV2124" s="1"/>
      <c r="BW2124" s="1"/>
      <c r="BX2124" s="1"/>
      <c r="BY2124" s="1"/>
      <c r="BZ2124" s="1"/>
      <c r="CA2124" s="1"/>
      <c r="CB2124" s="1"/>
      <c r="CC2124" s="1"/>
      <c r="CD2124" s="1"/>
      <c r="CE2124" s="1"/>
      <c r="CF2124" s="1"/>
      <c r="CG2124" s="1"/>
      <c r="CH2124" s="1"/>
      <c r="CI2124" s="1"/>
      <c r="CJ2124" s="1"/>
      <c r="CK2124" s="1"/>
      <c r="CL2124" s="1"/>
      <c r="CM2124" s="1"/>
      <c r="CN2124" s="1"/>
      <c r="CO2124" s="1"/>
      <c r="CP2124" s="1"/>
      <c r="CQ2124" s="1"/>
      <c r="CR2124" s="1"/>
      <c r="CS2124" s="1"/>
      <c r="CT2124" s="1"/>
      <c r="CU2124" s="1"/>
      <c r="CV2124" s="1"/>
      <c r="CW2124" s="1"/>
      <c r="CX2124" s="1"/>
      <c r="CY2124" s="1"/>
      <c r="CZ2124" s="1"/>
      <c r="DA2124" s="1"/>
      <c r="DB2124" s="1"/>
      <c r="DC2124" s="1"/>
    </row>
    <row r="2125" spans="1:107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1"/>
      <c r="AD2125" s="1"/>
      <c r="AE2125" s="1"/>
      <c r="AF2125" s="1"/>
      <c r="AG2125" s="1"/>
      <c r="AH2125" s="1"/>
      <c r="AI2125" s="1"/>
      <c r="AJ2125" s="1"/>
      <c r="AK2125" s="1"/>
      <c r="AL2125" s="1"/>
      <c r="AM2125" s="1"/>
      <c r="AN2125" s="1"/>
      <c r="AO2125" s="1"/>
      <c r="AP2125" s="1"/>
      <c r="AQ2125" s="1"/>
      <c r="AR2125" s="1"/>
      <c r="AS2125" s="1"/>
      <c r="AT2125" s="1"/>
      <c r="AU2125" s="1"/>
      <c r="AV2125" s="1"/>
      <c r="AW2125" s="1"/>
      <c r="AX2125" s="1"/>
      <c r="AY2125" s="1"/>
      <c r="AZ2125" s="1"/>
      <c r="BA2125" s="1"/>
      <c r="BB2125" s="1"/>
      <c r="BC2125" s="1"/>
      <c r="BD2125" s="1"/>
      <c r="BE2125" s="1"/>
      <c r="BF2125" s="1"/>
      <c r="BG2125" s="1"/>
      <c r="BH2125" s="1"/>
      <c r="BI2125" s="1"/>
      <c r="BJ2125" s="1"/>
      <c r="BK2125" s="1"/>
      <c r="BL2125" s="1"/>
      <c r="BM2125" s="1"/>
      <c r="BN2125" s="1"/>
      <c r="BO2125" s="1"/>
      <c r="BP2125" s="1"/>
      <c r="BQ2125" s="1"/>
      <c r="BR2125" s="1"/>
      <c r="BS2125" s="1"/>
      <c r="BT2125" s="1"/>
      <c r="BU2125" s="1"/>
      <c r="BV2125" s="1"/>
      <c r="BW2125" s="1"/>
      <c r="BX2125" s="1"/>
      <c r="BY2125" s="1"/>
      <c r="BZ2125" s="1"/>
      <c r="CA2125" s="1"/>
      <c r="CB2125" s="1"/>
      <c r="CC2125" s="1"/>
      <c r="CD2125" s="1"/>
      <c r="CE2125" s="1"/>
      <c r="CF2125" s="1"/>
      <c r="CG2125" s="1"/>
      <c r="CH2125" s="1"/>
      <c r="CI2125" s="1"/>
      <c r="CJ2125" s="1"/>
      <c r="CK2125" s="1"/>
      <c r="CL2125" s="1"/>
      <c r="CM2125" s="1"/>
      <c r="CN2125" s="1"/>
      <c r="CO2125" s="1"/>
      <c r="CP2125" s="1"/>
      <c r="CQ2125" s="1"/>
      <c r="CR2125" s="1"/>
      <c r="CS2125" s="1"/>
      <c r="CT2125" s="1"/>
      <c r="CU2125" s="1"/>
      <c r="CV2125" s="1"/>
      <c r="CW2125" s="1"/>
      <c r="CX2125" s="1"/>
      <c r="CY2125" s="1"/>
      <c r="CZ2125" s="1"/>
      <c r="DA2125" s="1"/>
      <c r="DB2125" s="1"/>
      <c r="DC2125" s="1"/>
    </row>
    <row r="2126" spans="1:107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1"/>
      <c r="AD2126" s="1"/>
      <c r="AE2126" s="1"/>
      <c r="AF2126" s="1"/>
      <c r="AG2126" s="1"/>
      <c r="AH2126" s="1"/>
      <c r="AI2126" s="1"/>
      <c r="AJ2126" s="1"/>
      <c r="AK2126" s="1"/>
      <c r="AL2126" s="1"/>
      <c r="AM2126" s="1"/>
      <c r="AN2126" s="1"/>
      <c r="AO2126" s="1"/>
      <c r="AP2126" s="1"/>
      <c r="AQ2126" s="1"/>
      <c r="AR2126" s="1"/>
      <c r="AS2126" s="1"/>
      <c r="AT2126" s="1"/>
      <c r="AU2126" s="1"/>
      <c r="AV2126" s="1"/>
      <c r="AW2126" s="1"/>
      <c r="AX2126" s="1"/>
      <c r="AY2126" s="1"/>
      <c r="AZ2126" s="1"/>
      <c r="BA2126" s="1"/>
      <c r="BB2126" s="1"/>
      <c r="BC2126" s="1"/>
      <c r="BD2126" s="1"/>
      <c r="BE2126" s="1"/>
      <c r="BF2126" s="1"/>
      <c r="BG2126" s="1"/>
      <c r="BH2126" s="1"/>
      <c r="BI2126" s="1"/>
      <c r="BJ2126" s="1"/>
      <c r="BK2126" s="1"/>
      <c r="BL2126" s="1"/>
      <c r="BM2126" s="1"/>
      <c r="BN2126" s="1"/>
      <c r="BO2126" s="1"/>
      <c r="BP2126" s="1"/>
      <c r="BQ2126" s="1"/>
      <c r="BR2126" s="1"/>
      <c r="BS2126" s="1"/>
      <c r="BT2126" s="1"/>
      <c r="BU2126" s="1"/>
      <c r="BV2126" s="1"/>
      <c r="BW2126" s="1"/>
      <c r="BX2126" s="1"/>
      <c r="BY2126" s="1"/>
      <c r="BZ2126" s="1"/>
      <c r="CA2126" s="1"/>
      <c r="CB2126" s="1"/>
      <c r="CC2126" s="1"/>
      <c r="CD2126" s="1"/>
      <c r="CE2126" s="1"/>
      <c r="CF2126" s="1"/>
      <c r="CG2126" s="1"/>
      <c r="CH2126" s="1"/>
      <c r="CI2126" s="1"/>
      <c r="CJ2126" s="1"/>
      <c r="CK2126" s="1"/>
      <c r="CL2126" s="1"/>
      <c r="CM2126" s="1"/>
      <c r="CN2126" s="1"/>
      <c r="CO2126" s="1"/>
      <c r="CP2126" s="1"/>
      <c r="CQ2126" s="1"/>
      <c r="CR2126" s="1"/>
      <c r="CS2126" s="1"/>
      <c r="CT2126" s="1"/>
      <c r="CU2126" s="1"/>
      <c r="CV2126" s="1"/>
      <c r="CW2126" s="1"/>
      <c r="CX2126" s="1"/>
      <c r="CY2126" s="1"/>
      <c r="CZ2126" s="1"/>
      <c r="DA2126" s="1"/>
      <c r="DB2126" s="1"/>
      <c r="DC2126" s="1"/>
    </row>
    <row r="2127" spans="1:107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  <c r="AC2127" s="1"/>
      <c r="AD2127" s="1"/>
      <c r="AE2127" s="1"/>
      <c r="AF2127" s="1"/>
      <c r="AG2127" s="1"/>
      <c r="AH2127" s="1"/>
      <c r="AI2127" s="1"/>
      <c r="AJ2127" s="1"/>
      <c r="AK2127" s="1"/>
      <c r="AL2127" s="1"/>
      <c r="AM2127" s="1"/>
      <c r="AN2127" s="1"/>
      <c r="AO2127" s="1"/>
      <c r="AP2127" s="1"/>
      <c r="AQ2127" s="1"/>
      <c r="AR2127" s="1"/>
      <c r="AS2127" s="1"/>
      <c r="AT2127" s="1"/>
      <c r="AU2127" s="1"/>
      <c r="AV2127" s="1"/>
      <c r="AW2127" s="1"/>
      <c r="AX2127" s="1"/>
      <c r="AY2127" s="1"/>
      <c r="AZ2127" s="1"/>
      <c r="BA2127" s="1"/>
      <c r="BB2127" s="1"/>
      <c r="BC2127" s="1"/>
      <c r="BD2127" s="1"/>
      <c r="BE2127" s="1"/>
      <c r="BF2127" s="1"/>
      <c r="BG2127" s="1"/>
      <c r="BH2127" s="1"/>
      <c r="BI2127" s="1"/>
      <c r="BJ2127" s="1"/>
      <c r="BK2127" s="1"/>
      <c r="BL2127" s="1"/>
      <c r="BM2127" s="1"/>
      <c r="BN2127" s="1"/>
      <c r="BO2127" s="1"/>
      <c r="BP2127" s="1"/>
      <c r="BQ2127" s="1"/>
      <c r="BR2127" s="1"/>
      <c r="BS2127" s="1"/>
      <c r="BT2127" s="1"/>
      <c r="BU2127" s="1"/>
      <c r="BV2127" s="1"/>
      <c r="BW2127" s="1"/>
      <c r="BX2127" s="1"/>
      <c r="BY2127" s="1"/>
      <c r="BZ2127" s="1"/>
      <c r="CA2127" s="1"/>
      <c r="CB2127" s="1"/>
      <c r="CC2127" s="1"/>
      <c r="CD2127" s="1"/>
      <c r="CE2127" s="1"/>
      <c r="CF2127" s="1"/>
      <c r="CG2127" s="1"/>
      <c r="CH2127" s="1"/>
      <c r="CI2127" s="1"/>
      <c r="CJ2127" s="1"/>
      <c r="CK2127" s="1"/>
      <c r="CL2127" s="1"/>
      <c r="CM2127" s="1"/>
      <c r="CN2127" s="1"/>
      <c r="CO2127" s="1"/>
      <c r="CP2127" s="1"/>
      <c r="CQ2127" s="1"/>
      <c r="CR2127" s="1"/>
      <c r="CS2127" s="1"/>
      <c r="CT2127" s="1"/>
      <c r="CU2127" s="1"/>
      <c r="CV2127" s="1"/>
      <c r="CW2127" s="1"/>
      <c r="CX2127" s="1"/>
      <c r="CY2127" s="1"/>
      <c r="CZ2127" s="1"/>
      <c r="DA2127" s="1"/>
      <c r="DB2127" s="1"/>
      <c r="DC2127" s="1"/>
    </row>
    <row r="2128" spans="1:107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s="1"/>
      <c r="AD2128" s="1"/>
      <c r="AE2128" s="1"/>
      <c r="AF2128" s="1"/>
      <c r="AG2128" s="1"/>
      <c r="AH2128" s="1"/>
      <c r="AI2128" s="1"/>
      <c r="AJ2128" s="1"/>
      <c r="AK2128" s="1"/>
      <c r="AL2128" s="1"/>
      <c r="AM2128" s="1"/>
      <c r="AN2128" s="1"/>
      <c r="AO2128" s="1"/>
      <c r="AP2128" s="1"/>
      <c r="AQ2128" s="1"/>
      <c r="AR2128" s="1"/>
      <c r="AS2128" s="1"/>
      <c r="AT2128" s="1"/>
      <c r="AU2128" s="1"/>
      <c r="AV2128" s="1"/>
      <c r="AW2128" s="1"/>
      <c r="AX2128" s="1"/>
      <c r="AY2128" s="1"/>
      <c r="AZ2128" s="1"/>
      <c r="BA2128" s="1"/>
      <c r="BB2128" s="1"/>
      <c r="BC2128" s="1"/>
      <c r="BD2128" s="1"/>
      <c r="BE2128" s="1"/>
      <c r="BF2128" s="1"/>
      <c r="BG2128" s="1"/>
      <c r="BH2128" s="1"/>
      <c r="BI2128" s="1"/>
      <c r="BJ2128" s="1"/>
      <c r="BK2128" s="1"/>
      <c r="BL2128" s="1"/>
      <c r="BM2128" s="1"/>
      <c r="BN2128" s="1"/>
      <c r="BO2128" s="1"/>
      <c r="BP2128" s="1"/>
      <c r="BQ2128" s="1"/>
      <c r="BR2128" s="1"/>
      <c r="BS2128" s="1"/>
      <c r="BT2128" s="1"/>
      <c r="BU2128" s="1"/>
      <c r="BV2128" s="1"/>
      <c r="BW2128" s="1"/>
      <c r="BX2128" s="1"/>
      <c r="BY2128" s="1"/>
      <c r="BZ2128" s="1"/>
      <c r="CA2128" s="1"/>
      <c r="CB2128" s="1"/>
      <c r="CC2128" s="1"/>
      <c r="CD2128" s="1"/>
      <c r="CE2128" s="1"/>
      <c r="CF2128" s="1"/>
      <c r="CG2128" s="1"/>
      <c r="CH2128" s="1"/>
      <c r="CI2128" s="1"/>
      <c r="CJ2128" s="1"/>
      <c r="CK2128" s="1"/>
      <c r="CL2128" s="1"/>
      <c r="CM2128" s="1"/>
      <c r="CN2128" s="1"/>
      <c r="CO2128" s="1"/>
      <c r="CP2128" s="1"/>
      <c r="CQ2128" s="1"/>
      <c r="CR2128" s="1"/>
      <c r="CS2128" s="1"/>
      <c r="CT2128" s="1"/>
      <c r="CU2128" s="1"/>
      <c r="CV2128" s="1"/>
      <c r="CW2128" s="1"/>
      <c r="CX2128" s="1"/>
      <c r="CY2128" s="1"/>
      <c r="CZ2128" s="1"/>
      <c r="DA2128" s="1"/>
      <c r="DB2128" s="1"/>
      <c r="DC2128" s="1"/>
    </row>
    <row r="2129" spans="1:107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  <c r="AD2129" s="1"/>
      <c r="AE2129" s="1"/>
      <c r="AF2129" s="1"/>
      <c r="AG2129" s="1"/>
      <c r="AH2129" s="1"/>
      <c r="AI2129" s="1"/>
      <c r="AJ2129" s="1"/>
      <c r="AK2129" s="1"/>
      <c r="AL2129" s="1"/>
      <c r="AM2129" s="1"/>
      <c r="AN2129" s="1"/>
      <c r="AO2129" s="1"/>
      <c r="AP2129" s="1"/>
      <c r="AQ2129" s="1"/>
      <c r="AR2129" s="1"/>
      <c r="AS2129" s="1"/>
      <c r="AT2129" s="1"/>
      <c r="AU2129" s="1"/>
      <c r="AV2129" s="1"/>
      <c r="AW2129" s="1"/>
      <c r="AX2129" s="1"/>
      <c r="AY2129" s="1"/>
      <c r="AZ2129" s="1"/>
      <c r="BA2129" s="1"/>
      <c r="BB2129" s="1"/>
      <c r="BC2129" s="1"/>
      <c r="BD2129" s="1"/>
      <c r="BE2129" s="1"/>
      <c r="BF2129" s="1"/>
      <c r="BG2129" s="1"/>
      <c r="BH2129" s="1"/>
      <c r="BI2129" s="1"/>
      <c r="BJ2129" s="1"/>
      <c r="BK2129" s="1"/>
      <c r="BL2129" s="1"/>
      <c r="BM2129" s="1"/>
      <c r="BN2129" s="1"/>
      <c r="BO2129" s="1"/>
      <c r="BP2129" s="1"/>
      <c r="BQ2129" s="1"/>
      <c r="BR2129" s="1"/>
      <c r="BS2129" s="1"/>
      <c r="BT2129" s="1"/>
      <c r="BU2129" s="1"/>
      <c r="BV2129" s="1"/>
      <c r="BW2129" s="1"/>
      <c r="BX2129" s="1"/>
      <c r="BY2129" s="1"/>
      <c r="BZ2129" s="1"/>
      <c r="CA2129" s="1"/>
      <c r="CB2129" s="1"/>
      <c r="CC2129" s="1"/>
      <c r="CD2129" s="1"/>
      <c r="CE2129" s="1"/>
      <c r="CF2129" s="1"/>
      <c r="CG2129" s="1"/>
      <c r="CH2129" s="1"/>
      <c r="CI2129" s="1"/>
      <c r="CJ2129" s="1"/>
      <c r="CK2129" s="1"/>
      <c r="CL2129" s="1"/>
      <c r="CM2129" s="1"/>
      <c r="CN2129" s="1"/>
      <c r="CO2129" s="1"/>
      <c r="CP2129" s="1"/>
      <c r="CQ2129" s="1"/>
      <c r="CR2129" s="1"/>
      <c r="CS2129" s="1"/>
      <c r="CT2129" s="1"/>
      <c r="CU2129" s="1"/>
      <c r="CV2129" s="1"/>
      <c r="CW2129" s="1"/>
      <c r="CX2129" s="1"/>
      <c r="CY2129" s="1"/>
      <c r="CZ2129" s="1"/>
      <c r="DA2129" s="1"/>
      <c r="DB2129" s="1"/>
      <c r="DC2129" s="1"/>
    </row>
    <row r="2130" spans="1:107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1"/>
      <c r="AD2130" s="1"/>
      <c r="AE2130" s="1"/>
      <c r="AF2130" s="1"/>
      <c r="AG2130" s="1"/>
      <c r="AH2130" s="1"/>
      <c r="AI2130" s="1"/>
      <c r="AJ2130" s="1"/>
      <c r="AK2130" s="1"/>
      <c r="AL2130" s="1"/>
      <c r="AM2130" s="1"/>
      <c r="AN2130" s="1"/>
      <c r="AO2130" s="1"/>
      <c r="AP2130" s="1"/>
      <c r="AQ2130" s="1"/>
      <c r="AR2130" s="1"/>
      <c r="AS2130" s="1"/>
      <c r="AT2130" s="1"/>
      <c r="AU2130" s="1"/>
      <c r="AV2130" s="1"/>
      <c r="AW2130" s="1"/>
      <c r="AX2130" s="1"/>
      <c r="AY2130" s="1"/>
      <c r="AZ2130" s="1"/>
      <c r="BA2130" s="1"/>
      <c r="BB2130" s="1"/>
      <c r="BC2130" s="1"/>
      <c r="BD2130" s="1"/>
      <c r="BE2130" s="1"/>
      <c r="BF2130" s="1"/>
      <c r="BG2130" s="1"/>
      <c r="BH2130" s="1"/>
      <c r="BI2130" s="1"/>
      <c r="BJ2130" s="1"/>
      <c r="BK2130" s="1"/>
      <c r="BL2130" s="1"/>
      <c r="BM2130" s="1"/>
      <c r="BN2130" s="1"/>
      <c r="BO2130" s="1"/>
      <c r="BP2130" s="1"/>
      <c r="BQ2130" s="1"/>
      <c r="BR2130" s="1"/>
      <c r="BS2130" s="1"/>
      <c r="BT2130" s="1"/>
      <c r="BU2130" s="1"/>
      <c r="BV2130" s="1"/>
      <c r="BW2130" s="1"/>
      <c r="BX2130" s="1"/>
      <c r="BY2130" s="1"/>
      <c r="BZ2130" s="1"/>
      <c r="CA2130" s="1"/>
      <c r="CB2130" s="1"/>
      <c r="CC2130" s="1"/>
      <c r="CD2130" s="1"/>
      <c r="CE2130" s="1"/>
      <c r="CF2130" s="1"/>
      <c r="CG2130" s="1"/>
      <c r="CH2130" s="1"/>
      <c r="CI2130" s="1"/>
      <c r="CJ2130" s="1"/>
      <c r="CK2130" s="1"/>
      <c r="CL2130" s="1"/>
      <c r="CM2130" s="1"/>
      <c r="CN2130" s="1"/>
      <c r="CO2130" s="1"/>
      <c r="CP2130" s="1"/>
      <c r="CQ2130" s="1"/>
      <c r="CR2130" s="1"/>
      <c r="CS2130" s="1"/>
      <c r="CT2130" s="1"/>
      <c r="CU2130" s="1"/>
      <c r="CV2130" s="1"/>
      <c r="CW2130" s="1"/>
      <c r="CX2130" s="1"/>
      <c r="CY2130" s="1"/>
      <c r="CZ2130" s="1"/>
      <c r="DA2130" s="1"/>
      <c r="DB2130" s="1"/>
      <c r="DC2130" s="1"/>
    </row>
    <row r="2131" spans="1:107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  <c r="AC2131" s="1"/>
      <c r="AD2131" s="1"/>
      <c r="AE2131" s="1"/>
      <c r="AF2131" s="1"/>
      <c r="AG2131" s="1"/>
      <c r="AH2131" s="1"/>
      <c r="AI2131" s="1"/>
      <c r="AJ2131" s="1"/>
      <c r="AK2131" s="1"/>
      <c r="AL2131" s="1"/>
      <c r="AM2131" s="1"/>
      <c r="AN2131" s="1"/>
      <c r="AO2131" s="1"/>
      <c r="AP2131" s="1"/>
      <c r="AQ2131" s="1"/>
      <c r="AR2131" s="1"/>
      <c r="AS2131" s="1"/>
      <c r="AT2131" s="1"/>
      <c r="AU2131" s="1"/>
      <c r="AV2131" s="1"/>
      <c r="AW2131" s="1"/>
      <c r="AX2131" s="1"/>
      <c r="AY2131" s="1"/>
      <c r="AZ2131" s="1"/>
      <c r="BA2131" s="1"/>
      <c r="BB2131" s="1"/>
      <c r="BC2131" s="1"/>
      <c r="BD2131" s="1"/>
      <c r="BE2131" s="1"/>
      <c r="BF2131" s="1"/>
      <c r="BG2131" s="1"/>
      <c r="BH2131" s="1"/>
      <c r="BI2131" s="1"/>
      <c r="BJ2131" s="1"/>
      <c r="BK2131" s="1"/>
      <c r="BL2131" s="1"/>
      <c r="BM2131" s="1"/>
      <c r="BN2131" s="1"/>
      <c r="BO2131" s="1"/>
      <c r="BP2131" s="1"/>
      <c r="BQ2131" s="1"/>
      <c r="BR2131" s="1"/>
      <c r="BS2131" s="1"/>
      <c r="BT2131" s="1"/>
      <c r="BU2131" s="1"/>
      <c r="BV2131" s="1"/>
      <c r="BW2131" s="1"/>
      <c r="BX2131" s="1"/>
      <c r="BY2131" s="1"/>
      <c r="BZ2131" s="1"/>
      <c r="CA2131" s="1"/>
      <c r="CB2131" s="1"/>
      <c r="CC2131" s="1"/>
      <c r="CD2131" s="1"/>
      <c r="CE2131" s="1"/>
      <c r="CF2131" s="1"/>
      <c r="CG2131" s="1"/>
      <c r="CH2131" s="1"/>
      <c r="CI2131" s="1"/>
      <c r="CJ2131" s="1"/>
      <c r="CK2131" s="1"/>
      <c r="CL2131" s="1"/>
      <c r="CM2131" s="1"/>
      <c r="CN2131" s="1"/>
      <c r="CO2131" s="1"/>
      <c r="CP2131" s="1"/>
      <c r="CQ2131" s="1"/>
      <c r="CR2131" s="1"/>
      <c r="CS2131" s="1"/>
      <c r="CT2131" s="1"/>
      <c r="CU2131" s="1"/>
      <c r="CV2131" s="1"/>
      <c r="CW2131" s="1"/>
      <c r="CX2131" s="1"/>
      <c r="CY2131" s="1"/>
      <c r="CZ2131" s="1"/>
      <c r="DA2131" s="1"/>
      <c r="DB2131" s="1"/>
      <c r="DC2131" s="1"/>
    </row>
    <row r="2132" spans="1:107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  <c r="AC2132" s="1"/>
      <c r="AD2132" s="1"/>
      <c r="AE2132" s="1"/>
      <c r="AF2132" s="1"/>
      <c r="AG2132" s="1"/>
      <c r="AH2132" s="1"/>
      <c r="AI2132" s="1"/>
      <c r="AJ2132" s="1"/>
      <c r="AK2132" s="1"/>
      <c r="AL2132" s="1"/>
      <c r="AM2132" s="1"/>
      <c r="AN2132" s="1"/>
      <c r="AO2132" s="1"/>
      <c r="AP2132" s="1"/>
      <c r="AQ2132" s="1"/>
      <c r="AR2132" s="1"/>
      <c r="AS2132" s="1"/>
      <c r="AT2132" s="1"/>
      <c r="AU2132" s="1"/>
      <c r="AV2132" s="1"/>
      <c r="AW2132" s="1"/>
      <c r="AX2132" s="1"/>
      <c r="AY2132" s="1"/>
      <c r="AZ2132" s="1"/>
      <c r="BA2132" s="1"/>
      <c r="BB2132" s="1"/>
      <c r="BC2132" s="1"/>
      <c r="BD2132" s="1"/>
      <c r="BE2132" s="1"/>
      <c r="BF2132" s="1"/>
      <c r="BG2132" s="1"/>
      <c r="BH2132" s="1"/>
      <c r="BI2132" s="1"/>
      <c r="BJ2132" s="1"/>
      <c r="BK2132" s="1"/>
      <c r="BL2132" s="1"/>
      <c r="BM2132" s="1"/>
      <c r="BN2132" s="1"/>
      <c r="BO2132" s="1"/>
      <c r="BP2132" s="1"/>
      <c r="BQ2132" s="1"/>
      <c r="BR2132" s="1"/>
      <c r="BS2132" s="1"/>
      <c r="BT2132" s="1"/>
      <c r="BU2132" s="1"/>
      <c r="BV2132" s="1"/>
      <c r="BW2132" s="1"/>
      <c r="BX2132" s="1"/>
      <c r="BY2132" s="1"/>
      <c r="BZ2132" s="1"/>
      <c r="CA2132" s="1"/>
      <c r="CB2132" s="1"/>
      <c r="CC2132" s="1"/>
      <c r="CD2132" s="1"/>
      <c r="CE2132" s="1"/>
      <c r="CF2132" s="1"/>
      <c r="CG2132" s="1"/>
      <c r="CH2132" s="1"/>
      <c r="CI2132" s="1"/>
      <c r="CJ2132" s="1"/>
      <c r="CK2132" s="1"/>
      <c r="CL2132" s="1"/>
      <c r="CM2132" s="1"/>
      <c r="CN2132" s="1"/>
      <c r="CO2132" s="1"/>
      <c r="CP2132" s="1"/>
      <c r="CQ2132" s="1"/>
      <c r="CR2132" s="1"/>
      <c r="CS2132" s="1"/>
      <c r="CT2132" s="1"/>
      <c r="CU2132" s="1"/>
      <c r="CV2132" s="1"/>
      <c r="CW2132" s="1"/>
      <c r="CX2132" s="1"/>
      <c r="CY2132" s="1"/>
      <c r="CZ2132" s="1"/>
      <c r="DA2132" s="1"/>
      <c r="DB2132" s="1"/>
      <c r="DC2132" s="1"/>
    </row>
    <row r="2133" spans="1:107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  <c r="AC2133" s="1"/>
      <c r="AD2133" s="1"/>
      <c r="AE2133" s="1"/>
      <c r="AF2133" s="1"/>
      <c r="AG2133" s="1"/>
      <c r="AH2133" s="1"/>
      <c r="AI2133" s="1"/>
      <c r="AJ2133" s="1"/>
      <c r="AK2133" s="1"/>
      <c r="AL2133" s="1"/>
      <c r="AM2133" s="1"/>
      <c r="AN2133" s="1"/>
      <c r="AO2133" s="1"/>
      <c r="AP2133" s="1"/>
      <c r="AQ2133" s="1"/>
      <c r="AR2133" s="1"/>
      <c r="AS2133" s="1"/>
      <c r="AT2133" s="1"/>
      <c r="AU2133" s="1"/>
      <c r="AV2133" s="1"/>
      <c r="AW2133" s="1"/>
      <c r="AX2133" s="1"/>
      <c r="AY2133" s="1"/>
      <c r="AZ2133" s="1"/>
      <c r="BA2133" s="1"/>
      <c r="BB2133" s="1"/>
      <c r="BC2133" s="1"/>
      <c r="BD2133" s="1"/>
      <c r="BE2133" s="1"/>
      <c r="BF2133" s="1"/>
      <c r="BG2133" s="1"/>
      <c r="BH2133" s="1"/>
      <c r="BI2133" s="1"/>
      <c r="BJ2133" s="1"/>
      <c r="BK2133" s="1"/>
      <c r="BL2133" s="1"/>
      <c r="BM2133" s="1"/>
      <c r="BN2133" s="1"/>
      <c r="BO2133" s="1"/>
      <c r="BP2133" s="1"/>
      <c r="BQ2133" s="1"/>
      <c r="BR2133" s="1"/>
      <c r="BS2133" s="1"/>
      <c r="BT2133" s="1"/>
      <c r="BU2133" s="1"/>
      <c r="BV2133" s="1"/>
      <c r="BW2133" s="1"/>
      <c r="BX2133" s="1"/>
      <c r="BY2133" s="1"/>
      <c r="BZ2133" s="1"/>
      <c r="CA2133" s="1"/>
      <c r="CB2133" s="1"/>
      <c r="CC2133" s="1"/>
      <c r="CD2133" s="1"/>
      <c r="CE2133" s="1"/>
      <c r="CF2133" s="1"/>
      <c r="CG2133" s="1"/>
      <c r="CH2133" s="1"/>
      <c r="CI2133" s="1"/>
      <c r="CJ2133" s="1"/>
      <c r="CK2133" s="1"/>
      <c r="CL2133" s="1"/>
      <c r="CM2133" s="1"/>
      <c r="CN2133" s="1"/>
      <c r="CO2133" s="1"/>
      <c r="CP2133" s="1"/>
      <c r="CQ2133" s="1"/>
      <c r="CR2133" s="1"/>
      <c r="CS2133" s="1"/>
      <c r="CT2133" s="1"/>
      <c r="CU2133" s="1"/>
      <c r="CV2133" s="1"/>
      <c r="CW2133" s="1"/>
      <c r="CX2133" s="1"/>
      <c r="CY2133" s="1"/>
      <c r="CZ2133" s="1"/>
      <c r="DA2133" s="1"/>
      <c r="DB2133" s="1"/>
      <c r="DC2133" s="1"/>
    </row>
    <row r="2134" spans="1:107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1"/>
      <c r="AD2134" s="1"/>
      <c r="AE2134" s="1"/>
      <c r="AF2134" s="1"/>
      <c r="AG2134" s="1"/>
      <c r="AH2134" s="1"/>
      <c r="AI2134" s="1"/>
      <c r="AJ2134" s="1"/>
      <c r="AK2134" s="1"/>
      <c r="AL2134" s="1"/>
      <c r="AM2134" s="1"/>
      <c r="AN2134" s="1"/>
      <c r="AO2134" s="1"/>
      <c r="AP2134" s="1"/>
      <c r="AQ2134" s="1"/>
      <c r="AR2134" s="1"/>
      <c r="AS2134" s="1"/>
      <c r="AT2134" s="1"/>
      <c r="AU2134" s="1"/>
      <c r="AV2134" s="1"/>
      <c r="AW2134" s="1"/>
      <c r="AX2134" s="1"/>
      <c r="AY2134" s="1"/>
      <c r="AZ2134" s="1"/>
      <c r="BA2134" s="1"/>
      <c r="BB2134" s="1"/>
      <c r="BC2134" s="1"/>
      <c r="BD2134" s="1"/>
      <c r="BE2134" s="1"/>
      <c r="BF2134" s="1"/>
      <c r="BG2134" s="1"/>
      <c r="BH2134" s="1"/>
      <c r="BI2134" s="1"/>
      <c r="BJ2134" s="1"/>
      <c r="BK2134" s="1"/>
      <c r="BL2134" s="1"/>
      <c r="BM2134" s="1"/>
      <c r="BN2134" s="1"/>
      <c r="BO2134" s="1"/>
      <c r="BP2134" s="1"/>
      <c r="BQ2134" s="1"/>
      <c r="BR2134" s="1"/>
      <c r="BS2134" s="1"/>
      <c r="BT2134" s="1"/>
      <c r="BU2134" s="1"/>
      <c r="BV2134" s="1"/>
      <c r="BW2134" s="1"/>
      <c r="BX2134" s="1"/>
      <c r="BY2134" s="1"/>
      <c r="BZ2134" s="1"/>
      <c r="CA2134" s="1"/>
      <c r="CB2134" s="1"/>
      <c r="CC2134" s="1"/>
      <c r="CD2134" s="1"/>
      <c r="CE2134" s="1"/>
      <c r="CF2134" s="1"/>
      <c r="CG2134" s="1"/>
      <c r="CH2134" s="1"/>
      <c r="CI2134" s="1"/>
      <c r="CJ2134" s="1"/>
      <c r="CK2134" s="1"/>
      <c r="CL2134" s="1"/>
      <c r="CM2134" s="1"/>
      <c r="CN2134" s="1"/>
      <c r="CO2134" s="1"/>
      <c r="CP2134" s="1"/>
      <c r="CQ2134" s="1"/>
      <c r="CR2134" s="1"/>
      <c r="CS2134" s="1"/>
      <c r="CT2134" s="1"/>
      <c r="CU2134" s="1"/>
      <c r="CV2134" s="1"/>
      <c r="CW2134" s="1"/>
      <c r="CX2134" s="1"/>
      <c r="CY2134" s="1"/>
      <c r="CZ2134" s="1"/>
      <c r="DA2134" s="1"/>
      <c r="DB2134" s="1"/>
      <c r="DC2134" s="1"/>
    </row>
    <row r="2135" spans="1:107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  <c r="AD2135" s="1"/>
      <c r="AE2135" s="1"/>
      <c r="AF2135" s="1"/>
      <c r="AG2135" s="1"/>
      <c r="AH2135" s="1"/>
      <c r="AI2135" s="1"/>
      <c r="AJ2135" s="1"/>
      <c r="AK2135" s="1"/>
      <c r="AL2135" s="1"/>
      <c r="AM2135" s="1"/>
      <c r="AN2135" s="1"/>
      <c r="AO2135" s="1"/>
      <c r="AP2135" s="1"/>
      <c r="AQ2135" s="1"/>
      <c r="AR2135" s="1"/>
      <c r="AS2135" s="1"/>
      <c r="AT2135" s="1"/>
      <c r="AU2135" s="1"/>
      <c r="AV2135" s="1"/>
      <c r="AW2135" s="1"/>
      <c r="AX2135" s="1"/>
      <c r="AY2135" s="1"/>
      <c r="AZ2135" s="1"/>
      <c r="BA2135" s="1"/>
      <c r="BB2135" s="1"/>
      <c r="BC2135" s="1"/>
      <c r="BD2135" s="1"/>
      <c r="BE2135" s="1"/>
      <c r="BF2135" s="1"/>
      <c r="BG2135" s="1"/>
      <c r="BH2135" s="1"/>
      <c r="BI2135" s="1"/>
      <c r="BJ2135" s="1"/>
      <c r="BK2135" s="1"/>
      <c r="BL2135" s="1"/>
      <c r="BM2135" s="1"/>
      <c r="BN2135" s="1"/>
      <c r="BO2135" s="1"/>
      <c r="BP2135" s="1"/>
      <c r="BQ2135" s="1"/>
      <c r="BR2135" s="1"/>
      <c r="BS2135" s="1"/>
      <c r="BT2135" s="1"/>
      <c r="BU2135" s="1"/>
      <c r="BV2135" s="1"/>
      <c r="BW2135" s="1"/>
      <c r="BX2135" s="1"/>
      <c r="BY2135" s="1"/>
      <c r="BZ2135" s="1"/>
      <c r="CA2135" s="1"/>
      <c r="CB2135" s="1"/>
      <c r="CC2135" s="1"/>
      <c r="CD2135" s="1"/>
      <c r="CE2135" s="1"/>
      <c r="CF2135" s="1"/>
      <c r="CG2135" s="1"/>
      <c r="CH2135" s="1"/>
      <c r="CI2135" s="1"/>
      <c r="CJ2135" s="1"/>
      <c r="CK2135" s="1"/>
      <c r="CL2135" s="1"/>
      <c r="CM2135" s="1"/>
      <c r="CN2135" s="1"/>
      <c r="CO2135" s="1"/>
      <c r="CP2135" s="1"/>
      <c r="CQ2135" s="1"/>
      <c r="CR2135" s="1"/>
      <c r="CS2135" s="1"/>
      <c r="CT2135" s="1"/>
      <c r="CU2135" s="1"/>
      <c r="CV2135" s="1"/>
      <c r="CW2135" s="1"/>
      <c r="CX2135" s="1"/>
      <c r="CY2135" s="1"/>
      <c r="CZ2135" s="1"/>
      <c r="DA2135" s="1"/>
      <c r="DB2135" s="1"/>
      <c r="DC2135" s="1"/>
    </row>
    <row r="2136" spans="1:107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  <c r="AD2136" s="1"/>
      <c r="AE2136" s="1"/>
      <c r="AF2136" s="1"/>
      <c r="AG2136" s="1"/>
      <c r="AH2136" s="1"/>
      <c r="AI2136" s="1"/>
      <c r="AJ2136" s="1"/>
      <c r="AK2136" s="1"/>
      <c r="AL2136" s="1"/>
      <c r="AM2136" s="1"/>
      <c r="AN2136" s="1"/>
      <c r="AO2136" s="1"/>
      <c r="AP2136" s="1"/>
      <c r="AQ2136" s="1"/>
      <c r="AR2136" s="1"/>
      <c r="AS2136" s="1"/>
      <c r="AT2136" s="1"/>
      <c r="AU2136" s="1"/>
      <c r="AV2136" s="1"/>
      <c r="AW2136" s="1"/>
      <c r="AX2136" s="1"/>
      <c r="AY2136" s="1"/>
      <c r="AZ2136" s="1"/>
      <c r="BA2136" s="1"/>
      <c r="BB2136" s="1"/>
      <c r="BC2136" s="1"/>
      <c r="BD2136" s="1"/>
      <c r="BE2136" s="1"/>
      <c r="BF2136" s="1"/>
      <c r="BG2136" s="1"/>
      <c r="BH2136" s="1"/>
      <c r="BI2136" s="1"/>
      <c r="BJ2136" s="1"/>
      <c r="BK2136" s="1"/>
      <c r="BL2136" s="1"/>
      <c r="BM2136" s="1"/>
      <c r="BN2136" s="1"/>
      <c r="BO2136" s="1"/>
      <c r="BP2136" s="1"/>
      <c r="BQ2136" s="1"/>
      <c r="BR2136" s="1"/>
      <c r="BS2136" s="1"/>
      <c r="BT2136" s="1"/>
      <c r="BU2136" s="1"/>
      <c r="BV2136" s="1"/>
      <c r="BW2136" s="1"/>
      <c r="BX2136" s="1"/>
      <c r="BY2136" s="1"/>
      <c r="BZ2136" s="1"/>
      <c r="CA2136" s="1"/>
      <c r="CB2136" s="1"/>
      <c r="CC2136" s="1"/>
      <c r="CD2136" s="1"/>
      <c r="CE2136" s="1"/>
      <c r="CF2136" s="1"/>
      <c r="CG2136" s="1"/>
      <c r="CH2136" s="1"/>
      <c r="CI2136" s="1"/>
      <c r="CJ2136" s="1"/>
      <c r="CK2136" s="1"/>
      <c r="CL2136" s="1"/>
      <c r="CM2136" s="1"/>
      <c r="CN2136" s="1"/>
      <c r="CO2136" s="1"/>
      <c r="CP2136" s="1"/>
      <c r="CQ2136" s="1"/>
      <c r="CR2136" s="1"/>
      <c r="CS2136" s="1"/>
      <c r="CT2136" s="1"/>
      <c r="CU2136" s="1"/>
      <c r="CV2136" s="1"/>
      <c r="CW2136" s="1"/>
      <c r="CX2136" s="1"/>
      <c r="CY2136" s="1"/>
      <c r="CZ2136" s="1"/>
      <c r="DA2136" s="1"/>
      <c r="DB2136" s="1"/>
      <c r="DC2136" s="1"/>
    </row>
    <row r="2137" spans="1:107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  <c r="AC2137" s="1"/>
      <c r="AD2137" s="1"/>
      <c r="AE2137" s="1"/>
      <c r="AF2137" s="1"/>
      <c r="AG2137" s="1"/>
      <c r="AH2137" s="1"/>
      <c r="AI2137" s="1"/>
      <c r="AJ2137" s="1"/>
      <c r="AK2137" s="1"/>
      <c r="AL2137" s="1"/>
      <c r="AM2137" s="1"/>
      <c r="AN2137" s="1"/>
      <c r="AO2137" s="1"/>
      <c r="AP2137" s="1"/>
      <c r="AQ2137" s="1"/>
      <c r="AR2137" s="1"/>
      <c r="AS2137" s="1"/>
      <c r="AT2137" s="1"/>
      <c r="AU2137" s="1"/>
      <c r="AV2137" s="1"/>
      <c r="AW2137" s="1"/>
      <c r="AX2137" s="1"/>
      <c r="AY2137" s="1"/>
      <c r="AZ2137" s="1"/>
      <c r="BA2137" s="1"/>
      <c r="BB2137" s="1"/>
      <c r="BC2137" s="1"/>
      <c r="BD2137" s="1"/>
      <c r="BE2137" s="1"/>
      <c r="BF2137" s="1"/>
      <c r="BG2137" s="1"/>
      <c r="BH2137" s="1"/>
      <c r="BI2137" s="1"/>
      <c r="BJ2137" s="1"/>
      <c r="BK2137" s="1"/>
      <c r="BL2137" s="1"/>
      <c r="BM2137" s="1"/>
      <c r="BN2137" s="1"/>
      <c r="BO2137" s="1"/>
      <c r="BP2137" s="1"/>
      <c r="BQ2137" s="1"/>
      <c r="BR2137" s="1"/>
      <c r="BS2137" s="1"/>
      <c r="BT2137" s="1"/>
      <c r="BU2137" s="1"/>
      <c r="BV2137" s="1"/>
      <c r="BW2137" s="1"/>
      <c r="BX2137" s="1"/>
      <c r="BY2137" s="1"/>
      <c r="BZ2137" s="1"/>
      <c r="CA2137" s="1"/>
      <c r="CB2137" s="1"/>
      <c r="CC2137" s="1"/>
      <c r="CD2137" s="1"/>
      <c r="CE2137" s="1"/>
      <c r="CF2137" s="1"/>
      <c r="CG2137" s="1"/>
      <c r="CH2137" s="1"/>
      <c r="CI2137" s="1"/>
      <c r="CJ2137" s="1"/>
      <c r="CK2137" s="1"/>
      <c r="CL2137" s="1"/>
      <c r="CM2137" s="1"/>
      <c r="CN2137" s="1"/>
      <c r="CO2137" s="1"/>
      <c r="CP2137" s="1"/>
      <c r="CQ2137" s="1"/>
      <c r="CR2137" s="1"/>
      <c r="CS2137" s="1"/>
      <c r="CT2137" s="1"/>
      <c r="CU2137" s="1"/>
      <c r="CV2137" s="1"/>
      <c r="CW2137" s="1"/>
      <c r="CX2137" s="1"/>
      <c r="CY2137" s="1"/>
      <c r="CZ2137" s="1"/>
      <c r="DA2137" s="1"/>
      <c r="DB2137" s="1"/>
      <c r="DC2137" s="1"/>
    </row>
    <row r="2138" spans="1:107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  <c r="AC2138" s="1"/>
      <c r="AD2138" s="1"/>
      <c r="AE2138" s="1"/>
      <c r="AF2138" s="1"/>
      <c r="AG2138" s="1"/>
      <c r="AH2138" s="1"/>
      <c r="AI2138" s="1"/>
      <c r="AJ2138" s="1"/>
      <c r="AK2138" s="1"/>
      <c r="AL2138" s="1"/>
      <c r="AM2138" s="1"/>
      <c r="AN2138" s="1"/>
      <c r="AO2138" s="1"/>
      <c r="AP2138" s="1"/>
      <c r="AQ2138" s="1"/>
      <c r="AR2138" s="1"/>
      <c r="AS2138" s="1"/>
      <c r="AT2138" s="1"/>
      <c r="AU2138" s="1"/>
      <c r="AV2138" s="1"/>
      <c r="AW2138" s="1"/>
      <c r="AX2138" s="1"/>
      <c r="AY2138" s="1"/>
      <c r="AZ2138" s="1"/>
      <c r="BA2138" s="1"/>
      <c r="BB2138" s="1"/>
      <c r="BC2138" s="1"/>
      <c r="BD2138" s="1"/>
      <c r="BE2138" s="1"/>
      <c r="BF2138" s="1"/>
      <c r="BG2138" s="1"/>
      <c r="BH2138" s="1"/>
      <c r="BI2138" s="1"/>
      <c r="BJ2138" s="1"/>
      <c r="BK2138" s="1"/>
      <c r="BL2138" s="1"/>
      <c r="BM2138" s="1"/>
      <c r="BN2138" s="1"/>
      <c r="BO2138" s="1"/>
      <c r="BP2138" s="1"/>
      <c r="BQ2138" s="1"/>
      <c r="BR2138" s="1"/>
      <c r="BS2138" s="1"/>
      <c r="BT2138" s="1"/>
      <c r="BU2138" s="1"/>
      <c r="BV2138" s="1"/>
      <c r="BW2138" s="1"/>
      <c r="BX2138" s="1"/>
      <c r="BY2138" s="1"/>
      <c r="BZ2138" s="1"/>
      <c r="CA2138" s="1"/>
      <c r="CB2138" s="1"/>
      <c r="CC2138" s="1"/>
      <c r="CD2138" s="1"/>
      <c r="CE2138" s="1"/>
      <c r="CF2138" s="1"/>
      <c r="CG2138" s="1"/>
      <c r="CH2138" s="1"/>
      <c r="CI2138" s="1"/>
      <c r="CJ2138" s="1"/>
      <c r="CK2138" s="1"/>
      <c r="CL2138" s="1"/>
      <c r="CM2138" s="1"/>
      <c r="CN2138" s="1"/>
      <c r="CO2138" s="1"/>
      <c r="CP2138" s="1"/>
      <c r="CQ2138" s="1"/>
      <c r="CR2138" s="1"/>
      <c r="CS2138" s="1"/>
      <c r="CT2138" s="1"/>
      <c r="CU2138" s="1"/>
      <c r="CV2138" s="1"/>
      <c r="CW2138" s="1"/>
      <c r="CX2138" s="1"/>
      <c r="CY2138" s="1"/>
      <c r="CZ2138" s="1"/>
      <c r="DA2138" s="1"/>
      <c r="DB2138" s="1"/>
      <c r="DC2138" s="1"/>
    </row>
    <row r="2139" spans="1:107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  <c r="AC2139" s="1"/>
      <c r="AD2139" s="1"/>
      <c r="AE2139" s="1"/>
      <c r="AF2139" s="1"/>
      <c r="AG2139" s="1"/>
      <c r="AH2139" s="1"/>
      <c r="AI2139" s="1"/>
      <c r="AJ2139" s="1"/>
      <c r="AK2139" s="1"/>
      <c r="AL2139" s="1"/>
      <c r="AM2139" s="1"/>
      <c r="AN2139" s="1"/>
      <c r="AO2139" s="1"/>
      <c r="AP2139" s="1"/>
      <c r="AQ2139" s="1"/>
      <c r="AR2139" s="1"/>
      <c r="AS2139" s="1"/>
      <c r="AT2139" s="1"/>
      <c r="AU2139" s="1"/>
      <c r="AV2139" s="1"/>
      <c r="AW2139" s="1"/>
      <c r="AX2139" s="1"/>
      <c r="AY2139" s="1"/>
      <c r="AZ2139" s="1"/>
      <c r="BA2139" s="1"/>
      <c r="BB2139" s="1"/>
      <c r="BC2139" s="1"/>
      <c r="BD2139" s="1"/>
      <c r="BE2139" s="1"/>
      <c r="BF2139" s="1"/>
      <c r="BG2139" s="1"/>
      <c r="BH2139" s="1"/>
      <c r="BI2139" s="1"/>
      <c r="BJ2139" s="1"/>
      <c r="BK2139" s="1"/>
      <c r="BL2139" s="1"/>
      <c r="BM2139" s="1"/>
      <c r="BN2139" s="1"/>
      <c r="BO2139" s="1"/>
      <c r="BP2139" s="1"/>
      <c r="BQ2139" s="1"/>
      <c r="BR2139" s="1"/>
      <c r="BS2139" s="1"/>
      <c r="BT2139" s="1"/>
      <c r="BU2139" s="1"/>
      <c r="BV2139" s="1"/>
      <c r="BW2139" s="1"/>
      <c r="BX2139" s="1"/>
      <c r="BY2139" s="1"/>
      <c r="BZ2139" s="1"/>
      <c r="CA2139" s="1"/>
      <c r="CB2139" s="1"/>
      <c r="CC2139" s="1"/>
      <c r="CD2139" s="1"/>
      <c r="CE2139" s="1"/>
      <c r="CF2139" s="1"/>
      <c r="CG2139" s="1"/>
      <c r="CH2139" s="1"/>
      <c r="CI2139" s="1"/>
      <c r="CJ2139" s="1"/>
      <c r="CK2139" s="1"/>
      <c r="CL2139" s="1"/>
      <c r="CM2139" s="1"/>
      <c r="CN2139" s="1"/>
      <c r="CO2139" s="1"/>
      <c r="CP2139" s="1"/>
      <c r="CQ2139" s="1"/>
      <c r="CR2139" s="1"/>
      <c r="CS2139" s="1"/>
      <c r="CT2139" s="1"/>
      <c r="CU2139" s="1"/>
      <c r="CV2139" s="1"/>
      <c r="CW2139" s="1"/>
      <c r="CX2139" s="1"/>
      <c r="CY2139" s="1"/>
      <c r="CZ2139" s="1"/>
      <c r="DA2139" s="1"/>
      <c r="DB2139" s="1"/>
      <c r="DC2139" s="1"/>
    </row>
    <row r="2140" spans="1:107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1"/>
      <c r="AD2140" s="1"/>
      <c r="AE2140" s="1"/>
      <c r="AF2140" s="1"/>
      <c r="AG2140" s="1"/>
      <c r="AH2140" s="1"/>
      <c r="AI2140" s="1"/>
      <c r="AJ2140" s="1"/>
      <c r="AK2140" s="1"/>
      <c r="AL2140" s="1"/>
      <c r="AM2140" s="1"/>
      <c r="AN2140" s="1"/>
      <c r="AO2140" s="1"/>
      <c r="AP2140" s="1"/>
      <c r="AQ2140" s="1"/>
      <c r="AR2140" s="1"/>
      <c r="AS2140" s="1"/>
      <c r="AT2140" s="1"/>
      <c r="AU2140" s="1"/>
      <c r="AV2140" s="1"/>
      <c r="AW2140" s="1"/>
      <c r="AX2140" s="1"/>
      <c r="AY2140" s="1"/>
      <c r="AZ2140" s="1"/>
      <c r="BA2140" s="1"/>
      <c r="BB2140" s="1"/>
      <c r="BC2140" s="1"/>
      <c r="BD2140" s="1"/>
      <c r="BE2140" s="1"/>
      <c r="BF2140" s="1"/>
      <c r="BG2140" s="1"/>
      <c r="BH2140" s="1"/>
      <c r="BI2140" s="1"/>
      <c r="BJ2140" s="1"/>
      <c r="BK2140" s="1"/>
      <c r="BL2140" s="1"/>
      <c r="BM2140" s="1"/>
      <c r="BN2140" s="1"/>
      <c r="BO2140" s="1"/>
      <c r="BP2140" s="1"/>
      <c r="BQ2140" s="1"/>
      <c r="BR2140" s="1"/>
      <c r="BS2140" s="1"/>
      <c r="BT2140" s="1"/>
      <c r="BU2140" s="1"/>
      <c r="BV2140" s="1"/>
      <c r="BW2140" s="1"/>
      <c r="BX2140" s="1"/>
      <c r="BY2140" s="1"/>
      <c r="BZ2140" s="1"/>
      <c r="CA2140" s="1"/>
      <c r="CB2140" s="1"/>
      <c r="CC2140" s="1"/>
      <c r="CD2140" s="1"/>
      <c r="CE2140" s="1"/>
      <c r="CF2140" s="1"/>
      <c r="CG2140" s="1"/>
      <c r="CH2140" s="1"/>
      <c r="CI2140" s="1"/>
      <c r="CJ2140" s="1"/>
      <c r="CK2140" s="1"/>
      <c r="CL2140" s="1"/>
      <c r="CM2140" s="1"/>
      <c r="CN2140" s="1"/>
      <c r="CO2140" s="1"/>
      <c r="CP2140" s="1"/>
      <c r="CQ2140" s="1"/>
      <c r="CR2140" s="1"/>
      <c r="CS2140" s="1"/>
      <c r="CT2140" s="1"/>
      <c r="CU2140" s="1"/>
      <c r="CV2140" s="1"/>
      <c r="CW2140" s="1"/>
      <c r="CX2140" s="1"/>
      <c r="CY2140" s="1"/>
      <c r="CZ2140" s="1"/>
      <c r="DA2140" s="1"/>
      <c r="DB2140" s="1"/>
      <c r="DC2140" s="1"/>
    </row>
    <row r="2141" spans="1:107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1"/>
      <c r="AD2141" s="1"/>
      <c r="AE2141" s="1"/>
      <c r="AF2141" s="1"/>
      <c r="AG2141" s="1"/>
      <c r="AH2141" s="1"/>
      <c r="AI2141" s="1"/>
      <c r="AJ2141" s="1"/>
      <c r="AK2141" s="1"/>
      <c r="AL2141" s="1"/>
      <c r="AM2141" s="1"/>
      <c r="AN2141" s="1"/>
      <c r="AO2141" s="1"/>
      <c r="AP2141" s="1"/>
      <c r="AQ2141" s="1"/>
      <c r="AR2141" s="1"/>
      <c r="AS2141" s="1"/>
      <c r="AT2141" s="1"/>
      <c r="AU2141" s="1"/>
      <c r="AV2141" s="1"/>
      <c r="AW2141" s="1"/>
      <c r="AX2141" s="1"/>
      <c r="AY2141" s="1"/>
      <c r="AZ2141" s="1"/>
      <c r="BA2141" s="1"/>
      <c r="BB2141" s="1"/>
      <c r="BC2141" s="1"/>
      <c r="BD2141" s="1"/>
      <c r="BE2141" s="1"/>
      <c r="BF2141" s="1"/>
      <c r="BG2141" s="1"/>
      <c r="BH2141" s="1"/>
      <c r="BI2141" s="1"/>
      <c r="BJ2141" s="1"/>
      <c r="BK2141" s="1"/>
      <c r="BL2141" s="1"/>
      <c r="BM2141" s="1"/>
      <c r="BN2141" s="1"/>
      <c r="BO2141" s="1"/>
      <c r="BP2141" s="1"/>
      <c r="BQ2141" s="1"/>
      <c r="BR2141" s="1"/>
      <c r="BS2141" s="1"/>
      <c r="BT2141" s="1"/>
      <c r="BU2141" s="1"/>
      <c r="BV2141" s="1"/>
      <c r="BW2141" s="1"/>
      <c r="BX2141" s="1"/>
      <c r="BY2141" s="1"/>
      <c r="BZ2141" s="1"/>
      <c r="CA2141" s="1"/>
      <c r="CB2141" s="1"/>
      <c r="CC2141" s="1"/>
      <c r="CD2141" s="1"/>
      <c r="CE2141" s="1"/>
      <c r="CF2141" s="1"/>
      <c r="CG2141" s="1"/>
      <c r="CH2141" s="1"/>
      <c r="CI2141" s="1"/>
      <c r="CJ2141" s="1"/>
      <c r="CK2141" s="1"/>
      <c r="CL2141" s="1"/>
      <c r="CM2141" s="1"/>
      <c r="CN2141" s="1"/>
      <c r="CO2141" s="1"/>
      <c r="CP2141" s="1"/>
      <c r="CQ2141" s="1"/>
      <c r="CR2141" s="1"/>
      <c r="CS2141" s="1"/>
      <c r="CT2141" s="1"/>
      <c r="CU2141" s="1"/>
      <c r="CV2141" s="1"/>
      <c r="CW2141" s="1"/>
      <c r="CX2141" s="1"/>
      <c r="CY2141" s="1"/>
      <c r="CZ2141" s="1"/>
      <c r="DA2141" s="1"/>
      <c r="DB2141" s="1"/>
      <c r="DC2141" s="1"/>
    </row>
    <row r="2142" spans="1:107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  <c r="AC2142" s="1"/>
      <c r="AD2142" s="1"/>
      <c r="AE2142" s="1"/>
      <c r="AF2142" s="1"/>
      <c r="AG2142" s="1"/>
      <c r="AH2142" s="1"/>
      <c r="AI2142" s="1"/>
      <c r="AJ2142" s="1"/>
      <c r="AK2142" s="1"/>
      <c r="AL2142" s="1"/>
      <c r="AM2142" s="1"/>
      <c r="AN2142" s="1"/>
      <c r="AO2142" s="1"/>
      <c r="AP2142" s="1"/>
      <c r="AQ2142" s="1"/>
      <c r="AR2142" s="1"/>
      <c r="AS2142" s="1"/>
      <c r="AT2142" s="1"/>
      <c r="AU2142" s="1"/>
      <c r="AV2142" s="1"/>
      <c r="AW2142" s="1"/>
      <c r="AX2142" s="1"/>
      <c r="AY2142" s="1"/>
      <c r="AZ2142" s="1"/>
      <c r="BA2142" s="1"/>
      <c r="BB2142" s="1"/>
      <c r="BC2142" s="1"/>
      <c r="BD2142" s="1"/>
      <c r="BE2142" s="1"/>
      <c r="BF2142" s="1"/>
      <c r="BG2142" s="1"/>
      <c r="BH2142" s="1"/>
      <c r="BI2142" s="1"/>
      <c r="BJ2142" s="1"/>
      <c r="BK2142" s="1"/>
      <c r="BL2142" s="1"/>
      <c r="BM2142" s="1"/>
      <c r="BN2142" s="1"/>
      <c r="BO2142" s="1"/>
      <c r="BP2142" s="1"/>
      <c r="BQ2142" s="1"/>
      <c r="BR2142" s="1"/>
      <c r="BS2142" s="1"/>
      <c r="BT2142" s="1"/>
      <c r="BU2142" s="1"/>
      <c r="BV2142" s="1"/>
      <c r="BW2142" s="1"/>
      <c r="BX2142" s="1"/>
      <c r="BY2142" s="1"/>
      <c r="BZ2142" s="1"/>
      <c r="CA2142" s="1"/>
      <c r="CB2142" s="1"/>
      <c r="CC2142" s="1"/>
      <c r="CD2142" s="1"/>
      <c r="CE2142" s="1"/>
      <c r="CF2142" s="1"/>
      <c r="CG2142" s="1"/>
      <c r="CH2142" s="1"/>
      <c r="CI2142" s="1"/>
      <c r="CJ2142" s="1"/>
      <c r="CK2142" s="1"/>
      <c r="CL2142" s="1"/>
      <c r="CM2142" s="1"/>
      <c r="CN2142" s="1"/>
      <c r="CO2142" s="1"/>
      <c r="CP2142" s="1"/>
      <c r="CQ2142" s="1"/>
      <c r="CR2142" s="1"/>
      <c r="CS2142" s="1"/>
      <c r="CT2142" s="1"/>
      <c r="CU2142" s="1"/>
      <c r="CV2142" s="1"/>
      <c r="CW2142" s="1"/>
      <c r="CX2142" s="1"/>
      <c r="CY2142" s="1"/>
      <c r="CZ2142" s="1"/>
      <c r="DA2142" s="1"/>
      <c r="DB2142" s="1"/>
      <c r="DC2142" s="1"/>
    </row>
    <row r="2143" spans="1:107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  <c r="AE2143" s="1"/>
      <c r="AF2143" s="1"/>
      <c r="AG2143" s="1"/>
      <c r="AH2143" s="1"/>
      <c r="AI2143" s="1"/>
      <c r="AJ2143" s="1"/>
      <c r="AK2143" s="1"/>
      <c r="AL2143" s="1"/>
      <c r="AM2143" s="1"/>
      <c r="AN2143" s="1"/>
      <c r="AO2143" s="1"/>
      <c r="AP2143" s="1"/>
      <c r="AQ2143" s="1"/>
      <c r="AR2143" s="1"/>
      <c r="AS2143" s="1"/>
      <c r="AT2143" s="1"/>
      <c r="AU2143" s="1"/>
      <c r="AV2143" s="1"/>
      <c r="AW2143" s="1"/>
      <c r="AX2143" s="1"/>
      <c r="AY2143" s="1"/>
      <c r="AZ2143" s="1"/>
      <c r="BA2143" s="1"/>
      <c r="BB2143" s="1"/>
      <c r="BC2143" s="1"/>
      <c r="BD2143" s="1"/>
      <c r="BE2143" s="1"/>
      <c r="BF2143" s="1"/>
      <c r="BG2143" s="1"/>
      <c r="BH2143" s="1"/>
      <c r="BI2143" s="1"/>
      <c r="BJ2143" s="1"/>
      <c r="BK2143" s="1"/>
      <c r="BL2143" s="1"/>
      <c r="BM2143" s="1"/>
      <c r="BN2143" s="1"/>
      <c r="BO2143" s="1"/>
      <c r="BP2143" s="1"/>
      <c r="BQ2143" s="1"/>
      <c r="BR2143" s="1"/>
      <c r="BS2143" s="1"/>
      <c r="BT2143" s="1"/>
      <c r="BU2143" s="1"/>
      <c r="BV2143" s="1"/>
      <c r="BW2143" s="1"/>
      <c r="BX2143" s="1"/>
      <c r="BY2143" s="1"/>
      <c r="BZ2143" s="1"/>
      <c r="CA2143" s="1"/>
      <c r="CB2143" s="1"/>
      <c r="CC2143" s="1"/>
      <c r="CD2143" s="1"/>
      <c r="CE2143" s="1"/>
      <c r="CF2143" s="1"/>
      <c r="CG2143" s="1"/>
      <c r="CH2143" s="1"/>
      <c r="CI2143" s="1"/>
      <c r="CJ2143" s="1"/>
      <c r="CK2143" s="1"/>
      <c r="CL2143" s="1"/>
      <c r="CM2143" s="1"/>
      <c r="CN2143" s="1"/>
      <c r="CO2143" s="1"/>
      <c r="CP2143" s="1"/>
      <c r="CQ2143" s="1"/>
      <c r="CR2143" s="1"/>
      <c r="CS2143" s="1"/>
      <c r="CT2143" s="1"/>
      <c r="CU2143" s="1"/>
      <c r="CV2143" s="1"/>
      <c r="CW2143" s="1"/>
      <c r="CX2143" s="1"/>
      <c r="CY2143" s="1"/>
      <c r="CZ2143" s="1"/>
      <c r="DA2143" s="1"/>
      <c r="DB2143" s="1"/>
      <c r="DC2143" s="1"/>
    </row>
    <row r="2144" spans="1:107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1"/>
      <c r="AD2144" s="1"/>
      <c r="AE2144" s="1"/>
      <c r="AF2144" s="1"/>
      <c r="AG2144" s="1"/>
      <c r="AH2144" s="1"/>
      <c r="AI2144" s="1"/>
      <c r="AJ2144" s="1"/>
      <c r="AK2144" s="1"/>
      <c r="AL2144" s="1"/>
      <c r="AM2144" s="1"/>
      <c r="AN2144" s="1"/>
      <c r="AO2144" s="1"/>
      <c r="AP2144" s="1"/>
      <c r="AQ2144" s="1"/>
      <c r="AR2144" s="1"/>
      <c r="AS2144" s="1"/>
      <c r="AT2144" s="1"/>
      <c r="AU2144" s="1"/>
      <c r="AV2144" s="1"/>
      <c r="AW2144" s="1"/>
      <c r="AX2144" s="1"/>
      <c r="AY2144" s="1"/>
      <c r="AZ2144" s="1"/>
      <c r="BA2144" s="1"/>
      <c r="BB2144" s="1"/>
      <c r="BC2144" s="1"/>
      <c r="BD2144" s="1"/>
      <c r="BE2144" s="1"/>
      <c r="BF2144" s="1"/>
      <c r="BG2144" s="1"/>
      <c r="BH2144" s="1"/>
      <c r="BI2144" s="1"/>
      <c r="BJ2144" s="1"/>
      <c r="BK2144" s="1"/>
      <c r="BL2144" s="1"/>
      <c r="BM2144" s="1"/>
      <c r="BN2144" s="1"/>
      <c r="BO2144" s="1"/>
      <c r="BP2144" s="1"/>
      <c r="BQ2144" s="1"/>
      <c r="BR2144" s="1"/>
      <c r="BS2144" s="1"/>
      <c r="BT2144" s="1"/>
      <c r="BU2144" s="1"/>
      <c r="BV2144" s="1"/>
      <c r="BW2144" s="1"/>
      <c r="BX2144" s="1"/>
      <c r="BY2144" s="1"/>
      <c r="BZ2144" s="1"/>
      <c r="CA2144" s="1"/>
      <c r="CB2144" s="1"/>
      <c r="CC2144" s="1"/>
      <c r="CD2144" s="1"/>
      <c r="CE2144" s="1"/>
      <c r="CF2144" s="1"/>
      <c r="CG2144" s="1"/>
      <c r="CH2144" s="1"/>
      <c r="CI2144" s="1"/>
      <c r="CJ2144" s="1"/>
      <c r="CK2144" s="1"/>
      <c r="CL2144" s="1"/>
      <c r="CM2144" s="1"/>
      <c r="CN2144" s="1"/>
      <c r="CO2144" s="1"/>
      <c r="CP2144" s="1"/>
      <c r="CQ2144" s="1"/>
      <c r="CR2144" s="1"/>
      <c r="CS2144" s="1"/>
      <c r="CT2144" s="1"/>
      <c r="CU2144" s="1"/>
      <c r="CV2144" s="1"/>
      <c r="CW2144" s="1"/>
      <c r="CX2144" s="1"/>
      <c r="CY2144" s="1"/>
      <c r="CZ2144" s="1"/>
      <c r="DA2144" s="1"/>
      <c r="DB2144" s="1"/>
      <c r="DC2144" s="1"/>
    </row>
    <row r="2145" spans="1:107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"/>
      <c r="AD2145" s="1"/>
      <c r="AE2145" s="1"/>
      <c r="AF2145" s="1"/>
      <c r="AG2145" s="1"/>
      <c r="AH2145" s="1"/>
      <c r="AI2145" s="1"/>
      <c r="AJ2145" s="1"/>
      <c r="AK2145" s="1"/>
      <c r="AL2145" s="1"/>
      <c r="AM2145" s="1"/>
      <c r="AN2145" s="1"/>
      <c r="AO2145" s="1"/>
      <c r="AP2145" s="1"/>
      <c r="AQ2145" s="1"/>
      <c r="AR2145" s="1"/>
      <c r="AS2145" s="1"/>
      <c r="AT2145" s="1"/>
      <c r="AU2145" s="1"/>
      <c r="AV2145" s="1"/>
      <c r="AW2145" s="1"/>
      <c r="AX2145" s="1"/>
      <c r="AY2145" s="1"/>
      <c r="AZ2145" s="1"/>
      <c r="BA2145" s="1"/>
      <c r="BB2145" s="1"/>
      <c r="BC2145" s="1"/>
      <c r="BD2145" s="1"/>
      <c r="BE2145" s="1"/>
      <c r="BF2145" s="1"/>
      <c r="BG2145" s="1"/>
      <c r="BH2145" s="1"/>
      <c r="BI2145" s="1"/>
      <c r="BJ2145" s="1"/>
      <c r="BK2145" s="1"/>
      <c r="BL2145" s="1"/>
      <c r="BM2145" s="1"/>
      <c r="BN2145" s="1"/>
      <c r="BO2145" s="1"/>
      <c r="BP2145" s="1"/>
      <c r="BQ2145" s="1"/>
      <c r="BR2145" s="1"/>
      <c r="BS2145" s="1"/>
      <c r="BT2145" s="1"/>
      <c r="BU2145" s="1"/>
      <c r="BV2145" s="1"/>
      <c r="BW2145" s="1"/>
      <c r="BX2145" s="1"/>
      <c r="BY2145" s="1"/>
      <c r="BZ2145" s="1"/>
      <c r="CA2145" s="1"/>
      <c r="CB2145" s="1"/>
      <c r="CC2145" s="1"/>
      <c r="CD2145" s="1"/>
      <c r="CE2145" s="1"/>
      <c r="CF2145" s="1"/>
      <c r="CG2145" s="1"/>
      <c r="CH2145" s="1"/>
      <c r="CI2145" s="1"/>
      <c r="CJ2145" s="1"/>
      <c r="CK2145" s="1"/>
      <c r="CL2145" s="1"/>
      <c r="CM2145" s="1"/>
      <c r="CN2145" s="1"/>
      <c r="CO2145" s="1"/>
      <c r="CP2145" s="1"/>
      <c r="CQ2145" s="1"/>
      <c r="CR2145" s="1"/>
      <c r="CS2145" s="1"/>
      <c r="CT2145" s="1"/>
      <c r="CU2145" s="1"/>
      <c r="CV2145" s="1"/>
      <c r="CW2145" s="1"/>
      <c r="CX2145" s="1"/>
      <c r="CY2145" s="1"/>
      <c r="CZ2145" s="1"/>
      <c r="DA2145" s="1"/>
      <c r="DB2145" s="1"/>
      <c r="DC2145" s="1"/>
    </row>
    <row r="2146" spans="1:107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  <c r="AC2146" s="1"/>
      <c r="AD2146" s="1"/>
      <c r="AE2146" s="1"/>
      <c r="AF2146" s="1"/>
      <c r="AG2146" s="1"/>
      <c r="AH2146" s="1"/>
      <c r="AI2146" s="1"/>
      <c r="AJ2146" s="1"/>
      <c r="AK2146" s="1"/>
      <c r="AL2146" s="1"/>
      <c r="AM2146" s="1"/>
      <c r="AN2146" s="1"/>
      <c r="AO2146" s="1"/>
      <c r="AP2146" s="1"/>
      <c r="AQ2146" s="1"/>
      <c r="AR2146" s="1"/>
      <c r="AS2146" s="1"/>
      <c r="AT2146" s="1"/>
      <c r="AU2146" s="1"/>
      <c r="AV2146" s="1"/>
      <c r="AW2146" s="1"/>
      <c r="AX2146" s="1"/>
      <c r="AY2146" s="1"/>
      <c r="AZ2146" s="1"/>
      <c r="BA2146" s="1"/>
      <c r="BB2146" s="1"/>
      <c r="BC2146" s="1"/>
      <c r="BD2146" s="1"/>
      <c r="BE2146" s="1"/>
      <c r="BF2146" s="1"/>
      <c r="BG2146" s="1"/>
      <c r="BH2146" s="1"/>
      <c r="BI2146" s="1"/>
      <c r="BJ2146" s="1"/>
      <c r="BK2146" s="1"/>
      <c r="BL2146" s="1"/>
      <c r="BM2146" s="1"/>
      <c r="BN2146" s="1"/>
      <c r="BO2146" s="1"/>
      <c r="BP2146" s="1"/>
      <c r="BQ2146" s="1"/>
      <c r="BR2146" s="1"/>
      <c r="BS2146" s="1"/>
      <c r="BT2146" s="1"/>
      <c r="BU2146" s="1"/>
      <c r="BV2146" s="1"/>
      <c r="BW2146" s="1"/>
      <c r="BX2146" s="1"/>
      <c r="BY2146" s="1"/>
      <c r="BZ2146" s="1"/>
      <c r="CA2146" s="1"/>
      <c r="CB2146" s="1"/>
      <c r="CC2146" s="1"/>
      <c r="CD2146" s="1"/>
      <c r="CE2146" s="1"/>
      <c r="CF2146" s="1"/>
      <c r="CG2146" s="1"/>
      <c r="CH2146" s="1"/>
      <c r="CI2146" s="1"/>
      <c r="CJ2146" s="1"/>
      <c r="CK2146" s="1"/>
      <c r="CL2146" s="1"/>
      <c r="CM2146" s="1"/>
      <c r="CN2146" s="1"/>
      <c r="CO2146" s="1"/>
      <c r="CP2146" s="1"/>
      <c r="CQ2146" s="1"/>
      <c r="CR2146" s="1"/>
      <c r="CS2146" s="1"/>
      <c r="CT2146" s="1"/>
      <c r="CU2146" s="1"/>
      <c r="CV2146" s="1"/>
      <c r="CW2146" s="1"/>
      <c r="CX2146" s="1"/>
      <c r="CY2146" s="1"/>
      <c r="CZ2146" s="1"/>
      <c r="DA2146" s="1"/>
      <c r="DB2146" s="1"/>
      <c r="DC2146" s="1"/>
    </row>
    <row r="2147" spans="1:107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1"/>
      <c r="AD2147" s="1"/>
      <c r="AE2147" s="1"/>
      <c r="AF2147" s="1"/>
      <c r="AG2147" s="1"/>
      <c r="AH2147" s="1"/>
      <c r="AI2147" s="1"/>
      <c r="AJ2147" s="1"/>
      <c r="AK2147" s="1"/>
      <c r="AL2147" s="1"/>
      <c r="AM2147" s="1"/>
      <c r="AN2147" s="1"/>
      <c r="AO2147" s="1"/>
      <c r="AP2147" s="1"/>
      <c r="AQ2147" s="1"/>
      <c r="AR2147" s="1"/>
      <c r="AS2147" s="1"/>
      <c r="AT2147" s="1"/>
      <c r="AU2147" s="1"/>
      <c r="AV2147" s="1"/>
      <c r="AW2147" s="1"/>
      <c r="AX2147" s="1"/>
      <c r="AY2147" s="1"/>
      <c r="AZ2147" s="1"/>
      <c r="BA2147" s="1"/>
      <c r="BB2147" s="1"/>
      <c r="BC2147" s="1"/>
      <c r="BD2147" s="1"/>
      <c r="BE2147" s="1"/>
      <c r="BF2147" s="1"/>
      <c r="BG2147" s="1"/>
      <c r="BH2147" s="1"/>
      <c r="BI2147" s="1"/>
      <c r="BJ2147" s="1"/>
      <c r="BK2147" s="1"/>
      <c r="BL2147" s="1"/>
      <c r="BM2147" s="1"/>
      <c r="BN2147" s="1"/>
      <c r="BO2147" s="1"/>
      <c r="BP2147" s="1"/>
      <c r="BQ2147" s="1"/>
      <c r="BR2147" s="1"/>
      <c r="BS2147" s="1"/>
      <c r="BT2147" s="1"/>
      <c r="BU2147" s="1"/>
      <c r="BV2147" s="1"/>
      <c r="BW2147" s="1"/>
      <c r="BX2147" s="1"/>
      <c r="BY2147" s="1"/>
      <c r="BZ2147" s="1"/>
      <c r="CA2147" s="1"/>
      <c r="CB2147" s="1"/>
      <c r="CC2147" s="1"/>
      <c r="CD2147" s="1"/>
      <c r="CE2147" s="1"/>
      <c r="CF2147" s="1"/>
      <c r="CG2147" s="1"/>
      <c r="CH2147" s="1"/>
      <c r="CI2147" s="1"/>
      <c r="CJ2147" s="1"/>
      <c r="CK2147" s="1"/>
      <c r="CL2147" s="1"/>
      <c r="CM2147" s="1"/>
      <c r="CN2147" s="1"/>
      <c r="CO2147" s="1"/>
      <c r="CP2147" s="1"/>
      <c r="CQ2147" s="1"/>
      <c r="CR2147" s="1"/>
      <c r="CS2147" s="1"/>
      <c r="CT2147" s="1"/>
      <c r="CU2147" s="1"/>
      <c r="CV2147" s="1"/>
      <c r="CW2147" s="1"/>
      <c r="CX2147" s="1"/>
      <c r="CY2147" s="1"/>
      <c r="CZ2147" s="1"/>
      <c r="DA2147" s="1"/>
      <c r="DB2147" s="1"/>
      <c r="DC2147" s="1"/>
    </row>
    <row r="2148" spans="1:107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1"/>
      <c r="AD2148" s="1"/>
      <c r="AE2148" s="1"/>
      <c r="AF2148" s="1"/>
      <c r="AG2148" s="1"/>
      <c r="AH2148" s="1"/>
      <c r="AI2148" s="1"/>
      <c r="AJ2148" s="1"/>
      <c r="AK2148" s="1"/>
      <c r="AL2148" s="1"/>
      <c r="AM2148" s="1"/>
      <c r="AN2148" s="1"/>
      <c r="AO2148" s="1"/>
      <c r="AP2148" s="1"/>
      <c r="AQ2148" s="1"/>
      <c r="AR2148" s="1"/>
      <c r="AS2148" s="1"/>
      <c r="AT2148" s="1"/>
      <c r="AU2148" s="1"/>
      <c r="AV2148" s="1"/>
      <c r="AW2148" s="1"/>
      <c r="AX2148" s="1"/>
      <c r="AY2148" s="1"/>
      <c r="AZ2148" s="1"/>
      <c r="BA2148" s="1"/>
      <c r="BB2148" s="1"/>
      <c r="BC2148" s="1"/>
      <c r="BD2148" s="1"/>
      <c r="BE2148" s="1"/>
      <c r="BF2148" s="1"/>
      <c r="BG2148" s="1"/>
      <c r="BH2148" s="1"/>
      <c r="BI2148" s="1"/>
      <c r="BJ2148" s="1"/>
      <c r="BK2148" s="1"/>
      <c r="BL2148" s="1"/>
      <c r="BM2148" s="1"/>
      <c r="BN2148" s="1"/>
      <c r="BO2148" s="1"/>
      <c r="BP2148" s="1"/>
      <c r="BQ2148" s="1"/>
      <c r="BR2148" s="1"/>
      <c r="BS2148" s="1"/>
      <c r="BT2148" s="1"/>
      <c r="BU2148" s="1"/>
      <c r="BV2148" s="1"/>
      <c r="BW2148" s="1"/>
      <c r="BX2148" s="1"/>
      <c r="BY2148" s="1"/>
      <c r="BZ2148" s="1"/>
      <c r="CA2148" s="1"/>
      <c r="CB2148" s="1"/>
      <c r="CC2148" s="1"/>
      <c r="CD2148" s="1"/>
      <c r="CE2148" s="1"/>
      <c r="CF2148" s="1"/>
      <c r="CG2148" s="1"/>
      <c r="CH2148" s="1"/>
      <c r="CI2148" s="1"/>
      <c r="CJ2148" s="1"/>
      <c r="CK2148" s="1"/>
      <c r="CL2148" s="1"/>
      <c r="CM2148" s="1"/>
      <c r="CN2148" s="1"/>
      <c r="CO2148" s="1"/>
      <c r="CP2148" s="1"/>
      <c r="CQ2148" s="1"/>
      <c r="CR2148" s="1"/>
      <c r="CS2148" s="1"/>
      <c r="CT2148" s="1"/>
      <c r="CU2148" s="1"/>
      <c r="CV2148" s="1"/>
      <c r="CW2148" s="1"/>
      <c r="CX2148" s="1"/>
      <c r="CY2148" s="1"/>
      <c r="CZ2148" s="1"/>
      <c r="DA2148" s="1"/>
      <c r="DB2148" s="1"/>
      <c r="DC2148" s="1"/>
    </row>
    <row r="2149" spans="1:107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1"/>
      <c r="AD2149" s="1"/>
      <c r="AE2149" s="1"/>
      <c r="AF2149" s="1"/>
      <c r="AG2149" s="1"/>
      <c r="AH2149" s="1"/>
      <c r="AI2149" s="1"/>
      <c r="AJ2149" s="1"/>
      <c r="AK2149" s="1"/>
      <c r="AL2149" s="1"/>
      <c r="AM2149" s="1"/>
      <c r="AN2149" s="1"/>
      <c r="AO2149" s="1"/>
      <c r="AP2149" s="1"/>
      <c r="AQ2149" s="1"/>
      <c r="AR2149" s="1"/>
      <c r="AS2149" s="1"/>
      <c r="AT2149" s="1"/>
      <c r="AU2149" s="1"/>
      <c r="AV2149" s="1"/>
      <c r="AW2149" s="1"/>
      <c r="AX2149" s="1"/>
      <c r="AY2149" s="1"/>
      <c r="AZ2149" s="1"/>
      <c r="BA2149" s="1"/>
      <c r="BB2149" s="1"/>
      <c r="BC2149" s="1"/>
      <c r="BD2149" s="1"/>
      <c r="BE2149" s="1"/>
      <c r="BF2149" s="1"/>
      <c r="BG2149" s="1"/>
      <c r="BH2149" s="1"/>
      <c r="BI2149" s="1"/>
      <c r="BJ2149" s="1"/>
      <c r="BK2149" s="1"/>
      <c r="BL2149" s="1"/>
      <c r="BM2149" s="1"/>
      <c r="BN2149" s="1"/>
      <c r="BO2149" s="1"/>
      <c r="BP2149" s="1"/>
      <c r="BQ2149" s="1"/>
      <c r="BR2149" s="1"/>
      <c r="BS2149" s="1"/>
      <c r="BT2149" s="1"/>
      <c r="BU2149" s="1"/>
      <c r="BV2149" s="1"/>
      <c r="BW2149" s="1"/>
      <c r="BX2149" s="1"/>
      <c r="BY2149" s="1"/>
      <c r="BZ2149" s="1"/>
      <c r="CA2149" s="1"/>
      <c r="CB2149" s="1"/>
      <c r="CC2149" s="1"/>
      <c r="CD2149" s="1"/>
      <c r="CE2149" s="1"/>
      <c r="CF2149" s="1"/>
      <c r="CG2149" s="1"/>
      <c r="CH2149" s="1"/>
      <c r="CI2149" s="1"/>
      <c r="CJ2149" s="1"/>
      <c r="CK2149" s="1"/>
      <c r="CL2149" s="1"/>
      <c r="CM2149" s="1"/>
      <c r="CN2149" s="1"/>
      <c r="CO2149" s="1"/>
      <c r="CP2149" s="1"/>
      <c r="CQ2149" s="1"/>
      <c r="CR2149" s="1"/>
      <c r="CS2149" s="1"/>
      <c r="CT2149" s="1"/>
      <c r="CU2149" s="1"/>
      <c r="CV2149" s="1"/>
      <c r="CW2149" s="1"/>
      <c r="CX2149" s="1"/>
      <c r="CY2149" s="1"/>
      <c r="CZ2149" s="1"/>
      <c r="DA2149" s="1"/>
      <c r="DB2149" s="1"/>
      <c r="DC2149" s="1"/>
    </row>
    <row r="2150" spans="1:107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  <c r="AC2150" s="1"/>
      <c r="AD2150" s="1"/>
      <c r="AE2150" s="1"/>
      <c r="AF2150" s="1"/>
      <c r="AG2150" s="1"/>
      <c r="AH2150" s="1"/>
      <c r="AI2150" s="1"/>
      <c r="AJ2150" s="1"/>
      <c r="AK2150" s="1"/>
      <c r="AL2150" s="1"/>
      <c r="AM2150" s="1"/>
      <c r="AN2150" s="1"/>
      <c r="AO2150" s="1"/>
      <c r="AP2150" s="1"/>
      <c r="AQ2150" s="1"/>
      <c r="AR2150" s="1"/>
      <c r="AS2150" s="1"/>
      <c r="AT2150" s="1"/>
      <c r="AU2150" s="1"/>
      <c r="AV2150" s="1"/>
      <c r="AW2150" s="1"/>
      <c r="AX2150" s="1"/>
      <c r="AY2150" s="1"/>
      <c r="AZ2150" s="1"/>
      <c r="BA2150" s="1"/>
      <c r="BB2150" s="1"/>
      <c r="BC2150" s="1"/>
      <c r="BD2150" s="1"/>
      <c r="BE2150" s="1"/>
      <c r="BF2150" s="1"/>
      <c r="BG2150" s="1"/>
      <c r="BH2150" s="1"/>
      <c r="BI2150" s="1"/>
      <c r="BJ2150" s="1"/>
      <c r="BK2150" s="1"/>
      <c r="BL2150" s="1"/>
      <c r="BM2150" s="1"/>
      <c r="BN2150" s="1"/>
      <c r="BO2150" s="1"/>
      <c r="BP2150" s="1"/>
      <c r="BQ2150" s="1"/>
      <c r="BR2150" s="1"/>
      <c r="BS2150" s="1"/>
      <c r="BT2150" s="1"/>
      <c r="BU2150" s="1"/>
      <c r="BV2150" s="1"/>
      <c r="BW2150" s="1"/>
      <c r="BX2150" s="1"/>
      <c r="BY2150" s="1"/>
      <c r="BZ2150" s="1"/>
      <c r="CA2150" s="1"/>
      <c r="CB2150" s="1"/>
      <c r="CC2150" s="1"/>
      <c r="CD2150" s="1"/>
      <c r="CE2150" s="1"/>
      <c r="CF2150" s="1"/>
      <c r="CG2150" s="1"/>
      <c r="CH2150" s="1"/>
      <c r="CI2150" s="1"/>
      <c r="CJ2150" s="1"/>
      <c r="CK2150" s="1"/>
      <c r="CL2150" s="1"/>
      <c r="CM2150" s="1"/>
      <c r="CN2150" s="1"/>
      <c r="CO2150" s="1"/>
      <c r="CP2150" s="1"/>
      <c r="CQ2150" s="1"/>
      <c r="CR2150" s="1"/>
      <c r="CS2150" s="1"/>
      <c r="CT2150" s="1"/>
      <c r="CU2150" s="1"/>
      <c r="CV2150" s="1"/>
      <c r="CW2150" s="1"/>
      <c r="CX2150" s="1"/>
      <c r="CY2150" s="1"/>
      <c r="CZ2150" s="1"/>
      <c r="DA2150" s="1"/>
      <c r="DB2150" s="1"/>
      <c r="DC2150" s="1"/>
    </row>
    <row r="2151" spans="1:107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1"/>
      <c r="AD2151" s="1"/>
      <c r="AE2151" s="1"/>
      <c r="AF2151" s="1"/>
      <c r="AG2151" s="1"/>
      <c r="AH2151" s="1"/>
      <c r="AI2151" s="1"/>
      <c r="AJ2151" s="1"/>
      <c r="AK2151" s="1"/>
      <c r="AL2151" s="1"/>
      <c r="AM2151" s="1"/>
      <c r="AN2151" s="1"/>
      <c r="AO2151" s="1"/>
      <c r="AP2151" s="1"/>
      <c r="AQ2151" s="1"/>
      <c r="AR2151" s="1"/>
      <c r="AS2151" s="1"/>
      <c r="AT2151" s="1"/>
      <c r="AU2151" s="1"/>
      <c r="AV2151" s="1"/>
      <c r="AW2151" s="1"/>
      <c r="AX2151" s="1"/>
      <c r="AY2151" s="1"/>
      <c r="AZ2151" s="1"/>
      <c r="BA2151" s="1"/>
      <c r="BB2151" s="1"/>
      <c r="BC2151" s="1"/>
      <c r="BD2151" s="1"/>
      <c r="BE2151" s="1"/>
      <c r="BF2151" s="1"/>
      <c r="BG2151" s="1"/>
      <c r="BH2151" s="1"/>
      <c r="BI2151" s="1"/>
      <c r="BJ2151" s="1"/>
      <c r="BK2151" s="1"/>
      <c r="BL2151" s="1"/>
      <c r="BM2151" s="1"/>
      <c r="BN2151" s="1"/>
      <c r="BO2151" s="1"/>
      <c r="BP2151" s="1"/>
      <c r="BQ2151" s="1"/>
      <c r="BR2151" s="1"/>
      <c r="BS2151" s="1"/>
      <c r="BT2151" s="1"/>
      <c r="BU2151" s="1"/>
      <c r="BV2151" s="1"/>
      <c r="BW2151" s="1"/>
      <c r="BX2151" s="1"/>
      <c r="BY2151" s="1"/>
      <c r="BZ2151" s="1"/>
      <c r="CA2151" s="1"/>
      <c r="CB2151" s="1"/>
      <c r="CC2151" s="1"/>
      <c r="CD2151" s="1"/>
      <c r="CE2151" s="1"/>
      <c r="CF2151" s="1"/>
      <c r="CG2151" s="1"/>
      <c r="CH2151" s="1"/>
      <c r="CI2151" s="1"/>
      <c r="CJ2151" s="1"/>
      <c r="CK2151" s="1"/>
      <c r="CL2151" s="1"/>
      <c r="CM2151" s="1"/>
      <c r="CN2151" s="1"/>
      <c r="CO2151" s="1"/>
      <c r="CP2151" s="1"/>
      <c r="CQ2151" s="1"/>
      <c r="CR2151" s="1"/>
      <c r="CS2151" s="1"/>
      <c r="CT2151" s="1"/>
      <c r="CU2151" s="1"/>
      <c r="CV2151" s="1"/>
      <c r="CW2151" s="1"/>
      <c r="CX2151" s="1"/>
      <c r="CY2151" s="1"/>
      <c r="CZ2151" s="1"/>
      <c r="DA2151" s="1"/>
      <c r="DB2151" s="1"/>
      <c r="DC2151" s="1"/>
    </row>
    <row r="2152" spans="1:107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1"/>
      <c r="AD2152" s="1"/>
      <c r="AE2152" s="1"/>
      <c r="AF2152" s="1"/>
      <c r="AG2152" s="1"/>
      <c r="AH2152" s="1"/>
      <c r="AI2152" s="1"/>
      <c r="AJ2152" s="1"/>
      <c r="AK2152" s="1"/>
      <c r="AL2152" s="1"/>
      <c r="AM2152" s="1"/>
      <c r="AN2152" s="1"/>
      <c r="AO2152" s="1"/>
      <c r="AP2152" s="1"/>
      <c r="AQ2152" s="1"/>
      <c r="AR2152" s="1"/>
      <c r="AS2152" s="1"/>
      <c r="AT2152" s="1"/>
      <c r="AU2152" s="1"/>
      <c r="AV2152" s="1"/>
      <c r="AW2152" s="1"/>
      <c r="AX2152" s="1"/>
      <c r="AY2152" s="1"/>
      <c r="AZ2152" s="1"/>
      <c r="BA2152" s="1"/>
      <c r="BB2152" s="1"/>
      <c r="BC2152" s="1"/>
      <c r="BD2152" s="1"/>
      <c r="BE2152" s="1"/>
      <c r="BF2152" s="1"/>
      <c r="BG2152" s="1"/>
      <c r="BH2152" s="1"/>
      <c r="BI2152" s="1"/>
      <c r="BJ2152" s="1"/>
      <c r="BK2152" s="1"/>
      <c r="BL2152" s="1"/>
      <c r="BM2152" s="1"/>
      <c r="BN2152" s="1"/>
      <c r="BO2152" s="1"/>
      <c r="BP2152" s="1"/>
      <c r="BQ2152" s="1"/>
      <c r="BR2152" s="1"/>
      <c r="BS2152" s="1"/>
      <c r="BT2152" s="1"/>
      <c r="BU2152" s="1"/>
      <c r="BV2152" s="1"/>
      <c r="BW2152" s="1"/>
      <c r="BX2152" s="1"/>
      <c r="BY2152" s="1"/>
      <c r="BZ2152" s="1"/>
      <c r="CA2152" s="1"/>
      <c r="CB2152" s="1"/>
      <c r="CC2152" s="1"/>
      <c r="CD2152" s="1"/>
      <c r="CE2152" s="1"/>
      <c r="CF2152" s="1"/>
      <c r="CG2152" s="1"/>
      <c r="CH2152" s="1"/>
      <c r="CI2152" s="1"/>
      <c r="CJ2152" s="1"/>
      <c r="CK2152" s="1"/>
      <c r="CL2152" s="1"/>
      <c r="CM2152" s="1"/>
      <c r="CN2152" s="1"/>
      <c r="CO2152" s="1"/>
      <c r="CP2152" s="1"/>
      <c r="CQ2152" s="1"/>
      <c r="CR2152" s="1"/>
      <c r="CS2152" s="1"/>
      <c r="CT2152" s="1"/>
      <c r="CU2152" s="1"/>
      <c r="CV2152" s="1"/>
      <c r="CW2152" s="1"/>
      <c r="CX2152" s="1"/>
      <c r="CY2152" s="1"/>
      <c r="CZ2152" s="1"/>
      <c r="DA2152" s="1"/>
      <c r="DB2152" s="1"/>
      <c r="DC2152" s="1"/>
    </row>
    <row r="2153" spans="1:107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  <c r="AC2153" s="1"/>
      <c r="AD2153" s="1"/>
      <c r="AE2153" s="1"/>
      <c r="AF2153" s="1"/>
      <c r="AG2153" s="1"/>
      <c r="AH2153" s="1"/>
      <c r="AI2153" s="1"/>
      <c r="AJ2153" s="1"/>
      <c r="AK2153" s="1"/>
      <c r="AL2153" s="1"/>
      <c r="AM2153" s="1"/>
      <c r="AN2153" s="1"/>
      <c r="AO2153" s="1"/>
      <c r="AP2153" s="1"/>
      <c r="AQ2153" s="1"/>
      <c r="AR2153" s="1"/>
      <c r="AS2153" s="1"/>
      <c r="AT2153" s="1"/>
      <c r="AU2153" s="1"/>
      <c r="AV2153" s="1"/>
      <c r="AW2153" s="1"/>
      <c r="AX2153" s="1"/>
      <c r="AY2153" s="1"/>
      <c r="AZ2153" s="1"/>
      <c r="BA2153" s="1"/>
      <c r="BB2153" s="1"/>
      <c r="BC2153" s="1"/>
      <c r="BD2153" s="1"/>
      <c r="BE2153" s="1"/>
      <c r="BF2153" s="1"/>
      <c r="BG2153" s="1"/>
      <c r="BH2153" s="1"/>
      <c r="BI2153" s="1"/>
      <c r="BJ2153" s="1"/>
      <c r="BK2153" s="1"/>
      <c r="BL2153" s="1"/>
      <c r="BM2153" s="1"/>
      <c r="BN2153" s="1"/>
      <c r="BO2153" s="1"/>
      <c r="BP2153" s="1"/>
      <c r="BQ2153" s="1"/>
      <c r="BR2153" s="1"/>
      <c r="BS2153" s="1"/>
      <c r="BT2153" s="1"/>
      <c r="BU2153" s="1"/>
      <c r="BV2153" s="1"/>
      <c r="BW2153" s="1"/>
      <c r="BX2153" s="1"/>
      <c r="BY2153" s="1"/>
      <c r="BZ2153" s="1"/>
      <c r="CA2153" s="1"/>
      <c r="CB2153" s="1"/>
      <c r="CC2153" s="1"/>
      <c r="CD2153" s="1"/>
      <c r="CE2153" s="1"/>
      <c r="CF2153" s="1"/>
      <c r="CG2153" s="1"/>
      <c r="CH2153" s="1"/>
      <c r="CI2153" s="1"/>
      <c r="CJ2153" s="1"/>
      <c r="CK2153" s="1"/>
      <c r="CL2153" s="1"/>
      <c r="CM2153" s="1"/>
      <c r="CN2153" s="1"/>
      <c r="CO2153" s="1"/>
      <c r="CP2153" s="1"/>
      <c r="CQ2153" s="1"/>
      <c r="CR2153" s="1"/>
      <c r="CS2153" s="1"/>
      <c r="CT2153" s="1"/>
      <c r="CU2153" s="1"/>
      <c r="CV2153" s="1"/>
      <c r="CW2153" s="1"/>
      <c r="CX2153" s="1"/>
      <c r="CY2153" s="1"/>
      <c r="CZ2153" s="1"/>
      <c r="DA2153" s="1"/>
      <c r="DB2153" s="1"/>
      <c r="DC2153" s="1"/>
    </row>
    <row r="2154" spans="1:107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1"/>
      <c r="AD2154" s="1"/>
      <c r="AE2154" s="1"/>
      <c r="AF2154" s="1"/>
      <c r="AG2154" s="1"/>
      <c r="AH2154" s="1"/>
      <c r="AI2154" s="1"/>
      <c r="AJ2154" s="1"/>
      <c r="AK2154" s="1"/>
      <c r="AL2154" s="1"/>
      <c r="AM2154" s="1"/>
      <c r="AN2154" s="1"/>
      <c r="AO2154" s="1"/>
      <c r="AP2154" s="1"/>
      <c r="AQ2154" s="1"/>
      <c r="AR2154" s="1"/>
      <c r="AS2154" s="1"/>
      <c r="AT2154" s="1"/>
      <c r="AU2154" s="1"/>
      <c r="AV2154" s="1"/>
      <c r="AW2154" s="1"/>
      <c r="AX2154" s="1"/>
      <c r="AY2154" s="1"/>
      <c r="AZ2154" s="1"/>
      <c r="BA2154" s="1"/>
      <c r="BB2154" s="1"/>
      <c r="BC2154" s="1"/>
      <c r="BD2154" s="1"/>
      <c r="BE2154" s="1"/>
      <c r="BF2154" s="1"/>
      <c r="BG2154" s="1"/>
      <c r="BH2154" s="1"/>
      <c r="BI2154" s="1"/>
      <c r="BJ2154" s="1"/>
      <c r="BK2154" s="1"/>
      <c r="BL2154" s="1"/>
      <c r="BM2154" s="1"/>
      <c r="BN2154" s="1"/>
      <c r="BO2154" s="1"/>
      <c r="BP2154" s="1"/>
      <c r="BQ2154" s="1"/>
      <c r="BR2154" s="1"/>
      <c r="BS2154" s="1"/>
      <c r="BT2154" s="1"/>
      <c r="BU2154" s="1"/>
      <c r="BV2154" s="1"/>
      <c r="BW2154" s="1"/>
      <c r="BX2154" s="1"/>
      <c r="BY2154" s="1"/>
      <c r="BZ2154" s="1"/>
      <c r="CA2154" s="1"/>
      <c r="CB2154" s="1"/>
      <c r="CC2154" s="1"/>
      <c r="CD2154" s="1"/>
      <c r="CE2154" s="1"/>
      <c r="CF2154" s="1"/>
      <c r="CG2154" s="1"/>
      <c r="CH2154" s="1"/>
      <c r="CI2154" s="1"/>
      <c r="CJ2154" s="1"/>
      <c r="CK2154" s="1"/>
      <c r="CL2154" s="1"/>
      <c r="CM2154" s="1"/>
      <c r="CN2154" s="1"/>
      <c r="CO2154" s="1"/>
      <c r="CP2154" s="1"/>
      <c r="CQ2154" s="1"/>
      <c r="CR2154" s="1"/>
      <c r="CS2154" s="1"/>
      <c r="CT2154" s="1"/>
      <c r="CU2154" s="1"/>
      <c r="CV2154" s="1"/>
      <c r="CW2154" s="1"/>
      <c r="CX2154" s="1"/>
      <c r="CY2154" s="1"/>
      <c r="CZ2154" s="1"/>
      <c r="DA2154" s="1"/>
      <c r="DB2154" s="1"/>
      <c r="DC2154" s="1"/>
    </row>
    <row r="2155" spans="1:107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  <c r="AC2155" s="1"/>
      <c r="AD2155" s="1"/>
      <c r="AE2155" s="1"/>
      <c r="AF2155" s="1"/>
      <c r="AG2155" s="1"/>
      <c r="AH2155" s="1"/>
      <c r="AI2155" s="1"/>
      <c r="AJ2155" s="1"/>
      <c r="AK2155" s="1"/>
      <c r="AL2155" s="1"/>
      <c r="AM2155" s="1"/>
      <c r="AN2155" s="1"/>
      <c r="AO2155" s="1"/>
      <c r="AP2155" s="1"/>
      <c r="AQ2155" s="1"/>
      <c r="AR2155" s="1"/>
      <c r="AS2155" s="1"/>
      <c r="AT2155" s="1"/>
      <c r="AU2155" s="1"/>
      <c r="AV2155" s="1"/>
      <c r="AW2155" s="1"/>
      <c r="AX2155" s="1"/>
      <c r="AY2155" s="1"/>
      <c r="AZ2155" s="1"/>
      <c r="BA2155" s="1"/>
      <c r="BB2155" s="1"/>
      <c r="BC2155" s="1"/>
      <c r="BD2155" s="1"/>
      <c r="BE2155" s="1"/>
      <c r="BF2155" s="1"/>
      <c r="BG2155" s="1"/>
      <c r="BH2155" s="1"/>
      <c r="BI2155" s="1"/>
      <c r="BJ2155" s="1"/>
      <c r="BK2155" s="1"/>
      <c r="BL2155" s="1"/>
      <c r="BM2155" s="1"/>
      <c r="BN2155" s="1"/>
      <c r="BO2155" s="1"/>
      <c r="BP2155" s="1"/>
      <c r="BQ2155" s="1"/>
      <c r="BR2155" s="1"/>
      <c r="BS2155" s="1"/>
      <c r="BT2155" s="1"/>
      <c r="BU2155" s="1"/>
      <c r="BV2155" s="1"/>
      <c r="BW2155" s="1"/>
      <c r="BX2155" s="1"/>
      <c r="BY2155" s="1"/>
      <c r="BZ2155" s="1"/>
      <c r="CA2155" s="1"/>
      <c r="CB2155" s="1"/>
      <c r="CC2155" s="1"/>
      <c r="CD2155" s="1"/>
      <c r="CE2155" s="1"/>
      <c r="CF2155" s="1"/>
      <c r="CG2155" s="1"/>
      <c r="CH2155" s="1"/>
      <c r="CI2155" s="1"/>
      <c r="CJ2155" s="1"/>
      <c r="CK2155" s="1"/>
      <c r="CL2155" s="1"/>
      <c r="CM2155" s="1"/>
      <c r="CN2155" s="1"/>
      <c r="CO2155" s="1"/>
      <c r="CP2155" s="1"/>
      <c r="CQ2155" s="1"/>
      <c r="CR2155" s="1"/>
      <c r="CS2155" s="1"/>
      <c r="CT2155" s="1"/>
      <c r="CU2155" s="1"/>
      <c r="CV2155" s="1"/>
      <c r="CW2155" s="1"/>
      <c r="CX2155" s="1"/>
      <c r="CY2155" s="1"/>
      <c r="CZ2155" s="1"/>
      <c r="DA2155" s="1"/>
      <c r="DB2155" s="1"/>
      <c r="DC2155" s="1"/>
    </row>
    <row r="2156" spans="1:107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  <c r="AC2156" s="1"/>
      <c r="AD2156" s="1"/>
      <c r="AE2156" s="1"/>
      <c r="AF2156" s="1"/>
      <c r="AG2156" s="1"/>
      <c r="AH2156" s="1"/>
      <c r="AI2156" s="1"/>
      <c r="AJ2156" s="1"/>
      <c r="AK2156" s="1"/>
      <c r="AL2156" s="1"/>
      <c r="AM2156" s="1"/>
      <c r="AN2156" s="1"/>
      <c r="AO2156" s="1"/>
      <c r="AP2156" s="1"/>
      <c r="AQ2156" s="1"/>
      <c r="AR2156" s="1"/>
      <c r="AS2156" s="1"/>
      <c r="AT2156" s="1"/>
      <c r="AU2156" s="1"/>
      <c r="AV2156" s="1"/>
      <c r="AW2156" s="1"/>
      <c r="AX2156" s="1"/>
      <c r="AY2156" s="1"/>
      <c r="AZ2156" s="1"/>
      <c r="BA2156" s="1"/>
      <c r="BB2156" s="1"/>
      <c r="BC2156" s="1"/>
      <c r="BD2156" s="1"/>
      <c r="BE2156" s="1"/>
      <c r="BF2156" s="1"/>
      <c r="BG2156" s="1"/>
      <c r="BH2156" s="1"/>
      <c r="BI2156" s="1"/>
      <c r="BJ2156" s="1"/>
      <c r="BK2156" s="1"/>
      <c r="BL2156" s="1"/>
      <c r="BM2156" s="1"/>
      <c r="BN2156" s="1"/>
      <c r="BO2156" s="1"/>
      <c r="BP2156" s="1"/>
      <c r="BQ2156" s="1"/>
      <c r="BR2156" s="1"/>
      <c r="BS2156" s="1"/>
      <c r="BT2156" s="1"/>
      <c r="BU2156" s="1"/>
      <c r="BV2156" s="1"/>
      <c r="BW2156" s="1"/>
      <c r="BX2156" s="1"/>
      <c r="BY2156" s="1"/>
      <c r="BZ2156" s="1"/>
      <c r="CA2156" s="1"/>
      <c r="CB2156" s="1"/>
      <c r="CC2156" s="1"/>
      <c r="CD2156" s="1"/>
      <c r="CE2156" s="1"/>
      <c r="CF2156" s="1"/>
      <c r="CG2156" s="1"/>
      <c r="CH2156" s="1"/>
      <c r="CI2156" s="1"/>
      <c r="CJ2156" s="1"/>
      <c r="CK2156" s="1"/>
      <c r="CL2156" s="1"/>
      <c r="CM2156" s="1"/>
      <c r="CN2156" s="1"/>
      <c r="CO2156" s="1"/>
      <c r="CP2156" s="1"/>
      <c r="CQ2156" s="1"/>
      <c r="CR2156" s="1"/>
      <c r="CS2156" s="1"/>
      <c r="CT2156" s="1"/>
      <c r="CU2156" s="1"/>
      <c r="CV2156" s="1"/>
      <c r="CW2156" s="1"/>
      <c r="CX2156" s="1"/>
      <c r="CY2156" s="1"/>
      <c r="CZ2156" s="1"/>
      <c r="DA2156" s="1"/>
      <c r="DB2156" s="1"/>
      <c r="DC2156" s="1"/>
    </row>
    <row r="2157" spans="1:107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  <c r="AC2157" s="1"/>
      <c r="AD2157" s="1"/>
      <c r="AE2157" s="1"/>
      <c r="AF2157" s="1"/>
      <c r="AG2157" s="1"/>
      <c r="AH2157" s="1"/>
      <c r="AI2157" s="1"/>
      <c r="AJ2157" s="1"/>
      <c r="AK2157" s="1"/>
      <c r="AL2157" s="1"/>
      <c r="AM2157" s="1"/>
      <c r="AN2157" s="1"/>
      <c r="AO2157" s="1"/>
      <c r="AP2157" s="1"/>
      <c r="AQ2157" s="1"/>
      <c r="AR2157" s="1"/>
      <c r="AS2157" s="1"/>
      <c r="AT2157" s="1"/>
      <c r="AU2157" s="1"/>
      <c r="AV2157" s="1"/>
      <c r="AW2157" s="1"/>
      <c r="AX2157" s="1"/>
      <c r="AY2157" s="1"/>
      <c r="AZ2157" s="1"/>
      <c r="BA2157" s="1"/>
      <c r="BB2157" s="1"/>
      <c r="BC2157" s="1"/>
      <c r="BD2157" s="1"/>
      <c r="BE2157" s="1"/>
      <c r="BF2157" s="1"/>
      <c r="BG2157" s="1"/>
      <c r="BH2157" s="1"/>
      <c r="BI2157" s="1"/>
      <c r="BJ2157" s="1"/>
      <c r="BK2157" s="1"/>
      <c r="BL2157" s="1"/>
      <c r="BM2157" s="1"/>
      <c r="BN2157" s="1"/>
      <c r="BO2157" s="1"/>
      <c r="BP2157" s="1"/>
      <c r="BQ2157" s="1"/>
      <c r="BR2157" s="1"/>
      <c r="BS2157" s="1"/>
      <c r="BT2157" s="1"/>
      <c r="BU2157" s="1"/>
      <c r="BV2157" s="1"/>
      <c r="BW2157" s="1"/>
      <c r="BX2157" s="1"/>
      <c r="BY2157" s="1"/>
      <c r="BZ2157" s="1"/>
      <c r="CA2157" s="1"/>
      <c r="CB2157" s="1"/>
      <c r="CC2157" s="1"/>
      <c r="CD2157" s="1"/>
      <c r="CE2157" s="1"/>
      <c r="CF2157" s="1"/>
      <c r="CG2157" s="1"/>
      <c r="CH2157" s="1"/>
      <c r="CI2157" s="1"/>
      <c r="CJ2157" s="1"/>
      <c r="CK2157" s="1"/>
      <c r="CL2157" s="1"/>
      <c r="CM2157" s="1"/>
      <c r="CN2157" s="1"/>
      <c r="CO2157" s="1"/>
      <c r="CP2157" s="1"/>
      <c r="CQ2157" s="1"/>
      <c r="CR2157" s="1"/>
      <c r="CS2157" s="1"/>
      <c r="CT2157" s="1"/>
      <c r="CU2157" s="1"/>
      <c r="CV2157" s="1"/>
      <c r="CW2157" s="1"/>
      <c r="CX2157" s="1"/>
      <c r="CY2157" s="1"/>
      <c r="CZ2157" s="1"/>
      <c r="DA2157" s="1"/>
      <c r="DB2157" s="1"/>
      <c r="DC2157" s="1"/>
    </row>
    <row r="2158" spans="1:107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  <c r="AC2158" s="1"/>
      <c r="AD2158" s="1"/>
      <c r="AE2158" s="1"/>
      <c r="AF2158" s="1"/>
      <c r="AG2158" s="1"/>
      <c r="AH2158" s="1"/>
      <c r="AI2158" s="1"/>
      <c r="AJ2158" s="1"/>
      <c r="AK2158" s="1"/>
      <c r="AL2158" s="1"/>
      <c r="AM2158" s="1"/>
      <c r="AN2158" s="1"/>
      <c r="AO2158" s="1"/>
      <c r="AP2158" s="1"/>
      <c r="AQ2158" s="1"/>
      <c r="AR2158" s="1"/>
      <c r="AS2158" s="1"/>
      <c r="AT2158" s="1"/>
      <c r="AU2158" s="1"/>
      <c r="AV2158" s="1"/>
      <c r="AW2158" s="1"/>
      <c r="AX2158" s="1"/>
      <c r="AY2158" s="1"/>
      <c r="AZ2158" s="1"/>
      <c r="BA2158" s="1"/>
      <c r="BB2158" s="1"/>
      <c r="BC2158" s="1"/>
      <c r="BD2158" s="1"/>
      <c r="BE2158" s="1"/>
      <c r="BF2158" s="1"/>
      <c r="BG2158" s="1"/>
      <c r="BH2158" s="1"/>
      <c r="BI2158" s="1"/>
      <c r="BJ2158" s="1"/>
      <c r="BK2158" s="1"/>
      <c r="BL2158" s="1"/>
      <c r="BM2158" s="1"/>
      <c r="BN2158" s="1"/>
      <c r="BO2158" s="1"/>
      <c r="BP2158" s="1"/>
      <c r="BQ2158" s="1"/>
      <c r="BR2158" s="1"/>
      <c r="BS2158" s="1"/>
      <c r="BT2158" s="1"/>
      <c r="BU2158" s="1"/>
      <c r="BV2158" s="1"/>
      <c r="BW2158" s="1"/>
      <c r="BX2158" s="1"/>
      <c r="BY2158" s="1"/>
      <c r="BZ2158" s="1"/>
      <c r="CA2158" s="1"/>
      <c r="CB2158" s="1"/>
      <c r="CC2158" s="1"/>
      <c r="CD2158" s="1"/>
      <c r="CE2158" s="1"/>
      <c r="CF2158" s="1"/>
      <c r="CG2158" s="1"/>
      <c r="CH2158" s="1"/>
      <c r="CI2158" s="1"/>
      <c r="CJ2158" s="1"/>
      <c r="CK2158" s="1"/>
      <c r="CL2158" s="1"/>
      <c r="CM2158" s="1"/>
      <c r="CN2158" s="1"/>
      <c r="CO2158" s="1"/>
      <c r="CP2158" s="1"/>
      <c r="CQ2158" s="1"/>
      <c r="CR2158" s="1"/>
      <c r="CS2158" s="1"/>
      <c r="CT2158" s="1"/>
      <c r="CU2158" s="1"/>
      <c r="CV2158" s="1"/>
      <c r="CW2158" s="1"/>
      <c r="CX2158" s="1"/>
      <c r="CY2158" s="1"/>
      <c r="CZ2158" s="1"/>
      <c r="DA2158" s="1"/>
      <c r="DB2158" s="1"/>
      <c r="DC2158" s="1"/>
    </row>
    <row r="2159" spans="1:107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1"/>
      <c r="AD2159" s="1"/>
      <c r="AE2159" s="1"/>
      <c r="AF2159" s="1"/>
      <c r="AG2159" s="1"/>
      <c r="AH2159" s="1"/>
      <c r="AI2159" s="1"/>
      <c r="AJ2159" s="1"/>
      <c r="AK2159" s="1"/>
      <c r="AL2159" s="1"/>
      <c r="AM2159" s="1"/>
      <c r="AN2159" s="1"/>
      <c r="AO2159" s="1"/>
      <c r="AP2159" s="1"/>
      <c r="AQ2159" s="1"/>
      <c r="AR2159" s="1"/>
      <c r="AS2159" s="1"/>
      <c r="AT2159" s="1"/>
      <c r="AU2159" s="1"/>
      <c r="AV2159" s="1"/>
      <c r="AW2159" s="1"/>
      <c r="AX2159" s="1"/>
      <c r="AY2159" s="1"/>
      <c r="AZ2159" s="1"/>
      <c r="BA2159" s="1"/>
      <c r="BB2159" s="1"/>
      <c r="BC2159" s="1"/>
      <c r="BD2159" s="1"/>
      <c r="BE2159" s="1"/>
      <c r="BF2159" s="1"/>
      <c r="BG2159" s="1"/>
      <c r="BH2159" s="1"/>
      <c r="BI2159" s="1"/>
      <c r="BJ2159" s="1"/>
      <c r="BK2159" s="1"/>
      <c r="BL2159" s="1"/>
      <c r="BM2159" s="1"/>
      <c r="BN2159" s="1"/>
      <c r="BO2159" s="1"/>
      <c r="BP2159" s="1"/>
      <c r="BQ2159" s="1"/>
      <c r="BR2159" s="1"/>
      <c r="BS2159" s="1"/>
      <c r="BT2159" s="1"/>
      <c r="BU2159" s="1"/>
      <c r="BV2159" s="1"/>
      <c r="BW2159" s="1"/>
      <c r="BX2159" s="1"/>
      <c r="BY2159" s="1"/>
      <c r="BZ2159" s="1"/>
      <c r="CA2159" s="1"/>
      <c r="CB2159" s="1"/>
      <c r="CC2159" s="1"/>
      <c r="CD2159" s="1"/>
      <c r="CE2159" s="1"/>
      <c r="CF2159" s="1"/>
      <c r="CG2159" s="1"/>
      <c r="CH2159" s="1"/>
      <c r="CI2159" s="1"/>
      <c r="CJ2159" s="1"/>
      <c r="CK2159" s="1"/>
      <c r="CL2159" s="1"/>
      <c r="CM2159" s="1"/>
      <c r="CN2159" s="1"/>
      <c r="CO2159" s="1"/>
      <c r="CP2159" s="1"/>
      <c r="CQ2159" s="1"/>
      <c r="CR2159" s="1"/>
      <c r="CS2159" s="1"/>
      <c r="CT2159" s="1"/>
      <c r="CU2159" s="1"/>
      <c r="CV2159" s="1"/>
      <c r="CW2159" s="1"/>
      <c r="CX2159" s="1"/>
      <c r="CY2159" s="1"/>
      <c r="CZ2159" s="1"/>
      <c r="DA2159" s="1"/>
      <c r="DB2159" s="1"/>
      <c r="DC2159" s="1"/>
    </row>
    <row r="2160" spans="1:107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  <c r="AC2160" s="1"/>
      <c r="AD2160" s="1"/>
      <c r="AE2160" s="1"/>
      <c r="AF2160" s="1"/>
      <c r="AG2160" s="1"/>
      <c r="AH2160" s="1"/>
      <c r="AI2160" s="1"/>
      <c r="AJ2160" s="1"/>
      <c r="AK2160" s="1"/>
      <c r="AL2160" s="1"/>
      <c r="AM2160" s="1"/>
      <c r="AN2160" s="1"/>
      <c r="AO2160" s="1"/>
      <c r="AP2160" s="1"/>
      <c r="AQ2160" s="1"/>
      <c r="AR2160" s="1"/>
      <c r="AS2160" s="1"/>
      <c r="AT2160" s="1"/>
      <c r="AU2160" s="1"/>
      <c r="AV2160" s="1"/>
      <c r="AW2160" s="1"/>
      <c r="AX2160" s="1"/>
      <c r="AY2160" s="1"/>
      <c r="AZ2160" s="1"/>
      <c r="BA2160" s="1"/>
      <c r="BB2160" s="1"/>
      <c r="BC2160" s="1"/>
      <c r="BD2160" s="1"/>
      <c r="BE2160" s="1"/>
      <c r="BF2160" s="1"/>
      <c r="BG2160" s="1"/>
      <c r="BH2160" s="1"/>
      <c r="BI2160" s="1"/>
      <c r="BJ2160" s="1"/>
      <c r="BK2160" s="1"/>
      <c r="BL2160" s="1"/>
      <c r="BM2160" s="1"/>
      <c r="BN2160" s="1"/>
      <c r="BO2160" s="1"/>
      <c r="BP2160" s="1"/>
      <c r="BQ2160" s="1"/>
      <c r="BR2160" s="1"/>
      <c r="BS2160" s="1"/>
      <c r="BT2160" s="1"/>
      <c r="BU2160" s="1"/>
      <c r="BV2160" s="1"/>
      <c r="BW2160" s="1"/>
      <c r="BX2160" s="1"/>
      <c r="BY2160" s="1"/>
      <c r="BZ2160" s="1"/>
      <c r="CA2160" s="1"/>
      <c r="CB2160" s="1"/>
      <c r="CC2160" s="1"/>
      <c r="CD2160" s="1"/>
      <c r="CE2160" s="1"/>
      <c r="CF2160" s="1"/>
      <c r="CG2160" s="1"/>
      <c r="CH2160" s="1"/>
      <c r="CI2160" s="1"/>
      <c r="CJ2160" s="1"/>
      <c r="CK2160" s="1"/>
      <c r="CL2160" s="1"/>
      <c r="CM2160" s="1"/>
      <c r="CN2160" s="1"/>
      <c r="CO2160" s="1"/>
      <c r="CP2160" s="1"/>
      <c r="CQ2160" s="1"/>
      <c r="CR2160" s="1"/>
      <c r="CS2160" s="1"/>
      <c r="CT2160" s="1"/>
      <c r="CU2160" s="1"/>
      <c r="CV2160" s="1"/>
      <c r="CW2160" s="1"/>
      <c r="CX2160" s="1"/>
      <c r="CY2160" s="1"/>
      <c r="CZ2160" s="1"/>
      <c r="DA2160" s="1"/>
      <c r="DB2160" s="1"/>
      <c r="DC2160" s="1"/>
    </row>
    <row r="2161" spans="1:107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  <c r="AC2161" s="1"/>
      <c r="AD2161" s="1"/>
      <c r="AE2161" s="1"/>
      <c r="AF2161" s="1"/>
      <c r="AG2161" s="1"/>
      <c r="AH2161" s="1"/>
      <c r="AI2161" s="1"/>
      <c r="AJ2161" s="1"/>
      <c r="AK2161" s="1"/>
      <c r="AL2161" s="1"/>
      <c r="AM2161" s="1"/>
      <c r="AN2161" s="1"/>
      <c r="AO2161" s="1"/>
      <c r="AP2161" s="1"/>
      <c r="AQ2161" s="1"/>
      <c r="AR2161" s="1"/>
      <c r="AS2161" s="1"/>
      <c r="AT2161" s="1"/>
      <c r="AU2161" s="1"/>
      <c r="AV2161" s="1"/>
      <c r="AW2161" s="1"/>
      <c r="AX2161" s="1"/>
      <c r="AY2161" s="1"/>
      <c r="AZ2161" s="1"/>
      <c r="BA2161" s="1"/>
      <c r="BB2161" s="1"/>
      <c r="BC2161" s="1"/>
      <c r="BD2161" s="1"/>
      <c r="BE2161" s="1"/>
      <c r="BF2161" s="1"/>
      <c r="BG2161" s="1"/>
      <c r="BH2161" s="1"/>
      <c r="BI2161" s="1"/>
      <c r="BJ2161" s="1"/>
      <c r="BK2161" s="1"/>
      <c r="BL2161" s="1"/>
      <c r="BM2161" s="1"/>
      <c r="BN2161" s="1"/>
      <c r="BO2161" s="1"/>
      <c r="BP2161" s="1"/>
      <c r="BQ2161" s="1"/>
      <c r="BR2161" s="1"/>
      <c r="BS2161" s="1"/>
      <c r="BT2161" s="1"/>
      <c r="BU2161" s="1"/>
      <c r="BV2161" s="1"/>
      <c r="BW2161" s="1"/>
      <c r="BX2161" s="1"/>
      <c r="BY2161" s="1"/>
      <c r="BZ2161" s="1"/>
      <c r="CA2161" s="1"/>
      <c r="CB2161" s="1"/>
      <c r="CC2161" s="1"/>
      <c r="CD2161" s="1"/>
      <c r="CE2161" s="1"/>
      <c r="CF2161" s="1"/>
      <c r="CG2161" s="1"/>
      <c r="CH2161" s="1"/>
      <c r="CI2161" s="1"/>
      <c r="CJ2161" s="1"/>
      <c r="CK2161" s="1"/>
      <c r="CL2161" s="1"/>
      <c r="CM2161" s="1"/>
      <c r="CN2161" s="1"/>
      <c r="CO2161" s="1"/>
      <c r="CP2161" s="1"/>
      <c r="CQ2161" s="1"/>
      <c r="CR2161" s="1"/>
      <c r="CS2161" s="1"/>
      <c r="CT2161" s="1"/>
      <c r="CU2161" s="1"/>
      <c r="CV2161" s="1"/>
      <c r="CW2161" s="1"/>
      <c r="CX2161" s="1"/>
      <c r="CY2161" s="1"/>
      <c r="CZ2161" s="1"/>
      <c r="DA2161" s="1"/>
      <c r="DB2161" s="1"/>
      <c r="DC2161" s="1"/>
    </row>
    <row r="2162" spans="1:107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1"/>
      <c r="AD2162" s="1"/>
      <c r="AE2162" s="1"/>
      <c r="AF2162" s="1"/>
      <c r="AG2162" s="1"/>
      <c r="AH2162" s="1"/>
      <c r="AI2162" s="1"/>
      <c r="AJ2162" s="1"/>
      <c r="AK2162" s="1"/>
      <c r="AL2162" s="1"/>
      <c r="AM2162" s="1"/>
      <c r="AN2162" s="1"/>
      <c r="AO2162" s="1"/>
      <c r="AP2162" s="1"/>
      <c r="AQ2162" s="1"/>
      <c r="AR2162" s="1"/>
      <c r="AS2162" s="1"/>
      <c r="AT2162" s="1"/>
      <c r="AU2162" s="1"/>
      <c r="AV2162" s="1"/>
      <c r="AW2162" s="1"/>
      <c r="AX2162" s="1"/>
      <c r="AY2162" s="1"/>
      <c r="AZ2162" s="1"/>
      <c r="BA2162" s="1"/>
      <c r="BB2162" s="1"/>
      <c r="BC2162" s="1"/>
      <c r="BD2162" s="1"/>
      <c r="BE2162" s="1"/>
      <c r="BF2162" s="1"/>
      <c r="BG2162" s="1"/>
      <c r="BH2162" s="1"/>
      <c r="BI2162" s="1"/>
      <c r="BJ2162" s="1"/>
      <c r="BK2162" s="1"/>
      <c r="BL2162" s="1"/>
      <c r="BM2162" s="1"/>
      <c r="BN2162" s="1"/>
      <c r="BO2162" s="1"/>
      <c r="BP2162" s="1"/>
      <c r="BQ2162" s="1"/>
      <c r="BR2162" s="1"/>
      <c r="BS2162" s="1"/>
      <c r="BT2162" s="1"/>
      <c r="BU2162" s="1"/>
      <c r="BV2162" s="1"/>
      <c r="BW2162" s="1"/>
      <c r="BX2162" s="1"/>
      <c r="BY2162" s="1"/>
      <c r="BZ2162" s="1"/>
      <c r="CA2162" s="1"/>
      <c r="CB2162" s="1"/>
      <c r="CC2162" s="1"/>
      <c r="CD2162" s="1"/>
      <c r="CE2162" s="1"/>
      <c r="CF2162" s="1"/>
      <c r="CG2162" s="1"/>
      <c r="CH2162" s="1"/>
      <c r="CI2162" s="1"/>
      <c r="CJ2162" s="1"/>
      <c r="CK2162" s="1"/>
      <c r="CL2162" s="1"/>
      <c r="CM2162" s="1"/>
      <c r="CN2162" s="1"/>
      <c r="CO2162" s="1"/>
      <c r="CP2162" s="1"/>
      <c r="CQ2162" s="1"/>
      <c r="CR2162" s="1"/>
      <c r="CS2162" s="1"/>
      <c r="CT2162" s="1"/>
      <c r="CU2162" s="1"/>
      <c r="CV2162" s="1"/>
      <c r="CW2162" s="1"/>
      <c r="CX2162" s="1"/>
      <c r="CY2162" s="1"/>
      <c r="CZ2162" s="1"/>
      <c r="DA2162" s="1"/>
      <c r="DB2162" s="1"/>
      <c r="DC2162" s="1"/>
    </row>
    <row r="2163" spans="1:107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1"/>
      <c r="AD2163" s="1"/>
      <c r="AE2163" s="1"/>
      <c r="AF2163" s="1"/>
      <c r="AG2163" s="1"/>
      <c r="AH2163" s="1"/>
      <c r="AI2163" s="1"/>
      <c r="AJ2163" s="1"/>
      <c r="AK2163" s="1"/>
      <c r="AL2163" s="1"/>
      <c r="AM2163" s="1"/>
      <c r="AN2163" s="1"/>
      <c r="AO2163" s="1"/>
      <c r="AP2163" s="1"/>
      <c r="AQ2163" s="1"/>
      <c r="AR2163" s="1"/>
      <c r="AS2163" s="1"/>
      <c r="AT2163" s="1"/>
      <c r="AU2163" s="1"/>
      <c r="AV2163" s="1"/>
      <c r="AW2163" s="1"/>
      <c r="AX2163" s="1"/>
      <c r="AY2163" s="1"/>
      <c r="AZ2163" s="1"/>
      <c r="BA2163" s="1"/>
      <c r="BB2163" s="1"/>
      <c r="BC2163" s="1"/>
      <c r="BD2163" s="1"/>
      <c r="BE2163" s="1"/>
      <c r="BF2163" s="1"/>
      <c r="BG2163" s="1"/>
      <c r="BH2163" s="1"/>
      <c r="BI2163" s="1"/>
      <c r="BJ2163" s="1"/>
      <c r="BK2163" s="1"/>
      <c r="BL2163" s="1"/>
      <c r="BM2163" s="1"/>
      <c r="BN2163" s="1"/>
      <c r="BO2163" s="1"/>
      <c r="BP2163" s="1"/>
      <c r="BQ2163" s="1"/>
      <c r="BR2163" s="1"/>
      <c r="BS2163" s="1"/>
      <c r="BT2163" s="1"/>
      <c r="BU2163" s="1"/>
      <c r="BV2163" s="1"/>
      <c r="BW2163" s="1"/>
      <c r="BX2163" s="1"/>
      <c r="BY2163" s="1"/>
      <c r="BZ2163" s="1"/>
      <c r="CA2163" s="1"/>
      <c r="CB2163" s="1"/>
      <c r="CC2163" s="1"/>
      <c r="CD2163" s="1"/>
      <c r="CE2163" s="1"/>
      <c r="CF2163" s="1"/>
      <c r="CG2163" s="1"/>
      <c r="CH2163" s="1"/>
      <c r="CI2163" s="1"/>
      <c r="CJ2163" s="1"/>
      <c r="CK2163" s="1"/>
      <c r="CL2163" s="1"/>
      <c r="CM2163" s="1"/>
      <c r="CN2163" s="1"/>
      <c r="CO2163" s="1"/>
      <c r="CP2163" s="1"/>
      <c r="CQ2163" s="1"/>
      <c r="CR2163" s="1"/>
      <c r="CS2163" s="1"/>
      <c r="CT2163" s="1"/>
      <c r="CU2163" s="1"/>
      <c r="CV2163" s="1"/>
      <c r="CW2163" s="1"/>
      <c r="CX2163" s="1"/>
      <c r="CY2163" s="1"/>
      <c r="CZ2163" s="1"/>
      <c r="DA2163" s="1"/>
      <c r="DB2163" s="1"/>
      <c r="DC2163" s="1"/>
    </row>
    <row r="2164" spans="1:107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  <c r="AC2164" s="1"/>
      <c r="AD2164" s="1"/>
      <c r="AE2164" s="1"/>
      <c r="AF2164" s="1"/>
      <c r="AG2164" s="1"/>
      <c r="AH2164" s="1"/>
      <c r="AI2164" s="1"/>
      <c r="AJ2164" s="1"/>
      <c r="AK2164" s="1"/>
      <c r="AL2164" s="1"/>
      <c r="AM2164" s="1"/>
      <c r="AN2164" s="1"/>
      <c r="AO2164" s="1"/>
      <c r="AP2164" s="1"/>
      <c r="AQ2164" s="1"/>
      <c r="AR2164" s="1"/>
      <c r="AS2164" s="1"/>
      <c r="AT2164" s="1"/>
      <c r="AU2164" s="1"/>
      <c r="AV2164" s="1"/>
      <c r="AW2164" s="1"/>
      <c r="AX2164" s="1"/>
      <c r="AY2164" s="1"/>
      <c r="AZ2164" s="1"/>
      <c r="BA2164" s="1"/>
      <c r="BB2164" s="1"/>
      <c r="BC2164" s="1"/>
      <c r="BD2164" s="1"/>
      <c r="BE2164" s="1"/>
      <c r="BF2164" s="1"/>
      <c r="BG2164" s="1"/>
      <c r="BH2164" s="1"/>
      <c r="BI2164" s="1"/>
      <c r="BJ2164" s="1"/>
      <c r="BK2164" s="1"/>
      <c r="BL2164" s="1"/>
      <c r="BM2164" s="1"/>
      <c r="BN2164" s="1"/>
      <c r="BO2164" s="1"/>
      <c r="BP2164" s="1"/>
      <c r="BQ2164" s="1"/>
      <c r="BR2164" s="1"/>
      <c r="BS2164" s="1"/>
      <c r="BT2164" s="1"/>
      <c r="BU2164" s="1"/>
      <c r="BV2164" s="1"/>
      <c r="BW2164" s="1"/>
      <c r="BX2164" s="1"/>
      <c r="BY2164" s="1"/>
      <c r="BZ2164" s="1"/>
      <c r="CA2164" s="1"/>
      <c r="CB2164" s="1"/>
      <c r="CC2164" s="1"/>
      <c r="CD2164" s="1"/>
      <c r="CE2164" s="1"/>
      <c r="CF2164" s="1"/>
      <c r="CG2164" s="1"/>
      <c r="CH2164" s="1"/>
      <c r="CI2164" s="1"/>
      <c r="CJ2164" s="1"/>
      <c r="CK2164" s="1"/>
      <c r="CL2164" s="1"/>
      <c r="CM2164" s="1"/>
      <c r="CN2164" s="1"/>
      <c r="CO2164" s="1"/>
      <c r="CP2164" s="1"/>
      <c r="CQ2164" s="1"/>
      <c r="CR2164" s="1"/>
      <c r="CS2164" s="1"/>
      <c r="CT2164" s="1"/>
      <c r="CU2164" s="1"/>
      <c r="CV2164" s="1"/>
      <c r="CW2164" s="1"/>
      <c r="CX2164" s="1"/>
      <c r="CY2164" s="1"/>
      <c r="CZ2164" s="1"/>
      <c r="DA2164" s="1"/>
      <c r="DB2164" s="1"/>
      <c r="DC2164" s="1"/>
    </row>
    <row r="2165" spans="1:107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  <c r="AD2165" s="1"/>
      <c r="AE2165" s="1"/>
      <c r="AF2165" s="1"/>
      <c r="AG2165" s="1"/>
      <c r="AH2165" s="1"/>
      <c r="AI2165" s="1"/>
      <c r="AJ2165" s="1"/>
      <c r="AK2165" s="1"/>
      <c r="AL2165" s="1"/>
      <c r="AM2165" s="1"/>
      <c r="AN2165" s="1"/>
      <c r="AO2165" s="1"/>
      <c r="AP2165" s="1"/>
      <c r="AQ2165" s="1"/>
      <c r="AR2165" s="1"/>
      <c r="AS2165" s="1"/>
      <c r="AT2165" s="1"/>
      <c r="AU2165" s="1"/>
      <c r="AV2165" s="1"/>
      <c r="AW2165" s="1"/>
      <c r="AX2165" s="1"/>
      <c r="AY2165" s="1"/>
      <c r="AZ2165" s="1"/>
      <c r="BA2165" s="1"/>
      <c r="BB2165" s="1"/>
      <c r="BC2165" s="1"/>
      <c r="BD2165" s="1"/>
      <c r="BE2165" s="1"/>
      <c r="BF2165" s="1"/>
      <c r="BG2165" s="1"/>
      <c r="BH2165" s="1"/>
      <c r="BI2165" s="1"/>
      <c r="BJ2165" s="1"/>
      <c r="BK2165" s="1"/>
      <c r="BL2165" s="1"/>
      <c r="BM2165" s="1"/>
      <c r="BN2165" s="1"/>
      <c r="BO2165" s="1"/>
      <c r="BP2165" s="1"/>
      <c r="BQ2165" s="1"/>
      <c r="BR2165" s="1"/>
      <c r="BS2165" s="1"/>
      <c r="BT2165" s="1"/>
      <c r="BU2165" s="1"/>
      <c r="BV2165" s="1"/>
      <c r="BW2165" s="1"/>
      <c r="BX2165" s="1"/>
      <c r="BY2165" s="1"/>
      <c r="BZ2165" s="1"/>
      <c r="CA2165" s="1"/>
      <c r="CB2165" s="1"/>
      <c r="CC2165" s="1"/>
      <c r="CD2165" s="1"/>
      <c r="CE2165" s="1"/>
      <c r="CF2165" s="1"/>
      <c r="CG2165" s="1"/>
      <c r="CH2165" s="1"/>
      <c r="CI2165" s="1"/>
      <c r="CJ2165" s="1"/>
      <c r="CK2165" s="1"/>
      <c r="CL2165" s="1"/>
      <c r="CM2165" s="1"/>
      <c r="CN2165" s="1"/>
      <c r="CO2165" s="1"/>
      <c r="CP2165" s="1"/>
      <c r="CQ2165" s="1"/>
      <c r="CR2165" s="1"/>
      <c r="CS2165" s="1"/>
      <c r="CT2165" s="1"/>
      <c r="CU2165" s="1"/>
      <c r="CV2165" s="1"/>
      <c r="CW2165" s="1"/>
      <c r="CX2165" s="1"/>
      <c r="CY2165" s="1"/>
      <c r="CZ2165" s="1"/>
      <c r="DA2165" s="1"/>
      <c r="DB2165" s="1"/>
      <c r="DC2165" s="1"/>
    </row>
    <row r="2166" spans="1:107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  <c r="AC2166" s="1"/>
      <c r="AD2166" s="1"/>
      <c r="AE2166" s="1"/>
      <c r="AF2166" s="1"/>
      <c r="AG2166" s="1"/>
      <c r="AH2166" s="1"/>
      <c r="AI2166" s="1"/>
      <c r="AJ2166" s="1"/>
      <c r="AK2166" s="1"/>
      <c r="AL2166" s="1"/>
      <c r="AM2166" s="1"/>
      <c r="AN2166" s="1"/>
      <c r="AO2166" s="1"/>
      <c r="AP2166" s="1"/>
      <c r="AQ2166" s="1"/>
      <c r="AR2166" s="1"/>
      <c r="AS2166" s="1"/>
      <c r="AT2166" s="1"/>
      <c r="AU2166" s="1"/>
      <c r="AV2166" s="1"/>
      <c r="AW2166" s="1"/>
      <c r="AX2166" s="1"/>
      <c r="AY2166" s="1"/>
      <c r="AZ2166" s="1"/>
      <c r="BA2166" s="1"/>
      <c r="BB2166" s="1"/>
      <c r="BC2166" s="1"/>
      <c r="BD2166" s="1"/>
      <c r="BE2166" s="1"/>
      <c r="BF2166" s="1"/>
      <c r="BG2166" s="1"/>
      <c r="BH2166" s="1"/>
      <c r="BI2166" s="1"/>
      <c r="BJ2166" s="1"/>
      <c r="BK2166" s="1"/>
      <c r="BL2166" s="1"/>
      <c r="BM2166" s="1"/>
      <c r="BN2166" s="1"/>
      <c r="BO2166" s="1"/>
      <c r="BP2166" s="1"/>
      <c r="BQ2166" s="1"/>
      <c r="BR2166" s="1"/>
      <c r="BS2166" s="1"/>
      <c r="BT2166" s="1"/>
      <c r="BU2166" s="1"/>
      <c r="BV2166" s="1"/>
      <c r="BW2166" s="1"/>
      <c r="BX2166" s="1"/>
      <c r="BY2166" s="1"/>
      <c r="BZ2166" s="1"/>
      <c r="CA2166" s="1"/>
      <c r="CB2166" s="1"/>
      <c r="CC2166" s="1"/>
      <c r="CD2166" s="1"/>
      <c r="CE2166" s="1"/>
      <c r="CF2166" s="1"/>
      <c r="CG2166" s="1"/>
      <c r="CH2166" s="1"/>
      <c r="CI2166" s="1"/>
      <c r="CJ2166" s="1"/>
      <c r="CK2166" s="1"/>
      <c r="CL2166" s="1"/>
      <c r="CM2166" s="1"/>
      <c r="CN2166" s="1"/>
      <c r="CO2166" s="1"/>
      <c r="CP2166" s="1"/>
      <c r="CQ2166" s="1"/>
      <c r="CR2166" s="1"/>
      <c r="CS2166" s="1"/>
      <c r="CT2166" s="1"/>
      <c r="CU2166" s="1"/>
      <c r="CV2166" s="1"/>
      <c r="CW2166" s="1"/>
      <c r="CX2166" s="1"/>
      <c r="CY2166" s="1"/>
      <c r="CZ2166" s="1"/>
      <c r="DA2166" s="1"/>
      <c r="DB2166" s="1"/>
      <c r="DC2166" s="1"/>
    </row>
    <row r="2167" spans="1:107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  <c r="AC2167" s="1"/>
      <c r="AD2167" s="1"/>
      <c r="AE2167" s="1"/>
      <c r="AF2167" s="1"/>
      <c r="AG2167" s="1"/>
      <c r="AH2167" s="1"/>
      <c r="AI2167" s="1"/>
      <c r="AJ2167" s="1"/>
      <c r="AK2167" s="1"/>
      <c r="AL2167" s="1"/>
      <c r="AM2167" s="1"/>
      <c r="AN2167" s="1"/>
      <c r="AO2167" s="1"/>
      <c r="AP2167" s="1"/>
      <c r="AQ2167" s="1"/>
      <c r="AR2167" s="1"/>
      <c r="AS2167" s="1"/>
      <c r="AT2167" s="1"/>
      <c r="AU2167" s="1"/>
      <c r="AV2167" s="1"/>
      <c r="AW2167" s="1"/>
      <c r="AX2167" s="1"/>
      <c r="AY2167" s="1"/>
      <c r="AZ2167" s="1"/>
      <c r="BA2167" s="1"/>
      <c r="BB2167" s="1"/>
      <c r="BC2167" s="1"/>
      <c r="BD2167" s="1"/>
      <c r="BE2167" s="1"/>
      <c r="BF2167" s="1"/>
      <c r="BG2167" s="1"/>
      <c r="BH2167" s="1"/>
      <c r="BI2167" s="1"/>
      <c r="BJ2167" s="1"/>
      <c r="BK2167" s="1"/>
      <c r="BL2167" s="1"/>
      <c r="BM2167" s="1"/>
      <c r="BN2167" s="1"/>
      <c r="BO2167" s="1"/>
      <c r="BP2167" s="1"/>
      <c r="BQ2167" s="1"/>
      <c r="BR2167" s="1"/>
      <c r="BS2167" s="1"/>
      <c r="BT2167" s="1"/>
      <c r="BU2167" s="1"/>
      <c r="BV2167" s="1"/>
      <c r="BW2167" s="1"/>
      <c r="BX2167" s="1"/>
      <c r="BY2167" s="1"/>
      <c r="BZ2167" s="1"/>
      <c r="CA2167" s="1"/>
      <c r="CB2167" s="1"/>
      <c r="CC2167" s="1"/>
      <c r="CD2167" s="1"/>
      <c r="CE2167" s="1"/>
      <c r="CF2167" s="1"/>
      <c r="CG2167" s="1"/>
      <c r="CH2167" s="1"/>
      <c r="CI2167" s="1"/>
      <c r="CJ2167" s="1"/>
      <c r="CK2167" s="1"/>
      <c r="CL2167" s="1"/>
      <c r="CM2167" s="1"/>
      <c r="CN2167" s="1"/>
      <c r="CO2167" s="1"/>
      <c r="CP2167" s="1"/>
      <c r="CQ2167" s="1"/>
      <c r="CR2167" s="1"/>
      <c r="CS2167" s="1"/>
      <c r="CT2167" s="1"/>
      <c r="CU2167" s="1"/>
      <c r="CV2167" s="1"/>
      <c r="CW2167" s="1"/>
      <c r="CX2167" s="1"/>
      <c r="CY2167" s="1"/>
      <c r="CZ2167" s="1"/>
      <c r="DA2167" s="1"/>
      <c r="DB2167" s="1"/>
      <c r="DC2167" s="1"/>
    </row>
    <row r="2168" spans="1:107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1"/>
      <c r="AD2168" s="1"/>
      <c r="AE2168" s="1"/>
      <c r="AF2168" s="1"/>
      <c r="AG2168" s="1"/>
      <c r="AH2168" s="1"/>
      <c r="AI2168" s="1"/>
      <c r="AJ2168" s="1"/>
      <c r="AK2168" s="1"/>
      <c r="AL2168" s="1"/>
      <c r="AM2168" s="1"/>
      <c r="AN2168" s="1"/>
      <c r="AO2168" s="1"/>
      <c r="AP2168" s="1"/>
      <c r="AQ2168" s="1"/>
      <c r="AR2168" s="1"/>
      <c r="AS2168" s="1"/>
      <c r="AT2168" s="1"/>
      <c r="AU2168" s="1"/>
      <c r="AV2168" s="1"/>
      <c r="AW2168" s="1"/>
      <c r="AX2168" s="1"/>
      <c r="AY2168" s="1"/>
      <c r="AZ2168" s="1"/>
      <c r="BA2168" s="1"/>
      <c r="BB2168" s="1"/>
      <c r="BC2168" s="1"/>
      <c r="BD2168" s="1"/>
      <c r="BE2168" s="1"/>
      <c r="BF2168" s="1"/>
      <c r="BG2168" s="1"/>
      <c r="BH2168" s="1"/>
      <c r="BI2168" s="1"/>
      <c r="BJ2168" s="1"/>
      <c r="BK2168" s="1"/>
      <c r="BL2168" s="1"/>
      <c r="BM2168" s="1"/>
      <c r="BN2168" s="1"/>
      <c r="BO2168" s="1"/>
      <c r="BP2168" s="1"/>
      <c r="BQ2168" s="1"/>
      <c r="BR2168" s="1"/>
      <c r="BS2168" s="1"/>
      <c r="BT2168" s="1"/>
      <c r="BU2168" s="1"/>
      <c r="BV2168" s="1"/>
      <c r="BW2168" s="1"/>
      <c r="BX2168" s="1"/>
      <c r="BY2168" s="1"/>
      <c r="BZ2168" s="1"/>
      <c r="CA2168" s="1"/>
      <c r="CB2168" s="1"/>
      <c r="CC2168" s="1"/>
      <c r="CD2168" s="1"/>
      <c r="CE2168" s="1"/>
      <c r="CF2168" s="1"/>
      <c r="CG2168" s="1"/>
      <c r="CH2168" s="1"/>
      <c r="CI2168" s="1"/>
      <c r="CJ2168" s="1"/>
      <c r="CK2168" s="1"/>
      <c r="CL2168" s="1"/>
      <c r="CM2168" s="1"/>
      <c r="CN2168" s="1"/>
      <c r="CO2168" s="1"/>
      <c r="CP2168" s="1"/>
      <c r="CQ2168" s="1"/>
      <c r="CR2168" s="1"/>
      <c r="CS2168" s="1"/>
      <c r="CT2168" s="1"/>
      <c r="CU2168" s="1"/>
      <c r="CV2168" s="1"/>
      <c r="CW2168" s="1"/>
      <c r="CX2168" s="1"/>
      <c r="CY2168" s="1"/>
      <c r="CZ2168" s="1"/>
      <c r="DA2168" s="1"/>
      <c r="DB2168" s="1"/>
      <c r="DC2168" s="1"/>
    </row>
    <row r="2169" spans="1:107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  <c r="AC2169" s="1"/>
      <c r="AD2169" s="1"/>
      <c r="AE2169" s="1"/>
      <c r="AF2169" s="1"/>
      <c r="AG2169" s="1"/>
      <c r="AH2169" s="1"/>
      <c r="AI2169" s="1"/>
      <c r="AJ2169" s="1"/>
      <c r="AK2169" s="1"/>
      <c r="AL2169" s="1"/>
      <c r="AM2169" s="1"/>
      <c r="AN2169" s="1"/>
      <c r="AO2169" s="1"/>
      <c r="AP2169" s="1"/>
      <c r="AQ2169" s="1"/>
      <c r="AR2169" s="1"/>
      <c r="AS2169" s="1"/>
      <c r="AT2169" s="1"/>
      <c r="AU2169" s="1"/>
      <c r="AV2169" s="1"/>
      <c r="AW2169" s="1"/>
      <c r="AX2169" s="1"/>
      <c r="AY2169" s="1"/>
      <c r="AZ2169" s="1"/>
      <c r="BA2169" s="1"/>
      <c r="BB2169" s="1"/>
      <c r="BC2169" s="1"/>
      <c r="BD2169" s="1"/>
      <c r="BE2169" s="1"/>
      <c r="BF2169" s="1"/>
      <c r="BG2169" s="1"/>
      <c r="BH2169" s="1"/>
      <c r="BI2169" s="1"/>
      <c r="BJ2169" s="1"/>
      <c r="BK2169" s="1"/>
      <c r="BL2169" s="1"/>
      <c r="BM2169" s="1"/>
      <c r="BN2169" s="1"/>
      <c r="BO2169" s="1"/>
      <c r="BP2169" s="1"/>
      <c r="BQ2169" s="1"/>
      <c r="BR2169" s="1"/>
      <c r="BS2169" s="1"/>
      <c r="BT2169" s="1"/>
      <c r="BU2169" s="1"/>
      <c r="BV2169" s="1"/>
      <c r="BW2169" s="1"/>
      <c r="BX2169" s="1"/>
      <c r="BY2169" s="1"/>
      <c r="BZ2169" s="1"/>
      <c r="CA2169" s="1"/>
      <c r="CB2169" s="1"/>
      <c r="CC2169" s="1"/>
      <c r="CD2169" s="1"/>
      <c r="CE2169" s="1"/>
      <c r="CF2169" s="1"/>
      <c r="CG2169" s="1"/>
      <c r="CH2169" s="1"/>
      <c r="CI2169" s="1"/>
      <c r="CJ2169" s="1"/>
      <c r="CK2169" s="1"/>
      <c r="CL2169" s="1"/>
      <c r="CM2169" s="1"/>
      <c r="CN2169" s="1"/>
      <c r="CO2169" s="1"/>
      <c r="CP2169" s="1"/>
      <c r="CQ2169" s="1"/>
      <c r="CR2169" s="1"/>
      <c r="CS2169" s="1"/>
      <c r="CT2169" s="1"/>
      <c r="CU2169" s="1"/>
      <c r="CV2169" s="1"/>
      <c r="CW2169" s="1"/>
      <c r="CX2169" s="1"/>
      <c r="CY2169" s="1"/>
      <c r="CZ2169" s="1"/>
      <c r="DA2169" s="1"/>
      <c r="DB2169" s="1"/>
      <c r="DC2169" s="1"/>
    </row>
    <row r="2170" spans="1:107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  <c r="AC2170" s="1"/>
      <c r="AD2170" s="1"/>
      <c r="AE2170" s="1"/>
      <c r="AF2170" s="1"/>
      <c r="AG2170" s="1"/>
      <c r="AH2170" s="1"/>
      <c r="AI2170" s="1"/>
      <c r="AJ2170" s="1"/>
      <c r="AK2170" s="1"/>
      <c r="AL2170" s="1"/>
      <c r="AM2170" s="1"/>
      <c r="AN2170" s="1"/>
      <c r="AO2170" s="1"/>
      <c r="AP2170" s="1"/>
      <c r="AQ2170" s="1"/>
      <c r="AR2170" s="1"/>
      <c r="AS2170" s="1"/>
      <c r="AT2170" s="1"/>
      <c r="AU2170" s="1"/>
      <c r="AV2170" s="1"/>
      <c r="AW2170" s="1"/>
      <c r="AX2170" s="1"/>
      <c r="AY2170" s="1"/>
      <c r="AZ2170" s="1"/>
      <c r="BA2170" s="1"/>
      <c r="BB2170" s="1"/>
      <c r="BC2170" s="1"/>
      <c r="BD2170" s="1"/>
      <c r="BE2170" s="1"/>
      <c r="BF2170" s="1"/>
      <c r="BG2170" s="1"/>
      <c r="BH2170" s="1"/>
      <c r="BI2170" s="1"/>
      <c r="BJ2170" s="1"/>
      <c r="BK2170" s="1"/>
      <c r="BL2170" s="1"/>
      <c r="BM2170" s="1"/>
      <c r="BN2170" s="1"/>
      <c r="BO2170" s="1"/>
      <c r="BP2170" s="1"/>
      <c r="BQ2170" s="1"/>
      <c r="BR2170" s="1"/>
      <c r="BS2170" s="1"/>
      <c r="BT2170" s="1"/>
      <c r="BU2170" s="1"/>
      <c r="BV2170" s="1"/>
      <c r="BW2170" s="1"/>
      <c r="BX2170" s="1"/>
      <c r="BY2170" s="1"/>
      <c r="BZ2170" s="1"/>
      <c r="CA2170" s="1"/>
      <c r="CB2170" s="1"/>
      <c r="CC2170" s="1"/>
      <c r="CD2170" s="1"/>
      <c r="CE2170" s="1"/>
      <c r="CF2170" s="1"/>
      <c r="CG2170" s="1"/>
      <c r="CH2170" s="1"/>
      <c r="CI2170" s="1"/>
      <c r="CJ2170" s="1"/>
      <c r="CK2170" s="1"/>
      <c r="CL2170" s="1"/>
      <c r="CM2170" s="1"/>
      <c r="CN2170" s="1"/>
      <c r="CO2170" s="1"/>
      <c r="CP2170" s="1"/>
      <c r="CQ2170" s="1"/>
      <c r="CR2170" s="1"/>
      <c r="CS2170" s="1"/>
      <c r="CT2170" s="1"/>
      <c r="CU2170" s="1"/>
      <c r="CV2170" s="1"/>
      <c r="CW2170" s="1"/>
      <c r="CX2170" s="1"/>
      <c r="CY2170" s="1"/>
      <c r="CZ2170" s="1"/>
      <c r="DA2170" s="1"/>
      <c r="DB2170" s="1"/>
      <c r="DC2170" s="1"/>
    </row>
    <row r="2171" spans="1:107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  <c r="AC2171" s="1"/>
      <c r="AD2171" s="1"/>
      <c r="AE2171" s="1"/>
      <c r="AF2171" s="1"/>
      <c r="AG2171" s="1"/>
      <c r="AH2171" s="1"/>
      <c r="AI2171" s="1"/>
      <c r="AJ2171" s="1"/>
      <c r="AK2171" s="1"/>
      <c r="AL2171" s="1"/>
      <c r="AM2171" s="1"/>
      <c r="AN2171" s="1"/>
      <c r="AO2171" s="1"/>
      <c r="AP2171" s="1"/>
      <c r="AQ2171" s="1"/>
      <c r="AR2171" s="1"/>
      <c r="AS2171" s="1"/>
      <c r="AT2171" s="1"/>
      <c r="AU2171" s="1"/>
      <c r="AV2171" s="1"/>
      <c r="AW2171" s="1"/>
      <c r="AX2171" s="1"/>
      <c r="AY2171" s="1"/>
      <c r="AZ2171" s="1"/>
      <c r="BA2171" s="1"/>
      <c r="BB2171" s="1"/>
      <c r="BC2171" s="1"/>
      <c r="BD2171" s="1"/>
      <c r="BE2171" s="1"/>
      <c r="BF2171" s="1"/>
      <c r="BG2171" s="1"/>
      <c r="BH2171" s="1"/>
      <c r="BI2171" s="1"/>
      <c r="BJ2171" s="1"/>
      <c r="BK2171" s="1"/>
      <c r="BL2171" s="1"/>
      <c r="BM2171" s="1"/>
      <c r="BN2171" s="1"/>
      <c r="BO2171" s="1"/>
      <c r="BP2171" s="1"/>
      <c r="BQ2171" s="1"/>
      <c r="BR2171" s="1"/>
      <c r="BS2171" s="1"/>
      <c r="BT2171" s="1"/>
      <c r="BU2171" s="1"/>
      <c r="BV2171" s="1"/>
      <c r="BW2171" s="1"/>
      <c r="BX2171" s="1"/>
      <c r="BY2171" s="1"/>
      <c r="BZ2171" s="1"/>
      <c r="CA2171" s="1"/>
      <c r="CB2171" s="1"/>
      <c r="CC2171" s="1"/>
      <c r="CD2171" s="1"/>
      <c r="CE2171" s="1"/>
      <c r="CF2171" s="1"/>
      <c r="CG2171" s="1"/>
      <c r="CH2171" s="1"/>
      <c r="CI2171" s="1"/>
      <c r="CJ2171" s="1"/>
      <c r="CK2171" s="1"/>
      <c r="CL2171" s="1"/>
      <c r="CM2171" s="1"/>
      <c r="CN2171" s="1"/>
      <c r="CO2171" s="1"/>
      <c r="CP2171" s="1"/>
      <c r="CQ2171" s="1"/>
      <c r="CR2171" s="1"/>
      <c r="CS2171" s="1"/>
      <c r="CT2171" s="1"/>
      <c r="CU2171" s="1"/>
      <c r="CV2171" s="1"/>
      <c r="CW2171" s="1"/>
      <c r="CX2171" s="1"/>
      <c r="CY2171" s="1"/>
      <c r="CZ2171" s="1"/>
      <c r="DA2171" s="1"/>
      <c r="DB2171" s="1"/>
      <c r="DC2171" s="1"/>
    </row>
    <row r="2172" spans="1:107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/>
      <c r="AC2172" s="1"/>
      <c r="AD2172" s="1"/>
      <c r="AE2172" s="1"/>
      <c r="AF2172" s="1"/>
      <c r="AG2172" s="1"/>
      <c r="AH2172" s="1"/>
      <c r="AI2172" s="1"/>
      <c r="AJ2172" s="1"/>
      <c r="AK2172" s="1"/>
      <c r="AL2172" s="1"/>
      <c r="AM2172" s="1"/>
      <c r="AN2172" s="1"/>
      <c r="AO2172" s="1"/>
      <c r="AP2172" s="1"/>
      <c r="AQ2172" s="1"/>
      <c r="AR2172" s="1"/>
      <c r="AS2172" s="1"/>
      <c r="AT2172" s="1"/>
      <c r="AU2172" s="1"/>
      <c r="AV2172" s="1"/>
      <c r="AW2172" s="1"/>
      <c r="AX2172" s="1"/>
      <c r="AY2172" s="1"/>
      <c r="AZ2172" s="1"/>
      <c r="BA2172" s="1"/>
      <c r="BB2172" s="1"/>
      <c r="BC2172" s="1"/>
      <c r="BD2172" s="1"/>
      <c r="BE2172" s="1"/>
      <c r="BF2172" s="1"/>
      <c r="BG2172" s="1"/>
      <c r="BH2172" s="1"/>
      <c r="BI2172" s="1"/>
      <c r="BJ2172" s="1"/>
      <c r="BK2172" s="1"/>
      <c r="BL2172" s="1"/>
      <c r="BM2172" s="1"/>
      <c r="BN2172" s="1"/>
      <c r="BO2172" s="1"/>
      <c r="BP2172" s="1"/>
      <c r="BQ2172" s="1"/>
      <c r="BR2172" s="1"/>
      <c r="BS2172" s="1"/>
      <c r="BT2172" s="1"/>
      <c r="BU2172" s="1"/>
      <c r="BV2172" s="1"/>
      <c r="BW2172" s="1"/>
      <c r="BX2172" s="1"/>
      <c r="BY2172" s="1"/>
      <c r="BZ2172" s="1"/>
      <c r="CA2172" s="1"/>
      <c r="CB2172" s="1"/>
      <c r="CC2172" s="1"/>
      <c r="CD2172" s="1"/>
      <c r="CE2172" s="1"/>
      <c r="CF2172" s="1"/>
      <c r="CG2172" s="1"/>
      <c r="CH2172" s="1"/>
      <c r="CI2172" s="1"/>
      <c r="CJ2172" s="1"/>
      <c r="CK2172" s="1"/>
      <c r="CL2172" s="1"/>
      <c r="CM2172" s="1"/>
      <c r="CN2172" s="1"/>
      <c r="CO2172" s="1"/>
      <c r="CP2172" s="1"/>
      <c r="CQ2172" s="1"/>
      <c r="CR2172" s="1"/>
      <c r="CS2172" s="1"/>
      <c r="CT2172" s="1"/>
      <c r="CU2172" s="1"/>
      <c r="CV2172" s="1"/>
      <c r="CW2172" s="1"/>
      <c r="CX2172" s="1"/>
      <c r="CY2172" s="1"/>
      <c r="CZ2172" s="1"/>
      <c r="DA2172" s="1"/>
      <c r="DB2172" s="1"/>
      <c r="DC2172" s="1"/>
    </row>
    <row r="2173" spans="1:107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  <c r="AC2173" s="1"/>
      <c r="AD2173" s="1"/>
      <c r="AE2173" s="1"/>
      <c r="AF2173" s="1"/>
      <c r="AG2173" s="1"/>
      <c r="AH2173" s="1"/>
      <c r="AI2173" s="1"/>
      <c r="AJ2173" s="1"/>
      <c r="AK2173" s="1"/>
      <c r="AL2173" s="1"/>
      <c r="AM2173" s="1"/>
      <c r="AN2173" s="1"/>
      <c r="AO2173" s="1"/>
      <c r="AP2173" s="1"/>
      <c r="AQ2173" s="1"/>
      <c r="AR2173" s="1"/>
      <c r="AS2173" s="1"/>
      <c r="AT2173" s="1"/>
      <c r="AU2173" s="1"/>
      <c r="AV2173" s="1"/>
      <c r="AW2173" s="1"/>
      <c r="AX2173" s="1"/>
      <c r="AY2173" s="1"/>
      <c r="AZ2173" s="1"/>
      <c r="BA2173" s="1"/>
      <c r="BB2173" s="1"/>
      <c r="BC2173" s="1"/>
      <c r="BD2173" s="1"/>
      <c r="BE2173" s="1"/>
      <c r="BF2173" s="1"/>
      <c r="BG2173" s="1"/>
      <c r="BH2173" s="1"/>
      <c r="BI2173" s="1"/>
      <c r="BJ2173" s="1"/>
      <c r="BK2173" s="1"/>
      <c r="BL2173" s="1"/>
      <c r="BM2173" s="1"/>
      <c r="BN2173" s="1"/>
      <c r="BO2173" s="1"/>
      <c r="BP2173" s="1"/>
      <c r="BQ2173" s="1"/>
      <c r="BR2173" s="1"/>
      <c r="BS2173" s="1"/>
      <c r="BT2173" s="1"/>
      <c r="BU2173" s="1"/>
      <c r="BV2173" s="1"/>
      <c r="BW2173" s="1"/>
      <c r="BX2173" s="1"/>
      <c r="BY2173" s="1"/>
      <c r="BZ2173" s="1"/>
      <c r="CA2173" s="1"/>
      <c r="CB2173" s="1"/>
      <c r="CC2173" s="1"/>
      <c r="CD2173" s="1"/>
      <c r="CE2173" s="1"/>
      <c r="CF2173" s="1"/>
      <c r="CG2173" s="1"/>
      <c r="CH2173" s="1"/>
      <c r="CI2173" s="1"/>
      <c r="CJ2173" s="1"/>
      <c r="CK2173" s="1"/>
      <c r="CL2173" s="1"/>
      <c r="CM2173" s="1"/>
      <c r="CN2173" s="1"/>
      <c r="CO2173" s="1"/>
      <c r="CP2173" s="1"/>
      <c r="CQ2173" s="1"/>
      <c r="CR2173" s="1"/>
      <c r="CS2173" s="1"/>
      <c r="CT2173" s="1"/>
      <c r="CU2173" s="1"/>
      <c r="CV2173" s="1"/>
      <c r="CW2173" s="1"/>
      <c r="CX2173" s="1"/>
      <c r="CY2173" s="1"/>
      <c r="CZ2173" s="1"/>
      <c r="DA2173" s="1"/>
      <c r="DB2173" s="1"/>
      <c r="DC2173" s="1"/>
    </row>
    <row r="2174" spans="1:107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  <c r="AC2174" s="1"/>
      <c r="AD2174" s="1"/>
      <c r="AE2174" s="1"/>
      <c r="AF2174" s="1"/>
      <c r="AG2174" s="1"/>
      <c r="AH2174" s="1"/>
      <c r="AI2174" s="1"/>
      <c r="AJ2174" s="1"/>
      <c r="AK2174" s="1"/>
      <c r="AL2174" s="1"/>
      <c r="AM2174" s="1"/>
      <c r="AN2174" s="1"/>
      <c r="AO2174" s="1"/>
      <c r="AP2174" s="1"/>
      <c r="AQ2174" s="1"/>
      <c r="AR2174" s="1"/>
      <c r="AS2174" s="1"/>
      <c r="AT2174" s="1"/>
      <c r="AU2174" s="1"/>
      <c r="AV2174" s="1"/>
      <c r="AW2174" s="1"/>
      <c r="AX2174" s="1"/>
      <c r="AY2174" s="1"/>
      <c r="AZ2174" s="1"/>
      <c r="BA2174" s="1"/>
      <c r="BB2174" s="1"/>
      <c r="BC2174" s="1"/>
      <c r="BD2174" s="1"/>
      <c r="BE2174" s="1"/>
      <c r="BF2174" s="1"/>
      <c r="BG2174" s="1"/>
      <c r="BH2174" s="1"/>
      <c r="BI2174" s="1"/>
      <c r="BJ2174" s="1"/>
      <c r="BK2174" s="1"/>
      <c r="BL2174" s="1"/>
      <c r="BM2174" s="1"/>
      <c r="BN2174" s="1"/>
      <c r="BO2174" s="1"/>
      <c r="BP2174" s="1"/>
      <c r="BQ2174" s="1"/>
      <c r="BR2174" s="1"/>
      <c r="BS2174" s="1"/>
      <c r="BT2174" s="1"/>
      <c r="BU2174" s="1"/>
      <c r="BV2174" s="1"/>
      <c r="BW2174" s="1"/>
      <c r="BX2174" s="1"/>
      <c r="BY2174" s="1"/>
      <c r="BZ2174" s="1"/>
      <c r="CA2174" s="1"/>
      <c r="CB2174" s="1"/>
      <c r="CC2174" s="1"/>
      <c r="CD2174" s="1"/>
      <c r="CE2174" s="1"/>
      <c r="CF2174" s="1"/>
      <c r="CG2174" s="1"/>
      <c r="CH2174" s="1"/>
      <c r="CI2174" s="1"/>
      <c r="CJ2174" s="1"/>
      <c r="CK2174" s="1"/>
      <c r="CL2174" s="1"/>
      <c r="CM2174" s="1"/>
      <c r="CN2174" s="1"/>
      <c r="CO2174" s="1"/>
      <c r="CP2174" s="1"/>
      <c r="CQ2174" s="1"/>
      <c r="CR2174" s="1"/>
      <c r="CS2174" s="1"/>
      <c r="CT2174" s="1"/>
      <c r="CU2174" s="1"/>
      <c r="CV2174" s="1"/>
      <c r="CW2174" s="1"/>
      <c r="CX2174" s="1"/>
      <c r="CY2174" s="1"/>
      <c r="CZ2174" s="1"/>
      <c r="DA2174" s="1"/>
      <c r="DB2174" s="1"/>
      <c r="DC2174" s="1"/>
    </row>
    <row r="2175" spans="1:107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1"/>
      <c r="AC2175" s="1"/>
      <c r="AD2175" s="1"/>
      <c r="AE2175" s="1"/>
      <c r="AF2175" s="1"/>
      <c r="AG2175" s="1"/>
      <c r="AH2175" s="1"/>
      <c r="AI2175" s="1"/>
      <c r="AJ2175" s="1"/>
      <c r="AK2175" s="1"/>
      <c r="AL2175" s="1"/>
      <c r="AM2175" s="1"/>
      <c r="AN2175" s="1"/>
      <c r="AO2175" s="1"/>
      <c r="AP2175" s="1"/>
      <c r="AQ2175" s="1"/>
      <c r="AR2175" s="1"/>
      <c r="AS2175" s="1"/>
      <c r="AT2175" s="1"/>
      <c r="AU2175" s="1"/>
      <c r="AV2175" s="1"/>
      <c r="AW2175" s="1"/>
      <c r="AX2175" s="1"/>
      <c r="AY2175" s="1"/>
      <c r="AZ2175" s="1"/>
      <c r="BA2175" s="1"/>
      <c r="BB2175" s="1"/>
      <c r="BC2175" s="1"/>
      <c r="BD2175" s="1"/>
      <c r="BE2175" s="1"/>
      <c r="BF2175" s="1"/>
      <c r="BG2175" s="1"/>
      <c r="BH2175" s="1"/>
      <c r="BI2175" s="1"/>
      <c r="BJ2175" s="1"/>
      <c r="BK2175" s="1"/>
      <c r="BL2175" s="1"/>
      <c r="BM2175" s="1"/>
      <c r="BN2175" s="1"/>
      <c r="BO2175" s="1"/>
      <c r="BP2175" s="1"/>
      <c r="BQ2175" s="1"/>
      <c r="BR2175" s="1"/>
      <c r="BS2175" s="1"/>
      <c r="BT2175" s="1"/>
      <c r="BU2175" s="1"/>
      <c r="BV2175" s="1"/>
      <c r="BW2175" s="1"/>
      <c r="BX2175" s="1"/>
      <c r="BY2175" s="1"/>
      <c r="BZ2175" s="1"/>
      <c r="CA2175" s="1"/>
      <c r="CB2175" s="1"/>
      <c r="CC2175" s="1"/>
      <c r="CD2175" s="1"/>
      <c r="CE2175" s="1"/>
      <c r="CF2175" s="1"/>
      <c r="CG2175" s="1"/>
      <c r="CH2175" s="1"/>
      <c r="CI2175" s="1"/>
      <c r="CJ2175" s="1"/>
      <c r="CK2175" s="1"/>
      <c r="CL2175" s="1"/>
      <c r="CM2175" s="1"/>
      <c r="CN2175" s="1"/>
      <c r="CO2175" s="1"/>
      <c r="CP2175" s="1"/>
      <c r="CQ2175" s="1"/>
      <c r="CR2175" s="1"/>
      <c r="CS2175" s="1"/>
      <c r="CT2175" s="1"/>
      <c r="CU2175" s="1"/>
      <c r="CV2175" s="1"/>
      <c r="CW2175" s="1"/>
      <c r="CX2175" s="1"/>
      <c r="CY2175" s="1"/>
      <c r="CZ2175" s="1"/>
      <c r="DA2175" s="1"/>
      <c r="DB2175" s="1"/>
      <c r="DC2175" s="1"/>
    </row>
    <row r="2176" spans="1:107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  <c r="AB2176" s="1"/>
      <c r="AC2176" s="1"/>
      <c r="AD2176" s="1"/>
      <c r="AE2176" s="1"/>
      <c r="AF2176" s="1"/>
      <c r="AG2176" s="1"/>
      <c r="AH2176" s="1"/>
      <c r="AI2176" s="1"/>
      <c r="AJ2176" s="1"/>
      <c r="AK2176" s="1"/>
      <c r="AL2176" s="1"/>
      <c r="AM2176" s="1"/>
      <c r="AN2176" s="1"/>
      <c r="AO2176" s="1"/>
      <c r="AP2176" s="1"/>
      <c r="AQ2176" s="1"/>
      <c r="AR2176" s="1"/>
      <c r="AS2176" s="1"/>
      <c r="AT2176" s="1"/>
      <c r="AU2176" s="1"/>
      <c r="AV2176" s="1"/>
      <c r="AW2176" s="1"/>
      <c r="AX2176" s="1"/>
      <c r="AY2176" s="1"/>
      <c r="AZ2176" s="1"/>
      <c r="BA2176" s="1"/>
      <c r="BB2176" s="1"/>
      <c r="BC2176" s="1"/>
      <c r="BD2176" s="1"/>
      <c r="BE2176" s="1"/>
      <c r="BF2176" s="1"/>
      <c r="BG2176" s="1"/>
      <c r="BH2176" s="1"/>
      <c r="BI2176" s="1"/>
      <c r="BJ2176" s="1"/>
      <c r="BK2176" s="1"/>
      <c r="BL2176" s="1"/>
      <c r="BM2176" s="1"/>
      <c r="BN2176" s="1"/>
      <c r="BO2176" s="1"/>
      <c r="BP2176" s="1"/>
      <c r="BQ2176" s="1"/>
      <c r="BR2176" s="1"/>
      <c r="BS2176" s="1"/>
      <c r="BT2176" s="1"/>
      <c r="BU2176" s="1"/>
      <c r="BV2176" s="1"/>
      <c r="BW2176" s="1"/>
      <c r="BX2176" s="1"/>
      <c r="BY2176" s="1"/>
      <c r="BZ2176" s="1"/>
      <c r="CA2176" s="1"/>
      <c r="CB2176" s="1"/>
      <c r="CC2176" s="1"/>
      <c r="CD2176" s="1"/>
      <c r="CE2176" s="1"/>
      <c r="CF2176" s="1"/>
      <c r="CG2176" s="1"/>
      <c r="CH2176" s="1"/>
      <c r="CI2176" s="1"/>
      <c r="CJ2176" s="1"/>
      <c r="CK2176" s="1"/>
      <c r="CL2176" s="1"/>
      <c r="CM2176" s="1"/>
      <c r="CN2176" s="1"/>
      <c r="CO2176" s="1"/>
      <c r="CP2176" s="1"/>
      <c r="CQ2176" s="1"/>
      <c r="CR2176" s="1"/>
      <c r="CS2176" s="1"/>
      <c r="CT2176" s="1"/>
      <c r="CU2176" s="1"/>
      <c r="CV2176" s="1"/>
      <c r="CW2176" s="1"/>
      <c r="CX2176" s="1"/>
      <c r="CY2176" s="1"/>
      <c r="CZ2176" s="1"/>
      <c r="DA2176" s="1"/>
      <c r="DB2176" s="1"/>
      <c r="DC2176" s="1"/>
    </row>
    <row r="2177" spans="1:107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  <c r="AC2177" s="1"/>
      <c r="AD2177" s="1"/>
      <c r="AE2177" s="1"/>
      <c r="AF2177" s="1"/>
      <c r="AG2177" s="1"/>
      <c r="AH2177" s="1"/>
      <c r="AI2177" s="1"/>
      <c r="AJ2177" s="1"/>
      <c r="AK2177" s="1"/>
      <c r="AL2177" s="1"/>
      <c r="AM2177" s="1"/>
      <c r="AN2177" s="1"/>
      <c r="AO2177" s="1"/>
      <c r="AP2177" s="1"/>
      <c r="AQ2177" s="1"/>
      <c r="AR2177" s="1"/>
      <c r="AS2177" s="1"/>
      <c r="AT2177" s="1"/>
      <c r="AU2177" s="1"/>
      <c r="AV2177" s="1"/>
      <c r="AW2177" s="1"/>
      <c r="AX2177" s="1"/>
      <c r="AY2177" s="1"/>
      <c r="AZ2177" s="1"/>
      <c r="BA2177" s="1"/>
      <c r="BB2177" s="1"/>
      <c r="BC2177" s="1"/>
      <c r="BD2177" s="1"/>
      <c r="BE2177" s="1"/>
      <c r="BF2177" s="1"/>
      <c r="BG2177" s="1"/>
      <c r="BH2177" s="1"/>
      <c r="BI2177" s="1"/>
      <c r="BJ2177" s="1"/>
      <c r="BK2177" s="1"/>
      <c r="BL2177" s="1"/>
      <c r="BM2177" s="1"/>
      <c r="BN2177" s="1"/>
      <c r="BO2177" s="1"/>
      <c r="BP2177" s="1"/>
      <c r="BQ2177" s="1"/>
      <c r="BR2177" s="1"/>
      <c r="BS2177" s="1"/>
      <c r="BT2177" s="1"/>
      <c r="BU2177" s="1"/>
      <c r="BV2177" s="1"/>
      <c r="BW2177" s="1"/>
      <c r="BX2177" s="1"/>
      <c r="BY2177" s="1"/>
      <c r="BZ2177" s="1"/>
      <c r="CA2177" s="1"/>
      <c r="CB2177" s="1"/>
      <c r="CC2177" s="1"/>
      <c r="CD2177" s="1"/>
      <c r="CE2177" s="1"/>
      <c r="CF2177" s="1"/>
      <c r="CG2177" s="1"/>
      <c r="CH2177" s="1"/>
      <c r="CI2177" s="1"/>
      <c r="CJ2177" s="1"/>
      <c r="CK2177" s="1"/>
      <c r="CL2177" s="1"/>
      <c r="CM2177" s="1"/>
      <c r="CN2177" s="1"/>
      <c r="CO2177" s="1"/>
      <c r="CP2177" s="1"/>
      <c r="CQ2177" s="1"/>
      <c r="CR2177" s="1"/>
      <c r="CS2177" s="1"/>
      <c r="CT2177" s="1"/>
      <c r="CU2177" s="1"/>
      <c r="CV2177" s="1"/>
      <c r="CW2177" s="1"/>
      <c r="CX2177" s="1"/>
      <c r="CY2177" s="1"/>
      <c r="CZ2177" s="1"/>
      <c r="DA2177" s="1"/>
      <c r="DB2177" s="1"/>
      <c r="DC2177" s="1"/>
    </row>
    <row r="2178" spans="1:107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  <c r="AC2178" s="1"/>
      <c r="AD2178" s="1"/>
      <c r="AE2178" s="1"/>
      <c r="AF2178" s="1"/>
      <c r="AG2178" s="1"/>
      <c r="AH2178" s="1"/>
      <c r="AI2178" s="1"/>
      <c r="AJ2178" s="1"/>
      <c r="AK2178" s="1"/>
      <c r="AL2178" s="1"/>
      <c r="AM2178" s="1"/>
      <c r="AN2178" s="1"/>
      <c r="AO2178" s="1"/>
      <c r="AP2178" s="1"/>
      <c r="AQ2178" s="1"/>
      <c r="AR2178" s="1"/>
      <c r="AS2178" s="1"/>
      <c r="AT2178" s="1"/>
      <c r="AU2178" s="1"/>
      <c r="AV2178" s="1"/>
      <c r="AW2178" s="1"/>
      <c r="AX2178" s="1"/>
      <c r="AY2178" s="1"/>
      <c r="AZ2178" s="1"/>
      <c r="BA2178" s="1"/>
      <c r="BB2178" s="1"/>
      <c r="BC2178" s="1"/>
      <c r="BD2178" s="1"/>
      <c r="BE2178" s="1"/>
      <c r="BF2178" s="1"/>
      <c r="BG2178" s="1"/>
      <c r="BH2178" s="1"/>
      <c r="BI2178" s="1"/>
      <c r="BJ2178" s="1"/>
      <c r="BK2178" s="1"/>
      <c r="BL2178" s="1"/>
      <c r="BM2178" s="1"/>
      <c r="BN2178" s="1"/>
      <c r="BO2178" s="1"/>
      <c r="BP2178" s="1"/>
      <c r="BQ2178" s="1"/>
      <c r="BR2178" s="1"/>
      <c r="BS2178" s="1"/>
      <c r="BT2178" s="1"/>
      <c r="BU2178" s="1"/>
      <c r="BV2178" s="1"/>
      <c r="BW2178" s="1"/>
      <c r="BX2178" s="1"/>
      <c r="BY2178" s="1"/>
      <c r="BZ2178" s="1"/>
      <c r="CA2178" s="1"/>
      <c r="CB2178" s="1"/>
      <c r="CC2178" s="1"/>
      <c r="CD2178" s="1"/>
      <c r="CE2178" s="1"/>
      <c r="CF2178" s="1"/>
      <c r="CG2178" s="1"/>
      <c r="CH2178" s="1"/>
      <c r="CI2178" s="1"/>
      <c r="CJ2178" s="1"/>
      <c r="CK2178" s="1"/>
      <c r="CL2178" s="1"/>
      <c r="CM2178" s="1"/>
      <c r="CN2178" s="1"/>
      <c r="CO2178" s="1"/>
      <c r="CP2178" s="1"/>
      <c r="CQ2178" s="1"/>
      <c r="CR2178" s="1"/>
      <c r="CS2178" s="1"/>
      <c r="CT2178" s="1"/>
      <c r="CU2178" s="1"/>
      <c r="CV2178" s="1"/>
      <c r="CW2178" s="1"/>
      <c r="CX2178" s="1"/>
      <c r="CY2178" s="1"/>
      <c r="CZ2178" s="1"/>
      <c r="DA2178" s="1"/>
      <c r="DB2178" s="1"/>
      <c r="DC2178" s="1"/>
    </row>
    <row r="2179" spans="1:107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  <c r="AC2179" s="1"/>
      <c r="AD2179" s="1"/>
      <c r="AE2179" s="1"/>
      <c r="AF2179" s="1"/>
      <c r="AG2179" s="1"/>
      <c r="AH2179" s="1"/>
      <c r="AI2179" s="1"/>
      <c r="AJ2179" s="1"/>
      <c r="AK2179" s="1"/>
      <c r="AL2179" s="1"/>
      <c r="AM2179" s="1"/>
      <c r="AN2179" s="1"/>
      <c r="AO2179" s="1"/>
      <c r="AP2179" s="1"/>
      <c r="AQ2179" s="1"/>
      <c r="AR2179" s="1"/>
      <c r="AS2179" s="1"/>
      <c r="AT2179" s="1"/>
      <c r="AU2179" s="1"/>
      <c r="AV2179" s="1"/>
      <c r="AW2179" s="1"/>
      <c r="AX2179" s="1"/>
      <c r="AY2179" s="1"/>
      <c r="AZ2179" s="1"/>
      <c r="BA2179" s="1"/>
      <c r="BB2179" s="1"/>
      <c r="BC2179" s="1"/>
      <c r="BD2179" s="1"/>
      <c r="BE2179" s="1"/>
      <c r="BF2179" s="1"/>
      <c r="BG2179" s="1"/>
      <c r="BH2179" s="1"/>
      <c r="BI2179" s="1"/>
      <c r="BJ2179" s="1"/>
      <c r="BK2179" s="1"/>
      <c r="BL2179" s="1"/>
      <c r="BM2179" s="1"/>
      <c r="BN2179" s="1"/>
      <c r="BO2179" s="1"/>
      <c r="BP2179" s="1"/>
      <c r="BQ2179" s="1"/>
      <c r="BR2179" s="1"/>
      <c r="BS2179" s="1"/>
      <c r="BT2179" s="1"/>
      <c r="BU2179" s="1"/>
      <c r="BV2179" s="1"/>
      <c r="BW2179" s="1"/>
      <c r="BX2179" s="1"/>
      <c r="BY2179" s="1"/>
      <c r="BZ2179" s="1"/>
      <c r="CA2179" s="1"/>
      <c r="CB2179" s="1"/>
      <c r="CC2179" s="1"/>
      <c r="CD2179" s="1"/>
      <c r="CE2179" s="1"/>
      <c r="CF2179" s="1"/>
      <c r="CG2179" s="1"/>
      <c r="CH2179" s="1"/>
      <c r="CI2179" s="1"/>
      <c r="CJ2179" s="1"/>
      <c r="CK2179" s="1"/>
      <c r="CL2179" s="1"/>
      <c r="CM2179" s="1"/>
      <c r="CN2179" s="1"/>
      <c r="CO2179" s="1"/>
      <c r="CP2179" s="1"/>
      <c r="CQ2179" s="1"/>
      <c r="CR2179" s="1"/>
      <c r="CS2179" s="1"/>
      <c r="CT2179" s="1"/>
      <c r="CU2179" s="1"/>
      <c r="CV2179" s="1"/>
      <c r="CW2179" s="1"/>
      <c r="CX2179" s="1"/>
      <c r="CY2179" s="1"/>
      <c r="CZ2179" s="1"/>
      <c r="DA2179" s="1"/>
      <c r="DB2179" s="1"/>
      <c r="DC2179" s="1"/>
    </row>
    <row r="2180" spans="1:107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  <c r="AC2180" s="1"/>
      <c r="AD2180" s="1"/>
      <c r="AE2180" s="1"/>
      <c r="AF2180" s="1"/>
      <c r="AG2180" s="1"/>
      <c r="AH2180" s="1"/>
      <c r="AI2180" s="1"/>
      <c r="AJ2180" s="1"/>
      <c r="AK2180" s="1"/>
      <c r="AL2180" s="1"/>
      <c r="AM2180" s="1"/>
      <c r="AN2180" s="1"/>
      <c r="AO2180" s="1"/>
      <c r="AP2180" s="1"/>
      <c r="AQ2180" s="1"/>
      <c r="AR2180" s="1"/>
      <c r="AS2180" s="1"/>
      <c r="AT2180" s="1"/>
      <c r="AU2180" s="1"/>
      <c r="AV2180" s="1"/>
      <c r="AW2180" s="1"/>
      <c r="AX2180" s="1"/>
      <c r="AY2180" s="1"/>
      <c r="AZ2180" s="1"/>
      <c r="BA2180" s="1"/>
      <c r="BB2180" s="1"/>
      <c r="BC2180" s="1"/>
      <c r="BD2180" s="1"/>
      <c r="BE2180" s="1"/>
      <c r="BF2180" s="1"/>
      <c r="BG2180" s="1"/>
      <c r="BH2180" s="1"/>
      <c r="BI2180" s="1"/>
      <c r="BJ2180" s="1"/>
      <c r="BK2180" s="1"/>
      <c r="BL2180" s="1"/>
      <c r="BM2180" s="1"/>
      <c r="BN2180" s="1"/>
      <c r="BO2180" s="1"/>
      <c r="BP2180" s="1"/>
      <c r="BQ2180" s="1"/>
      <c r="BR2180" s="1"/>
      <c r="BS2180" s="1"/>
      <c r="BT2180" s="1"/>
      <c r="BU2180" s="1"/>
      <c r="BV2180" s="1"/>
      <c r="BW2180" s="1"/>
      <c r="BX2180" s="1"/>
      <c r="BY2180" s="1"/>
      <c r="BZ2180" s="1"/>
      <c r="CA2180" s="1"/>
      <c r="CB2180" s="1"/>
      <c r="CC2180" s="1"/>
      <c r="CD2180" s="1"/>
      <c r="CE2180" s="1"/>
      <c r="CF2180" s="1"/>
      <c r="CG2180" s="1"/>
      <c r="CH2180" s="1"/>
      <c r="CI2180" s="1"/>
      <c r="CJ2180" s="1"/>
      <c r="CK2180" s="1"/>
      <c r="CL2180" s="1"/>
      <c r="CM2180" s="1"/>
      <c r="CN2180" s="1"/>
      <c r="CO2180" s="1"/>
      <c r="CP2180" s="1"/>
      <c r="CQ2180" s="1"/>
      <c r="CR2180" s="1"/>
      <c r="CS2180" s="1"/>
      <c r="CT2180" s="1"/>
      <c r="CU2180" s="1"/>
      <c r="CV2180" s="1"/>
      <c r="CW2180" s="1"/>
      <c r="CX2180" s="1"/>
      <c r="CY2180" s="1"/>
      <c r="CZ2180" s="1"/>
      <c r="DA2180" s="1"/>
      <c r="DB2180" s="1"/>
      <c r="DC2180" s="1"/>
    </row>
    <row r="2181" spans="1:107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  <c r="AC2181" s="1"/>
      <c r="AD2181" s="1"/>
      <c r="AE2181" s="1"/>
      <c r="AF2181" s="1"/>
      <c r="AG2181" s="1"/>
      <c r="AH2181" s="1"/>
      <c r="AI2181" s="1"/>
      <c r="AJ2181" s="1"/>
      <c r="AK2181" s="1"/>
      <c r="AL2181" s="1"/>
      <c r="AM2181" s="1"/>
      <c r="AN2181" s="1"/>
      <c r="AO2181" s="1"/>
      <c r="AP2181" s="1"/>
      <c r="AQ2181" s="1"/>
      <c r="AR2181" s="1"/>
      <c r="AS2181" s="1"/>
      <c r="AT2181" s="1"/>
      <c r="AU2181" s="1"/>
      <c r="AV2181" s="1"/>
      <c r="AW2181" s="1"/>
      <c r="AX2181" s="1"/>
      <c r="AY2181" s="1"/>
      <c r="AZ2181" s="1"/>
      <c r="BA2181" s="1"/>
      <c r="BB2181" s="1"/>
      <c r="BC2181" s="1"/>
      <c r="BD2181" s="1"/>
      <c r="BE2181" s="1"/>
      <c r="BF2181" s="1"/>
      <c r="BG2181" s="1"/>
      <c r="BH2181" s="1"/>
      <c r="BI2181" s="1"/>
      <c r="BJ2181" s="1"/>
      <c r="BK2181" s="1"/>
      <c r="BL2181" s="1"/>
      <c r="BM2181" s="1"/>
      <c r="BN2181" s="1"/>
      <c r="BO2181" s="1"/>
      <c r="BP2181" s="1"/>
      <c r="BQ2181" s="1"/>
      <c r="BR2181" s="1"/>
      <c r="BS2181" s="1"/>
      <c r="BT2181" s="1"/>
      <c r="BU2181" s="1"/>
      <c r="BV2181" s="1"/>
      <c r="BW2181" s="1"/>
      <c r="BX2181" s="1"/>
      <c r="BY2181" s="1"/>
      <c r="BZ2181" s="1"/>
      <c r="CA2181" s="1"/>
      <c r="CB2181" s="1"/>
      <c r="CC2181" s="1"/>
      <c r="CD2181" s="1"/>
      <c r="CE2181" s="1"/>
      <c r="CF2181" s="1"/>
      <c r="CG2181" s="1"/>
      <c r="CH2181" s="1"/>
      <c r="CI2181" s="1"/>
      <c r="CJ2181" s="1"/>
      <c r="CK2181" s="1"/>
      <c r="CL2181" s="1"/>
      <c r="CM2181" s="1"/>
      <c r="CN2181" s="1"/>
      <c r="CO2181" s="1"/>
      <c r="CP2181" s="1"/>
      <c r="CQ2181" s="1"/>
      <c r="CR2181" s="1"/>
      <c r="CS2181" s="1"/>
      <c r="CT2181" s="1"/>
      <c r="CU2181" s="1"/>
      <c r="CV2181" s="1"/>
      <c r="CW2181" s="1"/>
      <c r="CX2181" s="1"/>
      <c r="CY2181" s="1"/>
      <c r="CZ2181" s="1"/>
      <c r="DA2181" s="1"/>
      <c r="DB2181" s="1"/>
      <c r="DC2181" s="1"/>
    </row>
    <row r="2182" spans="1:107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  <c r="AC2182" s="1"/>
      <c r="AD2182" s="1"/>
      <c r="AE2182" s="1"/>
      <c r="AF2182" s="1"/>
      <c r="AG2182" s="1"/>
      <c r="AH2182" s="1"/>
      <c r="AI2182" s="1"/>
      <c r="AJ2182" s="1"/>
      <c r="AK2182" s="1"/>
      <c r="AL2182" s="1"/>
      <c r="AM2182" s="1"/>
      <c r="AN2182" s="1"/>
      <c r="AO2182" s="1"/>
      <c r="AP2182" s="1"/>
      <c r="AQ2182" s="1"/>
      <c r="AR2182" s="1"/>
      <c r="AS2182" s="1"/>
      <c r="AT2182" s="1"/>
      <c r="AU2182" s="1"/>
      <c r="AV2182" s="1"/>
      <c r="AW2182" s="1"/>
      <c r="AX2182" s="1"/>
      <c r="AY2182" s="1"/>
      <c r="AZ2182" s="1"/>
      <c r="BA2182" s="1"/>
      <c r="BB2182" s="1"/>
      <c r="BC2182" s="1"/>
      <c r="BD2182" s="1"/>
      <c r="BE2182" s="1"/>
      <c r="BF2182" s="1"/>
      <c r="BG2182" s="1"/>
      <c r="BH2182" s="1"/>
      <c r="BI2182" s="1"/>
      <c r="BJ2182" s="1"/>
      <c r="BK2182" s="1"/>
      <c r="BL2182" s="1"/>
      <c r="BM2182" s="1"/>
      <c r="BN2182" s="1"/>
      <c r="BO2182" s="1"/>
      <c r="BP2182" s="1"/>
      <c r="BQ2182" s="1"/>
      <c r="BR2182" s="1"/>
      <c r="BS2182" s="1"/>
      <c r="BT2182" s="1"/>
      <c r="BU2182" s="1"/>
      <c r="BV2182" s="1"/>
      <c r="BW2182" s="1"/>
      <c r="BX2182" s="1"/>
      <c r="BY2182" s="1"/>
      <c r="BZ2182" s="1"/>
      <c r="CA2182" s="1"/>
      <c r="CB2182" s="1"/>
      <c r="CC2182" s="1"/>
      <c r="CD2182" s="1"/>
      <c r="CE2182" s="1"/>
      <c r="CF2182" s="1"/>
      <c r="CG2182" s="1"/>
      <c r="CH2182" s="1"/>
      <c r="CI2182" s="1"/>
      <c r="CJ2182" s="1"/>
      <c r="CK2182" s="1"/>
      <c r="CL2182" s="1"/>
      <c r="CM2182" s="1"/>
      <c r="CN2182" s="1"/>
      <c r="CO2182" s="1"/>
      <c r="CP2182" s="1"/>
      <c r="CQ2182" s="1"/>
      <c r="CR2182" s="1"/>
      <c r="CS2182" s="1"/>
      <c r="CT2182" s="1"/>
      <c r="CU2182" s="1"/>
      <c r="CV2182" s="1"/>
      <c r="CW2182" s="1"/>
      <c r="CX2182" s="1"/>
      <c r="CY2182" s="1"/>
      <c r="CZ2182" s="1"/>
      <c r="DA2182" s="1"/>
      <c r="DB2182" s="1"/>
      <c r="DC2182" s="1"/>
    </row>
    <row r="2183" spans="1:107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  <c r="AC2183" s="1"/>
      <c r="AD2183" s="1"/>
      <c r="AE2183" s="1"/>
      <c r="AF2183" s="1"/>
      <c r="AG2183" s="1"/>
      <c r="AH2183" s="1"/>
      <c r="AI2183" s="1"/>
      <c r="AJ2183" s="1"/>
      <c r="AK2183" s="1"/>
      <c r="AL2183" s="1"/>
      <c r="AM2183" s="1"/>
      <c r="AN2183" s="1"/>
      <c r="AO2183" s="1"/>
      <c r="AP2183" s="1"/>
      <c r="AQ2183" s="1"/>
      <c r="AR2183" s="1"/>
      <c r="AS2183" s="1"/>
      <c r="AT2183" s="1"/>
      <c r="AU2183" s="1"/>
      <c r="AV2183" s="1"/>
      <c r="AW2183" s="1"/>
      <c r="AX2183" s="1"/>
      <c r="AY2183" s="1"/>
      <c r="AZ2183" s="1"/>
      <c r="BA2183" s="1"/>
      <c r="BB2183" s="1"/>
      <c r="BC2183" s="1"/>
      <c r="BD2183" s="1"/>
      <c r="BE2183" s="1"/>
      <c r="BF2183" s="1"/>
      <c r="BG2183" s="1"/>
      <c r="BH2183" s="1"/>
      <c r="BI2183" s="1"/>
      <c r="BJ2183" s="1"/>
      <c r="BK2183" s="1"/>
      <c r="BL2183" s="1"/>
      <c r="BM2183" s="1"/>
      <c r="BN2183" s="1"/>
      <c r="BO2183" s="1"/>
      <c r="BP2183" s="1"/>
      <c r="BQ2183" s="1"/>
      <c r="BR2183" s="1"/>
      <c r="BS2183" s="1"/>
      <c r="BT2183" s="1"/>
      <c r="BU2183" s="1"/>
      <c r="BV2183" s="1"/>
      <c r="BW2183" s="1"/>
      <c r="BX2183" s="1"/>
      <c r="BY2183" s="1"/>
      <c r="BZ2183" s="1"/>
      <c r="CA2183" s="1"/>
      <c r="CB2183" s="1"/>
      <c r="CC2183" s="1"/>
      <c r="CD2183" s="1"/>
      <c r="CE2183" s="1"/>
      <c r="CF2183" s="1"/>
      <c r="CG2183" s="1"/>
      <c r="CH2183" s="1"/>
      <c r="CI2183" s="1"/>
      <c r="CJ2183" s="1"/>
      <c r="CK2183" s="1"/>
      <c r="CL2183" s="1"/>
      <c r="CM2183" s="1"/>
      <c r="CN2183" s="1"/>
      <c r="CO2183" s="1"/>
      <c r="CP2183" s="1"/>
      <c r="CQ2183" s="1"/>
      <c r="CR2183" s="1"/>
      <c r="CS2183" s="1"/>
      <c r="CT2183" s="1"/>
      <c r="CU2183" s="1"/>
      <c r="CV2183" s="1"/>
      <c r="CW2183" s="1"/>
      <c r="CX2183" s="1"/>
      <c r="CY2183" s="1"/>
      <c r="CZ2183" s="1"/>
      <c r="DA2183" s="1"/>
      <c r="DB2183" s="1"/>
      <c r="DC2183" s="1"/>
    </row>
    <row r="2184" spans="1:107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  <c r="AC2184" s="1"/>
      <c r="AD2184" s="1"/>
      <c r="AE2184" s="1"/>
      <c r="AF2184" s="1"/>
      <c r="AG2184" s="1"/>
      <c r="AH2184" s="1"/>
      <c r="AI2184" s="1"/>
      <c r="AJ2184" s="1"/>
      <c r="AK2184" s="1"/>
      <c r="AL2184" s="1"/>
      <c r="AM2184" s="1"/>
      <c r="AN2184" s="1"/>
      <c r="AO2184" s="1"/>
      <c r="AP2184" s="1"/>
      <c r="AQ2184" s="1"/>
      <c r="AR2184" s="1"/>
      <c r="AS2184" s="1"/>
      <c r="AT2184" s="1"/>
      <c r="AU2184" s="1"/>
      <c r="AV2184" s="1"/>
      <c r="AW2184" s="1"/>
      <c r="AX2184" s="1"/>
      <c r="AY2184" s="1"/>
      <c r="AZ2184" s="1"/>
      <c r="BA2184" s="1"/>
      <c r="BB2184" s="1"/>
      <c r="BC2184" s="1"/>
      <c r="BD2184" s="1"/>
      <c r="BE2184" s="1"/>
      <c r="BF2184" s="1"/>
      <c r="BG2184" s="1"/>
      <c r="BH2184" s="1"/>
      <c r="BI2184" s="1"/>
      <c r="BJ2184" s="1"/>
      <c r="BK2184" s="1"/>
      <c r="BL2184" s="1"/>
      <c r="BM2184" s="1"/>
      <c r="BN2184" s="1"/>
      <c r="BO2184" s="1"/>
      <c r="BP2184" s="1"/>
      <c r="BQ2184" s="1"/>
      <c r="BR2184" s="1"/>
      <c r="BS2184" s="1"/>
      <c r="BT2184" s="1"/>
      <c r="BU2184" s="1"/>
      <c r="BV2184" s="1"/>
      <c r="BW2184" s="1"/>
      <c r="BX2184" s="1"/>
      <c r="BY2184" s="1"/>
      <c r="BZ2184" s="1"/>
      <c r="CA2184" s="1"/>
      <c r="CB2184" s="1"/>
      <c r="CC2184" s="1"/>
      <c r="CD2184" s="1"/>
      <c r="CE2184" s="1"/>
      <c r="CF2184" s="1"/>
      <c r="CG2184" s="1"/>
      <c r="CH2184" s="1"/>
      <c r="CI2184" s="1"/>
      <c r="CJ2184" s="1"/>
      <c r="CK2184" s="1"/>
      <c r="CL2184" s="1"/>
      <c r="CM2184" s="1"/>
      <c r="CN2184" s="1"/>
      <c r="CO2184" s="1"/>
      <c r="CP2184" s="1"/>
      <c r="CQ2184" s="1"/>
      <c r="CR2184" s="1"/>
      <c r="CS2184" s="1"/>
      <c r="CT2184" s="1"/>
      <c r="CU2184" s="1"/>
      <c r="CV2184" s="1"/>
      <c r="CW2184" s="1"/>
      <c r="CX2184" s="1"/>
      <c r="CY2184" s="1"/>
      <c r="CZ2184" s="1"/>
      <c r="DA2184" s="1"/>
      <c r="DB2184" s="1"/>
      <c r="DC2184" s="1"/>
    </row>
    <row r="2185" spans="1:107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  <c r="AC2185" s="1"/>
      <c r="AD2185" s="1"/>
      <c r="AE2185" s="1"/>
      <c r="AF2185" s="1"/>
      <c r="AG2185" s="1"/>
      <c r="AH2185" s="1"/>
      <c r="AI2185" s="1"/>
      <c r="AJ2185" s="1"/>
      <c r="AK2185" s="1"/>
      <c r="AL2185" s="1"/>
      <c r="AM2185" s="1"/>
      <c r="AN2185" s="1"/>
      <c r="AO2185" s="1"/>
      <c r="AP2185" s="1"/>
      <c r="AQ2185" s="1"/>
      <c r="AR2185" s="1"/>
      <c r="AS2185" s="1"/>
      <c r="AT2185" s="1"/>
      <c r="AU2185" s="1"/>
      <c r="AV2185" s="1"/>
      <c r="AW2185" s="1"/>
      <c r="AX2185" s="1"/>
      <c r="AY2185" s="1"/>
      <c r="AZ2185" s="1"/>
      <c r="BA2185" s="1"/>
      <c r="BB2185" s="1"/>
      <c r="BC2185" s="1"/>
      <c r="BD2185" s="1"/>
      <c r="BE2185" s="1"/>
      <c r="BF2185" s="1"/>
      <c r="BG2185" s="1"/>
      <c r="BH2185" s="1"/>
      <c r="BI2185" s="1"/>
      <c r="BJ2185" s="1"/>
      <c r="BK2185" s="1"/>
      <c r="BL2185" s="1"/>
      <c r="BM2185" s="1"/>
      <c r="BN2185" s="1"/>
      <c r="BO2185" s="1"/>
      <c r="BP2185" s="1"/>
      <c r="BQ2185" s="1"/>
      <c r="BR2185" s="1"/>
      <c r="BS2185" s="1"/>
      <c r="BT2185" s="1"/>
      <c r="BU2185" s="1"/>
      <c r="BV2185" s="1"/>
      <c r="BW2185" s="1"/>
      <c r="BX2185" s="1"/>
      <c r="BY2185" s="1"/>
      <c r="BZ2185" s="1"/>
      <c r="CA2185" s="1"/>
      <c r="CB2185" s="1"/>
      <c r="CC2185" s="1"/>
      <c r="CD2185" s="1"/>
      <c r="CE2185" s="1"/>
      <c r="CF2185" s="1"/>
      <c r="CG2185" s="1"/>
      <c r="CH2185" s="1"/>
      <c r="CI2185" s="1"/>
      <c r="CJ2185" s="1"/>
      <c r="CK2185" s="1"/>
      <c r="CL2185" s="1"/>
      <c r="CM2185" s="1"/>
      <c r="CN2185" s="1"/>
      <c r="CO2185" s="1"/>
      <c r="CP2185" s="1"/>
      <c r="CQ2185" s="1"/>
      <c r="CR2185" s="1"/>
      <c r="CS2185" s="1"/>
      <c r="CT2185" s="1"/>
      <c r="CU2185" s="1"/>
      <c r="CV2185" s="1"/>
      <c r="CW2185" s="1"/>
      <c r="CX2185" s="1"/>
      <c r="CY2185" s="1"/>
      <c r="CZ2185" s="1"/>
      <c r="DA2185" s="1"/>
      <c r="DB2185" s="1"/>
      <c r="DC2185" s="1"/>
    </row>
    <row r="2186" spans="1:107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  <c r="AC2186" s="1"/>
      <c r="AD2186" s="1"/>
      <c r="AE2186" s="1"/>
      <c r="AF2186" s="1"/>
      <c r="AG2186" s="1"/>
      <c r="AH2186" s="1"/>
      <c r="AI2186" s="1"/>
      <c r="AJ2186" s="1"/>
      <c r="AK2186" s="1"/>
      <c r="AL2186" s="1"/>
      <c r="AM2186" s="1"/>
      <c r="AN2186" s="1"/>
      <c r="AO2186" s="1"/>
      <c r="AP2186" s="1"/>
      <c r="AQ2186" s="1"/>
      <c r="AR2186" s="1"/>
      <c r="AS2186" s="1"/>
      <c r="AT2186" s="1"/>
      <c r="AU2186" s="1"/>
      <c r="AV2186" s="1"/>
      <c r="AW2186" s="1"/>
      <c r="AX2186" s="1"/>
      <c r="AY2186" s="1"/>
      <c r="AZ2186" s="1"/>
      <c r="BA2186" s="1"/>
      <c r="BB2186" s="1"/>
      <c r="BC2186" s="1"/>
      <c r="BD2186" s="1"/>
      <c r="BE2186" s="1"/>
      <c r="BF2186" s="1"/>
      <c r="BG2186" s="1"/>
      <c r="BH2186" s="1"/>
      <c r="BI2186" s="1"/>
      <c r="BJ2186" s="1"/>
      <c r="BK2186" s="1"/>
      <c r="BL2186" s="1"/>
      <c r="BM2186" s="1"/>
      <c r="BN2186" s="1"/>
      <c r="BO2186" s="1"/>
      <c r="BP2186" s="1"/>
      <c r="BQ2186" s="1"/>
      <c r="BR2186" s="1"/>
      <c r="BS2186" s="1"/>
      <c r="BT2186" s="1"/>
      <c r="BU2186" s="1"/>
      <c r="BV2186" s="1"/>
      <c r="BW2186" s="1"/>
      <c r="BX2186" s="1"/>
      <c r="BY2186" s="1"/>
      <c r="BZ2186" s="1"/>
      <c r="CA2186" s="1"/>
      <c r="CB2186" s="1"/>
      <c r="CC2186" s="1"/>
      <c r="CD2186" s="1"/>
      <c r="CE2186" s="1"/>
      <c r="CF2186" s="1"/>
      <c r="CG2186" s="1"/>
      <c r="CH2186" s="1"/>
      <c r="CI2186" s="1"/>
      <c r="CJ2186" s="1"/>
      <c r="CK2186" s="1"/>
      <c r="CL2186" s="1"/>
      <c r="CM2186" s="1"/>
      <c r="CN2186" s="1"/>
      <c r="CO2186" s="1"/>
      <c r="CP2186" s="1"/>
      <c r="CQ2186" s="1"/>
      <c r="CR2186" s="1"/>
      <c r="CS2186" s="1"/>
      <c r="CT2186" s="1"/>
      <c r="CU2186" s="1"/>
      <c r="CV2186" s="1"/>
      <c r="CW2186" s="1"/>
      <c r="CX2186" s="1"/>
      <c r="CY2186" s="1"/>
      <c r="CZ2186" s="1"/>
      <c r="DA2186" s="1"/>
      <c r="DB2186" s="1"/>
      <c r="DC2186" s="1"/>
    </row>
    <row r="2187" spans="1:107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1"/>
      <c r="AD2187" s="1"/>
      <c r="AE2187" s="1"/>
      <c r="AF2187" s="1"/>
      <c r="AG2187" s="1"/>
      <c r="AH2187" s="1"/>
      <c r="AI2187" s="1"/>
      <c r="AJ2187" s="1"/>
      <c r="AK2187" s="1"/>
      <c r="AL2187" s="1"/>
      <c r="AM2187" s="1"/>
      <c r="AN2187" s="1"/>
      <c r="AO2187" s="1"/>
      <c r="AP2187" s="1"/>
      <c r="AQ2187" s="1"/>
      <c r="AR2187" s="1"/>
      <c r="AS2187" s="1"/>
      <c r="AT2187" s="1"/>
      <c r="AU2187" s="1"/>
      <c r="AV2187" s="1"/>
      <c r="AW2187" s="1"/>
      <c r="AX2187" s="1"/>
      <c r="AY2187" s="1"/>
      <c r="AZ2187" s="1"/>
      <c r="BA2187" s="1"/>
      <c r="BB2187" s="1"/>
      <c r="BC2187" s="1"/>
      <c r="BD2187" s="1"/>
      <c r="BE2187" s="1"/>
      <c r="BF2187" s="1"/>
      <c r="BG2187" s="1"/>
      <c r="BH2187" s="1"/>
      <c r="BI2187" s="1"/>
      <c r="BJ2187" s="1"/>
      <c r="BK2187" s="1"/>
      <c r="BL2187" s="1"/>
      <c r="BM2187" s="1"/>
      <c r="BN2187" s="1"/>
      <c r="BO2187" s="1"/>
      <c r="BP2187" s="1"/>
      <c r="BQ2187" s="1"/>
      <c r="BR2187" s="1"/>
      <c r="BS2187" s="1"/>
      <c r="BT2187" s="1"/>
      <c r="BU2187" s="1"/>
      <c r="BV2187" s="1"/>
      <c r="BW2187" s="1"/>
      <c r="BX2187" s="1"/>
      <c r="BY2187" s="1"/>
      <c r="BZ2187" s="1"/>
      <c r="CA2187" s="1"/>
      <c r="CB2187" s="1"/>
      <c r="CC2187" s="1"/>
      <c r="CD2187" s="1"/>
      <c r="CE2187" s="1"/>
      <c r="CF2187" s="1"/>
      <c r="CG2187" s="1"/>
      <c r="CH2187" s="1"/>
      <c r="CI2187" s="1"/>
      <c r="CJ2187" s="1"/>
      <c r="CK2187" s="1"/>
      <c r="CL2187" s="1"/>
      <c r="CM2187" s="1"/>
      <c r="CN2187" s="1"/>
      <c r="CO2187" s="1"/>
      <c r="CP2187" s="1"/>
      <c r="CQ2187" s="1"/>
      <c r="CR2187" s="1"/>
      <c r="CS2187" s="1"/>
      <c r="CT2187" s="1"/>
      <c r="CU2187" s="1"/>
      <c r="CV2187" s="1"/>
      <c r="CW2187" s="1"/>
      <c r="CX2187" s="1"/>
      <c r="CY2187" s="1"/>
      <c r="CZ2187" s="1"/>
      <c r="DA2187" s="1"/>
      <c r="DB2187" s="1"/>
      <c r="DC2187" s="1"/>
    </row>
    <row r="2188" spans="1:107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  <c r="AC2188" s="1"/>
      <c r="AD2188" s="1"/>
      <c r="AE2188" s="1"/>
      <c r="AF2188" s="1"/>
      <c r="AG2188" s="1"/>
      <c r="AH2188" s="1"/>
      <c r="AI2188" s="1"/>
      <c r="AJ2188" s="1"/>
      <c r="AK2188" s="1"/>
      <c r="AL2188" s="1"/>
      <c r="AM2188" s="1"/>
      <c r="AN2188" s="1"/>
      <c r="AO2188" s="1"/>
      <c r="AP2188" s="1"/>
      <c r="AQ2188" s="1"/>
      <c r="AR2188" s="1"/>
      <c r="AS2188" s="1"/>
      <c r="AT2188" s="1"/>
      <c r="AU2188" s="1"/>
      <c r="AV2188" s="1"/>
      <c r="AW2188" s="1"/>
      <c r="AX2188" s="1"/>
      <c r="AY2188" s="1"/>
      <c r="AZ2188" s="1"/>
      <c r="BA2188" s="1"/>
      <c r="BB2188" s="1"/>
      <c r="BC2188" s="1"/>
      <c r="BD2188" s="1"/>
      <c r="BE2188" s="1"/>
      <c r="BF2188" s="1"/>
      <c r="BG2188" s="1"/>
      <c r="BH2188" s="1"/>
      <c r="BI2188" s="1"/>
      <c r="BJ2188" s="1"/>
      <c r="BK2188" s="1"/>
      <c r="BL2188" s="1"/>
      <c r="BM2188" s="1"/>
      <c r="BN2188" s="1"/>
      <c r="BO2188" s="1"/>
      <c r="BP2188" s="1"/>
      <c r="BQ2188" s="1"/>
      <c r="BR2188" s="1"/>
      <c r="BS2188" s="1"/>
      <c r="BT2188" s="1"/>
      <c r="BU2188" s="1"/>
      <c r="BV2188" s="1"/>
      <c r="BW2188" s="1"/>
      <c r="BX2188" s="1"/>
      <c r="BY2188" s="1"/>
      <c r="BZ2188" s="1"/>
      <c r="CA2188" s="1"/>
      <c r="CB2188" s="1"/>
      <c r="CC2188" s="1"/>
      <c r="CD2188" s="1"/>
      <c r="CE2188" s="1"/>
      <c r="CF2188" s="1"/>
      <c r="CG2188" s="1"/>
      <c r="CH2188" s="1"/>
      <c r="CI2188" s="1"/>
      <c r="CJ2188" s="1"/>
      <c r="CK2188" s="1"/>
      <c r="CL2188" s="1"/>
      <c r="CM2188" s="1"/>
      <c r="CN2188" s="1"/>
      <c r="CO2188" s="1"/>
      <c r="CP2188" s="1"/>
      <c r="CQ2188" s="1"/>
      <c r="CR2188" s="1"/>
      <c r="CS2188" s="1"/>
      <c r="CT2188" s="1"/>
      <c r="CU2188" s="1"/>
      <c r="CV2188" s="1"/>
      <c r="CW2188" s="1"/>
      <c r="CX2188" s="1"/>
      <c r="CY2188" s="1"/>
      <c r="CZ2188" s="1"/>
      <c r="DA2188" s="1"/>
      <c r="DB2188" s="1"/>
      <c r="DC2188" s="1"/>
    </row>
    <row r="2189" spans="1:107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  <c r="AC2189" s="1"/>
      <c r="AD2189" s="1"/>
      <c r="AE2189" s="1"/>
      <c r="AF2189" s="1"/>
      <c r="AG2189" s="1"/>
      <c r="AH2189" s="1"/>
      <c r="AI2189" s="1"/>
      <c r="AJ2189" s="1"/>
      <c r="AK2189" s="1"/>
      <c r="AL2189" s="1"/>
      <c r="AM2189" s="1"/>
      <c r="AN2189" s="1"/>
      <c r="AO2189" s="1"/>
      <c r="AP2189" s="1"/>
      <c r="AQ2189" s="1"/>
      <c r="AR2189" s="1"/>
      <c r="AS2189" s="1"/>
      <c r="AT2189" s="1"/>
      <c r="AU2189" s="1"/>
      <c r="AV2189" s="1"/>
      <c r="AW2189" s="1"/>
      <c r="AX2189" s="1"/>
      <c r="AY2189" s="1"/>
      <c r="AZ2189" s="1"/>
      <c r="BA2189" s="1"/>
      <c r="BB2189" s="1"/>
      <c r="BC2189" s="1"/>
      <c r="BD2189" s="1"/>
      <c r="BE2189" s="1"/>
      <c r="BF2189" s="1"/>
      <c r="BG2189" s="1"/>
      <c r="BH2189" s="1"/>
      <c r="BI2189" s="1"/>
      <c r="BJ2189" s="1"/>
      <c r="BK2189" s="1"/>
      <c r="BL2189" s="1"/>
      <c r="BM2189" s="1"/>
      <c r="BN2189" s="1"/>
      <c r="BO2189" s="1"/>
      <c r="BP2189" s="1"/>
      <c r="BQ2189" s="1"/>
      <c r="BR2189" s="1"/>
      <c r="BS2189" s="1"/>
      <c r="BT2189" s="1"/>
      <c r="BU2189" s="1"/>
      <c r="BV2189" s="1"/>
      <c r="BW2189" s="1"/>
      <c r="BX2189" s="1"/>
      <c r="BY2189" s="1"/>
      <c r="BZ2189" s="1"/>
      <c r="CA2189" s="1"/>
      <c r="CB2189" s="1"/>
      <c r="CC2189" s="1"/>
      <c r="CD2189" s="1"/>
      <c r="CE2189" s="1"/>
      <c r="CF2189" s="1"/>
      <c r="CG2189" s="1"/>
      <c r="CH2189" s="1"/>
      <c r="CI2189" s="1"/>
      <c r="CJ2189" s="1"/>
      <c r="CK2189" s="1"/>
      <c r="CL2189" s="1"/>
      <c r="CM2189" s="1"/>
      <c r="CN2189" s="1"/>
      <c r="CO2189" s="1"/>
      <c r="CP2189" s="1"/>
      <c r="CQ2189" s="1"/>
      <c r="CR2189" s="1"/>
      <c r="CS2189" s="1"/>
      <c r="CT2189" s="1"/>
      <c r="CU2189" s="1"/>
      <c r="CV2189" s="1"/>
      <c r="CW2189" s="1"/>
      <c r="CX2189" s="1"/>
      <c r="CY2189" s="1"/>
      <c r="CZ2189" s="1"/>
      <c r="DA2189" s="1"/>
      <c r="DB2189" s="1"/>
      <c r="DC2189" s="1"/>
    </row>
    <row r="2190" spans="1:107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  <c r="AC2190" s="1"/>
      <c r="AD2190" s="1"/>
      <c r="AE2190" s="1"/>
      <c r="AF2190" s="1"/>
      <c r="AG2190" s="1"/>
      <c r="AH2190" s="1"/>
      <c r="AI2190" s="1"/>
      <c r="AJ2190" s="1"/>
      <c r="AK2190" s="1"/>
      <c r="AL2190" s="1"/>
      <c r="AM2190" s="1"/>
      <c r="AN2190" s="1"/>
      <c r="AO2190" s="1"/>
      <c r="AP2190" s="1"/>
      <c r="AQ2190" s="1"/>
      <c r="AR2190" s="1"/>
      <c r="AS2190" s="1"/>
      <c r="AT2190" s="1"/>
      <c r="AU2190" s="1"/>
      <c r="AV2190" s="1"/>
      <c r="AW2190" s="1"/>
      <c r="AX2190" s="1"/>
      <c r="AY2190" s="1"/>
      <c r="AZ2190" s="1"/>
      <c r="BA2190" s="1"/>
      <c r="BB2190" s="1"/>
      <c r="BC2190" s="1"/>
      <c r="BD2190" s="1"/>
      <c r="BE2190" s="1"/>
      <c r="BF2190" s="1"/>
      <c r="BG2190" s="1"/>
      <c r="BH2190" s="1"/>
      <c r="BI2190" s="1"/>
      <c r="BJ2190" s="1"/>
      <c r="BK2190" s="1"/>
      <c r="BL2190" s="1"/>
      <c r="BM2190" s="1"/>
      <c r="BN2190" s="1"/>
      <c r="BO2190" s="1"/>
      <c r="BP2190" s="1"/>
      <c r="BQ2190" s="1"/>
      <c r="BR2190" s="1"/>
      <c r="BS2190" s="1"/>
      <c r="BT2190" s="1"/>
      <c r="BU2190" s="1"/>
      <c r="BV2190" s="1"/>
      <c r="BW2190" s="1"/>
      <c r="BX2190" s="1"/>
      <c r="BY2190" s="1"/>
      <c r="BZ2190" s="1"/>
      <c r="CA2190" s="1"/>
      <c r="CB2190" s="1"/>
      <c r="CC2190" s="1"/>
      <c r="CD2190" s="1"/>
      <c r="CE2190" s="1"/>
      <c r="CF2190" s="1"/>
      <c r="CG2190" s="1"/>
      <c r="CH2190" s="1"/>
      <c r="CI2190" s="1"/>
      <c r="CJ2190" s="1"/>
      <c r="CK2190" s="1"/>
      <c r="CL2190" s="1"/>
      <c r="CM2190" s="1"/>
      <c r="CN2190" s="1"/>
      <c r="CO2190" s="1"/>
      <c r="CP2190" s="1"/>
      <c r="CQ2190" s="1"/>
      <c r="CR2190" s="1"/>
      <c r="CS2190" s="1"/>
      <c r="CT2190" s="1"/>
      <c r="CU2190" s="1"/>
      <c r="CV2190" s="1"/>
      <c r="CW2190" s="1"/>
      <c r="CX2190" s="1"/>
      <c r="CY2190" s="1"/>
      <c r="CZ2190" s="1"/>
      <c r="DA2190" s="1"/>
      <c r="DB2190" s="1"/>
      <c r="DC2190" s="1"/>
    </row>
    <row r="2191" spans="1:107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1"/>
      <c r="AD2191" s="1"/>
      <c r="AE2191" s="1"/>
      <c r="AF2191" s="1"/>
      <c r="AG2191" s="1"/>
      <c r="AH2191" s="1"/>
      <c r="AI2191" s="1"/>
      <c r="AJ2191" s="1"/>
      <c r="AK2191" s="1"/>
      <c r="AL2191" s="1"/>
      <c r="AM2191" s="1"/>
      <c r="AN2191" s="1"/>
      <c r="AO2191" s="1"/>
      <c r="AP2191" s="1"/>
      <c r="AQ2191" s="1"/>
      <c r="AR2191" s="1"/>
      <c r="AS2191" s="1"/>
      <c r="AT2191" s="1"/>
      <c r="AU2191" s="1"/>
      <c r="AV2191" s="1"/>
      <c r="AW2191" s="1"/>
      <c r="AX2191" s="1"/>
      <c r="AY2191" s="1"/>
      <c r="AZ2191" s="1"/>
      <c r="BA2191" s="1"/>
      <c r="BB2191" s="1"/>
      <c r="BC2191" s="1"/>
      <c r="BD2191" s="1"/>
      <c r="BE2191" s="1"/>
      <c r="BF2191" s="1"/>
      <c r="BG2191" s="1"/>
      <c r="BH2191" s="1"/>
      <c r="BI2191" s="1"/>
      <c r="BJ2191" s="1"/>
      <c r="BK2191" s="1"/>
      <c r="BL2191" s="1"/>
      <c r="BM2191" s="1"/>
      <c r="BN2191" s="1"/>
      <c r="BO2191" s="1"/>
      <c r="BP2191" s="1"/>
      <c r="BQ2191" s="1"/>
      <c r="BR2191" s="1"/>
      <c r="BS2191" s="1"/>
      <c r="BT2191" s="1"/>
      <c r="BU2191" s="1"/>
      <c r="BV2191" s="1"/>
      <c r="BW2191" s="1"/>
      <c r="BX2191" s="1"/>
      <c r="BY2191" s="1"/>
      <c r="BZ2191" s="1"/>
      <c r="CA2191" s="1"/>
      <c r="CB2191" s="1"/>
      <c r="CC2191" s="1"/>
      <c r="CD2191" s="1"/>
      <c r="CE2191" s="1"/>
      <c r="CF2191" s="1"/>
      <c r="CG2191" s="1"/>
      <c r="CH2191" s="1"/>
      <c r="CI2191" s="1"/>
      <c r="CJ2191" s="1"/>
      <c r="CK2191" s="1"/>
      <c r="CL2191" s="1"/>
      <c r="CM2191" s="1"/>
      <c r="CN2191" s="1"/>
      <c r="CO2191" s="1"/>
      <c r="CP2191" s="1"/>
      <c r="CQ2191" s="1"/>
      <c r="CR2191" s="1"/>
      <c r="CS2191" s="1"/>
      <c r="CT2191" s="1"/>
      <c r="CU2191" s="1"/>
      <c r="CV2191" s="1"/>
      <c r="CW2191" s="1"/>
      <c r="CX2191" s="1"/>
      <c r="CY2191" s="1"/>
      <c r="CZ2191" s="1"/>
      <c r="DA2191" s="1"/>
      <c r="DB2191" s="1"/>
      <c r="DC2191" s="1"/>
    </row>
    <row r="2192" spans="1:107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  <c r="AC2192" s="1"/>
      <c r="AD2192" s="1"/>
      <c r="AE2192" s="1"/>
      <c r="AF2192" s="1"/>
      <c r="AG2192" s="1"/>
      <c r="AH2192" s="1"/>
      <c r="AI2192" s="1"/>
      <c r="AJ2192" s="1"/>
      <c r="AK2192" s="1"/>
      <c r="AL2192" s="1"/>
      <c r="AM2192" s="1"/>
      <c r="AN2192" s="1"/>
      <c r="AO2192" s="1"/>
      <c r="AP2192" s="1"/>
      <c r="AQ2192" s="1"/>
      <c r="AR2192" s="1"/>
      <c r="AS2192" s="1"/>
      <c r="AT2192" s="1"/>
      <c r="AU2192" s="1"/>
      <c r="AV2192" s="1"/>
      <c r="AW2192" s="1"/>
      <c r="AX2192" s="1"/>
      <c r="AY2192" s="1"/>
      <c r="AZ2192" s="1"/>
      <c r="BA2192" s="1"/>
      <c r="BB2192" s="1"/>
      <c r="BC2192" s="1"/>
      <c r="BD2192" s="1"/>
      <c r="BE2192" s="1"/>
      <c r="BF2192" s="1"/>
      <c r="BG2192" s="1"/>
      <c r="BH2192" s="1"/>
      <c r="BI2192" s="1"/>
      <c r="BJ2192" s="1"/>
      <c r="BK2192" s="1"/>
      <c r="BL2192" s="1"/>
      <c r="BM2192" s="1"/>
      <c r="BN2192" s="1"/>
      <c r="BO2192" s="1"/>
      <c r="BP2192" s="1"/>
      <c r="BQ2192" s="1"/>
      <c r="BR2192" s="1"/>
      <c r="BS2192" s="1"/>
      <c r="BT2192" s="1"/>
      <c r="BU2192" s="1"/>
      <c r="BV2192" s="1"/>
      <c r="BW2192" s="1"/>
      <c r="BX2192" s="1"/>
      <c r="BY2192" s="1"/>
      <c r="BZ2192" s="1"/>
      <c r="CA2192" s="1"/>
      <c r="CB2192" s="1"/>
      <c r="CC2192" s="1"/>
      <c r="CD2192" s="1"/>
      <c r="CE2192" s="1"/>
      <c r="CF2192" s="1"/>
      <c r="CG2192" s="1"/>
      <c r="CH2192" s="1"/>
      <c r="CI2192" s="1"/>
      <c r="CJ2192" s="1"/>
      <c r="CK2192" s="1"/>
      <c r="CL2192" s="1"/>
      <c r="CM2192" s="1"/>
      <c r="CN2192" s="1"/>
      <c r="CO2192" s="1"/>
      <c r="CP2192" s="1"/>
      <c r="CQ2192" s="1"/>
      <c r="CR2192" s="1"/>
      <c r="CS2192" s="1"/>
      <c r="CT2192" s="1"/>
      <c r="CU2192" s="1"/>
      <c r="CV2192" s="1"/>
      <c r="CW2192" s="1"/>
      <c r="CX2192" s="1"/>
      <c r="CY2192" s="1"/>
      <c r="CZ2192" s="1"/>
      <c r="DA2192" s="1"/>
      <c r="DB2192" s="1"/>
      <c r="DC2192" s="1"/>
    </row>
    <row r="2193" spans="1:107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1"/>
      <c r="AD2193" s="1"/>
      <c r="AE2193" s="1"/>
      <c r="AF2193" s="1"/>
      <c r="AG2193" s="1"/>
      <c r="AH2193" s="1"/>
      <c r="AI2193" s="1"/>
      <c r="AJ2193" s="1"/>
      <c r="AK2193" s="1"/>
      <c r="AL2193" s="1"/>
      <c r="AM2193" s="1"/>
      <c r="AN2193" s="1"/>
      <c r="AO2193" s="1"/>
      <c r="AP2193" s="1"/>
      <c r="AQ2193" s="1"/>
      <c r="AR2193" s="1"/>
      <c r="AS2193" s="1"/>
      <c r="AT2193" s="1"/>
      <c r="AU2193" s="1"/>
      <c r="AV2193" s="1"/>
      <c r="AW2193" s="1"/>
      <c r="AX2193" s="1"/>
      <c r="AY2193" s="1"/>
      <c r="AZ2193" s="1"/>
      <c r="BA2193" s="1"/>
      <c r="BB2193" s="1"/>
      <c r="BC2193" s="1"/>
      <c r="BD2193" s="1"/>
      <c r="BE2193" s="1"/>
      <c r="BF2193" s="1"/>
      <c r="BG2193" s="1"/>
      <c r="BH2193" s="1"/>
      <c r="BI2193" s="1"/>
      <c r="BJ2193" s="1"/>
      <c r="BK2193" s="1"/>
      <c r="BL2193" s="1"/>
      <c r="BM2193" s="1"/>
      <c r="BN2193" s="1"/>
      <c r="BO2193" s="1"/>
      <c r="BP2193" s="1"/>
      <c r="BQ2193" s="1"/>
      <c r="BR2193" s="1"/>
      <c r="BS2193" s="1"/>
      <c r="BT2193" s="1"/>
      <c r="BU2193" s="1"/>
      <c r="BV2193" s="1"/>
      <c r="BW2193" s="1"/>
      <c r="BX2193" s="1"/>
      <c r="BY2193" s="1"/>
      <c r="BZ2193" s="1"/>
      <c r="CA2193" s="1"/>
      <c r="CB2193" s="1"/>
      <c r="CC2193" s="1"/>
      <c r="CD2193" s="1"/>
      <c r="CE2193" s="1"/>
      <c r="CF2193" s="1"/>
      <c r="CG2193" s="1"/>
      <c r="CH2193" s="1"/>
      <c r="CI2193" s="1"/>
      <c r="CJ2193" s="1"/>
      <c r="CK2193" s="1"/>
      <c r="CL2193" s="1"/>
      <c r="CM2193" s="1"/>
      <c r="CN2193" s="1"/>
      <c r="CO2193" s="1"/>
      <c r="CP2193" s="1"/>
      <c r="CQ2193" s="1"/>
      <c r="CR2193" s="1"/>
      <c r="CS2193" s="1"/>
      <c r="CT2193" s="1"/>
      <c r="CU2193" s="1"/>
      <c r="CV2193" s="1"/>
      <c r="CW2193" s="1"/>
      <c r="CX2193" s="1"/>
      <c r="CY2193" s="1"/>
      <c r="CZ2193" s="1"/>
      <c r="DA2193" s="1"/>
      <c r="DB2193" s="1"/>
      <c r="DC2193" s="1"/>
    </row>
    <row r="2194" spans="1:107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  <c r="AC2194" s="1"/>
      <c r="AD2194" s="1"/>
      <c r="AE2194" s="1"/>
      <c r="AF2194" s="1"/>
      <c r="AG2194" s="1"/>
      <c r="AH2194" s="1"/>
      <c r="AI2194" s="1"/>
      <c r="AJ2194" s="1"/>
      <c r="AK2194" s="1"/>
      <c r="AL2194" s="1"/>
      <c r="AM2194" s="1"/>
      <c r="AN2194" s="1"/>
      <c r="AO2194" s="1"/>
      <c r="AP2194" s="1"/>
      <c r="AQ2194" s="1"/>
      <c r="AR2194" s="1"/>
      <c r="AS2194" s="1"/>
      <c r="AT2194" s="1"/>
      <c r="AU2194" s="1"/>
      <c r="AV2194" s="1"/>
      <c r="AW2194" s="1"/>
      <c r="AX2194" s="1"/>
      <c r="AY2194" s="1"/>
      <c r="AZ2194" s="1"/>
      <c r="BA2194" s="1"/>
      <c r="BB2194" s="1"/>
      <c r="BC2194" s="1"/>
      <c r="BD2194" s="1"/>
      <c r="BE2194" s="1"/>
      <c r="BF2194" s="1"/>
      <c r="BG2194" s="1"/>
      <c r="BH2194" s="1"/>
      <c r="BI2194" s="1"/>
      <c r="BJ2194" s="1"/>
      <c r="BK2194" s="1"/>
      <c r="BL2194" s="1"/>
      <c r="BM2194" s="1"/>
      <c r="BN2194" s="1"/>
      <c r="BO2194" s="1"/>
      <c r="BP2194" s="1"/>
      <c r="BQ2194" s="1"/>
      <c r="BR2194" s="1"/>
      <c r="BS2194" s="1"/>
      <c r="BT2194" s="1"/>
      <c r="BU2194" s="1"/>
      <c r="BV2194" s="1"/>
      <c r="BW2194" s="1"/>
      <c r="BX2194" s="1"/>
      <c r="BY2194" s="1"/>
      <c r="BZ2194" s="1"/>
      <c r="CA2194" s="1"/>
      <c r="CB2194" s="1"/>
      <c r="CC2194" s="1"/>
      <c r="CD2194" s="1"/>
      <c r="CE2194" s="1"/>
      <c r="CF2194" s="1"/>
      <c r="CG2194" s="1"/>
      <c r="CH2194" s="1"/>
      <c r="CI2194" s="1"/>
      <c r="CJ2194" s="1"/>
      <c r="CK2194" s="1"/>
      <c r="CL2194" s="1"/>
      <c r="CM2194" s="1"/>
      <c r="CN2194" s="1"/>
      <c r="CO2194" s="1"/>
      <c r="CP2194" s="1"/>
      <c r="CQ2194" s="1"/>
      <c r="CR2194" s="1"/>
      <c r="CS2194" s="1"/>
      <c r="CT2194" s="1"/>
      <c r="CU2194" s="1"/>
      <c r="CV2194" s="1"/>
      <c r="CW2194" s="1"/>
      <c r="CX2194" s="1"/>
      <c r="CY2194" s="1"/>
      <c r="CZ2194" s="1"/>
      <c r="DA2194" s="1"/>
      <c r="DB2194" s="1"/>
      <c r="DC2194" s="1"/>
    </row>
    <row r="2195" spans="1:107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1"/>
      <c r="AD2195" s="1"/>
      <c r="AE2195" s="1"/>
      <c r="AF2195" s="1"/>
      <c r="AG2195" s="1"/>
      <c r="AH2195" s="1"/>
      <c r="AI2195" s="1"/>
      <c r="AJ2195" s="1"/>
      <c r="AK2195" s="1"/>
      <c r="AL2195" s="1"/>
      <c r="AM2195" s="1"/>
      <c r="AN2195" s="1"/>
      <c r="AO2195" s="1"/>
      <c r="AP2195" s="1"/>
      <c r="AQ2195" s="1"/>
      <c r="AR2195" s="1"/>
      <c r="AS2195" s="1"/>
      <c r="AT2195" s="1"/>
      <c r="AU2195" s="1"/>
      <c r="AV2195" s="1"/>
      <c r="AW2195" s="1"/>
      <c r="AX2195" s="1"/>
      <c r="AY2195" s="1"/>
      <c r="AZ2195" s="1"/>
      <c r="BA2195" s="1"/>
      <c r="BB2195" s="1"/>
      <c r="BC2195" s="1"/>
      <c r="BD2195" s="1"/>
      <c r="BE2195" s="1"/>
      <c r="BF2195" s="1"/>
      <c r="BG2195" s="1"/>
      <c r="BH2195" s="1"/>
      <c r="BI2195" s="1"/>
      <c r="BJ2195" s="1"/>
      <c r="BK2195" s="1"/>
      <c r="BL2195" s="1"/>
      <c r="BM2195" s="1"/>
      <c r="BN2195" s="1"/>
      <c r="BO2195" s="1"/>
      <c r="BP2195" s="1"/>
      <c r="BQ2195" s="1"/>
      <c r="BR2195" s="1"/>
      <c r="BS2195" s="1"/>
      <c r="BT2195" s="1"/>
      <c r="BU2195" s="1"/>
      <c r="BV2195" s="1"/>
      <c r="BW2195" s="1"/>
      <c r="BX2195" s="1"/>
      <c r="BY2195" s="1"/>
      <c r="BZ2195" s="1"/>
      <c r="CA2195" s="1"/>
      <c r="CB2195" s="1"/>
      <c r="CC2195" s="1"/>
      <c r="CD2195" s="1"/>
      <c r="CE2195" s="1"/>
      <c r="CF2195" s="1"/>
      <c r="CG2195" s="1"/>
      <c r="CH2195" s="1"/>
      <c r="CI2195" s="1"/>
      <c r="CJ2195" s="1"/>
      <c r="CK2195" s="1"/>
      <c r="CL2195" s="1"/>
      <c r="CM2195" s="1"/>
      <c r="CN2195" s="1"/>
      <c r="CO2195" s="1"/>
      <c r="CP2195" s="1"/>
      <c r="CQ2195" s="1"/>
      <c r="CR2195" s="1"/>
      <c r="CS2195" s="1"/>
      <c r="CT2195" s="1"/>
      <c r="CU2195" s="1"/>
      <c r="CV2195" s="1"/>
      <c r="CW2195" s="1"/>
      <c r="CX2195" s="1"/>
      <c r="CY2195" s="1"/>
      <c r="CZ2195" s="1"/>
      <c r="DA2195" s="1"/>
      <c r="DB2195" s="1"/>
      <c r="DC2195" s="1"/>
    </row>
    <row r="2196" spans="1:107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  <c r="AC2196" s="1"/>
      <c r="AD2196" s="1"/>
      <c r="AE2196" s="1"/>
      <c r="AF2196" s="1"/>
      <c r="AG2196" s="1"/>
      <c r="AH2196" s="1"/>
      <c r="AI2196" s="1"/>
      <c r="AJ2196" s="1"/>
      <c r="AK2196" s="1"/>
      <c r="AL2196" s="1"/>
      <c r="AM2196" s="1"/>
      <c r="AN2196" s="1"/>
      <c r="AO2196" s="1"/>
      <c r="AP2196" s="1"/>
      <c r="AQ2196" s="1"/>
      <c r="AR2196" s="1"/>
      <c r="AS2196" s="1"/>
      <c r="AT2196" s="1"/>
      <c r="AU2196" s="1"/>
      <c r="AV2196" s="1"/>
      <c r="AW2196" s="1"/>
      <c r="AX2196" s="1"/>
      <c r="AY2196" s="1"/>
      <c r="AZ2196" s="1"/>
      <c r="BA2196" s="1"/>
      <c r="BB2196" s="1"/>
      <c r="BC2196" s="1"/>
      <c r="BD2196" s="1"/>
      <c r="BE2196" s="1"/>
      <c r="BF2196" s="1"/>
      <c r="BG2196" s="1"/>
      <c r="BH2196" s="1"/>
      <c r="BI2196" s="1"/>
      <c r="BJ2196" s="1"/>
      <c r="BK2196" s="1"/>
      <c r="BL2196" s="1"/>
      <c r="BM2196" s="1"/>
      <c r="BN2196" s="1"/>
      <c r="BO2196" s="1"/>
      <c r="BP2196" s="1"/>
      <c r="BQ2196" s="1"/>
      <c r="BR2196" s="1"/>
      <c r="BS2196" s="1"/>
      <c r="BT2196" s="1"/>
      <c r="BU2196" s="1"/>
      <c r="BV2196" s="1"/>
      <c r="BW2196" s="1"/>
      <c r="BX2196" s="1"/>
      <c r="BY2196" s="1"/>
      <c r="BZ2196" s="1"/>
      <c r="CA2196" s="1"/>
      <c r="CB2196" s="1"/>
      <c r="CC2196" s="1"/>
      <c r="CD2196" s="1"/>
      <c r="CE2196" s="1"/>
      <c r="CF2196" s="1"/>
      <c r="CG2196" s="1"/>
      <c r="CH2196" s="1"/>
      <c r="CI2196" s="1"/>
      <c r="CJ2196" s="1"/>
      <c r="CK2196" s="1"/>
      <c r="CL2196" s="1"/>
      <c r="CM2196" s="1"/>
      <c r="CN2196" s="1"/>
      <c r="CO2196" s="1"/>
      <c r="CP2196" s="1"/>
      <c r="CQ2196" s="1"/>
      <c r="CR2196" s="1"/>
      <c r="CS2196" s="1"/>
      <c r="CT2196" s="1"/>
      <c r="CU2196" s="1"/>
      <c r="CV2196" s="1"/>
      <c r="CW2196" s="1"/>
      <c r="CX2196" s="1"/>
      <c r="CY2196" s="1"/>
      <c r="CZ2196" s="1"/>
      <c r="DA2196" s="1"/>
      <c r="DB2196" s="1"/>
      <c r="DC2196" s="1"/>
    </row>
    <row r="2197" spans="1:107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1"/>
      <c r="AD2197" s="1"/>
      <c r="AE2197" s="1"/>
      <c r="AF2197" s="1"/>
      <c r="AG2197" s="1"/>
      <c r="AH2197" s="1"/>
      <c r="AI2197" s="1"/>
      <c r="AJ2197" s="1"/>
      <c r="AK2197" s="1"/>
      <c r="AL2197" s="1"/>
      <c r="AM2197" s="1"/>
      <c r="AN2197" s="1"/>
      <c r="AO2197" s="1"/>
      <c r="AP2197" s="1"/>
      <c r="AQ2197" s="1"/>
      <c r="AR2197" s="1"/>
      <c r="AS2197" s="1"/>
      <c r="AT2197" s="1"/>
      <c r="AU2197" s="1"/>
      <c r="AV2197" s="1"/>
      <c r="AW2197" s="1"/>
      <c r="AX2197" s="1"/>
      <c r="AY2197" s="1"/>
      <c r="AZ2197" s="1"/>
      <c r="BA2197" s="1"/>
      <c r="BB2197" s="1"/>
      <c r="BC2197" s="1"/>
      <c r="BD2197" s="1"/>
      <c r="BE2197" s="1"/>
      <c r="BF2197" s="1"/>
      <c r="BG2197" s="1"/>
      <c r="BH2197" s="1"/>
      <c r="BI2197" s="1"/>
      <c r="BJ2197" s="1"/>
      <c r="BK2197" s="1"/>
      <c r="BL2197" s="1"/>
      <c r="BM2197" s="1"/>
      <c r="BN2197" s="1"/>
      <c r="BO2197" s="1"/>
      <c r="BP2197" s="1"/>
      <c r="BQ2197" s="1"/>
      <c r="BR2197" s="1"/>
      <c r="BS2197" s="1"/>
      <c r="BT2197" s="1"/>
      <c r="BU2197" s="1"/>
      <c r="BV2197" s="1"/>
      <c r="BW2197" s="1"/>
      <c r="BX2197" s="1"/>
      <c r="BY2197" s="1"/>
      <c r="BZ2197" s="1"/>
      <c r="CA2197" s="1"/>
      <c r="CB2197" s="1"/>
      <c r="CC2197" s="1"/>
      <c r="CD2197" s="1"/>
      <c r="CE2197" s="1"/>
      <c r="CF2197" s="1"/>
      <c r="CG2197" s="1"/>
      <c r="CH2197" s="1"/>
      <c r="CI2197" s="1"/>
      <c r="CJ2197" s="1"/>
      <c r="CK2197" s="1"/>
      <c r="CL2197" s="1"/>
      <c r="CM2197" s="1"/>
      <c r="CN2197" s="1"/>
      <c r="CO2197" s="1"/>
      <c r="CP2197" s="1"/>
      <c r="CQ2197" s="1"/>
      <c r="CR2197" s="1"/>
      <c r="CS2197" s="1"/>
      <c r="CT2197" s="1"/>
      <c r="CU2197" s="1"/>
      <c r="CV2197" s="1"/>
      <c r="CW2197" s="1"/>
      <c r="CX2197" s="1"/>
      <c r="CY2197" s="1"/>
      <c r="CZ2197" s="1"/>
      <c r="DA2197" s="1"/>
      <c r="DB2197" s="1"/>
      <c r="DC2197" s="1"/>
    </row>
    <row r="2198" spans="1:107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  <c r="AC2198" s="1"/>
      <c r="AD2198" s="1"/>
      <c r="AE2198" s="1"/>
      <c r="AF2198" s="1"/>
      <c r="AG2198" s="1"/>
      <c r="AH2198" s="1"/>
      <c r="AI2198" s="1"/>
      <c r="AJ2198" s="1"/>
      <c r="AK2198" s="1"/>
      <c r="AL2198" s="1"/>
      <c r="AM2198" s="1"/>
      <c r="AN2198" s="1"/>
      <c r="AO2198" s="1"/>
      <c r="AP2198" s="1"/>
      <c r="AQ2198" s="1"/>
      <c r="AR2198" s="1"/>
      <c r="AS2198" s="1"/>
      <c r="AT2198" s="1"/>
      <c r="AU2198" s="1"/>
      <c r="AV2198" s="1"/>
      <c r="AW2198" s="1"/>
      <c r="AX2198" s="1"/>
      <c r="AY2198" s="1"/>
      <c r="AZ2198" s="1"/>
      <c r="BA2198" s="1"/>
      <c r="BB2198" s="1"/>
      <c r="BC2198" s="1"/>
      <c r="BD2198" s="1"/>
      <c r="BE2198" s="1"/>
      <c r="BF2198" s="1"/>
      <c r="BG2198" s="1"/>
      <c r="BH2198" s="1"/>
      <c r="BI2198" s="1"/>
      <c r="BJ2198" s="1"/>
      <c r="BK2198" s="1"/>
      <c r="BL2198" s="1"/>
      <c r="BM2198" s="1"/>
      <c r="BN2198" s="1"/>
      <c r="BO2198" s="1"/>
      <c r="BP2198" s="1"/>
      <c r="BQ2198" s="1"/>
      <c r="BR2198" s="1"/>
      <c r="BS2198" s="1"/>
      <c r="BT2198" s="1"/>
      <c r="BU2198" s="1"/>
      <c r="BV2198" s="1"/>
      <c r="BW2198" s="1"/>
      <c r="BX2198" s="1"/>
      <c r="BY2198" s="1"/>
      <c r="BZ2198" s="1"/>
      <c r="CA2198" s="1"/>
      <c r="CB2198" s="1"/>
      <c r="CC2198" s="1"/>
      <c r="CD2198" s="1"/>
      <c r="CE2198" s="1"/>
      <c r="CF2198" s="1"/>
      <c r="CG2198" s="1"/>
      <c r="CH2198" s="1"/>
      <c r="CI2198" s="1"/>
      <c r="CJ2198" s="1"/>
      <c r="CK2198" s="1"/>
      <c r="CL2198" s="1"/>
      <c r="CM2198" s="1"/>
      <c r="CN2198" s="1"/>
      <c r="CO2198" s="1"/>
      <c r="CP2198" s="1"/>
      <c r="CQ2198" s="1"/>
      <c r="CR2198" s="1"/>
      <c r="CS2198" s="1"/>
      <c r="CT2198" s="1"/>
      <c r="CU2198" s="1"/>
      <c r="CV2198" s="1"/>
      <c r="CW2198" s="1"/>
      <c r="CX2198" s="1"/>
      <c r="CY2198" s="1"/>
      <c r="CZ2198" s="1"/>
      <c r="DA2198" s="1"/>
      <c r="DB2198" s="1"/>
      <c r="DC2198" s="1"/>
    </row>
    <row r="2199" spans="1:107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1"/>
      <c r="AD2199" s="1"/>
      <c r="AE2199" s="1"/>
      <c r="AF2199" s="1"/>
      <c r="AG2199" s="1"/>
      <c r="AH2199" s="1"/>
      <c r="AI2199" s="1"/>
      <c r="AJ2199" s="1"/>
      <c r="AK2199" s="1"/>
      <c r="AL2199" s="1"/>
      <c r="AM2199" s="1"/>
      <c r="AN2199" s="1"/>
      <c r="AO2199" s="1"/>
      <c r="AP2199" s="1"/>
      <c r="AQ2199" s="1"/>
      <c r="AR2199" s="1"/>
      <c r="AS2199" s="1"/>
      <c r="AT2199" s="1"/>
      <c r="AU2199" s="1"/>
      <c r="AV2199" s="1"/>
      <c r="AW2199" s="1"/>
      <c r="AX2199" s="1"/>
      <c r="AY2199" s="1"/>
      <c r="AZ2199" s="1"/>
      <c r="BA2199" s="1"/>
      <c r="BB2199" s="1"/>
      <c r="BC2199" s="1"/>
      <c r="BD2199" s="1"/>
      <c r="BE2199" s="1"/>
      <c r="BF2199" s="1"/>
      <c r="BG2199" s="1"/>
      <c r="BH2199" s="1"/>
      <c r="BI2199" s="1"/>
      <c r="BJ2199" s="1"/>
      <c r="BK2199" s="1"/>
      <c r="BL2199" s="1"/>
      <c r="BM2199" s="1"/>
      <c r="BN2199" s="1"/>
      <c r="BO2199" s="1"/>
      <c r="BP2199" s="1"/>
      <c r="BQ2199" s="1"/>
      <c r="BR2199" s="1"/>
      <c r="BS2199" s="1"/>
      <c r="BT2199" s="1"/>
      <c r="BU2199" s="1"/>
      <c r="BV2199" s="1"/>
      <c r="BW2199" s="1"/>
      <c r="BX2199" s="1"/>
      <c r="BY2199" s="1"/>
      <c r="BZ2199" s="1"/>
      <c r="CA2199" s="1"/>
      <c r="CB2199" s="1"/>
      <c r="CC2199" s="1"/>
      <c r="CD2199" s="1"/>
      <c r="CE2199" s="1"/>
      <c r="CF2199" s="1"/>
      <c r="CG2199" s="1"/>
      <c r="CH2199" s="1"/>
      <c r="CI2199" s="1"/>
      <c r="CJ2199" s="1"/>
      <c r="CK2199" s="1"/>
      <c r="CL2199" s="1"/>
      <c r="CM2199" s="1"/>
      <c r="CN2199" s="1"/>
      <c r="CO2199" s="1"/>
      <c r="CP2199" s="1"/>
      <c r="CQ2199" s="1"/>
      <c r="CR2199" s="1"/>
      <c r="CS2199" s="1"/>
      <c r="CT2199" s="1"/>
      <c r="CU2199" s="1"/>
      <c r="CV2199" s="1"/>
      <c r="CW2199" s="1"/>
      <c r="CX2199" s="1"/>
      <c r="CY2199" s="1"/>
      <c r="CZ2199" s="1"/>
      <c r="DA2199" s="1"/>
      <c r="DB2199" s="1"/>
      <c r="DC2199" s="1"/>
    </row>
    <row r="2200" spans="1:107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/>
      <c r="AC2200" s="1"/>
      <c r="AD2200" s="1"/>
      <c r="AE2200" s="1"/>
      <c r="AF2200" s="1"/>
      <c r="AG2200" s="1"/>
      <c r="AH2200" s="1"/>
      <c r="AI2200" s="1"/>
      <c r="AJ2200" s="1"/>
      <c r="AK2200" s="1"/>
      <c r="AL2200" s="1"/>
      <c r="AM2200" s="1"/>
      <c r="AN2200" s="1"/>
      <c r="AO2200" s="1"/>
      <c r="AP2200" s="1"/>
      <c r="AQ2200" s="1"/>
      <c r="AR2200" s="1"/>
      <c r="AS2200" s="1"/>
      <c r="AT2200" s="1"/>
      <c r="AU2200" s="1"/>
      <c r="AV2200" s="1"/>
      <c r="AW2200" s="1"/>
      <c r="AX2200" s="1"/>
      <c r="AY2200" s="1"/>
      <c r="AZ2200" s="1"/>
      <c r="BA2200" s="1"/>
      <c r="BB2200" s="1"/>
      <c r="BC2200" s="1"/>
      <c r="BD2200" s="1"/>
      <c r="BE2200" s="1"/>
      <c r="BF2200" s="1"/>
      <c r="BG2200" s="1"/>
      <c r="BH2200" s="1"/>
      <c r="BI2200" s="1"/>
      <c r="BJ2200" s="1"/>
      <c r="BK2200" s="1"/>
      <c r="BL2200" s="1"/>
      <c r="BM2200" s="1"/>
      <c r="BN2200" s="1"/>
      <c r="BO2200" s="1"/>
      <c r="BP2200" s="1"/>
      <c r="BQ2200" s="1"/>
      <c r="BR2200" s="1"/>
      <c r="BS2200" s="1"/>
      <c r="BT2200" s="1"/>
      <c r="BU2200" s="1"/>
      <c r="BV2200" s="1"/>
      <c r="BW2200" s="1"/>
      <c r="BX2200" s="1"/>
      <c r="BY2200" s="1"/>
      <c r="BZ2200" s="1"/>
      <c r="CA2200" s="1"/>
      <c r="CB2200" s="1"/>
      <c r="CC2200" s="1"/>
      <c r="CD2200" s="1"/>
      <c r="CE2200" s="1"/>
      <c r="CF2200" s="1"/>
      <c r="CG2200" s="1"/>
      <c r="CH2200" s="1"/>
      <c r="CI2200" s="1"/>
      <c r="CJ2200" s="1"/>
      <c r="CK2200" s="1"/>
      <c r="CL2200" s="1"/>
      <c r="CM2200" s="1"/>
      <c r="CN2200" s="1"/>
      <c r="CO2200" s="1"/>
      <c r="CP2200" s="1"/>
      <c r="CQ2200" s="1"/>
      <c r="CR2200" s="1"/>
      <c r="CS2200" s="1"/>
      <c r="CT2200" s="1"/>
      <c r="CU2200" s="1"/>
      <c r="CV2200" s="1"/>
      <c r="CW2200" s="1"/>
      <c r="CX2200" s="1"/>
      <c r="CY2200" s="1"/>
      <c r="CZ2200" s="1"/>
      <c r="DA2200" s="1"/>
      <c r="DB2200" s="1"/>
      <c r="DC2200" s="1"/>
    </row>
    <row r="2201" spans="1:107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/>
      <c r="AC2201" s="1"/>
      <c r="AD2201" s="1"/>
      <c r="AE2201" s="1"/>
      <c r="AF2201" s="1"/>
      <c r="AG2201" s="1"/>
      <c r="AH2201" s="1"/>
      <c r="AI2201" s="1"/>
      <c r="AJ2201" s="1"/>
      <c r="AK2201" s="1"/>
      <c r="AL2201" s="1"/>
      <c r="AM2201" s="1"/>
      <c r="AN2201" s="1"/>
      <c r="AO2201" s="1"/>
      <c r="AP2201" s="1"/>
      <c r="AQ2201" s="1"/>
      <c r="AR2201" s="1"/>
      <c r="AS2201" s="1"/>
      <c r="AT2201" s="1"/>
      <c r="AU2201" s="1"/>
      <c r="AV2201" s="1"/>
      <c r="AW2201" s="1"/>
      <c r="AX2201" s="1"/>
      <c r="AY2201" s="1"/>
      <c r="AZ2201" s="1"/>
      <c r="BA2201" s="1"/>
      <c r="BB2201" s="1"/>
      <c r="BC2201" s="1"/>
      <c r="BD2201" s="1"/>
      <c r="BE2201" s="1"/>
      <c r="BF2201" s="1"/>
      <c r="BG2201" s="1"/>
      <c r="BH2201" s="1"/>
      <c r="BI2201" s="1"/>
      <c r="BJ2201" s="1"/>
      <c r="BK2201" s="1"/>
      <c r="BL2201" s="1"/>
      <c r="BM2201" s="1"/>
      <c r="BN2201" s="1"/>
      <c r="BO2201" s="1"/>
      <c r="BP2201" s="1"/>
      <c r="BQ2201" s="1"/>
      <c r="BR2201" s="1"/>
      <c r="BS2201" s="1"/>
      <c r="BT2201" s="1"/>
      <c r="BU2201" s="1"/>
      <c r="BV2201" s="1"/>
      <c r="BW2201" s="1"/>
      <c r="BX2201" s="1"/>
      <c r="BY2201" s="1"/>
      <c r="BZ2201" s="1"/>
      <c r="CA2201" s="1"/>
      <c r="CB2201" s="1"/>
      <c r="CC2201" s="1"/>
      <c r="CD2201" s="1"/>
      <c r="CE2201" s="1"/>
      <c r="CF2201" s="1"/>
      <c r="CG2201" s="1"/>
      <c r="CH2201" s="1"/>
      <c r="CI2201" s="1"/>
      <c r="CJ2201" s="1"/>
      <c r="CK2201" s="1"/>
      <c r="CL2201" s="1"/>
      <c r="CM2201" s="1"/>
      <c r="CN2201" s="1"/>
      <c r="CO2201" s="1"/>
      <c r="CP2201" s="1"/>
      <c r="CQ2201" s="1"/>
      <c r="CR2201" s="1"/>
      <c r="CS2201" s="1"/>
      <c r="CT2201" s="1"/>
      <c r="CU2201" s="1"/>
      <c r="CV2201" s="1"/>
      <c r="CW2201" s="1"/>
      <c r="CX2201" s="1"/>
      <c r="CY2201" s="1"/>
      <c r="CZ2201" s="1"/>
      <c r="DA2201" s="1"/>
      <c r="DB2201" s="1"/>
      <c r="DC2201" s="1"/>
    </row>
    <row r="2202" spans="1:107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  <c r="AC2202" s="1"/>
      <c r="AD2202" s="1"/>
      <c r="AE2202" s="1"/>
      <c r="AF2202" s="1"/>
      <c r="AG2202" s="1"/>
      <c r="AH2202" s="1"/>
      <c r="AI2202" s="1"/>
      <c r="AJ2202" s="1"/>
      <c r="AK2202" s="1"/>
      <c r="AL2202" s="1"/>
      <c r="AM2202" s="1"/>
      <c r="AN2202" s="1"/>
      <c r="AO2202" s="1"/>
      <c r="AP2202" s="1"/>
      <c r="AQ2202" s="1"/>
      <c r="AR2202" s="1"/>
      <c r="AS2202" s="1"/>
      <c r="AT2202" s="1"/>
      <c r="AU2202" s="1"/>
      <c r="AV2202" s="1"/>
      <c r="AW2202" s="1"/>
      <c r="AX2202" s="1"/>
      <c r="AY2202" s="1"/>
      <c r="AZ2202" s="1"/>
      <c r="BA2202" s="1"/>
      <c r="BB2202" s="1"/>
      <c r="BC2202" s="1"/>
      <c r="BD2202" s="1"/>
      <c r="BE2202" s="1"/>
      <c r="BF2202" s="1"/>
      <c r="BG2202" s="1"/>
      <c r="BH2202" s="1"/>
      <c r="BI2202" s="1"/>
      <c r="BJ2202" s="1"/>
      <c r="BK2202" s="1"/>
      <c r="BL2202" s="1"/>
      <c r="BM2202" s="1"/>
      <c r="BN2202" s="1"/>
      <c r="BO2202" s="1"/>
      <c r="BP2202" s="1"/>
      <c r="BQ2202" s="1"/>
      <c r="BR2202" s="1"/>
      <c r="BS2202" s="1"/>
      <c r="BT2202" s="1"/>
      <c r="BU2202" s="1"/>
      <c r="BV2202" s="1"/>
      <c r="BW2202" s="1"/>
      <c r="BX2202" s="1"/>
      <c r="BY2202" s="1"/>
      <c r="BZ2202" s="1"/>
      <c r="CA2202" s="1"/>
      <c r="CB2202" s="1"/>
      <c r="CC2202" s="1"/>
      <c r="CD2202" s="1"/>
      <c r="CE2202" s="1"/>
      <c r="CF2202" s="1"/>
      <c r="CG2202" s="1"/>
      <c r="CH2202" s="1"/>
      <c r="CI2202" s="1"/>
      <c r="CJ2202" s="1"/>
      <c r="CK2202" s="1"/>
      <c r="CL2202" s="1"/>
      <c r="CM2202" s="1"/>
      <c r="CN2202" s="1"/>
      <c r="CO2202" s="1"/>
      <c r="CP2202" s="1"/>
      <c r="CQ2202" s="1"/>
      <c r="CR2202" s="1"/>
      <c r="CS2202" s="1"/>
      <c r="CT2202" s="1"/>
      <c r="CU2202" s="1"/>
      <c r="CV2202" s="1"/>
      <c r="CW2202" s="1"/>
      <c r="CX2202" s="1"/>
      <c r="CY2202" s="1"/>
      <c r="CZ2202" s="1"/>
      <c r="DA2202" s="1"/>
      <c r="DB2202" s="1"/>
      <c r="DC2202" s="1"/>
    </row>
    <row r="2203" spans="1:107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1"/>
      <c r="AD2203" s="1"/>
      <c r="AE2203" s="1"/>
      <c r="AF2203" s="1"/>
      <c r="AG2203" s="1"/>
      <c r="AH2203" s="1"/>
      <c r="AI2203" s="1"/>
      <c r="AJ2203" s="1"/>
      <c r="AK2203" s="1"/>
      <c r="AL2203" s="1"/>
      <c r="AM2203" s="1"/>
      <c r="AN2203" s="1"/>
      <c r="AO2203" s="1"/>
      <c r="AP2203" s="1"/>
      <c r="AQ2203" s="1"/>
      <c r="AR2203" s="1"/>
      <c r="AS2203" s="1"/>
      <c r="AT2203" s="1"/>
      <c r="AU2203" s="1"/>
      <c r="AV2203" s="1"/>
      <c r="AW2203" s="1"/>
      <c r="AX2203" s="1"/>
      <c r="AY2203" s="1"/>
      <c r="AZ2203" s="1"/>
      <c r="BA2203" s="1"/>
      <c r="BB2203" s="1"/>
      <c r="BC2203" s="1"/>
      <c r="BD2203" s="1"/>
      <c r="BE2203" s="1"/>
      <c r="BF2203" s="1"/>
      <c r="BG2203" s="1"/>
      <c r="BH2203" s="1"/>
      <c r="BI2203" s="1"/>
      <c r="BJ2203" s="1"/>
      <c r="BK2203" s="1"/>
      <c r="BL2203" s="1"/>
      <c r="BM2203" s="1"/>
      <c r="BN2203" s="1"/>
      <c r="BO2203" s="1"/>
      <c r="BP2203" s="1"/>
      <c r="BQ2203" s="1"/>
      <c r="BR2203" s="1"/>
      <c r="BS2203" s="1"/>
      <c r="BT2203" s="1"/>
      <c r="BU2203" s="1"/>
      <c r="BV2203" s="1"/>
      <c r="BW2203" s="1"/>
      <c r="BX2203" s="1"/>
      <c r="BY2203" s="1"/>
      <c r="BZ2203" s="1"/>
      <c r="CA2203" s="1"/>
      <c r="CB2203" s="1"/>
      <c r="CC2203" s="1"/>
      <c r="CD2203" s="1"/>
      <c r="CE2203" s="1"/>
      <c r="CF2203" s="1"/>
      <c r="CG2203" s="1"/>
      <c r="CH2203" s="1"/>
      <c r="CI2203" s="1"/>
      <c r="CJ2203" s="1"/>
      <c r="CK2203" s="1"/>
      <c r="CL2203" s="1"/>
      <c r="CM2203" s="1"/>
      <c r="CN2203" s="1"/>
      <c r="CO2203" s="1"/>
      <c r="CP2203" s="1"/>
      <c r="CQ2203" s="1"/>
      <c r="CR2203" s="1"/>
      <c r="CS2203" s="1"/>
      <c r="CT2203" s="1"/>
      <c r="CU2203" s="1"/>
      <c r="CV2203" s="1"/>
      <c r="CW2203" s="1"/>
      <c r="CX2203" s="1"/>
      <c r="CY2203" s="1"/>
      <c r="CZ2203" s="1"/>
      <c r="DA2203" s="1"/>
      <c r="DB2203" s="1"/>
      <c r="DC2203" s="1"/>
    </row>
    <row r="2204" spans="1:107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  <c r="AC2204" s="1"/>
      <c r="AD2204" s="1"/>
      <c r="AE2204" s="1"/>
      <c r="AF2204" s="1"/>
      <c r="AG2204" s="1"/>
      <c r="AH2204" s="1"/>
      <c r="AI2204" s="1"/>
      <c r="AJ2204" s="1"/>
      <c r="AK2204" s="1"/>
      <c r="AL2204" s="1"/>
      <c r="AM2204" s="1"/>
      <c r="AN2204" s="1"/>
      <c r="AO2204" s="1"/>
      <c r="AP2204" s="1"/>
      <c r="AQ2204" s="1"/>
      <c r="AR2204" s="1"/>
      <c r="AS2204" s="1"/>
      <c r="AT2204" s="1"/>
      <c r="AU2204" s="1"/>
      <c r="AV2204" s="1"/>
      <c r="AW2204" s="1"/>
      <c r="AX2204" s="1"/>
      <c r="AY2204" s="1"/>
      <c r="AZ2204" s="1"/>
      <c r="BA2204" s="1"/>
      <c r="BB2204" s="1"/>
      <c r="BC2204" s="1"/>
      <c r="BD2204" s="1"/>
      <c r="BE2204" s="1"/>
      <c r="BF2204" s="1"/>
      <c r="BG2204" s="1"/>
      <c r="BH2204" s="1"/>
      <c r="BI2204" s="1"/>
      <c r="BJ2204" s="1"/>
      <c r="BK2204" s="1"/>
      <c r="BL2204" s="1"/>
      <c r="BM2204" s="1"/>
      <c r="BN2204" s="1"/>
      <c r="BO2204" s="1"/>
      <c r="BP2204" s="1"/>
      <c r="BQ2204" s="1"/>
      <c r="BR2204" s="1"/>
      <c r="BS2204" s="1"/>
      <c r="BT2204" s="1"/>
      <c r="BU2204" s="1"/>
      <c r="BV2204" s="1"/>
      <c r="BW2204" s="1"/>
      <c r="BX2204" s="1"/>
      <c r="BY2204" s="1"/>
      <c r="BZ2204" s="1"/>
      <c r="CA2204" s="1"/>
      <c r="CB2204" s="1"/>
      <c r="CC2204" s="1"/>
      <c r="CD2204" s="1"/>
      <c r="CE2204" s="1"/>
      <c r="CF2204" s="1"/>
      <c r="CG2204" s="1"/>
      <c r="CH2204" s="1"/>
      <c r="CI2204" s="1"/>
      <c r="CJ2204" s="1"/>
      <c r="CK2204" s="1"/>
      <c r="CL2204" s="1"/>
      <c r="CM2204" s="1"/>
      <c r="CN2204" s="1"/>
      <c r="CO2204" s="1"/>
      <c r="CP2204" s="1"/>
      <c r="CQ2204" s="1"/>
      <c r="CR2204" s="1"/>
      <c r="CS2204" s="1"/>
      <c r="CT2204" s="1"/>
      <c r="CU2204" s="1"/>
      <c r="CV2204" s="1"/>
      <c r="CW2204" s="1"/>
      <c r="CX2204" s="1"/>
      <c r="CY2204" s="1"/>
      <c r="CZ2204" s="1"/>
      <c r="DA2204" s="1"/>
      <c r="DB2204" s="1"/>
      <c r="DC2204" s="1"/>
    </row>
    <row r="2205" spans="1:107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  <c r="AC2205" s="1"/>
      <c r="AD2205" s="1"/>
      <c r="AE2205" s="1"/>
      <c r="AF2205" s="1"/>
      <c r="AG2205" s="1"/>
      <c r="AH2205" s="1"/>
      <c r="AI2205" s="1"/>
      <c r="AJ2205" s="1"/>
      <c r="AK2205" s="1"/>
      <c r="AL2205" s="1"/>
      <c r="AM2205" s="1"/>
      <c r="AN2205" s="1"/>
      <c r="AO2205" s="1"/>
      <c r="AP2205" s="1"/>
      <c r="AQ2205" s="1"/>
      <c r="AR2205" s="1"/>
      <c r="AS2205" s="1"/>
      <c r="AT2205" s="1"/>
      <c r="AU2205" s="1"/>
      <c r="AV2205" s="1"/>
      <c r="AW2205" s="1"/>
      <c r="AX2205" s="1"/>
      <c r="AY2205" s="1"/>
      <c r="AZ2205" s="1"/>
      <c r="BA2205" s="1"/>
      <c r="BB2205" s="1"/>
      <c r="BC2205" s="1"/>
      <c r="BD2205" s="1"/>
      <c r="BE2205" s="1"/>
      <c r="BF2205" s="1"/>
      <c r="BG2205" s="1"/>
      <c r="BH2205" s="1"/>
      <c r="BI2205" s="1"/>
      <c r="BJ2205" s="1"/>
      <c r="BK2205" s="1"/>
      <c r="BL2205" s="1"/>
      <c r="BM2205" s="1"/>
      <c r="BN2205" s="1"/>
      <c r="BO2205" s="1"/>
      <c r="BP2205" s="1"/>
      <c r="BQ2205" s="1"/>
      <c r="BR2205" s="1"/>
      <c r="BS2205" s="1"/>
      <c r="BT2205" s="1"/>
      <c r="BU2205" s="1"/>
      <c r="BV2205" s="1"/>
      <c r="BW2205" s="1"/>
      <c r="BX2205" s="1"/>
      <c r="BY2205" s="1"/>
      <c r="BZ2205" s="1"/>
      <c r="CA2205" s="1"/>
      <c r="CB2205" s="1"/>
      <c r="CC2205" s="1"/>
      <c r="CD2205" s="1"/>
      <c r="CE2205" s="1"/>
      <c r="CF2205" s="1"/>
      <c r="CG2205" s="1"/>
      <c r="CH2205" s="1"/>
      <c r="CI2205" s="1"/>
      <c r="CJ2205" s="1"/>
      <c r="CK2205" s="1"/>
      <c r="CL2205" s="1"/>
      <c r="CM2205" s="1"/>
      <c r="CN2205" s="1"/>
      <c r="CO2205" s="1"/>
      <c r="CP2205" s="1"/>
      <c r="CQ2205" s="1"/>
      <c r="CR2205" s="1"/>
      <c r="CS2205" s="1"/>
      <c r="CT2205" s="1"/>
      <c r="CU2205" s="1"/>
      <c r="CV2205" s="1"/>
      <c r="CW2205" s="1"/>
      <c r="CX2205" s="1"/>
      <c r="CY2205" s="1"/>
      <c r="CZ2205" s="1"/>
      <c r="DA2205" s="1"/>
      <c r="DB2205" s="1"/>
      <c r="DC2205" s="1"/>
    </row>
    <row r="2206" spans="1:107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  <c r="AC2206" s="1"/>
      <c r="AD2206" s="1"/>
      <c r="AE2206" s="1"/>
      <c r="AF2206" s="1"/>
      <c r="AG2206" s="1"/>
      <c r="AH2206" s="1"/>
      <c r="AI2206" s="1"/>
      <c r="AJ2206" s="1"/>
      <c r="AK2206" s="1"/>
      <c r="AL2206" s="1"/>
      <c r="AM2206" s="1"/>
      <c r="AN2206" s="1"/>
      <c r="AO2206" s="1"/>
      <c r="AP2206" s="1"/>
      <c r="AQ2206" s="1"/>
      <c r="AR2206" s="1"/>
      <c r="AS2206" s="1"/>
      <c r="AT2206" s="1"/>
      <c r="AU2206" s="1"/>
      <c r="AV2206" s="1"/>
      <c r="AW2206" s="1"/>
      <c r="AX2206" s="1"/>
      <c r="AY2206" s="1"/>
      <c r="AZ2206" s="1"/>
      <c r="BA2206" s="1"/>
      <c r="BB2206" s="1"/>
      <c r="BC2206" s="1"/>
      <c r="BD2206" s="1"/>
      <c r="BE2206" s="1"/>
      <c r="BF2206" s="1"/>
      <c r="BG2206" s="1"/>
      <c r="BH2206" s="1"/>
      <c r="BI2206" s="1"/>
      <c r="BJ2206" s="1"/>
      <c r="BK2206" s="1"/>
      <c r="BL2206" s="1"/>
      <c r="BM2206" s="1"/>
      <c r="BN2206" s="1"/>
      <c r="BO2206" s="1"/>
      <c r="BP2206" s="1"/>
      <c r="BQ2206" s="1"/>
      <c r="BR2206" s="1"/>
      <c r="BS2206" s="1"/>
      <c r="BT2206" s="1"/>
      <c r="BU2206" s="1"/>
      <c r="BV2206" s="1"/>
      <c r="BW2206" s="1"/>
      <c r="BX2206" s="1"/>
      <c r="BY2206" s="1"/>
      <c r="BZ2206" s="1"/>
      <c r="CA2206" s="1"/>
      <c r="CB2206" s="1"/>
      <c r="CC2206" s="1"/>
      <c r="CD2206" s="1"/>
      <c r="CE2206" s="1"/>
      <c r="CF2206" s="1"/>
      <c r="CG2206" s="1"/>
      <c r="CH2206" s="1"/>
      <c r="CI2206" s="1"/>
      <c r="CJ2206" s="1"/>
      <c r="CK2206" s="1"/>
      <c r="CL2206" s="1"/>
      <c r="CM2206" s="1"/>
      <c r="CN2206" s="1"/>
      <c r="CO2206" s="1"/>
      <c r="CP2206" s="1"/>
      <c r="CQ2206" s="1"/>
      <c r="CR2206" s="1"/>
      <c r="CS2206" s="1"/>
      <c r="CT2206" s="1"/>
      <c r="CU2206" s="1"/>
      <c r="CV2206" s="1"/>
      <c r="CW2206" s="1"/>
      <c r="CX2206" s="1"/>
      <c r="CY2206" s="1"/>
      <c r="CZ2206" s="1"/>
      <c r="DA2206" s="1"/>
      <c r="DB2206" s="1"/>
      <c r="DC2206" s="1"/>
    </row>
    <row r="2207" spans="1:107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  <c r="AC2207" s="1"/>
      <c r="AD2207" s="1"/>
      <c r="AE2207" s="1"/>
      <c r="AF2207" s="1"/>
      <c r="AG2207" s="1"/>
      <c r="AH2207" s="1"/>
      <c r="AI2207" s="1"/>
      <c r="AJ2207" s="1"/>
      <c r="AK2207" s="1"/>
      <c r="AL2207" s="1"/>
      <c r="AM2207" s="1"/>
      <c r="AN2207" s="1"/>
      <c r="AO2207" s="1"/>
      <c r="AP2207" s="1"/>
      <c r="AQ2207" s="1"/>
      <c r="AR2207" s="1"/>
      <c r="AS2207" s="1"/>
      <c r="AT2207" s="1"/>
      <c r="AU2207" s="1"/>
      <c r="AV2207" s="1"/>
      <c r="AW2207" s="1"/>
      <c r="AX2207" s="1"/>
      <c r="AY2207" s="1"/>
      <c r="AZ2207" s="1"/>
      <c r="BA2207" s="1"/>
      <c r="BB2207" s="1"/>
      <c r="BC2207" s="1"/>
      <c r="BD2207" s="1"/>
      <c r="BE2207" s="1"/>
      <c r="BF2207" s="1"/>
      <c r="BG2207" s="1"/>
      <c r="BH2207" s="1"/>
      <c r="BI2207" s="1"/>
      <c r="BJ2207" s="1"/>
      <c r="BK2207" s="1"/>
      <c r="BL2207" s="1"/>
      <c r="BM2207" s="1"/>
      <c r="BN2207" s="1"/>
      <c r="BO2207" s="1"/>
      <c r="BP2207" s="1"/>
      <c r="BQ2207" s="1"/>
      <c r="BR2207" s="1"/>
      <c r="BS2207" s="1"/>
      <c r="BT2207" s="1"/>
      <c r="BU2207" s="1"/>
      <c r="BV2207" s="1"/>
      <c r="BW2207" s="1"/>
      <c r="BX2207" s="1"/>
      <c r="BY2207" s="1"/>
      <c r="BZ2207" s="1"/>
      <c r="CA2207" s="1"/>
      <c r="CB2207" s="1"/>
      <c r="CC2207" s="1"/>
      <c r="CD2207" s="1"/>
      <c r="CE2207" s="1"/>
      <c r="CF2207" s="1"/>
      <c r="CG2207" s="1"/>
      <c r="CH2207" s="1"/>
      <c r="CI2207" s="1"/>
      <c r="CJ2207" s="1"/>
      <c r="CK2207" s="1"/>
      <c r="CL2207" s="1"/>
      <c r="CM2207" s="1"/>
      <c r="CN2207" s="1"/>
      <c r="CO2207" s="1"/>
      <c r="CP2207" s="1"/>
      <c r="CQ2207" s="1"/>
      <c r="CR2207" s="1"/>
      <c r="CS2207" s="1"/>
      <c r="CT2207" s="1"/>
      <c r="CU2207" s="1"/>
      <c r="CV2207" s="1"/>
      <c r="CW2207" s="1"/>
      <c r="CX2207" s="1"/>
      <c r="CY2207" s="1"/>
      <c r="CZ2207" s="1"/>
      <c r="DA2207" s="1"/>
      <c r="DB2207" s="1"/>
      <c r="DC2207" s="1"/>
    </row>
    <row r="2208" spans="1:107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1"/>
      <c r="AD2208" s="1"/>
      <c r="AE2208" s="1"/>
      <c r="AF2208" s="1"/>
      <c r="AG2208" s="1"/>
      <c r="AH2208" s="1"/>
      <c r="AI2208" s="1"/>
      <c r="AJ2208" s="1"/>
      <c r="AK2208" s="1"/>
      <c r="AL2208" s="1"/>
      <c r="AM2208" s="1"/>
      <c r="AN2208" s="1"/>
      <c r="AO2208" s="1"/>
      <c r="AP2208" s="1"/>
      <c r="AQ2208" s="1"/>
      <c r="AR2208" s="1"/>
      <c r="AS2208" s="1"/>
      <c r="AT2208" s="1"/>
      <c r="AU2208" s="1"/>
      <c r="AV2208" s="1"/>
      <c r="AW2208" s="1"/>
      <c r="AX2208" s="1"/>
      <c r="AY2208" s="1"/>
      <c r="AZ2208" s="1"/>
      <c r="BA2208" s="1"/>
      <c r="BB2208" s="1"/>
      <c r="BC2208" s="1"/>
      <c r="BD2208" s="1"/>
      <c r="BE2208" s="1"/>
      <c r="BF2208" s="1"/>
      <c r="BG2208" s="1"/>
      <c r="BH2208" s="1"/>
      <c r="BI2208" s="1"/>
      <c r="BJ2208" s="1"/>
      <c r="BK2208" s="1"/>
      <c r="BL2208" s="1"/>
      <c r="BM2208" s="1"/>
      <c r="BN2208" s="1"/>
      <c r="BO2208" s="1"/>
      <c r="BP2208" s="1"/>
      <c r="BQ2208" s="1"/>
      <c r="BR2208" s="1"/>
      <c r="BS2208" s="1"/>
      <c r="BT2208" s="1"/>
      <c r="BU2208" s="1"/>
      <c r="BV2208" s="1"/>
      <c r="BW2208" s="1"/>
      <c r="BX2208" s="1"/>
      <c r="BY2208" s="1"/>
      <c r="BZ2208" s="1"/>
      <c r="CA2208" s="1"/>
      <c r="CB2208" s="1"/>
      <c r="CC2208" s="1"/>
      <c r="CD2208" s="1"/>
      <c r="CE2208" s="1"/>
      <c r="CF2208" s="1"/>
      <c r="CG2208" s="1"/>
      <c r="CH2208" s="1"/>
      <c r="CI2208" s="1"/>
      <c r="CJ2208" s="1"/>
      <c r="CK2208" s="1"/>
      <c r="CL2208" s="1"/>
      <c r="CM2208" s="1"/>
      <c r="CN2208" s="1"/>
      <c r="CO2208" s="1"/>
      <c r="CP2208" s="1"/>
      <c r="CQ2208" s="1"/>
      <c r="CR2208" s="1"/>
      <c r="CS2208" s="1"/>
      <c r="CT2208" s="1"/>
      <c r="CU2208" s="1"/>
      <c r="CV2208" s="1"/>
      <c r="CW2208" s="1"/>
      <c r="CX2208" s="1"/>
      <c r="CY2208" s="1"/>
      <c r="CZ2208" s="1"/>
      <c r="DA2208" s="1"/>
      <c r="DB2208" s="1"/>
      <c r="DC2208" s="1"/>
    </row>
    <row r="2209" spans="1:107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  <c r="AC2209" s="1"/>
      <c r="AD2209" s="1"/>
      <c r="AE2209" s="1"/>
      <c r="AF2209" s="1"/>
      <c r="AG2209" s="1"/>
      <c r="AH2209" s="1"/>
      <c r="AI2209" s="1"/>
      <c r="AJ2209" s="1"/>
      <c r="AK2209" s="1"/>
      <c r="AL2209" s="1"/>
      <c r="AM2209" s="1"/>
      <c r="AN2209" s="1"/>
      <c r="AO2209" s="1"/>
      <c r="AP2209" s="1"/>
      <c r="AQ2209" s="1"/>
      <c r="AR2209" s="1"/>
      <c r="AS2209" s="1"/>
      <c r="AT2209" s="1"/>
      <c r="AU2209" s="1"/>
      <c r="AV2209" s="1"/>
      <c r="AW2209" s="1"/>
      <c r="AX2209" s="1"/>
      <c r="AY2209" s="1"/>
      <c r="AZ2209" s="1"/>
      <c r="BA2209" s="1"/>
      <c r="BB2209" s="1"/>
      <c r="BC2209" s="1"/>
      <c r="BD2209" s="1"/>
      <c r="BE2209" s="1"/>
      <c r="BF2209" s="1"/>
      <c r="BG2209" s="1"/>
      <c r="BH2209" s="1"/>
      <c r="BI2209" s="1"/>
      <c r="BJ2209" s="1"/>
      <c r="BK2209" s="1"/>
      <c r="BL2209" s="1"/>
      <c r="BM2209" s="1"/>
      <c r="BN2209" s="1"/>
      <c r="BO2209" s="1"/>
      <c r="BP2209" s="1"/>
      <c r="BQ2209" s="1"/>
      <c r="BR2209" s="1"/>
      <c r="BS2209" s="1"/>
      <c r="BT2209" s="1"/>
      <c r="BU2209" s="1"/>
      <c r="BV2209" s="1"/>
      <c r="BW2209" s="1"/>
      <c r="BX2209" s="1"/>
      <c r="BY2209" s="1"/>
      <c r="BZ2209" s="1"/>
      <c r="CA2209" s="1"/>
      <c r="CB2209" s="1"/>
      <c r="CC2209" s="1"/>
      <c r="CD2209" s="1"/>
      <c r="CE2209" s="1"/>
      <c r="CF2209" s="1"/>
      <c r="CG2209" s="1"/>
      <c r="CH2209" s="1"/>
      <c r="CI2209" s="1"/>
      <c r="CJ2209" s="1"/>
      <c r="CK2209" s="1"/>
      <c r="CL2209" s="1"/>
      <c r="CM2209" s="1"/>
      <c r="CN2209" s="1"/>
      <c r="CO2209" s="1"/>
      <c r="CP2209" s="1"/>
      <c r="CQ2209" s="1"/>
      <c r="CR2209" s="1"/>
      <c r="CS2209" s="1"/>
      <c r="CT2209" s="1"/>
      <c r="CU2209" s="1"/>
      <c r="CV2209" s="1"/>
      <c r="CW2209" s="1"/>
      <c r="CX2209" s="1"/>
      <c r="CY2209" s="1"/>
      <c r="CZ2209" s="1"/>
      <c r="DA2209" s="1"/>
      <c r="DB2209" s="1"/>
      <c r="DC2209" s="1"/>
    </row>
    <row r="2210" spans="1:107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  <c r="AC2210" s="1"/>
      <c r="AD2210" s="1"/>
      <c r="AE2210" s="1"/>
      <c r="AF2210" s="1"/>
      <c r="AG2210" s="1"/>
      <c r="AH2210" s="1"/>
      <c r="AI2210" s="1"/>
      <c r="AJ2210" s="1"/>
      <c r="AK2210" s="1"/>
      <c r="AL2210" s="1"/>
      <c r="AM2210" s="1"/>
      <c r="AN2210" s="1"/>
      <c r="AO2210" s="1"/>
      <c r="AP2210" s="1"/>
      <c r="AQ2210" s="1"/>
      <c r="AR2210" s="1"/>
      <c r="AS2210" s="1"/>
      <c r="AT2210" s="1"/>
      <c r="AU2210" s="1"/>
      <c r="AV2210" s="1"/>
      <c r="AW2210" s="1"/>
      <c r="AX2210" s="1"/>
      <c r="AY2210" s="1"/>
      <c r="AZ2210" s="1"/>
      <c r="BA2210" s="1"/>
      <c r="BB2210" s="1"/>
      <c r="BC2210" s="1"/>
      <c r="BD2210" s="1"/>
      <c r="BE2210" s="1"/>
      <c r="BF2210" s="1"/>
      <c r="BG2210" s="1"/>
      <c r="BH2210" s="1"/>
      <c r="BI2210" s="1"/>
      <c r="BJ2210" s="1"/>
      <c r="BK2210" s="1"/>
      <c r="BL2210" s="1"/>
      <c r="BM2210" s="1"/>
      <c r="BN2210" s="1"/>
      <c r="BO2210" s="1"/>
      <c r="BP2210" s="1"/>
      <c r="BQ2210" s="1"/>
      <c r="BR2210" s="1"/>
      <c r="BS2210" s="1"/>
      <c r="BT2210" s="1"/>
      <c r="BU2210" s="1"/>
      <c r="BV2210" s="1"/>
      <c r="BW2210" s="1"/>
      <c r="BX2210" s="1"/>
      <c r="BY2210" s="1"/>
      <c r="BZ2210" s="1"/>
      <c r="CA2210" s="1"/>
      <c r="CB2210" s="1"/>
      <c r="CC2210" s="1"/>
      <c r="CD2210" s="1"/>
      <c r="CE2210" s="1"/>
      <c r="CF2210" s="1"/>
      <c r="CG2210" s="1"/>
      <c r="CH2210" s="1"/>
      <c r="CI2210" s="1"/>
      <c r="CJ2210" s="1"/>
      <c r="CK2210" s="1"/>
      <c r="CL2210" s="1"/>
      <c r="CM2210" s="1"/>
      <c r="CN2210" s="1"/>
      <c r="CO2210" s="1"/>
      <c r="CP2210" s="1"/>
      <c r="CQ2210" s="1"/>
      <c r="CR2210" s="1"/>
      <c r="CS2210" s="1"/>
      <c r="CT2210" s="1"/>
      <c r="CU2210" s="1"/>
      <c r="CV2210" s="1"/>
      <c r="CW2210" s="1"/>
      <c r="CX2210" s="1"/>
      <c r="CY2210" s="1"/>
      <c r="CZ2210" s="1"/>
      <c r="DA2210" s="1"/>
      <c r="DB2210" s="1"/>
      <c r="DC2210" s="1"/>
    </row>
    <row r="2211" spans="1:107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  <c r="AC2211" s="1"/>
      <c r="AD2211" s="1"/>
      <c r="AE2211" s="1"/>
      <c r="AF2211" s="1"/>
      <c r="AG2211" s="1"/>
      <c r="AH2211" s="1"/>
      <c r="AI2211" s="1"/>
      <c r="AJ2211" s="1"/>
      <c r="AK2211" s="1"/>
      <c r="AL2211" s="1"/>
      <c r="AM2211" s="1"/>
      <c r="AN2211" s="1"/>
      <c r="AO2211" s="1"/>
      <c r="AP2211" s="1"/>
      <c r="AQ2211" s="1"/>
      <c r="AR2211" s="1"/>
      <c r="AS2211" s="1"/>
      <c r="AT2211" s="1"/>
      <c r="AU2211" s="1"/>
      <c r="AV2211" s="1"/>
      <c r="AW2211" s="1"/>
      <c r="AX2211" s="1"/>
      <c r="AY2211" s="1"/>
      <c r="AZ2211" s="1"/>
      <c r="BA2211" s="1"/>
      <c r="BB2211" s="1"/>
      <c r="BC2211" s="1"/>
      <c r="BD2211" s="1"/>
      <c r="BE2211" s="1"/>
      <c r="BF2211" s="1"/>
      <c r="BG2211" s="1"/>
      <c r="BH2211" s="1"/>
      <c r="BI2211" s="1"/>
      <c r="BJ2211" s="1"/>
      <c r="BK2211" s="1"/>
      <c r="BL2211" s="1"/>
      <c r="BM2211" s="1"/>
      <c r="BN2211" s="1"/>
      <c r="BO2211" s="1"/>
      <c r="BP2211" s="1"/>
      <c r="BQ2211" s="1"/>
      <c r="BR2211" s="1"/>
      <c r="BS2211" s="1"/>
      <c r="BT2211" s="1"/>
      <c r="BU2211" s="1"/>
      <c r="BV2211" s="1"/>
      <c r="BW2211" s="1"/>
      <c r="BX2211" s="1"/>
      <c r="BY2211" s="1"/>
      <c r="BZ2211" s="1"/>
      <c r="CA2211" s="1"/>
      <c r="CB2211" s="1"/>
      <c r="CC2211" s="1"/>
      <c r="CD2211" s="1"/>
      <c r="CE2211" s="1"/>
      <c r="CF2211" s="1"/>
      <c r="CG2211" s="1"/>
      <c r="CH2211" s="1"/>
      <c r="CI2211" s="1"/>
      <c r="CJ2211" s="1"/>
      <c r="CK2211" s="1"/>
      <c r="CL2211" s="1"/>
      <c r="CM2211" s="1"/>
      <c r="CN2211" s="1"/>
      <c r="CO2211" s="1"/>
      <c r="CP2211" s="1"/>
      <c r="CQ2211" s="1"/>
      <c r="CR2211" s="1"/>
      <c r="CS2211" s="1"/>
      <c r="CT2211" s="1"/>
      <c r="CU2211" s="1"/>
      <c r="CV2211" s="1"/>
      <c r="CW2211" s="1"/>
      <c r="CX2211" s="1"/>
      <c r="CY2211" s="1"/>
      <c r="CZ2211" s="1"/>
      <c r="DA2211" s="1"/>
      <c r="DB2211" s="1"/>
      <c r="DC2211" s="1"/>
    </row>
    <row r="2212" spans="1:107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  <c r="AC2212" s="1"/>
      <c r="AD2212" s="1"/>
      <c r="AE2212" s="1"/>
      <c r="AF2212" s="1"/>
      <c r="AG2212" s="1"/>
      <c r="AH2212" s="1"/>
      <c r="AI2212" s="1"/>
      <c r="AJ2212" s="1"/>
      <c r="AK2212" s="1"/>
      <c r="AL2212" s="1"/>
      <c r="AM2212" s="1"/>
      <c r="AN2212" s="1"/>
      <c r="AO2212" s="1"/>
      <c r="AP2212" s="1"/>
      <c r="AQ2212" s="1"/>
      <c r="AR2212" s="1"/>
      <c r="AS2212" s="1"/>
      <c r="AT2212" s="1"/>
      <c r="AU2212" s="1"/>
      <c r="AV2212" s="1"/>
      <c r="AW2212" s="1"/>
      <c r="AX2212" s="1"/>
      <c r="AY2212" s="1"/>
      <c r="AZ2212" s="1"/>
      <c r="BA2212" s="1"/>
      <c r="BB2212" s="1"/>
      <c r="BC2212" s="1"/>
      <c r="BD2212" s="1"/>
      <c r="BE2212" s="1"/>
      <c r="BF2212" s="1"/>
      <c r="BG2212" s="1"/>
      <c r="BH2212" s="1"/>
      <c r="BI2212" s="1"/>
      <c r="BJ2212" s="1"/>
      <c r="BK2212" s="1"/>
      <c r="BL2212" s="1"/>
      <c r="BM2212" s="1"/>
      <c r="BN2212" s="1"/>
      <c r="BO2212" s="1"/>
      <c r="BP2212" s="1"/>
      <c r="BQ2212" s="1"/>
      <c r="BR2212" s="1"/>
      <c r="BS2212" s="1"/>
      <c r="BT2212" s="1"/>
      <c r="BU2212" s="1"/>
      <c r="BV2212" s="1"/>
      <c r="BW2212" s="1"/>
      <c r="BX2212" s="1"/>
      <c r="BY2212" s="1"/>
      <c r="BZ2212" s="1"/>
      <c r="CA2212" s="1"/>
      <c r="CB2212" s="1"/>
      <c r="CC2212" s="1"/>
      <c r="CD2212" s="1"/>
      <c r="CE2212" s="1"/>
      <c r="CF2212" s="1"/>
      <c r="CG2212" s="1"/>
      <c r="CH2212" s="1"/>
      <c r="CI2212" s="1"/>
      <c r="CJ2212" s="1"/>
      <c r="CK2212" s="1"/>
      <c r="CL2212" s="1"/>
      <c r="CM2212" s="1"/>
      <c r="CN2212" s="1"/>
      <c r="CO2212" s="1"/>
      <c r="CP2212" s="1"/>
      <c r="CQ2212" s="1"/>
      <c r="CR2212" s="1"/>
      <c r="CS2212" s="1"/>
      <c r="CT2212" s="1"/>
      <c r="CU2212" s="1"/>
      <c r="CV2212" s="1"/>
      <c r="CW2212" s="1"/>
      <c r="CX2212" s="1"/>
      <c r="CY2212" s="1"/>
      <c r="CZ2212" s="1"/>
      <c r="DA2212" s="1"/>
      <c r="DB2212" s="1"/>
      <c r="DC2212" s="1"/>
    </row>
    <row r="2213" spans="1:107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  <c r="AC2213" s="1"/>
      <c r="AD2213" s="1"/>
      <c r="AE2213" s="1"/>
      <c r="AF2213" s="1"/>
      <c r="AG2213" s="1"/>
      <c r="AH2213" s="1"/>
      <c r="AI2213" s="1"/>
      <c r="AJ2213" s="1"/>
      <c r="AK2213" s="1"/>
      <c r="AL2213" s="1"/>
      <c r="AM2213" s="1"/>
      <c r="AN2213" s="1"/>
      <c r="AO2213" s="1"/>
      <c r="AP2213" s="1"/>
      <c r="AQ2213" s="1"/>
      <c r="AR2213" s="1"/>
      <c r="AS2213" s="1"/>
      <c r="AT2213" s="1"/>
      <c r="AU2213" s="1"/>
      <c r="AV2213" s="1"/>
      <c r="AW2213" s="1"/>
      <c r="AX2213" s="1"/>
      <c r="AY2213" s="1"/>
      <c r="AZ2213" s="1"/>
      <c r="BA2213" s="1"/>
      <c r="BB2213" s="1"/>
      <c r="BC2213" s="1"/>
      <c r="BD2213" s="1"/>
      <c r="BE2213" s="1"/>
      <c r="BF2213" s="1"/>
      <c r="BG2213" s="1"/>
      <c r="BH2213" s="1"/>
      <c r="BI2213" s="1"/>
      <c r="BJ2213" s="1"/>
      <c r="BK2213" s="1"/>
      <c r="BL2213" s="1"/>
      <c r="BM2213" s="1"/>
      <c r="BN2213" s="1"/>
      <c r="BO2213" s="1"/>
      <c r="BP2213" s="1"/>
      <c r="BQ2213" s="1"/>
      <c r="BR2213" s="1"/>
      <c r="BS2213" s="1"/>
      <c r="BT2213" s="1"/>
      <c r="BU2213" s="1"/>
      <c r="BV2213" s="1"/>
      <c r="BW2213" s="1"/>
      <c r="BX2213" s="1"/>
      <c r="BY2213" s="1"/>
      <c r="BZ2213" s="1"/>
      <c r="CA2213" s="1"/>
      <c r="CB2213" s="1"/>
      <c r="CC2213" s="1"/>
      <c r="CD2213" s="1"/>
      <c r="CE2213" s="1"/>
      <c r="CF2213" s="1"/>
      <c r="CG2213" s="1"/>
      <c r="CH2213" s="1"/>
      <c r="CI2213" s="1"/>
      <c r="CJ2213" s="1"/>
      <c r="CK2213" s="1"/>
      <c r="CL2213" s="1"/>
      <c r="CM2213" s="1"/>
      <c r="CN2213" s="1"/>
      <c r="CO2213" s="1"/>
      <c r="CP2213" s="1"/>
      <c r="CQ2213" s="1"/>
      <c r="CR2213" s="1"/>
      <c r="CS2213" s="1"/>
      <c r="CT2213" s="1"/>
      <c r="CU2213" s="1"/>
      <c r="CV2213" s="1"/>
      <c r="CW2213" s="1"/>
      <c r="CX2213" s="1"/>
      <c r="CY2213" s="1"/>
      <c r="CZ2213" s="1"/>
      <c r="DA2213" s="1"/>
      <c r="DB2213" s="1"/>
      <c r="DC2213" s="1"/>
    </row>
    <row r="2214" spans="1:107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  <c r="AC2214" s="1"/>
      <c r="AD2214" s="1"/>
      <c r="AE2214" s="1"/>
      <c r="AF2214" s="1"/>
      <c r="AG2214" s="1"/>
      <c r="AH2214" s="1"/>
      <c r="AI2214" s="1"/>
      <c r="AJ2214" s="1"/>
      <c r="AK2214" s="1"/>
      <c r="AL2214" s="1"/>
      <c r="AM2214" s="1"/>
      <c r="AN2214" s="1"/>
      <c r="AO2214" s="1"/>
      <c r="AP2214" s="1"/>
      <c r="AQ2214" s="1"/>
      <c r="AR2214" s="1"/>
      <c r="AS2214" s="1"/>
      <c r="AT2214" s="1"/>
      <c r="AU2214" s="1"/>
      <c r="AV2214" s="1"/>
      <c r="AW2214" s="1"/>
      <c r="AX2214" s="1"/>
      <c r="AY2214" s="1"/>
      <c r="AZ2214" s="1"/>
      <c r="BA2214" s="1"/>
      <c r="BB2214" s="1"/>
      <c r="BC2214" s="1"/>
      <c r="BD2214" s="1"/>
      <c r="BE2214" s="1"/>
      <c r="BF2214" s="1"/>
      <c r="BG2214" s="1"/>
      <c r="BH2214" s="1"/>
      <c r="BI2214" s="1"/>
      <c r="BJ2214" s="1"/>
      <c r="BK2214" s="1"/>
      <c r="BL2214" s="1"/>
      <c r="BM2214" s="1"/>
      <c r="BN2214" s="1"/>
      <c r="BO2214" s="1"/>
      <c r="BP2214" s="1"/>
      <c r="BQ2214" s="1"/>
      <c r="BR2214" s="1"/>
      <c r="BS2214" s="1"/>
      <c r="BT2214" s="1"/>
      <c r="BU2214" s="1"/>
      <c r="BV2214" s="1"/>
      <c r="BW2214" s="1"/>
      <c r="BX2214" s="1"/>
      <c r="BY2214" s="1"/>
      <c r="BZ2214" s="1"/>
      <c r="CA2214" s="1"/>
      <c r="CB2214" s="1"/>
      <c r="CC2214" s="1"/>
      <c r="CD2214" s="1"/>
      <c r="CE2214" s="1"/>
      <c r="CF2214" s="1"/>
      <c r="CG2214" s="1"/>
      <c r="CH2214" s="1"/>
      <c r="CI2214" s="1"/>
      <c r="CJ2214" s="1"/>
      <c r="CK2214" s="1"/>
      <c r="CL2214" s="1"/>
      <c r="CM2214" s="1"/>
      <c r="CN2214" s="1"/>
      <c r="CO2214" s="1"/>
      <c r="CP2214" s="1"/>
      <c r="CQ2214" s="1"/>
      <c r="CR2214" s="1"/>
      <c r="CS2214" s="1"/>
      <c r="CT2214" s="1"/>
      <c r="CU2214" s="1"/>
      <c r="CV2214" s="1"/>
      <c r="CW2214" s="1"/>
      <c r="CX2214" s="1"/>
      <c r="CY2214" s="1"/>
      <c r="CZ2214" s="1"/>
      <c r="DA2214" s="1"/>
      <c r="DB2214" s="1"/>
      <c r="DC2214" s="1"/>
    </row>
    <row r="2215" spans="1:107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  <c r="AC2215" s="1"/>
      <c r="AD2215" s="1"/>
      <c r="AE2215" s="1"/>
      <c r="AF2215" s="1"/>
      <c r="AG2215" s="1"/>
      <c r="AH2215" s="1"/>
      <c r="AI2215" s="1"/>
      <c r="AJ2215" s="1"/>
      <c r="AK2215" s="1"/>
      <c r="AL2215" s="1"/>
      <c r="AM2215" s="1"/>
      <c r="AN2215" s="1"/>
      <c r="AO2215" s="1"/>
      <c r="AP2215" s="1"/>
      <c r="AQ2215" s="1"/>
      <c r="AR2215" s="1"/>
      <c r="AS2215" s="1"/>
      <c r="AT2215" s="1"/>
      <c r="AU2215" s="1"/>
      <c r="AV2215" s="1"/>
      <c r="AW2215" s="1"/>
      <c r="AX2215" s="1"/>
      <c r="AY2215" s="1"/>
      <c r="AZ2215" s="1"/>
      <c r="BA2215" s="1"/>
      <c r="BB2215" s="1"/>
      <c r="BC2215" s="1"/>
      <c r="BD2215" s="1"/>
      <c r="BE2215" s="1"/>
      <c r="BF2215" s="1"/>
      <c r="BG2215" s="1"/>
      <c r="BH2215" s="1"/>
      <c r="BI2215" s="1"/>
      <c r="BJ2215" s="1"/>
      <c r="BK2215" s="1"/>
      <c r="BL2215" s="1"/>
      <c r="BM2215" s="1"/>
      <c r="BN2215" s="1"/>
      <c r="BO2215" s="1"/>
      <c r="BP2215" s="1"/>
      <c r="BQ2215" s="1"/>
      <c r="BR2215" s="1"/>
      <c r="BS2215" s="1"/>
      <c r="BT2215" s="1"/>
      <c r="BU2215" s="1"/>
      <c r="BV2215" s="1"/>
      <c r="BW2215" s="1"/>
      <c r="BX2215" s="1"/>
      <c r="BY2215" s="1"/>
      <c r="BZ2215" s="1"/>
      <c r="CA2215" s="1"/>
      <c r="CB2215" s="1"/>
      <c r="CC2215" s="1"/>
      <c r="CD2215" s="1"/>
      <c r="CE2215" s="1"/>
      <c r="CF2215" s="1"/>
      <c r="CG2215" s="1"/>
      <c r="CH2215" s="1"/>
      <c r="CI2215" s="1"/>
      <c r="CJ2215" s="1"/>
      <c r="CK2215" s="1"/>
      <c r="CL2215" s="1"/>
      <c r="CM2215" s="1"/>
      <c r="CN2215" s="1"/>
      <c r="CO2215" s="1"/>
      <c r="CP2215" s="1"/>
      <c r="CQ2215" s="1"/>
      <c r="CR2215" s="1"/>
      <c r="CS2215" s="1"/>
      <c r="CT2215" s="1"/>
      <c r="CU2215" s="1"/>
      <c r="CV2215" s="1"/>
      <c r="CW2215" s="1"/>
      <c r="CX2215" s="1"/>
      <c r="CY2215" s="1"/>
      <c r="CZ2215" s="1"/>
      <c r="DA2215" s="1"/>
      <c r="DB2215" s="1"/>
      <c r="DC2215" s="1"/>
    </row>
    <row r="2216" spans="1:107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1"/>
      <c r="AD2216" s="1"/>
      <c r="AE2216" s="1"/>
      <c r="AF2216" s="1"/>
      <c r="AG2216" s="1"/>
      <c r="AH2216" s="1"/>
      <c r="AI2216" s="1"/>
      <c r="AJ2216" s="1"/>
      <c r="AK2216" s="1"/>
      <c r="AL2216" s="1"/>
      <c r="AM2216" s="1"/>
      <c r="AN2216" s="1"/>
      <c r="AO2216" s="1"/>
      <c r="AP2216" s="1"/>
      <c r="AQ2216" s="1"/>
      <c r="AR2216" s="1"/>
      <c r="AS2216" s="1"/>
      <c r="AT2216" s="1"/>
      <c r="AU2216" s="1"/>
      <c r="AV2216" s="1"/>
      <c r="AW2216" s="1"/>
      <c r="AX2216" s="1"/>
      <c r="AY2216" s="1"/>
      <c r="AZ2216" s="1"/>
      <c r="BA2216" s="1"/>
      <c r="BB2216" s="1"/>
      <c r="BC2216" s="1"/>
      <c r="BD2216" s="1"/>
      <c r="BE2216" s="1"/>
      <c r="BF2216" s="1"/>
      <c r="BG2216" s="1"/>
      <c r="BH2216" s="1"/>
      <c r="BI2216" s="1"/>
      <c r="BJ2216" s="1"/>
      <c r="BK2216" s="1"/>
      <c r="BL2216" s="1"/>
      <c r="BM2216" s="1"/>
      <c r="BN2216" s="1"/>
      <c r="BO2216" s="1"/>
      <c r="BP2216" s="1"/>
      <c r="BQ2216" s="1"/>
      <c r="BR2216" s="1"/>
      <c r="BS2216" s="1"/>
      <c r="BT2216" s="1"/>
      <c r="BU2216" s="1"/>
      <c r="BV2216" s="1"/>
      <c r="BW2216" s="1"/>
      <c r="BX2216" s="1"/>
      <c r="BY2216" s="1"/>
      <c r="BZ2216" s="1"/>
      <c r="CA2216" s="1"/>
      <c r="CB2216" s="1"/>
      <c r="CC2216" s="1"/>
      <c r="CD2216" s="1"/>
      <c r="CE2216" s="1"/>
      <c r="CF2216" s="1"/>
      <c r="CG2216" s="1"/>
      <c r="CH2216" s="1"/>
      <c r="CI2216" s="1"/>
      <c r="CJ2216" s="1"/>
      <c r="CK2216" s="1"/>
      <c r="CL2216" s="1"/>
      <c r="CM2216" s="1"/>
      <c r="CN2216" s="1"/>
      <c r="CO2216" s="1"/>
      <c r="CP2216" s="1"/>
      <c r="CQ2216" s="1"/>
      <c r="CR2216" s="1"/>
      <c r="CS2216" s="1"/>
      <c r="CT2216" s="1"/>
      <c r="CU2216" s="1"/>
      <c r="CV2216" s="1"/>
      <c r="CW2216" s="1"/>
      <c r="CX2216" s="1"/>
      <c r="CY2216" s="1"/>
      <c r="CZ2216" s="1"/>
      <c r="DA2216" s="1"/>
      <c r="DB2216" s="1"/>
      <c r="DC2216" s="1"/>
    </row>
    <row r="2217" spans="1:107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  <c r="AD2217" s="1"/>
      <c r="AE2217" s="1"/>
      <c r="AF2217" s="1"/>
      <c r="AG2217" s="1"/>
      <c r="AH2217" s="1"/>
      <c r="AI2217" s="1"/>
      <c r="AJ2217" s="1"/>
      <c r="AK2217" s="1"/>
      <c r="AL2217" s="1"/>
      <c r="AM2217" s="1"/>
      <c r="AN2217" s="1"/>
      <c r="AO2217" s="1"/>
      <c r="AP2217" s="1"/>
      <c r="AQ2217" s="1"/>
      <c r="AR2217" s="1"/>
      <c r="AS2217" s="1"/>
      <c r="AT2217" s="1"/>
      <c r="AU2217" s="1"/>
      <c r="AV2217" s="1"/>
      <c r="AW2217" s="1"/>
      <c r="AX2217" s="1"/>
      <c r="AY2217" s="1"/>
      <c r="AZ2217" s="1"/>
      <c r="BA2217" s="1"/>
      <c r="BB2217" s="1"/>
      <c r="BC2217" s="1"/>
      <c r="BD2217" s="1"/>
      <c r="BE2217" s="1"/>
      <c r="BF2217" s="1"/>
      <c r="BG2217" s="1"/>
      <c r="BH2217" s="1"/>
      <c r="BI2217" s="1"/>
      <c r="BJ2217" s="1"/>
      <c r="BK2217" s="1"/>
      <c r="BL2217" s="1"/>
      <c r="BM2217" s="1"/>
      <c r="BN2217" s="1"/>
      <c r="BO2217" s="1"/>
      <c r="BP2217" s="1"/>
      <c r="BQ2217" s="1"/>
      <c r="BR2217" s="1"/>
      <c r="BS2217" s="1"/>
      <c r="BT2217" s="1"/>
      <c r="BU2217" s="1"/>
      <c r="BV2217" s="1"/>
      <c r="BW2217" s="1"/>
      <c r="BX2217" s="1"/>
      <c r="BY2217" s="1"/>
      <c r="BZ2217" s="1"/>
      <c r="CA2217" s="1"/>
      <c r="CB2217" s="1"/>
      <c r="CC2217" s="1"/>
      <c r="CD2217" s="1"/>
      <c r="CE2217" s="1"/>
      <c r="CF2217" s="1"/>
      <c r="CG2217" s="1"/>
      <c r="CH2217" s="1"/>
      <c r="CI2217" s="1"/>
      <c r="CJ2217" s="1"/>
      <c r="CK2217" s="1"/>
      <c r="CL2217" s="1"/>
      <c r="CM2217" s="1"/>
      <c r="CN2217" s="1"/>
      <c r="CO2217" s="1"/>
      <c r="CP2217" s="1"/>
      <c r="CQ2217" s="1"/>
      <c r="CR2217" s="1"/>
      <c r="CS2217" s="1"/>
      <c r="CT2217" s="1"/>
      <c r="CU2217" s="1"/>
      <c r="CV2217" s="1"/>
      <c r="CW2217" s="1"/>
      <c r="CX2217" s="1"/>
      <c r="CY2217" s="1"/>
      <c r="CZ2217" s="1"/>
      <c r="DA2217" s="1"/>
      <c r="DB2217" s="1"/>
      <c r="DC2217" s="1"/>
    </row>
    <row r="2218" spans="1:107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  <c r="AC2218" s="1"/>
      <c r="AD2218" s="1"/>
      <c r="AE2218" s="1"/>
      <c r="AF2218" s="1"/>
      <c r="AG2218" s="1"/>
      <c r="AH2218" s="1"/>
      <c r="AI2218" s="1"/>
      <c r="AJ2218" s="1"/>
      <c r="AK2218" s="1"/>
      <c r="AL2218" s="1"/>
      <c r="AM2218" s="1"/>
      <c r="AN2218" s="1"/>
      <c r="AO2218" s="1"/>
      <c r="AP2218" s="1"/>
      <c r="AQ2218" s="1"/>
      <c r="AR2218" s="1"/>
      <c r="AS2218" s="1"/>
      <c r="AT2218" s="1"/>
      <c r="AU2218" s="1"/>
      <c r="AV2218" s="1"/>
      <c r="AW2218" s="1"/>
      <c r="AX2218" s="1"/>
      <c r="AY2218" s="1"/>
      <c r="AZ2218" s="1"/>
      <c r="BA2218" s="1"/>
      <c r="BB2218" s="1"/>
      <c r="BC2218" s="1"/>
      <c r="BD2218" s="1"/>
      <c r="BE2218" s="1"/>
      <c r="BF2218" s="1"/>
      <c r="BG2218" s="1"/>
      <c r="BH2218" s="1"/>
      <c r="BI2218" s="1"/>
      <c r="BJ2218" s="1"/>
      <c r="BK2218" s="1"/>
      <c r="BL2218" s="1"/>
      <c r="BM2218" s="1"/>
      <c r="BN2218" s="1"/>
      <c r="BO2218" s="1"/>
      <c r="BP2218" s="1"/>
      <c r="BQ2218" s="1"/>
      <c r="BR2218" s="1"/>
      <c r="BS2218" s="1"/>
      <c r="BT2218" s="1"/>
      <c r="BU2218" s="1"/>
      <c r="BV2218" s="1"/>
      <c r="BW2218" s="1"/>
      <c r="BX2218" s="1"/>
      <c r="BY2218" s="1"/>
      <c r="BZ2218" s="1"/>
      <c r="CA2218" s="1"/>
      <c r="CB2218" s="1"/>
      <c r="CC2218" s="1"/>
      <c r="CD2218" s="1"/>
      <c r="CE2218" s="1"/>
      <c r="CF2218" s="1"/>
      <c r="CG2218" s="1"/>
      <c r="CH2218" s="1"/>
      <c r="CI2218" s="1"/>
      <c r="CJ2218" s="1"/>
      <c r="CK2218" s="1"/>
      <c r="CL2218" s="1"/>
      <c r="CM2218" s="1"/>
      <c r="CN2218" s="1"/>
      <c r="CO2218" s="1"/>
      <c r="CP2218" s="1"/>
      <c r="CQ2218" s="1"/>
      <c r="CR2218" s="1"/>
      <c r="CS2218" s="1"/>
      <c r="CT2218" s="1"/>
      <c r="CU2218" s="1"/>
      <c r="CV2218" s="1"/>
      <c r="CW2218" s="1"/>
      <c r="CX2218" s="1"/>
      <c r="CY2218" s="1"/>
      <c r="CZ2218" s="1"/>
      <c r="DA2218" s="1"/>
      <c r="DB2218" s="1"/>
      <c r="DC2218" s="1"/>
    </row>
    <row r="2219" spans="1:107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1"/>
      <c r="AD2219" s="1"/>
      <c r="AE2219" s="1"/>
      <c r="AF2219" s="1"/>
      <c r="AG2219" s="1"/>
      <c r="AH2219" s="1"/>
      <c r="AI2219" s="1"/>
      <c r="AJ2219" s="1"/>
      <c r="AK2219" s="1"/>
      <c r="AL2219" s="1"/>
      <c r="AM2219" s="1"/>
      <c r="AN2219" s="1"/>
      <c r="AO2219" s="1"/>
      <c r="AP2219" s="1"/>
      <c r="AQ2219" s="1"/>
      <c r="AR2219" s="1"/>
      <c r="AS2219" s="1"/>
      <c r="AT2219" s="1"/>
      <c r="AU2219" s="1"/>
      <c r="AV2219" s="1"/>
      <c r="AW2219" s="1"/>
      <c r="AX2219" s="1"/>
      <c r="AY2219" s="1"/>
      <c r="AZ2219" s="1"/>
      <c r="BA2219" s="1"/>
      <c r="BB2219" s="1"/>
      <c r="BC2219" s="1"/>
      <c r="BD2219" s="1"/>
      <c r="BE2219" s="1"/>
      <c r="BF2219" s="1"/>
      <c r="BG2219" s="1"/>
      <c r="BH2219" s="1"/>
      <c r="BI2219" s="1"/>
      <c r="BJ2219" s="1"/>
      <c r="BK2219" s="1"/>
      <c r="BL2219" s="1"/>
      <c r="BM2219" s="1"/>
      <c r="BN2219" s="1"/>
      <c r="BO2219" s="1"/>
      <c r="BP2219" s="1"/>
      <c r="BQ2219" s="1"/>
      <c r="BR2219" s="1"/>
      <c r="BS2219" s="1"/>
      <c r="BT2219" s="1"/>
      <c r="BU2219" s="1"/>
      <c r="BV2219" s="1"/>
      <c r="BW2219" s="1"/>
      <c r="BX2219" s="1"/>
      <c r="BY2219" s="1"/>
      <c r="BZ2219" s="1"/>
      <c r="CA2219" s="1"/>
      <c r="CB2219" s="1"/>
      <c r="CC2219" s="1"/>
      <c r="CD2219" s="1"/>
      <c r="CE2219" s="1"/>
      <c r="CF2219" s="1"/>
      <c r="CG2219" s="1"/>
      <c r="CH2219" s="1"/>
      <c r="CI2219" s="1"/>
      <c r="CJ2219" s="1"/>
      <c r="CK2219" s="1"/>
      <c r="CL2219" s="1"/>
      <c r="CM2219" s="1"/>
      <c r="CN2219" s="1"/>
      <c r="CO2219" s="1"/>
      <c r="CP2219" s="1"/>
      <c r="CQ2219" s="1"/>
      <c r="CR2219" s="1"/>
      <c r="CS2219" s="1"/>
      <c r="CT2219" s="1"/>
      <c r="CU2219" s="1"/>
      <c r="CV2219" s="1"/>
      <c r="CW2219" s="1"/>
      <c r="CX2219" s="1"/>
      <c r="CY2219" s="1"/>
      <c r="CZ2219" s="1"/>
      <c r="DA2219" s="1"/>
      <c r="DB2219" s="1"/>
      <c r="DC2219" s="1"/>
    </row>
    <row r="2220" spans="1:107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1"/>
      <c r="AD2220" s="1"/>
      <c r="AE2220" s="1"/>
      <c r="AF2220" s="1"/>
      <c r="AG2220" s="1"/>
      <c r="AH2220" s="1"/>
      <c r="AI2220" s="1"/>
      <c r="AJ2220" s="1"/>
      <c r="AK2220" s="1"/>
      <c r="AL2220" s="1"/>
      <c r="AM2220" s="1"/>
      <c r="AN2220" s="1"/>
      <c r="AO2220" s="1"/>
      <c r="AP2220" s="1"/>
      <c r="AQ2220" s="1"/>
      <c r="AR2220" s="1"/>
      <c r="AS2220" s="1"/>
      <c r="AT2220" s="1"/>
      <c r="AU2220" s="1"/>
      <c r="AV2220" s="1"/>
      <c r="AW2220" s="1"/>
      <c r="AX2220" s="1"/>
      <c r="AY2220" s="1"/>
      <c r="AZ2220" s="1"/>
      <c r="BA2220" s="1"/>
      <c r="BB2220" s="1"/>
      <c r="BC2220" s="1"/>
      <c r="BD2220" s="1"/>
      <c r="BE2220" s="1"/>
      <c r="BF2220" s="1"/>
      <c r="BG2220" s="1"/>
      <c r="BH2220" s="1"/>
      <c r="BI2220" s="1"/>
      <c r="BJ2220" s="1"/>
      <c r="BK2220" s="1"/>
      <c r="BL2220" s="1"/>
      <c r="BM2220" s="1"/>
      <c r="BN2220" s="1"/>
      <c r="BO2220" s="1"/>
      <c r="BP2220" s="1"/>
      <c r="BQ2220" s="1"/>
      <c r="BR2220" s="1"/>
      <c r="BS2220" s="1"/>
      <c r="BT2220" s="1"/>
      <c r="BU2220" s="1"/>
      <c r="BV2220" s="1"/>
      <c r="BW2220" s="1"/>
      <c r="BX2220" s="1"/>
      <c r="BY2220" s="1"/>
      <c r="BZ2220" s="1"/>
      <c r="CA2220" s="1"/>
      <c r="CB2220" s="1"/>
      <c r="CC2220" s="1"/>
      <c r="CD2220" s="1"/>
      <c r="CE2220" s="1"/>
      <c r="CF2220" s="1"/>
      <c r="CG2220" s="1"/>
      <c r="CH2220" s="1"/>
      <c r="CI2220" s="1"/>
      <c r="CJ2220" s="1"/>
      <c r="CK2220" s="1"/>
      <c r="CL2220" s="1"/>
      <c r="CM2220" s="1"/>
      <c r="CN2220" s="1"/>
      <c r="CO2220" s="1"/>
      <c r="CP2220" s="1"/>
      <c r="CQ2220" s="1"/>
      <c r="CR2220" s="1"/>
      <c r="CS2220" s="1"/>
      <c r="CT2220" s="1"/>
      <c r="CU2220" s="1"/>
      <c r="CV2220" s="1"/>
      <c r="CW2220" s="1"/>
      <c r="CX2220" s="1"/>
      <c r="CY2220" s="1"/>
      <c r="CZ2220" s="1"/>
      <c r="DA2220" s="1"/>
      <c r="DB2220" s="1"/>
      <c r="DC2220" s="1"/>
    </row>
    <row r="2221" spans="1:107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  <c r="AC2221" s="1"/>
      <c r="AD2221" s="1"/>
      <c r="AE2221" s="1"/>
      <c r="AF2221" s="1"/>
      <c r="AG2221" s="1"/>
      <c r="AH2221" s="1"/>
      <c r="AI2221" s="1"/>
      <c r="AJ2221" s="1"/>
      <c r="AK2221" s="1"/>
      <c r="AL2221" s="1"/>
      <c r="AM2221" s="1"/>
      <c r="AN2221" s="1"/>
      <c r="AO2221" s="1"/>
      <c r="AP2221" s="1"/>
      <c r="AQ2221" s="1"/>
      <c r="AR2221" s="1"/>
      <c r="AS2221" s="1"/>
      <c r="AT2221" s="1"/>
      <c r="AU2221" s="1"/>
      <c r="AV2221" s="1"/>
      <c r="AW2221" s="1"/>
      <c r="AX2221" s="1"/>
      <c r="AY2221" s="1"/>
      <c r="AZ2221" s="1"/>
      <c r="BA2221" s="1"/>
      <c r="BB2221" s="1"/>
      <c r="BC2221" s="1"/>
      <c r="BD2221" s="1"/>
      <c r="BE2221" s="1"/>
      <c r="BF2221" s="1"/>
      <c r="BG2221" s="1"/>
      <c r="BH2221" s="1"/>
      <c r="BI2221" s="1"/>
      <c r="BJ2221" s="1"/>
      <c r="BK2221" s="1"/>
      <c r="BL2221" s="1"/>
      <c r="BM2221" s="1"/>
      <c r="BN2221" s="1"/>
      <c r="BO2221" s="1"/>
      <c r="BP2221" s="1"/>
      <c r="BQ2221" s="1"/>
      <c r="BR2221" s="1"/>
      <c r="BS2221" s="1"/>
      <c r="BT2221" s="1"/>
      <c r="BU2221" s="1"/>
      <c r="BV2221" s="1"/>
      <c r="BW2221" s="1"/>
      <c r="BX2221" s="1"/>
      <c r="BY2221" s="1"/>
      <c r="BZ2221" s="1"/>
      <c r="CA2221" s="1"/>
      <c r="CB2221" s="1"/>
      <c r="CC2221" s="1"/>
      <c r="CD2221" s="1"/>
      <c r="CE2221" s="1"/>
      <c r="CF2221" s="1"/>
      <c r="CG2221" s="1"/>
      <c r="CH2221" s="1"/>
      <c r="CI2221" s="1"/>
      <c r="CJ2221" s="1"/>
      <c r="CK2221" s="1"/>
      <c r="CL2221" s="1"/>
      <c r="CM2221" s="1"/>
      <c r="CN2221" s="1"/>
      <c r="CO2221" s="1"/>
      <c r="CP2221" s="1"/>
      <c r="CQ2221" s="1"/>
      <c r="CR2221" s="1"/>
      <c r="CS2221" s="1"/>
      <c r="CT2221" s="1"/>
      <c r="CU2221" s="1"/>
      <c r="CV2221" s="1"/>
      <c r="CW2221" s="1"/>
      <c r="CX2221" s="1"/>
      <c r="CY2221" s="1"/>
      <c r="CZ2221" s="1"/>
      <c r="DA2221" s="1"/>
      <c r="DB2221" s="1"/>
      <c r="DC2221" s="1"/>
    </row>
    <row r="2222" spans="1:107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  <c r="AC2222" s="1"/>
      <c r="AD2222" s="1"/>
      <c r="AE2222" s="1"/>
      <c r="AF2222" s="1"/>
      <c r="AG2222" s="1"/>
      <c r="AH2222" s="1"/>
      <c r="AI2222" s="1"/>
      <c r="AJ2222" s="1"/>
      <c r="AK2222" s="1"/>
      <c r="AL2222" s="1"/>
      <c r="AM2222" s="1"/>
      <c r="AN2222" s="1"/>
      <c r="AO2222" s="1"/>
      <c r="AP2222" s="1"/>
      <c r="AQ2222" s="1"/>
      <c r="AR2222" s="1"/>
      <c r="AS2222" s="1"/>
      <c r="AT2222" s="1"/>
      <c r="AU2222" s="1"/>
      <c r="AV2222" s="1"/>
      <c r="AW2222" s="1"/>
      <c r="AX2222" s="1"/>
      <c r="AY2222" s="1"/>
      <c r="AZ2222" s="1"/>
      <c r="BA2222" s="1"/>
      <c r="BB2222" s="1"/>
      <c r="BC2222" s="1"/>
      <c r="BD2222" s="1"/>
      <c r="BE2222" s="1"/>
      <c r="BF2222" s="1"/>
      <c r="BG2222" s="1"/>
      <c r="BH2222" s="1"/>
      <c r="BI2222" s="1"/>
      <c r="BJ2222" s="1"/>
      <c r="BK2222" s="1"/>
      <c r="BL2222" s="1"/>
      <c r="BM2222" s="1"/>
      <c r="BN2222" s="1"/>
      <c r="BO2222" s="1"/>
      <c r="BP2222" s="1"/>
      <c r="BQ2222" s="1"/>
      <c r="BR2222" s="1"/>
      <c r="BS2222" s="1"/>
      <c r="BT2222" s="1"/>
      <c r="BU2222" s="1"/>
      <c r="BV2222" s="1"/>
      <c r="BW2222" s="1"/>
      <c r="BX2222" s="1"/>
      <c r="BY2222" s="1"/>
      <c r="BZ2222" s="1"/>
      <c r="CA2222" s="1"/>
      <c r="CB2222" s="1"/>
      <c r="CC2222" s="1"/>
      <c r="CD2222" s="1"/>
      <c r="CE2222" s="1"/>
      <c r="CF2222" s="1"/>
      <c r="CG2222" s="1"/>
      <c r="CH2222" s="1"/>
      <c r="CI2222" s="1"/>
      <c r="CJ2222" s="1"/>
      <c r="CK2222" s="1"/>
      <c r="CL2222" s="1"/>
      <c r="CM2222" s="1"/>
      <c r="CN2222" s="1"/>
      <c r="CO2222" s="1"/>
      <c r="CP2222" s="1"/>
      <c r="CQ2222" s="1"/>
      <c r="CR2222" s="1"/>
      <c r="CS2222" s="1"/>
      <c r="CT2222" s="1"/>
      <c r="CU2222" s="1"/>
      <c r="CV2222" s="1"/>
      <c r="CW2222" s="1"/>
      <c r="CX2222" s="1"/>
      <c r="CY2222" s="1"/>
      <c r="CZ2222" s="1"/>
      <c r="DA2222" s="1"/>
      <c r="DB2222" s="1"/>
      <c r="DC2222" s="1"/>
    </row>
    <row r="2223" spans="1:107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1"/>
      <c r="AD2223" s="1"/>
      <c r="AE2223" s="1"/>
      <c r="AF2223" s="1"/>
      <c r="AG2223" s="1"/>
      <c r="AH2223" s="1"/>
      <c r="AI2223" s="1"/>
      <c r="AJ2223" s="1"/>
      <c r="AK2223" s="1"/>
      <c r="AL2223" s="1"/>
      <c r="AM2223" s="1"/>
      <c r="AN2223" s="1"/>
      <c r="AO2223" s="1"/>
      <c r="AP2223" s="1"/>
      <c r="AQ2223" s="1"/>
      <c r="AR2223" s="1"/>
      <c r="AS2223" s="1"/>
      <c r="AT2223" s="1"/>
      <c r="AU2223" s="1"/>
      <c r="AV2223" s="1"/>
      <c r="AW2223" s="1"/>
      <c r="AX2223" s="1"/>
      <c r="AY2223" s="1"/>
      <c r="AZ2223" s="1"/>
      <c r="BA2223" s="1"/>
      <c r="BB2223" s="1"/>
      <c r="BC2223" s="1"/>
      <c r="BD2223" s="1"/>
      <c r="BE2223" s="1"/>
      <c r="BF2223" s="1"/>
      <c r="BG2223" s="1"/>
      <c r="BH2223" s="1"/>
      <c r="BI2223" s="1"/>
      <c r="BJ2223" s="1"/>
      <c r="BK2223" s="1"/>
      <c r="BL2223" s="1"/>
      <c r="BM2223" s="1"/>
      <c r="BN2223" s="1"/>
      <c r="BO2223" s="1"/>
      <c r="BP2223" s="1"/>
      <c r="BQ2223" s="1"/>
      <c r="BR2223" s="1"/>
      <c r="BS2223" s="1"/>
      <c r="BT2223" s="1"/>
      <c r="BU2223" s="1"/>
      <c r="BV2223" s="1"/>
      <c r="BW2223" s="1"/>
      <c r="BX2223" s="1"/>
      <c r="BY2223" s="1"/>
      <c r="BZ2223" s="1"/>
      <c r="CA2223" s="1"/>
      <c r="CB2223" s="1"/>
      <c r="CC2223" s="1"/>
      <c r="CD2223" s="1"/>
      <c r="CE2223" s="1"/>
      <c r="CF2223" s="1"/>
      <c r="CG2223" s="1"/>
      <c r="CH2223" s="1"/>
      <c r="CI2223" s="1"/>
      <c r="CJ2223" s="1"/>
      <c r="CK2223" s="1"/>
      <c r="CL2223" s="1"/>
      <c r="CM2223" s="1"/>
      <c r="CN2223" s="1"/>
      <c r="CO2223" s="1"/>
      <c r="CP2223" s="1"/>
      <c r="CQ2223" s="1"/>
      <c r="CR2223" s="1"/>
      <c r="CS2223" s="1"/>
      <c r="CT2223" s="1"/>
      <c r="CU2223" s="1"/>
      <c r="CV2223" s="1"/>
      <c r="CW2223" s="1"/>
      <c r="CX2223" s="1"/>
      <c r="CY2223" s="1"/>
      <c r="CZ2223" s="1"/>
      <c r="DA2223" s="1"/>
      <c r="DB2223" s="1"/>
      <c r="DC2223" s="1"/>
    </row>
    <row r="2224" spans="1:107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1"/>
      <c r="AD2224" s="1"/>
      <c r="AE2224" s="1"/>
      <c r="AF2224" s="1"/>
      <c r="AG2224" s="1"/>
      <c r="AH2224" s="1"/>
      <c r="AI2224" s="1"/>
      <c r="AJ2224" s="1"/>
      <c r="AK2224" s="1"/>
      <c r="AL2224" s="1"/>
      <c r="AM2224" s="1"/>
      <c r="AN2224" s="1"/>
      <c r="AO2224" s="1"/>
      <c r="AP2224" s="1"/>
      <c r="AQ2224" s="1"/>
      <c r="AR2224" s="1"/>
      <c r="AS2224" s="1"/>
      <c r="AT2224" s="1"/>
      <c r="AU2224" s="1"/>
      <c r="AV2224" s="1"/>
      <c r="AW2224" s="1"/>
      <c r="AX2224" s="1"/>
      <c r="AY2224" s="1"/>
      <c r="AZ2224" s="1"/>
      <c r="BA2224" s="1"/>
      <c r="BB2224" s="1"/>
      <c r="BC2224" s="1"/>
      <c r="BD2224" s="1"/>
      <c r="BE2224" s="1"/>
      <c r="BF2224" s="1"/>
      <c r="BG2224" s="1"/>
      <c r="BH2224" s="1"/>
      <c r="BI2224" s="1"/>
      <c r="BJ2224" s="1"/>
      <c r="BK2224" s="1"/>
      <c r="BL2224" s="1"/>
      <c r="BM2224" s="1"/>
      <c r="BN2224" s="1"/>
      <c r="BO2224" s="1"/>
      <c r="BP2224" s="1"/>
      <c r="BQ2224" s="1"/>
      <c r="BR2224" s="1"/>
      <c r="BS2224" s="1"/>
      <c r="BT2224" s="1"/>
      <c r="BU2224" s="1"/>
      <c r="BV2224" s="1"/>
      <c r="BW2224" s="1"/>
      <c r="BX2224" s="1"/>
      <c r="BY2224" s="1"/>
      <c r="BZ2224" s="1"/>
      <c r="CA2224" s="1"/>
      <c r="CB2224" s="1"/>
      <c r="CC2224" s="1"/>
      <c r="CD2224" s="1"/>
      <c r="CE2224" s="1"/>
      <c r="CF2224" s="1"/>
      <c r="CG2224" s="1"/>
      <c r="CH2224" s="1"/>
      <c r="CI2224" s="1"/>
      <c r="CJ2224" s="1"/>
      <c r="CK2224" s="1"/>
      <c r="CL2224" s="1"/>
      <c r="CM2224" s="1"/>
      <c r="CN2224" s="1"/>
      <c r="CO2224" s="1"/>
      <c r="CP2224" s="1"/>
      <c r="CQ2224" s="1"/>
      <c r="CR2224" s="1"/>
      <c r="CS2224" s="1"/>
      <c r="CT2224" s="1"/>
      <c r="CU2224" s="1"/>
      <c r="CV2224" s="1"/>
      <c r="CW2224" s="1"/>
      <c r="CX2224" s="1"/>
      <c r="CY2224" s="1"/>
      <c r="CZ2224" s="1"/>
      <c r="DA2224" s="1"/>
      <c r="DB2224" s="1"/>
      <c r="DC2224" s="1"/>
    </row>
    <row r="2225" spans="1:107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  <c r="AD2225" s="1"/>
      <c r="AE2225" s="1"/>
      <c r="AF2225" s="1"/>
      <c r="AG2225" s="1"/>
      <c r="AH2225" s="1"/>
      <c r="AI2225" s="1"/>
      <c r="AJ2225" s="1"/>
      <c r="AK2225" s="1"/>
      <c r="AL2225" s="1"/>
      <c r="AM2225" s="1"/>
      <c r="AN2225" s="1"/>
      <c r="AO2225" s="1"/>
      <c r="AP2225" s="1"/>
      <c r="AQ2225" s="1"/>
      <c r="AR2225" s="1"/>
      <c r="AS2225" s="1"/>
      <c r="AT2225" s="1"/>
      <c r="AU2225" s="1"/>
      <c r="AV2225" s="1"/>
      <c r="AW2225" s="1"/>
      <c r="AX2225" s="1"/>
      <c r="AY2225" s="1"/>
      <c r="AZ2225" s="1"/>
      <c r="BA2225" s="1"/>
      <c r="BB2225" s="1"/>
      <c r="BC2225" s="1"/>
      <c r="BD2225" s="1"/>
      <c r="BE2225" s="1"/>
      <c r="BF2225" s="1"/>
      <c r="BG2225" s="1"/>
      <c r="BH2225" s="1"/>
      <c r="BI2225" s="1"/>
      <c r="BJ2225" s="1"/>
      <c r="BK2225" s="1"/>
      <c r="BL2225" s="1"/>
      <c r="BM2225" s="1"/>
      <c r="BN2225" s="1"/>
      <c r="BO2225" s="1"/>
      <c r="BP2225" s="1"/>
      <c r="BQ2225" s="1"/>
      <c r="BR2225" s="1"/>
      <c r="BS2225" s="1"/>
      <c r="BT2225" s="1"/>
      <c r="BU2225" s="1"/>
      <c r="BV2225" s="1"/>
      <c r="BW2225" s="1"/>
      <c r="BX2225" s="1"/>
      <c r="BY2225" s="1"/>
      <c r="BZ2225" s="1"/>
      <c r="CA2225" s="1"/>
      <c r="CB2225" s="1"/>
      <c r="CC2225" s="1"/>
      <c r="CD2225" s="1"/>
      <c r="CE2225" s="1"/>
      <c r="CF2225" s="1"/>
      <c r="CG2225" s="1"/>
      <c r="CH2225" s="1"/>
      <c r="CI2225" s="1"/>
      <c r="CJ2225" s="1"/>
      <c r="CK2225" s="1"/>
      <c r="CL2225" s="1"/>
      <c r="CM2225" s="1"/>
      <c r="CN2225" s="1"/>
      <c r="CO2225" s="1"/>
      <c r="CP2225" s="1"/>
      <c r="CQ2225" s="1"/>
      <c r="CR2225" s="1"/>
      <c r="CS2225" s="1"/>
      <c r="CT2225" s="1"/>
      <c r="CU2225" s="1"/>
      <c r="CV2225" s="1"/>
      <c r="CW2225" s="1"/>
      <c r="CX2225" s="1"/>
      <c r="CY2225" s="1"/>
      <c r="CZ2225" s="1"/>
      <c r="DA2225" s="1"/>
      <c r="DB2225" s="1"/>
      <c r="DC2225" s="1"/>
    </row>
    <row r="2226" spans="1:107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1"/>
      <c r="AD2226" s="1"/>
      <c r="AE2226" s="1"/>
      <c r="AF2226" s="1"/>
      <c r="AG2226" s="1"/>
      <c r="AH2226" s="1"/>
      <c r="AI2226" s="1"/>
      <c r="AJ2226" s="1"/>
      <c r="AK2226" s="1"/>
      <c r="AL2226" s="1"/>
      <c r="AM2226" s="1"/>
      <c r="AN2226" s="1"/>
      <c r="AO2226" s="1"/>
      <c r="AP2226" s="1"/>
      <c r="AQ2226" s="1"/>
      <c r="AR2226" s="1"/>
      <c r="AS2226" s="1"/>
      <c r="AT2226" s="1"/>
      <c r="AU2226" s="1"/>
      <c r="AV2226" s="1"/>
      <c r="AW2226" s="1"/>
      <c r="AX2226" s="1"/>
      <c r="AY2226" s="1"/>
      <c r="AZ2226" s="1"/>
      <c r="BA2226" s="1"/>
      <c r="BB2226" s="1"/>
      <c r="BC2226" s="1"/>
      <c r="BD2226" s="1"/>
      <c r="BE2226" s="1"/>
      <c r="BF2226" s="1"/>
      <c r="BG2226" s="1"/>
      <c r="BH2226" s="1"/>
      <c r="BI2226" s="1"/>
      <c r="BJ2226" s="1"/>
      <c r="BK2226" s="1"/>
      <c r="BL2226" s="1"/>
      <c r="BM2226" s="1"/>
      <c r="BN2226" s="1"/>
      <c r="BO2226" s="1"/>
      <c r="BP2226" s="1"/>
      <c r="BQ2226" s="1"/>
      <c r="BR2226" s="1"/>
      <c r="BS2226" s="1"/>
      <c r="BT2226" s="1"/>
      <c r="BU2226" s="1"/>
      <c r="BV2226" s="1"/>
      <c r="BW2226" s="1"/>
      <c r="BX2226" s="1"/>
      <c r="BY2226" s="1"/>
      <c r="BZ2226" s="1"/>
      <c r="CA2226" s="1"/>
      <c r="CB2226" s="1"/>
      <c r="CC2226" s="1"/>
      <c r="CD2226" s="1"/>
      <c r="CE2226" s="1"/>
      <c r="CF2226" s="1"/>
      <c r="CG2226" s="1"/>
      <c r="CH2226" s="1"/>
      <c r="CI2226" s="1"/>
      <c r="CJ2226" s="1"/>
      <c r="CK2226" s="1"/>
      <c r="CL2226" s="1"/>
      <c r="CM2226" s="1"/>
      <c r="CN2226" s="1"/>
      <c r="CO2226" s="1"/>
      <c r="CP2226" s="1"/>
      <c r="CQ2226" s="1"/>
      <c r="CR2226" s="1"/>
      <c r="CS2226" s="1"/>
      <c r="CT2226" s="1"/>
      <c r="CU2226" s="1"/>
      <c r="CV2226" s="1"/>
      <c r="CW2226" s="1"/>
      <c r="CX2226" s="1"/>
      <c r="CY2226" s="1"/>
      <c r="CZ2226" s="1"/>
      <c r="DA2226" s="1"/>
      <c r="DB2226" s="1"/>
      <c r="DC2226" s="1"/>
    </row>
    <row r="2227" spans="1:107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1"/>
      <c r="AD2227" s="1"/>
      <c r="AE2227" s="1"/>
      <c r="AF2227" s="1"/>
      <c r="AG2227" s="1"/>
      <c r="AH2227" s="1"/>
      <c r="AI2227" s="1"/>
      <c r="AJ2227" s="1"/>
      <c r="AK2227" s="1"/>
      <c r="AL2227" s="1"/>
      <c r="AM2227" s="1"/>
      <c r="AN2227" s="1"/>
      <c r="AO2227" s="1"/>
      <c r="AP2227" s="1"/>
      <c r="AQ2227" s="1"/>
      <c r="AR2227" s="1"/>
      <c r="AS2227" s="1"/>
      <c r="AT2227" s="1"/>
      <c r="AU2227" s="1"/>
      <c r="AV2227" s="1"/>
      <c r="AW2227" s="1"/>
      <c r="AX2227" s="1"/>
      <c r="AY2227" s="1"/>
      <c r="AZ2227" s="1"/>
      <c r="BA2227" s="1"/>
      <c r="BB2227" s="1"/>
      <c r="BC2227" s="1"/>
      <c r="BD2227" s="1"/>
      <c r="BE2227" s="1"/>
      <c r="BF2227" s="1"/>
      <c r="BG2227" s="1"/>
      <c r="BH2227" s="1"/>
      <c r="BI2227" s="1"/>
      <c r="BJ2227" s="1"/>
      <c r="BK2227" s="1"/>
      <c r="BL2227" s="1"/>
      <c r="BM2227" s="1"/>
      <c r="BN2227" s="1"/>
      <c r="BO2227" s="1"/>
      <c r="BP2227" s="1"/>
      <c r="BQ2227" s="1"/>
      <c r="BR2227" s="1"/>
      <c r="BS2227" s="1"/>
      <c r="BT2227" s="1"/>
      <c r="BU2227" s="1"/>
      <c r="BV2227" s="1"/>
      <c r="BW2227" s="1"/>
      <c r="BX2227" s="1"/>
      <c r="BY2227" s="1"/>
      <c r="BZ2227" s="1"/>
      <c r="CA2227" s="1"/>
      <c r="CB2227" s="1"/>
      <c r="CC2227" s="1"/>
      <c r="CD2227" s="1"/>
      <c r="CE2227" s="1"/>
      <c r="CF2227" s="1"/>
      <c r="CG2227" s="1"/>
      <c r="CH2227" s="1"/>
      <c r="CI2227" s="1"/>
      <c r="CJ2227" s="1"/>
      <c r="CK2227" s="1"/>
      <c r="CL2227" s="1"/>
      <c r="CM2227" s="1"/>
      <c r="CN2227" s="1"/>
      <c r="CO2227" s="1"/>
      <c r="CP2227" s="1"/>
      <c r="CQ2227" s="1"/>
      <c r="CR2227" s="1"/>
      <c r="CS2227" s="1"/>
      <c r="CT2227" s="1"/>
      <c r="CU2227" s="1"/>
      <c r="CV2227" s="1"/>
      <c r="CW2227" s="1"/>
      <c r="CX2227" s="1"/>
      <c r="CY2227" s="1"/>
      <c r="CZ2227" s="1"/>
      <c r="DA2227" s="1"/>
      <c r="DB2227" s="1"/>
      <c r="DC2227" s="1"/>
    </row>
    <row r="2228" spans="1:107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  <c r="AC2228" s="1"/>
      <c r="AD2228" s="1"/>
      <c r="AE2228" s="1"/>
      <c r="AF2228" s="1"/>
      <c r="AG2228" s="1"/>
      <c r="AH2228" s="1"/>
      <c r="AI2228" s="1"/>
      <c r="AJ2228" s="1"/>
      <c r="AK2228" s="1"/>
      <c r="AL2228" s="1"/>
      <c r="AM2228" s="1"/>
      <c r="AN2228" s="1"/>
      <c r="AO2228" s="1"/>
      <c r="AP2228" s="1"/>
      <c r="AQ2228" s="1"/>
      <c r="AR2228" s="1"/>
      <c r="AS2228" s="1"/>
      <c r="AT2228" s="1"/>
      <c r="AU2228" s="1"/>
      <c r="AV2228" s="1"/>
      <c r="AW2228" s="1"/>
      <c r="AX2228" s="1"/>
      <c r="AY2228" s="1"/>
      <c r="AZ2228" s="1"/>
      <c r="BA2228" s="1"/>
      <c r="BB2228" s="1"/>
      <c r="BC2228" s="1"/>
      <c r="BD2228" s="1"/>
      <c r="BE2228" s="1"/>
      <c r="BF2228" s="1"/>
      <c r="BG2228" s="1"/>
      <c r="BH2228" s="1"/>
      <c r="BI2228" s="1"/>
      <c r="BJ2228" s="1"/>
      <c r="BK2228" s="1"/>
      <c r="BL2228" s="1"/>
      <c r="BM2228" s="1"/>
      <c r="BN2228" s="1"/>
      <c r="BO2228" s="1"/>
      <c r="BP2228" s="1"/>
      <c r="BQ2228" s="1"/>
      <c r="BR2228" s="1"/>
      <c r="BS2228" s="1"/>
      <c r="BT2228" s="1"/>
      <c r="BU2228" s="1"/>
      <c r="BV2228" s="1"/>
      <c r="BW2228" s="1"/>
      <c r="BX2228" s="1"/>
      <c r="BY2228" s="1"/>
      <c r="BZ2228" s="1"/>
      <c r="CA2228" s="1"/>
      <c r="CB2228" s="1"/>
      <c r="CC2228" s="1"/>
      <c r="CD2228" s="1"/>
      <c r="CE2228" s="1"/>
      <c r="CF2228" s="1"/>
      <c r="CG2228" s="1"/>
      <c r="CH2228" s="1"/>
      <c r="CI2228" s="1"/>
      <c r="CJ2228" s="1"/>
      <c r="CK2228" s="1"/>
      <c r="CL2228" s="1"/>
      <c r="CM2228" s="1"/>
      <c r="CN2228" s="1"/>
      <c r="CO2228" s="1"/>
      <c r="CP2228" s="1"/>
      <c r="CQ2228" s="1"/>
      <c r="CR2228" s="1"/>
      <c r="CS2228" s="1"/>
      <c r="CT2228" s="1"/>
      <c r="CU2228" s="1"/>
      <c r="CV2228" s="1"/>
      <c r="CW2228" s="1"/>
      <c r="CX2228" s="1"/>
      <c r="CY2228" s="1"/>
      <c r="CZ2228" s="1"/>
      <c r="DA2228" s="1"/>
      <c r="DB2228" s="1"/>
      <c r="DC2228" s="1"/>
    </row>
    <row r="2229" spans="1:107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  <c r="AC2229" s="1"/>
      <c r="AD2229" s="1"/>
      <c r="AE2229" s="1"/>
      <c r="AF2229" s="1"/>
      <c r="AG2229" s="1"/>
      <c r="AH2229" s="1"/>
      <c r="AI2229" s="1"/>
      <c r="AJ2229" s="1"/>
      <c r="AK2229" s="1"/>
      <c r="AL2229" s="1"/>
      <c r="AM2229" s="1"/>
      <c r="AN2229" s="1"/>
      <c r="AO2229" s="1"/>
      <c r="AP2229" s="1"/>
      <c r="AQ2229" s="1"/>
      <c r="AR2229" s="1"/>
      <c r="AS2229" s="1"/>
      <c r="AT2229" s="1"/>
      <c r="AU2229" s="1"/>
      <c r="AV2229" s="1"/>
      <c r="AW2229" s="1"/>
      <c r="AX2229" s="1"/>
      <c r="AY2229" s="1"/>
      <c r="AZ2229" s="1"/>
      <c r="BA2229" s="1"/>
      <c r="BB2229" s="1"/>
      <c r="BC2229" s="1"/>
      <c r="BD2229" s="1"/>
      <c r="BE2229" s="1"/>
      <c r="BF2229" s="1"/>
      <c r="BG2229" s="1"/>
      <c r="BH2229" s="1"/>
      <c r="BI2229" s="1"/>
      <c r="BJ2229" s="1"/>
      <c r="BK2229" s="1"/>
      <c r="BL2229" s="1"/>
      <c r="BM2229" s="1"/>
      <c r="BN2229" s="1"/>
      <c r="BO2229" s="1"/>
      <c r="BP2229" s="1"/>
      <c r="BQ2229" s="1"/>
      <c r="BR2229" s="1"/>
      <c r="BS2229" s="1"/>
      <c r="BT2229" s="1"/>
      <c r="BU2229" s="1"/>
      <c r="BV2229" s="1"/>
      <c r="BW2229" s="1"/>
      <c r="BX2229" s="1"/>
      <c r="BY2229" s="1"/>
      <c r="BZ2229" s="1"/>
      <c r="CA2229" s="1"/>
      <c r="CB2229" s="1"/>
      <c r="CC2229" s="1"/>
      <c r="CD2229" s="1"/>
      <c r="CE2229" s="1"/>
      <c r="CF2229" s="1"/>
      <c r="CG2229" s="1"/>
      <c r="CH2229" s="1"/>
      <c r="CI2229" s="1"/>
      <c r="CJ2229" s="1"/>
      <c r="CK2229" s="1"/>
      <c r="CL2229" s="1"/>
      <c r="CM2229" s="1"/>
      <c r="CN2229" s="1"/>
      <c r="CO2229" s="1"/>
      <c r="CP2229" s="1"/>
      <c r="CQ2229" s="1"/>
      <c r="CR2229" s="1"/>
      <c r="CS2229" s="1"/>
      <c r="CT2229" s="1"/>
      <c r="CU2229" s="1"/>
      <c r="CV2229" s="1"/>
      <c r="CW2229" s="1"/>
      <c r="CX2229" s="1"/>
      <c r="CY2229" s="1"/>
      <c r="CZ2229" s="1"/>
      <c r="DA2229" s="1"/>
      <c r="DB2229" s="1"/>
      <c r="DC2229" s="1"/>
    </row>
    <row r="2230" spans="1:107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  <c r="AC2230" s="1"/>
      <c r="AD2230" s="1"/>
      <c r="AE2230" s="1"/>
      <c r="AF2230" s="1"/>
      <c r="AG2230" s="1"/>
      <c r="AH2230" s="1"/>
      <c r="AI2230" s="1"/>
      <c r="AJ2230" s="1"/>
      <c r="AK2230" s="1"/>
      <c r="AL2230" s="1"/>
      <c r="AM2230" s="1"/>
      <c r="AN2230" s="1"/>
      <c r="AO2230" s="1"/>
      <c r="AP2230" s="1"/>
      <c r="AQ2230" s="1"/>
      <c r="AR2230" s="1"/>
      <c r="AS2230" s="1"/>
      <c r="AT2230" s="1"/>
      <c r="AU2230" s="1"/>
      <c r="AV2230" s="1"/>
      <c r="AW2230" s="1"/>
      <c r="AX2230" s="1"/>
      <c r="AY2230" s="1"/>
      <c r="AZ2230" s="1"/>
      <c r="BA2230" s="1"/>
      <c r="BB2230" s="1"/>
      <c r="BC2230" s="1"/>
      <c r="BD2230" s="1"/>
      <c r="BE2230" s="1"/>
      <c r="BF2230" s="1"/>
      <c r="BG2230" s="1"/>
      <c r="BH2230" s="1"/>
      <c r="BI2230" s="1"/>
      <c r="BJ2230" s="1"/>
      <c r="BK2230" s="1"/>
      <c r="BL2230" s="1"/>
      <c r="BM2230" s="1"/>
      <c r="BN2230" s="1"/>
      <c r="BO2230" s="1"/>
      <c r="BP2230" s="1"/>
      <c r="BQ2230" s="1"/>
      <c r="BR2230" s="1"/>
      <c r="BS2230" s="1"/>
      <c r="BT2230" s="1"/>
      <c r="BU2230" s="1"/>
      <c r="BV2230" s="1"/>
      <c r="BW2230" s="1"/>
      <c r="BX2230" s="1"/>
      <c r="BY2230" s="1"/>
      <c r="BZ2230" s="1"/>
      <c r="CA2230" s="1"/>
      <c r="CB2230" s="1"/>
      <c r="CC2230" s="1"/>
      <c r="CD2230" s="1"/>
      <c r="CE2230" s="1"/>
      <c r="CF2230" s="1"/>
      <c r="CG2230" s="1"/>
      <c r="CH2230" s="1"/>
      <c r="CI2230" s="1"/>
      <c r="CJ2230" s="1"/>
      <c r="CK2230" s="1"/>
      <c r="CL2230" s="1"/>
      <c r="CM2230" s="1"/>
      <c r="CN2230" s="1"/>
      <c r="CO2230" s="1"/>
      <c r="CP2230" s="1"/>
      <c r="CQ2230" s="1"/>
      <c r="CR2230" s="1"/>
      <c r="CS2230" s="1"/>
      <c r="CT2230" s="1"/>
      <c r="CU2230" s="1"/>
      <c r="CV2230" s="1"/>
      <c r="CW2230" s="1"/>
      <c r="CX2230" s="1"/>
      <c r="CY2230" s="1"/>
      <c r="CZ2230" s="1"/>
      <c r="DA2230" s="1"/>
      <c r="DB2230" s="1"/>
      <c r="DC2230" s="1"/>
    </row>
    <row r="2231" spans="1:107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1"/>
      <c r="AD2231" s="1"/>
      <c r="AE2231" s="1"/>
      <c r="AF2231" s="1"/>
      <c r="AG2231" s="1"/>
      <c r="AH2231" s="1"/>
      <c r="AI2231" s="1"/>
      <c r="AJ2231" s="1"/>
      <c r="AK2231" s="1"/>
      <c r="AL2231" s="1"/>
      <c r="AM2231" s="1"/>
      <c r="AN2231" s="1"/>
      <c r="AO2231" s="1"/>
      <c r="AP2231" s="1"/>
      <c r="AQ2231" s="1"/>
      <c r="AR2231" s="1"/>
      <c r="AS2231" s="1"/>
      <c r="AT2231" s="1"/>
      <c r="AU2231" s="1"/>
      <c r="AV2231" s="1"/>
      <c r="AW2231" s="1"/>
      <c r="AX2231" s="1"/>
      <c r="AY2231" s="1"/>
      <c r="AZ2231" s="1"/>
      <c r="BA2231" s="1"/>
      <c r="BB2231" s="1"/>
      <c r="BC2231" s="1"/>
      <c r="BD2231" s="1"/>
      <c r="BE2231" s="1"/>
      <c r="BF2231" s="1"/>
      <c r="BG2231" s="1"/>
      <c r="BH2231" s="1"/>
      <c r="BI2231" s="1"/>
      <c r="BJ2231" s="1"/>
      <c r="BK2231" s="1"/>
      <c r="BL2231" s="1"/>
      <c r="BM2231" s="1"/>
      <c r="BN2231" s="1"/>
      <c r="BO2231" s="1"/>
      <c r="BP2231" s="1"/>
      <c r="BQ2231" s="1"/>
      <c r="BR2231" s="1"/>
      <c r="BS2231" s="1"/>
      <c r="BT2231" s="1"/>
      <c r="BU2231" s="1"/>
      <c r="BV2231" s="1"/>
      <c r="BW2231" s="1"/>
      <c r="BX2231" s="1"/>
      <c r="BY2231" s="1"/>
      <c r="BZ2231" s="1"/>
      <c r="CA2231" s="1"/>
      <c r="CB2231" s="1"/>
      <c r="CC2231" s="1"/>
      <c r="CD2231" s="1"/>
      <c r="CE2231" s="1"/>
      <c r="CF2231" s="1"/>
      <c r="CG2231" s="1"/>
      <c r="CH2231" s="1"/>
      <c r="CI2231" s="1"/>
      <c r="CJ2231" s="1"/>
      <c r="CK2231" s="1"/>
      <c r="CL2231" s="1"/>
      <c r="CM2231" s="1"/>
      <c r="CN2231" s="1"/>
      <c r="CO2231" s="1"/>
      <c r="CP2231" s="1"/>
      <c r="CQ2231" s="1"/>
      <c r="CR2231" s="1"/>
      <c r="CS2231" s="1"/>
      <c r="CT2231" s="1"/>
      <c r="CU2231" s="1"/>
      <c r="CV2231" s="1"/>
      <c r="CW2231" s="1"/>
      <c r="CX2231" s="1"/>
      <c r="CY2231" s="1"/>
      <c r="CZ2231" s="1"/>
      <c r="DA2231" s="1"/>
      <c r="DB2231" s="1"/>
      <c r="DC2231" s="1"/>
    </row>
    <row r="2232" spans="1:107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  <c r="AC2232" s="1"/>
      <c r="AD2232" s="1"/>
      <c r="AE2232" s="1"/>
      <c r="AF2232" s="1"/>
      <c r="AG2232" s="1"/>
      <c r="AH2232" s="1"/>
      <c r="AI2232" s="1"/>
      <c r="AJ2232" s="1"/>
      <c r="AK2232" s="1"/>
      <c r="AL2232" s="1"/>
      <c r="AM2232" s="1"/>
      <c r="AN2232" s="1"/>
      <c r="AO2232" s="1"/>
      <c r="AP2232" s="1"/>
      <c r="AQ2232" s="1"/>
      <c r="AR2232" s="1"/>
      <c r="AS2232" s="1"/>
      <c r="AT2232" s="1"/>
      <c r="AU2232" s="1"/>
      <c r="AV2232" s="1"/>
      <c r="AW2232" s="1"/>
      <c r="AX2232" s="1"/>
      <c r="AY2232" s="1"/>
      <c r="AZ2232" s="1"/>
      <c r="BA2232" s="1"/>
      <c r="BB2232" s="1"/>
      <c r="BC2232" s="1"/>
      <c r="BD2232" s="1"/>
      <c r="BE2232" s="1"/>
      <c r="BF2232" s="1"/>
      <c r="BG2232" s="1"/>
      <c r="BH2232" s="1"/>
      <c r="BI2232" s="1"/>
      <c r="BJ2232" s="1"/>
      <c r="BK2232" s="1"/>
      <c r="BL2232" s="1"/>
      <c r="BM2232" s="1"/>
      <c r="BN2232" s="1"/>
      <c r="BO2232" s="1"/>
      <c r="BP2232" s="1"/>
      <c r="BQ2232" s="1"/>
      <c r="BR2232" s="1"/>
      <c r="BS2232" s="1"/>
      <c r="BT2232" s="1"/>
      <c r="BU2232" s="1"/>
      <c r="BV2232" s="1"/>
      <c r="BW2232" s="1"/>
      <c r="BX2232" s="1"/>
      <c r="BY2232" s="1"/>
      <c r="BZ2232" s="1"/>
      <c r="CA2232" s="1"/>
      <c r="CB2232" s="1"/>
      <c r="CC2232" s="1"/>
      <c r="CD2232" s="1"/>
      <c r="CE2232" s="1"/>
      <c r="CF2232" s="1"/>
      <c r="CG2232" s="1"/>
      <c r="CH2232" s="1"/>
      <c r="CI2232" s="1"/>
      <c r="CJ2232" s="1"/>
      <c r="CK2232" s="1"/>
      <c r="CL2232" s="1"/>
      <c r="CM2232" s="1"/>
      <c r="CN2232" s="1"/>
      <c r="CO2232" s="1"/>
      <c r="CP2232" s="1"/>
      <c r="CQ2232" s="1"/>
      <c r="CR2232" s="1"/>
      <c r="CS2232" s="1"/>
      <c r="CT2232" s="1"/>
      <c r="CU2232" s="1"/>
      <c r="CV2232" s="1"/>
      <c r="CW2232" s="1"/>
      <c r="CX2232" s="1"/>
      <c r="CY2232" s="1"/>
      <c r="CZ2232" s="1"/>
      <c r="DA2232" s="1"/>
      <c r="DB2232" s="1"/>
      <c r="DC2232" s="1"/>
    </row>
    <row r="2233" spans="1:107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  <c r="AC2233" s="1"/>
      <c r="AD2233" s="1"/>
      <c r="AE2233" s="1"/>
      <c r="AF2233" s="1"/>
      <c r="AG2233" s="1"/>
      <c r="AH2233" s="1"/>
      <c r="AI2233" s="1"/>
      <c r="AJ2233" s="1"/>
      <c r="AK2233" s="1"/>
      <c r="AL2233" s="1"/>
      <c r="AM2233" s="1"/>
      <c r="AN2233" s="1"/>
      <c r="AO2233" s="1"/>
      <c r="AP2233" s="1"/>
      <c r="AQ2233" s="1"/>
      <c r="AR2233" s="1"/>
      <c r="AS2233" s="1"/>
      <c r="AT2233" s="1"/>
      <c r="AU2233" s="1"/>
      <c r="AV2233" s="1"/>
      <c r="AW2233" s="1"/>
      <c r="AX2233" s="1"/>
      <c r="AY2233" s="1"/>
      <c r="AZ2233" s="1"/>
      <c r="BA2233" s="1"/>
      <c r="BB2233" s="1"/>
      <c r="BC2233" s="1"/>
      <c r="BD2233" s="1"/>
      <c r="BE2233" s="1"/>
      <c r="BF2233" s="1"/>
      <c r="BG2233" s="1"/>
      <c r="BH2233" s="1"/>
      <c r="BI2233" s="1"/>
      <c r="BJ2233" s="1"/>
      <c r="BK2233" s="1"/>
      <c r="BL2233" s="1"/>
      <c r="BM2233" s="1"/>
      <c r="BN2233" s="1"/>
      <c r="BO2233" s="1"/>
      <c r="BP2233" s="1"/>
      <c r="BQ2233" s="1"/>
      <c r="BR2233" s="1"/>
      <c r="BS2233" s="1"/>
      <c r="BT2233" s="1"/>
      <c r="BU2233" s="1"/>
      <c r="BV2233" s="1"/>
      <c r="BW2233" s="1"/>
      <c r="BX2233" s="1"/>
      <c r="BY2233" s="1"/>
      <c r="BZ2233" s="1"/>
      <c r="CA2233" s="1"/>
      <c r="CB2233" s="1"/>
      <c r="CC2233" s="1"/>
      <c r="CD2233" s="1"/>
      <c r="CE2233" s="1"/>
      <c r="CF2233" s="1"/>
      <c r="CG2233" s="1"/>
      <c r="CH2233" s="1"/>
      <c r="CI2233" s="1"/>
      <c r="CJ2233" s="1"/>
      <c r="CK2233" s="1"/>
      <c r="CL2233" s="1"/>
      <c r="CM2233" s="1"/>
      <c r="CN2233" s="1"/>
      <c r="CO2233" s="1"/>
      <c r="CP2233" s="1"/>
      <c r="CQ2233" s="1"/>
      <c r="CR2233" s="1"/>
      <c r="CS2233" s="1"/>
      <c r="CT2233" s="1"/>
      <c r="CU2233" s="1"/>
      <c r="CV2233" s="1"/>
      <c r="CW2233" s="1"/>
      <c r="CX2233" s="1"/>
      <c r="CY2233" s="1"/>
      <c r="CZ2233" s="1"/>
      <c r="DA2233" s="1"/>
      <c r="DB2233" s="1"/>
      <c r="DC2233" s="1"/>
    </row>
    <row r="2234" spans="1:107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  <c r="AC2234" s="1"/>
      <c r="AD2234" s="1"/>
      <c r="AE2234" s="1"/>
      <c r="AF2234" s="1"/>
      <c r="AG2234" s="1"/>
      <c r="AH2234" s="1"/>
      <c r="AI2234" s="1"/>
      <c r="AJ2234" s="1"/>
      <c r="AK2234" s="1"/>
      <c r="AL2234" s="1"/>
      <c r="AM2234" s="1"/>
      <c r="AN2234" s="1"/>
      <c r="AO2234" s="1"/>
      <c r="AP2234" s="1"/>
      <c r="AQ2234" s="1"/>
      <c r="AR2234" s="1"/>
      <c r="AS2234" s="1"/>
      <c r="AT2234" s="1"/>
      <c r="AU2234" s="1"/>
      <c r="AV2234" s="1"/>
      <c r="AW2234" s="1"/>
      <c r="AX2234" s="1"/>
      <c r="AY2234" s="1"/>
      <c r="AZ2234" s="1"/>
      <c r="BA2234" s="1"/>
      <c r="BB2234" s="1"/>
      <c r="BC2234" s="1"/>
      <c r="BD2234" s="1"/>
      <c r="BE2234" s="1"/>
      <c r="BF2234" s="1"/>
      <c r="BG2234" s="1"/>
      <c r="BH2234" s="1"/>
      <c r="BI2234" s="1"/>
      <c r="BJ2234" s="1"/>
      <c r="BK2234" s="1"/>
      <c r="BL2234" s="1"/>
      <c r="BM2234" s="1"/>
      <c r="BN2234" s="1"/>
      <c r="BO2234" s="1"/>
      <c r="BP2234" s="1"/>
      <c r="BQ2234" s="1"/>
      <c r="BR2234" s="1"/>
      <c r="BS2234" s="1"/>
      <c r="BT2234" s="1"/>
      <c r="BU2234" s="1"/>
      <c r="BV2234" s="1"/>
      <c r="BW2234" s="1"/>
      <c r="BX2234" s="1"/>
      <c r="BY2234" s="1"/>
      <c r="BZ2234" s="1"/>
      <c r="CA2234" s="1"/>
      <c r="CB2234" s="1"/>
      <c r="CC2234" s="1"/>
      <c r="CD2234" s="1"/>
      <c r="CE2234" s="1"/>
      <c r="CF2234" s="1"/>
      <c r="CG2234" s="1"/>
      <c r="CH2234" s="1"/>
      <c r="CI2234" s="1"/>
      <c r="CJ2234" s="1"/>
      <c r="CK2234" s="1"/>
      <c r="CL2234" s="1"/>
      <c r="CM2234" s="1"/>
      <c r="CN2234" s="1"/>
      <c r="CO2234" s="1"/>
      <c r="CP2234" s="1"/>
      <c r="CQ2234" s="1"/>
      <c r="CR2234" s="1"/>
      <c r="CS2234" s="1"/>
      <c r="CT2234" s="1"/>
      <c r="CU2234" s="1"/>
      <c r="CV2234" s="1"/>
      <c r="CW2234" s="1"/>
      <c r="CX2234" s="1"/>
      <c r="CY2234" s="1"/>
      <c r="CZ2234" s="1"/>
      <c r="DA2234" s="1"/>
      <c r="DB2234" s="1"/>
      <c r="DC2234" s="1"/>
    </row>
    <row r="2235" spans="1:107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  <c r="AC2235" s="1"/>
      <c r="AD2235" s="1"/>
      <c r="AE2235" s="1"/>
      <c r="AF2235" s="1"/>
      <c r="AG2235" s="1"/>
      <c r="AH2235" s="1"/>
      <c r="AI2235" s="1"/>
      <c r="AJ2235" s="1"/>
      <c r="AK2235" s="1"/>
      <c r="AL2235" s="1"/>
      <c r="AM2235" s="1"/>
      <c r="AN2235" s="1"/>
      <c r="AO2235" s="1"/>
      <c r="AP2235" s="1"/>
      <c r="AQ2235" s="1"/>
      <c r="AR2235" s="1"/>
      <c r="AS2235" s="1"/>
      <c r="AT2235" s="1"/>
      <c r="AU2235" s="1"/>
      <c r="AV2235" s="1"/>
      <c r="AW2235" s="1"/>
      <c r="AX2235" s="1"/>
      <c r="AY2235" s="1"/>
      <c r="AZ2235" s="1"/>
      <c r="BA2235" s="1"/>
      <c r="BB2235" s="1"/>
      <c r="BC2235" s="1"/>
      <c r="BD2235" s="1"/>
      <c r="BE2235" s="1"/>
      <c r="BF2235" s="1"/>
      <c r="BG2235" s="1"/>
      <c r="BH2235" s="1"/>
      <c r="BI2235" s="1"/>
      <c r="BJ2235" s="1"/>
      <c r="BK2235" s="1"/>
      <c r="BL2235" s="1"/>
      <c r="BM2235" s="1"/>
      <c r="BN2235" s="1"/>
      <c r="BO2235" s="1"/>
      <c r="BP2235" s="1"/>
      <c r="BQ2235" s="1"/>
      <c r="BR2235" s="1"/>
      <c r="BS2235" s="1"/>
      <c r="BT2235" s="1"/>
      <c r="BU2235" s="1"/>
      <c r="BV2235" s="1"/>
      <c r="BW2235" s="1"/>
      <c r="BX2235" s="1"/>
      <c r="BY2235" s="1"/>
      <c r="BZ2235" s="1"/>
      <c r="CA2235" s="1"/>
      <c r="CB2235" s="1"/>
      <c r="CC2235" s="1"/>
      <c r="CD2235" s="1"/>
      <c r="CE2235" s="1"/>
      <c r="CF2235" s="1"/>
      <c r="CG2235" s="1"/>
      <c r="CH2235" s="1"/>
      <c r="CI2235" s="1"/>
      <c r="CJ2235" s="1"/>
      <c r="CK2235" s="1"/>
      <c r="CL2235" s="1"/>
      <c r="CM2235" s="1"/>
      <c r="CN2235" s="1"/>
      <c r="CO2235" s="1"/>
      <c r="CP2235" s="1"/>
      <c r="CQ2235" s="1"/>
      <c r="CR2235" s="1"/>
      <c r="CS2235" s="1"/>
      <c r="CT2235" s="1"/>
      <c r="CU2235" s="1"/>
      <c r="CV2235" s="1"/>
      <c r="CW2235" s="1"/>
      <c r="CX2235" s="1"/>
      <c r="CY2235" s="1"/>
      <c r="CZ2235" s="1"/>
      <c r="DA2235" s="1"/>
      <c r="DB2235" s="1"/>
      <c r="DC2235" s="1"/>
    </row>
    <row r="2236" spans="1:107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1"/>
      <c r="AD2236" s="1"/>
      <c r="AE2236" s="1"/>
      <c r="AF2236" s="1"/>
      <c r="AG2236" s="1"/>
      <c r="AH2236" s="1"/>
      <c r="AI2236" s="1"/>
      <c r="AJ2236" s="1"/>
      <c r="AK2236" s="1"/>
      <c r="AL2236" s="1"/>
      <c r="AM2236" s="1"/>
      <c r="AN2236" s="1"/>
      <c r="AO2236" s="1"/>
      <c r="AP2236" s="1"/>
      <c r="AQ2236" s="1"/>
      <c r="AR2236" s="1"/>
      <c r="AS2236" s="1"/>
      <c r="AT2236" s="1"/>
      <c r="AU2236" s="1"/>
      <c r="AV2236" s="1"/>
      <c r="AW2236" s="1"/>
      <c r="AX2236" s="1"/>
      <c r="AY2236" s="1"/>
      <c r="AZ2236" s="1"/>
      <c r="BA2236" s="1"/>
      <c r="BB2236" s="1"/>
      <c r="BC2236" s="1"/>
      <c r="BD2236" s="1"/>
      <c r="BE2236" s="1"/>
      <c r="BF2236" s="1"/>
      <c r="BG2236" s="1"/>
      <c r="BH2236" s="1"/>
      <c r="BI2236" s="1"/>
      <c r="BJ2236" s="1"/>
      <c r="BK2236" s="1"/>
      <c r="BL2236" s="1"/>
      <c r="BM2236" s="1"/>
      <c r="BN2236" s="1"/>
      <c r="BO2236" s="1"/>
      <c r="BP2236" s="1"/>
      <c r="BQ2236" s="1"/>
      <c r="BR2236" s="1"/>
      <c r="BS2236" s="1"/>
      <c r="BT2236" s="1"/>
      <c r="BU2236" s="1"/>
      <c r="BV2236" s="1"/>
      <c r="BW2236" s="1"/>
      <c r="BX2236" s="1"/>
      <c r="BY2236" s="1"/>
      <c r="BZ2236" s="1"/>
      <c r="CA2236" s="1"/>
      <c r="CB2236" s="1"/>
      <c r="CC2236" s="1"/>
      <c r="CD2236" s="1"/>
      <c r="CE2236" s="1"/>
      <c r="CF2236" s="1"/>
      <c r="CG2236" s="1"/>
      <c r="CH2236" s="1"/>
      <c r="CI2236" s="1"/>
      <c r="CJ2236" s="1"/>
      <c r="CK2236" s="1"/>
      <c r="CL2236" s="1"/>
      <c r="CM2236" s="1"/>
      <c r="CN2236" s="1"/>
      <c r="CO2236" s="1"/>
      <c r="CP2236" s="1"/>
      <c r="CQ2236" s="1"/>
      <c r="CR2236" s="1"/>
      <c r="CS2236" s="1"/>
      <c r="CT2236" s="1"/>
      <c r="CU2236" s="1"/>
      <c r="CV2236" s="1"/>
      <c r="CW2236" s="1"/>
      <c r="CX2236" s="1"/>
      <c r="CY2236" s="1"/>
      <c r="CZ2236" s="1"/>
      <c r="DA2236" s="1"/>
      <c r="DB2236" s="1"/>
      <c r="DC2236" s="1"/>
    </row>
    <row r="2237" spans="1:107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  <c r="AE2237" s="1"/>
      <c r="AF2237" s="1"/>
      <c r="AG2237" s="1"/>
      <c r="AH2237" s="1"/>
      <c r="AI2237" s="1"/>
      <c r="AJ2237" s="1"/>
      <c r="AK2237" s="1"/>
      <c r="AL2237" s="1"/>
      <c r="AM2237" s="1"/>
      <c r="AN2237" s="1"/>
      <c r="AO2237" s="1"/>
      <c r="AP2237" s="1"/>
      <c r="AQ2237" s="1"/>
      <c r="AR2237" s="1"/>
      <c r="AS2237" s="1"/>
      <c r="AT2237" s="1"/>
      <c r="AU2237" s="1"/>
      <c r="AV2237" s="1"/>
      <c r="AW2237" s="1"/>
      <c r="AX2237" s="1"/>
      <c r="AY2237" s="1"/>
      <c r="AZ2237" s="1"/>
      <c r="BA2237" s="1"/>
      <c r="BB2237" s="1"/>
      <c r="BC2237" s="1"/>
      <c r="BD2237" s="1"/>
      <c r="BE2237" s="1"/>
      <c r="BF2237" s="1"/>
      <c r="BG2237" s="1"/>
      <c r="BH2237" s="1"/>
      <c r="BI2237" s="1"/>
      <c r="BJ2237" s="1"/>
      <c r="BK2237" s="1"/>
      <c r="BL2237" s="1"/>
      <c r="BM2237" s="1"/>
      <c r="BN2237" s="1"/>
      <c r="BO2237" s="1"/>
      <c r="BP2237" s="1"/>
      <c r="BQ2237" s="1"/>
      <c r="BR2237" s="1"/>
      <c r="BS2237" s="1"/>
      <c r="BT2237" s="1"/>
      <c r="BU2237" s="1"/>
      <c r="BV2237" s="1"/>
      <c r="BW2237" s="1"/>
      <c r="BX2237" s="1"/>
      <c r="BY2237" s="1"/>
      <c r="BZ2237" s="1"/>
      <c r="CA2237" s="1"/>
      <c r="CB2237" s="1"/>
      <c r="CC2237" s="1"/>
      <c r="CD2237" s="1"/>
      <c r="CE2237" s="1"/>
      <c r="CF2237" s="1"/>
      <c r="CG2237" s="1"/>
      <c r="CH2237" s="1"/>
      <c r="CI2237" s="1"/>
      <c r="CJ2237" s="1"/>
      <c r="CK2237" s="1"/>
      <c r="CL2237" s="1"/>
      <c r="CM2237" s="1"/>
      <c r="CN2237" s="1"/>
      <c r="CO2237" s="1"/>
      <c r="CP2237" s="1"/>
      <c r="CQ2237" s="1"/>
      <c r="CR2237" s="1"/>
      <c r="CS2237" s="1"/>
      <c r="CT2237" s="1"/>
      <c r="CU2237" s="1"/>
      <c r="CV2237" s="1"/>
      <c r="CW2237" s="1"/>
      <c r="CX2237" s="1"/>
      <c r="CY2237" s="1"/>
      <c r="CZ2237" s="1"/>
      <c r="DA2237" s="1"/>
      <c r="DB2237" s="1"/>
      <c r="DC2237" s="1"/>
    </row>
    <row r="2238" spans="1:107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1"/>
      <c r="AD2238" s="1"/>
      <c r="AE2238" s="1"/>
      <c r="AF2238" s="1"/>
      <c r="AG2238" s="1"/>
      <c r="AH2238" s="1"/>
      <c r="AI2238" s="1"/>
      <c r="AJ2238" s="1"/>
      <c r="AK2238" s="1"/>
      <c r="AL2238" s="1"/>
      <c r="AM2238" s="1"/>
      <c r="AN2238" s="1"/>
      <c r="AO2238" s="1"/>
      <c r="AP2238" s="1"/>
      <c r="AQ2238" s="1"/>
      <c r="AR2238" s="1"/>
      <c r="AS2238" s="1"/>
      <c r="AT2238" s="1"/>
      <c r="AU2238" s="1"/>
      <c r="AV2238" s="1"/>
      <c r="AW2238" s="1"/>
      <c r="AX2238" s="1"/>
      <c r="AY2238" s="1"/>
      <c r="AZ2238" s="1"/>
      <c r="BA2238" s="1"/>
      <c r="BB2238" s="1"/>
      <c r="BC2238" s="1"/>
      <c r="BD2238" s="1"/>
      <c r="BE2238" s="1"/>
      <c r="BF2238" s="1"/>
      <c r="BG2238" s="1"/>
      <c r="BH2238" s="1"/>
      <c r="BI2238" s="1"/>
      <c r="BJ2238" s="1"/>
      <c r="BK2238" s="1"/>
      <c r="BL2238" s="1"/>
      <c r="BM2238" s="1"/>
      <c r="BN2238" s="1"/>
      <c r="BO2238" s="1"/>
      <c r="BP2238" s="1"/>
      <c r="BQ2238" s="1"/>
      <c r="BR2238" s="1"/>
      <c r="BS2238" s="1"/>
      <c r="BT2238" s="1"/>
      <c r="BU2238" s="1"/>
      <c r="BV2238" s="1"/>
      <c r="BW2238" s="1"/>
      <c r="BX2238" s="1"/>
      <c r="BY2238" s="1"/>
      <c r="BZ2238" s="1"/>
      <c r="CA2238" s="1"/>
      <c r="CB2238" s="1"/>
      <c r="CC2238" s="1"/>
      <c r="CD2238" s="1"/>
      <c r="CE2238" s="1"/>
      <c r="CF2238" s="1"/>
      <c r="CG2238" s="1"/>
      <c r="CH2238" s="1"/>
      <c r="CI2238" s="1"/>
      <c r="CJ2238" s="1"/>
      <c r="CK2238" s="1"/>
      <c r="CL2238" s="1"/>
      <c r="CM2238" s="1"/>
      <c r="CN2238" s="1"/>
      <c r="CO2238" s="1"/>
      <c r="CP2238" s="1"/>
      <c r="CQ2238" s="1"/>
      <c r="CR2238" s="1"/>
      <c r="CS2238" s="1"/>
      <c r="CT2238" s="1"/>
      <c r="CU2238" s="1"/>
      <c r="CV2238" s="1"/>
      <c r="CW2238" s="1"/>
      <c r="CX2238" s="1"/>
      <c r="CY2238" s="1"/>
      <c r="CZ2238" s="1"/>
      <c r="DA2238" s="1"/>
      <c r="DB2238" s="1"/>
      <c r="DC2238" s="1"/>
    </row>
    <row r="2239" spans="1:107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  <c r="AD2239" s="1"/>
      <c r="AE2239" s="1"/>
      <c r="AF2239" s="1"/>
      <c r="AG2239" s="1"/>
      <c r="AH2239" s="1"/>
      <c r="AI2239" s="1"/>
      <c r="AJ2239" s="1"/>
      <c r="AK2239" s="1"/>
      <c r="AL2239" s="1"/>
      <c r="AM2239" s="1"/>
      <c r="AN2239" s="1"/>
      <c r="AO2239" s="1"/>
      <c r="AP2239" s="1"/>
      <c r="AQ2239" s="1"/>
      <c r="AR2239" s="1"/>
      <c r="AS2239" s="1"/>
      <c r="AT2239" s="1"/>
      <c r="AU2239" s="1"/>
      <c r="AV2239" s="1"/>
      <c r="AW2239" s="1"/>
      <c r="AX2239" s="1"/>
      <c r="AY2239" s="1"/>
      <c r="AZ2239" s="1"/>
      <c r="BA2239" s="1"/>
      <c r="BB2239" s="1"/>
      <c r="BC2239" s="1"/>
      <c r="BD2239" s="1"/>
      <c r="BE2239" s="1"/>
      <c r="BF2239" s="1"/>
      <c r="BG2239" s="1"/>
      <c r="BH2239" s="1"/>
      <c r="BI2239" s="1"/>
      <c r="BJ2239" s="1"/>
      <c r="BK2239" s="1"/>
      <c r="BL2239" s="1"/>
      <c r="BM2239" s="1"/>
      <c r="BN2239" s="1"/>
      <c r="BO2239" s="1"/>
      <c r="BP2239" s="1"/>
      <c r="BQ2239" s="1"/>
      <c r="BR2239" s="1"/>
      <c r="BS2239" s="1"/>
      <c r="BT2239" s="1"/>
      <c r="BU2239" s="1"/>
      <c r="BV2239" s="1"/>
      <c r="BW2239" s="1"/>
      <c r="BX2239" s="1"/>
      <c r="BY2239" s="1"/>
      <c r="BZ2239" s="1"/>
      <c r="CA2239" s="1"/>
      <c r="CB2239" s="1"/>
      <c r="CC2239" s="1"/>
      <c r="CD2239" s="1"/>
      <c r="CE2239" s="1"/>
      <c r="CF2239" s="1"/>
      <c r="CG2239" s="1"/>
      <c r="CH2239" s="1"/>
      <c r="CI2239" s="1"/>
      <c r="CJ2239" s="1"/>
      <c r="CK2239" s="1"/>
      <c r="CL2239" s="1"/>
      <c r="CM2239" s="1"/>
      <c r="CN2239" s="1"/>
      <c r="CO2239" s="1"/>
      <c r="CP2239" s="1"/>
      <c r="CQ2239" s="1"/>
      <c r="CR2239" s="1"/>
      <c r="CS2239" s="1"/>
      <c r="CT2239" s="1"/>
      <c r="CU2239" s="1"/>
      <c r="CV2239" s="1"/>
      <c r="CW2239" s="1"/>
      <c r="CX2239" s="1"/>
      <c r="CY2239" s="1"/>
      <c r="CZ2239" s="1"/>
      <c r="DA2239" s="1"/>
      <c r="DB2239" s="1"/>
      <c r="DC2239" s="1"/>
    </row>
    <row r="2240" spans="1:107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  <c r="AD2240" s="1"/>
      <c r="AE2240" s="1"/>
      <c r="AF2240" s="1"/>
      <c r="AG2240" s="1"/>
      <c r="AH2240" s="1"/>
      <c r="AI2240" s="1"/>
      <c r="AJ2240" s="1"/>
      <c r="AK2240" s="1"/>
      <c r="AL2240" s="1"/>
      <c r="AM2240" s="1"/>
      <c r="AN2240" s="1"/>
      <c r="AO2240" s="1"/>
      <c r="AP2240" s="1"/>
      <c r="AQ2240" s="1"/>
      <c r="AR2240" s="1"/>
      <c r="AS2240" s="1"/>
      <c r="AT2240" s="1"/>
      <c r="AU2240" s="1"/>
      <c r="AV2240" s="1"/>
      <c r="AW2240" s="1"/>
      <c r="AX2240" s="1"/>
      <c r="AY2240" s="1"/>
      <c r="AZ2240" s="1"/>
      <c r="BA2240" s="1"/>
      <c r="BB2240" s="1"/>
      <c r="BC2240" s="1"/>
      <c r="BD2240" s="1"/>
      <c r="BE2240" s="1"/>
      <c r="BF2240" s="1"/>
      <c r="BG2240" s="1"/>
      <c r="BH2240" s="1"/>
      <c r="BI2240" s="1"/>
      <c r="BJ2240" s="1"/>
      <c r="BK2240" s="1"/>
      <c r="BL2240" s="1"/>
      <c r="BM2240" s="1"/>
      <c r="BN2240" s="1"/>
      <c r="BO2240" s="1"/>
      <c r="BP2240" s="1"/>
      <c r="BQ2240" s="1"/>
      <c r="BR2240" s="1"/>
      <c r="BS2240" s="1"/>
      <c r="BT2240" s="1"/>
      <c r="BU2240" s="1"/>
      <c r="BV2240" s="1"/>
      <c r="BW2240" s="1"/>
      <c r="BX2240" s="1"/>
      <c r="BY2240" s="1"/>
      <c r="BZ2240" s="1"/>
      <c r="CA2240" s="1"/>
      <c r="CB2240" s="1"/>
      <c r="CC2240" s="1"/>
      <c r="CD2240" s="1"/>
      <c r="CE2240" s="1"/>
      <c r="CF2240" s="1"/>
      <c r="CG2240" s="1"/>
      <c r="CH2240" s="1"/>
      <c r="CI2240" s="1"/>
      <c r="CJ2240" s="1"/>
      <c r="CK2240" s="1"/>
      <c r="CL2240" s="1"/>
      <c r="CM2240" s="1"/>
      <c r="CN2240" s="1"/>
      <c r="CO2240" s="1"/>
      <c r="CP2240" s="1"/>
      <c r="CQ2240" s="1"/>
      <c r="CR2240" s="1"/>
      <c r="CS2240" s="1"/>
      <c r="CT2240" s="1"/>
      <c r="CU2240" s="1"/>
      <c r="CV2240" s="1"/>
      <c r="CW2240" s="1"/>
      <c r="CX2240" s="1"/>
      <c r="CY2240" s="1"/>
      <c r="CZ2240" s="1"/>
      <c r="DA2240" s="1"/>
      <c r="DB2240" s="1"/>
      <c r="DC2240" s="1"/>
    </row>
    <row r="2241" spans="1:107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1"/>
      <c r="AD2241" s="1"/>
      <c r="AE2241" s="1"/>
      <c r="AF2241" s="1"/>
      <c r="AG2241" s="1"/>
      <c r="AH2241" s="1"/>
      <c r="AI2241" s="1"/>
      <c r="AJ2241" s="1"/>
      <c r="AK2241" s="1"/>
      <c r="AL2241" s="1"/>
      <c r="AM2241" s="1"/>
      <c r="AN2241" s="1"/>
      <c r="AO2241" s="1"/>
      <c r="AP2241" s="1"/>
      <c r="AQ2241" s="1"/>
      <c r="AR2241" s="1"/>
      <c r="AS2241" s="1"/>
      <c r="AT2241" s="1"/>
      <c r="AU2241" s="1"/>
      <c r="AV2241" s="1"/>
      <c r="AW2241" s="1"/>
      <c r="AX2241" s="1"/>
      <c r="AY2241" s="1"/>
      <c r="AZ2241" s="1"/>
      <c r="BA2241" s="1"/>
      <c r="BB2241" s="1"/>
      <c r="BC2241" s="1"/>
      <c r="BD2241" s="1"/>
      <c r="BE2241" s="1"/>
      <c r="BF2241" s="1"/>
      <c r="BG2241" s="1"/>
      <c r="BH2241" s="1"/>
      <c r="BI2241" s="1"/>
      <c r="BJ2241" s="1"/>
      <c r="BK2241" s="1"/>
      <c r="BL2241" s="1"/>
      <c r="BM2241" s="1"/>
      <c r="BN2241" s="1"/>
      <c r="BO2241" s="1"/>
      <c r="BP2241" s="1"/>
      <c r="BQ2241" s="1"/>
      <c r="BR2241" s="1"/>
      <c r="BS2241" s="1"/>
      <c r="BT2241" s="1"/>
      <c r="BU2241" s="1"/>
      <c r="BV2241" s="1"/>
      <c r="BW2241" s="1"/>
      <c r="BX2241" s="1"/>
      <c r="BY2241" s="1"/>
      <c r="BZ2241" s="1"/>
      <c r="CA2241" s="1"/>
      <c r="CB2241" s="1"/>
      <c r="CC2241" s="1"/>
      <c r="CD2241" s="1"/>
      <c r="CE2241" s="1"/>
      <c r="CF2241" s="1"/>
      <c r="CG2241" s="1"/>
      <c r="CH2241" s="1"/>
      <c r="CI2241" s="1"/>
      <c r="CJ2241" s="1"/>
      <c r="CK2241" s="1"/>
      <c r="CL2241" s="1"/>
      <c r="CM2241" s="1"/>
      <c r="CN2241" s="1"/>
      <c r="CO2241" s="1"/>
      <c r="CP2241" s="1"/>
      <c r="CQ2241" s="1"/>
      <c r="CR2241" s="1"/>
      <c r="CS2241" s="1"/>
      <c r="CT2241" s="1"/>
      <c r="CU2241" s="1"/>
      <c r="CV2241" s="1"/>
      <c r="CW2241" s="1"/>
      <c r="CX2241" s="1"/>
      <c r="CY2241" s="1"/>
      <c r="CZ2241" s="1"/>
      <c r="DA2241" s="1"/>
      <c r="DB2241" s="1"/>
      <c r="DC2241" s="1"/>
    </row>
    <row r="2242" spans="1:107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  <c r="AC2242" s="1"/>
      <c r="AD2242" s="1"/>
      <c r="AE2242" s="1"/>
      <c r="AF2242" s="1"/>
      <c r="AG2242" s="1"/>
      <c r="AH2242" s="1"/>
      <c r="AI2242" s="1"/>
      <c r="AJ2242" s="1"/>
      <c r="AK2242" s="1"/>
      <c r="AL2242" s="1"/>
      <c r="AM2242" s="1"/>
      <c r="AN2242" s="1"/>
      <c r="AO2242" s="1"/>
      <c r="AP2242" s="1"/>
      <c r="AQ2242" s="1"/>
      <c r="AR2242" s="1"/>
      <c r="AS2242" s="1"/>
      <c r="AT2242" s="1"/>
      <c r="AU2242" s="1"/>
      <c r="AV2242" s="1"/>
      <c r="AW2242" s="1"/>
      <c r="AX2242" s="1"/>
      <c r="AY2242" s="1"/>
      <c r="AZ2242" s="1"/>
      <c r="BA2242" s="1"/>
      <c r="BB2242" s="1"/>
      <c r="BC2242" s="1"/>
      <c r="BD2242" s="1"/>
      <c r="BE2242" s="1"/>
      <c r="BF2242" s="1"/>
      <c r="BG2242" s="1"/>
      <c r="BH2242" s="1"/>
      <c r="BI2242" s="1"/>
      <c r="BJ2242" s="1"/>
      <c r="BK2242" s="1"/>
      <c r="BL2242" s="1"/>
      <c r="BM2242" s="1"/>
      <c r="BN2242" s="1"/>
      <c r="BO2242" s="1"/>
      <c r="BP2242" s="1"/>
      <c r="BQ2242" s="1"/>
      <c r="BR2242" s="1"/>
      <c r="BS2242" s="1"/>
      <c r="BT2242" s="1"/>
      <c r="BU2242" s="1"/>
      <c r="BV2242" s="1"/>
      <c r="BW2242" s="1"/>
      <c r="BX2242" s="1"/>
      <c r="BY2242" s="1"/>
      <c r="BZ2242" s="1"/>
      <c r="CA2242" s="1"/>
      <c r="CB2242" s="1"/>
      <c r="CC2242" s="1"/>
      <c r="CD2242" s="1"/>
      <c r="CE2242" s="1"/>
      <c r="CF2242" s="1"/>
      <c r="CG2242" s="1"/>
      <c r="CH2242" s="1"/>
      <c r="CI2242" s="1"/>
      <c r="CJ2242" s="1"/>
      <c r="CK2242" s="1"/>
      <c r="CL2242" s="1"/>
      <c r="CM2242" s="1"/>
      <c r="CN2242" s="1"/>
      <c r="CO2242" s="1"/>
      <c r="CP2242" s="1"/>
      <c r="CQ2242" s="1"/>
      <c r="CR2242" s="1"/>
      <c r="CS2242" s="1"/>
      <c r="CT2242" s="1"/>
      <c r="CU2242" s="1"/>
      <c r="CV2242" s="1"/>
      <c r="CW2242" s="1"/>
      <c r="CX2242" s="1"/>
      <c r="CY2242" s="1"/>
      <c r="CZ2242" s="1"/>
      <c r="DA2242" s="1"/>
      <c r="DB2242" s="1"/>
      <c r="DC2242" s="1"/>
    </row>
    <row r="2243" spans="1:107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  <c r="AC2243" s="1"/>
      <c r="AD2243" s="1"/>
      <c r="AE2243" s="1"/>
      <c r="AF2243" s="1"/>
      <c r="AG2243" s="1"/>
      <c r="AH2243" s="1"/>
      <c r="AI2243" s="1"/>
      <c r="AJ2243" s="1"/>
      <c r="AK2243" s="1"/>
      <c r="AL2243" s="1"/>
      <c r="AM2243" s="1"/>
      <c r="AN2243" s="1"/>
      <c r="AO2243" s="1"/>
      <c r="AP2243" s="1"/>
      <c r="AQ2243" s="1"/>
      <c r="AR2243" s="1"/>
      <c r="AS2243" s="1"/>
      <c r="AT2243" s="1"/>
      <c r="AU2243" s="1"/>
      <c r="AV2243" s="1"/>
      <c r="AW2243" s="1"/>
      <c r="AX2243" s="1"/>
      <c r="AY2243" s="1"/>
      <c r="AZ2243" s="1"/>
      <c r="BA2243" s="1"/>
      <c r="BB2243" s="1"/>
      <c r="BC2243" s="1"/>
      <c r="BD2243" s="1"/>
      <c r="BE2243" s="1"/>
      <c r="BF2243" s="1"/>
      <c r="BG2243" s="1"/>
      <c r="BH2243" s="1"/>
      <c r="BI2243" s="1"/>
      <c r="BJ2243" s="1"/>
      <c r="BK2243" s="1"/>
      <c r="BL2243" s="1"/>
      <c r="BM2243" s="1"/>
      <c r="BN2243" s="1"/>
      <c r="BO2243" s="1"/>
      <c r="BP2243" s="1"/>
      <c r="BQ2243" s="1"/>
      <c r="BR2243" s="1"/>
      <c r="BS2243" s="1"/>
      <c r="BT2243" s="1"/>
      <c r="BU2243" s="1"/>
      <c r="BV2243" s="1"/>
      <c r="BW2243" s="1"/>
      <c r="BX2243" s="1"/>
      <c r="BY2243" s="1"/>
      <c r="BZ2243" s="1"/>
      <c r="CA2243" s="1"/>
      <c r="CB2243" s="1"/>
      <c r="CC2243" s="1"/>
      <c r="CD2243" s="1"/>
      <c r="CE2243" s="1"/>
      <c r="CF2243" s="1"/>
      <c r="CG2243" s="1"/>
      <c r="CH2243" s="1"/>
      <c r="CI2243" s="1"/>
      <c r="CJ2243" s="1"/>
      <c r="CK2243" s="1"/>
      <c r="CL2243" s="1"/>
      <c r="CM2243" s="1"/>
      <c r="CN2243" s="1"/>
      <c r="CO2243" s="1"/>
      <c r="CP2243" s="1"/>
      <c r="CQ2243" s="1"/>
      <c r="CR2243" s="1"/>
      <c r="CS2243" s="1"/>
      <c r="CT2243" s="1"/>
      <c r="CU2243" s="1"/>
      <c r="CV2243" s="1"/>
      <c r="CW2243" s="1"/>
      <c r="CX2243" s="1"/>
      <c r="CY2243" s="1"/>
      <c r="CZ2243" s="1"/>
      <c r="DA2243" s="1"/>
      <c r="DB2243" s="1"/>
      <c r="DC2243" s="1"/>
    </row>
    <row r="2244" spans="1:107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  <c r="AC2244" s="1"/>
      <c r="AD2244" s="1"/>
      <c r="AE2244" s="1"/>
      <c r="AF2244" s="1"/>
      <c r="AG2244" s="1"/>
      <c r="AH2244" s="1"/>
      <c r="AI2244" s="1"/>
      <c r="AJ2244" s="1"/>
      <c r="AK2244" s="1"/>
      <c r="AL2244" s="1"/>
      <c r="AM2244" s="1"/>
      <c r="AN2244" s="1"/>
      <c r="AO2244" s="1"/>
      <c r="AP2244" s="1"/>
      <c r="AQ2244" s="1"/>
      <c r="AR2244" s="1"/>
      <c r="AS2244" s="1"/>
      <c r="AT2244" s="1"/>
      <c r="AU2244" s="1"/>
      <c r="AV2244" s="1"/>
      <c r="AW2244" s="1"/>
      <c r="AX2244" s="1"/>
      <c r="AY2244" s="1"/>
      <c r="AZ2244" s="1"/>
      <c r="BA2244" s="1"/>
      <c r="BB2244" s="1"/>
      <c r="BC2244" s="1"/>
      <c r="BD2244" s="1"/>
      <c r="BE2244" s="1"/>
      <c r="BF2244" s="1"/>
      <c r="BG2244" s="1"/>
      <c r="BH2244" s="1"/>
      <c r="BI2244" s="1"/>
      <c r="BJ2244" s="1"/>
      <c r="BK2244" s="1"/>
      <c r="BL2244" s="1"/>
      <c r="BM2244" s="1"/>
      <c r="BN2244" s="1"/>
      <c r="BO2244" s="1"/>
      <c r="BP2244" s="1"/>
      <c r="BQ2244" s="1"/>
      <c r="BR2244" s="1"/>
      <c r="BS2244" s="1"/>
      <c r="BT2244" s="1"/>
      <c r="BU2244" s="1"/>
      <c r="BV2244" s="1"/>
      <c r="BW2244" s="1"/>
      <c r="BX2244" s="1"/>
      <c r="BY2244" s="1"/>
      <c r="BZ2244" s="1"/>
      <c r="CA2244" s="1"/>
      <c r="CB2244" s="1"/>
      <c r="CC2244" s="1"/>
      <c r="CD2244" s="1"/>
      <c r="CE2244" s="1"/>
      <c r="CF2244" s="1"/>
      <c r="CG2244" s="1"/>
      <c r="CH2244" s="1"/>
      <c r="CI2244" s="1"/>
      <c r="CJ2244" s="1"/>
      <c r="CK2244" s="1"/>
      <c r="CL2244" s="1"/>
      <c r="CM2244" s="1"/>
      <c r="CN2244" s="1"/>
      <c r="CO2244" s="1"/>
      <c r="CP2244" s="1"/>
      <c r="CQ2244" s="1"/>
      <c r="CR2244" s="1"/>
      <c r="CS2244" s="1"/>
      <c r="CT2244" s="1"/>
      <c r="CU2244" s="1"/>
      <c r="CV2244" s="1"/>
      <c r="CW2244" s="1"/>
      <c r="CX2244" s="1"/>
      <c r="CY2244" s="1"/>
      <c r="CZ2244" s="1"/>
      <c r="DA2244" s="1"/>
      <c r="DB2244" s="1"/>
      <c r="DC2244" s="1"/>
    </row>
    <row r="2245" spans="1:107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  <c r="AC2245" s="1"/>
      <c r="AD2245" s="1"/>
      <c r="AE2245" s="1"/>
      <c r="AF2245" s="1"/>
      <c r="AG2245" s="1"/>
      <c r="AH2245" s="1"/>
      <c r="AI2245" s="1"/>
      <c r="AJ2245" s="1"/>
      <c r="AK2245" s="1"/>
      <c r="AL2245" s="1"/>
      <c r="AM2245" s="1"/>
      <c r="AN2245" s="1"/>
      <c r="AO2245" s="1"/>
      <c r="AP2245" s="1"/>
      <c r="AQ2245" s="1"/>
      <c r="AR2245" s="1"/>
      <c r="AS2245" s="1"/>
      <c r="AT2245" s="1"/>
      <c r="AU2245" s="1"/>
      <c r="AV2245" s="1"/>
      <c r="AW2245" s="1"/>
      <c r="AX2245" s="1"/>
      <c r="AY2245" s="1"/>
      <c r="AZ2245" s="1"/>
      <c r="BA2245" s="1"/>
      <c r="BB2245" s="1"/>
      <c r="BC2245" s="1"/>
      <c r="BD2245" s="1"/>
      <c r="BE2245" s="1"/>
      <c r="BF2245" s="1"/>
      <c r="BG2245" s="1"/>
      <c r="BH2245" s="1"/>
      <c r="BI2245" s="1"/>
      <c r="BJ2245" s="1"/>
      <c r="BK2245" s="1"/>
      <c r="BL2245" s="1"/>
      <c r="BM2245" s="1"/>
      <c r="BN2245" s="1"/>
      <c r="BO2245" s="1"/>
      <c r="BP2245" s="1"/>
      <c r="BQ2245" s="1"/>
      <c r="BR2245" s="1"/>
      <c r="BS2245" s="1"/>
      <c r="BT2245" s="1"/>
      <c r="BU2245" s="1"/>
      <c r="BV2245" s="1"/>
      <c r="BW2245" s="1"/>
      <c r="BX2245" s="1"/>
      <c r="BY2245" s="1"/>
      <c r="BZ2245" s="1"/>
      <c r="CA2245" s="1"/>
      <c r="CB2245" s="1"/>
      <c r="CC2245" s="1"/>
      <c r="CD2245" s="1"/>
      <c r="CE2245" s="1"/>
      <c r="CF2245" s="1"/>
      <c r="CG2245" s="1"/>
      <c r="CH2245" s="1"/>
      <c r="CI2245" s="1"/>
      <c r="CJ2245" s="1"/>
      <c r="CK2245" s="1"/>
      <c r="CL2245" s="1"/>
      <c r="CM2245" s="1"/>
      <c r="CN2245" s="1"/>
      <c r="CO2245" s="1"/>
      <c r="CP2245" s="1"/>
      <c r="CQ2245" s="1"/>
      <c r="CR2245" s="1"/>
      <c r="CS2245" s="1"/>
      <c r="CT2245" s="1"/>
      <c r="CU2245" s="1"/>
      <c r="CV2245" s="1"/>
      <c r="CW2245" s="1"/>
      <c r="CX2245" s="1"/>
      <c r="CY2245" s="1"/>
      <c r="CZ2245" s="1"/>
      <c r="DA2245" s="1"/>
      <c r="DB2245" s="1"/>
      <c r="DC2245" s="1"/>
    </row>
    <row r="2246" spans="1:107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1"/>
      <c r="AD2246" s="1"/>
      <c r="AE2246" s="1"/>
      <c r="AF2246" s="1"/>
      <c r="AG2246" s="1"/>
      <c r="AH2246" s="1"/>
      <c r="AI2246" s="1"/>
      <c r="AJ2246" s="1"/>
      <c r="AK2246" s="1"/>
      <c r="AL2246" s="1"/>
      <c r="AM2246" s="1"/>
      <c r="AN2246" s="1"/>
      <c r="AO2246" s="1"/>
      <c r="AP2246" s="1"/>
      <c r="AQ2246" s="1"/>
      <c r="AR2246" s="1"/>
      <c r="AS2246" s="1"/>
      <c r="AT2246" s="1"/>
      <c r="AU2246" s="1"/>
      <c r="AV2246" s="1"/>
      <c r="AW2246" s="1"/>
      <c r="AX2246" s="1"/>
      <c r="AY2246" s="1"/>
      <c r="AZ2246" s="1"/>
      <c r="BA2246" s="1"/>
      <c r="BB2246" s="1"/>
      <c r="BC2246" s="1"/>
      <c r="BD2246" s="1"/>
      <c r="BE2246" s="1"/>
      <c r="BF2246" s="1"/>
      <c r="BG2246" s="1"/>
      <c r="BH2246" s="1"/>
      <c r="BI2246" s="1"/>
      <c r="BJ2246" s="1"/>
      <c r="BK2246" s="1"/>
      <c r="BL2246" s="1"/>
      <c r="BM2246" s="1"/>
      <c r="BN2246" s="1"/>
      <c r="BO2246" s="1"/>
      <c r="BP2246" s="1"/>
      <c r="BQ2246" s="1"/>
      <c r="BR2246" s="1"/>
      <c r="BS2246" s="1"/>
      <c r="BT2246" s="1"/>
      <c r="BU2246" s="1"/>
      <c r="BV2246" s="1"/>
      <c r="BW2246" s="1"/>
      <c r="BX2246" s="1"/>
      <c r="BY2246" s="1"/>
      <c r="BZ2246" s="1"/>
      <c r="CA2246" s="1"/>
      <c r="CB2246" s="1"/>
      <c r="CC2246" s="1"/>
      <c r="CD2246" s="1"/>
      <c r="CE2246" s="1"/>
      <c r="CF2246" s="1"/>
      <c r="CG2246" s="1"/>
      <c r="CH2246" s="1"/>
      <c r="CI2246" s="1"/>
      <c r="CJ2246" s="1"/>
      <c r="CK2246" s="1"/>
      <c r="CL2246" s="1"/>
      <c r="CM2246" s="1"/>
      <c r="CN2246" s="1"/>
      <c r="CO2246" s="1"/>
      <c r="CP2246" s="1"/>
      <c r="CQ2246" s="1"/>
      <c r="CR2246" s="1"/>
      <c r="CS2246" s="1"/>
      <c r="CT2246" s="1"/>
      <c r="CU2246" s="1"/>
      <c r="CV2246" s="1"/>
      <c r="CW2246" s="1"/>
      <c r="CX2246" s="1"/>
      <c r="CY2246" s="1"/>
      <c r="CZ2246" s="1"/>
      <c r="DA2246" s="1"/>
      <c r="DB2246" s="1"/>
      <c r="DC2246" s="1"/>
    </row>
    <row r="2247" spans="1:107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1"/>
      <c r="AD2247" s="1"/>
      <c r="AE2247" s="1"/>
      <c r="AF2247" s="1"/>
      <c r="AG2247" s="1"/>
      <c r="AH2247" s="1"/>
      <c r="AI2247" s="1"/>
      <c r="AJ2247" s="1"/>
      <c r="AK2247" s="1"/>
      <c r="AL2247" s="1"/>
      <c r="AM2247" s="1"/>
      <c r="AN2247" s="1"/>
      <c r="AO2247" s="1"/>
      <c r="AP2247" s="1"/>
      <c r="AQ2247" s="1"/>
      <c r="AR2247" s="1"/>
      <c r="AS2247" s="1"/>
      <c r="AT2247" s="1"/>
      <c r="AU2247" s="1"/>
      <c r="AV2247" s="1"/>
      <c r="AW2247" s="1"/>
      <c r="AX2247" s="1"/>
      <c r="AY2247" s="1"/>
      <c r="AZ2247" s="1"/>
      <c r="BA2247" s="1"/>
      <c r="BB2247" s="1"/>
      <c r="BC2247" s="1"/>
      <c r="BD2247" s="1"/>
      <c r="BE2247" s="1"/>
      <c r="BF2247" s="1"/>
      <c r="BG2247" s="1"/>
      <c r="BH2247" s="1"/>
      <c r="BI2247" s="1"/>
      <c r="BJ2247" s="1"/>
      <c r="BK2247" s="1"/>
      <c r="BL2247" s="1"/>
      <c r="BM2247" s="1"/>
      <c r="BN2247" s="1"/>
      <c r="BO2247" s="1"/>
      <c r="BP2247" s="1"/>
      <c r="BQ2247" s="1"/>
      <c r="BR2247" s="1"/>
      <c r="BS2247" s="1"/>
      <c r="BT2247" s="1"/>
      <c r="BU2247" s="1"/>
      <c r="BV2247" s="1"/>
      <c r="BW2247" s="1"/>
      <c r="BX2247" s="1"/>
      <c r="BY2247" s="1"/>
      <c r="BZ2247" s="1"/>
      <c r="CA2247" s="1"/>
      <c r="CB2247" s="1"/>
      <c r="CC2247" s="1"/>
      <c r="CD2247" s="1"/>
      <c r="CE2247" s="1"/>
      <c r="CF2247" s="1"/>
      <c r="CG2247" s="1"/>
      <c r="CH2247" s="1"/>
      <c r="CI2247" s="1"/>
      <c r="CJ2247" s="1"/>
      <c r="CK2247" s="1"/>
      <c r="CL2247" s="1"/>
      <c r="CM2247" s="1"/>
      <c r="CN2247" s="1"/>
      <c r="CO2247" s="1"/>
      <c r="CP2247" s="1"/>
      <c r="CQ2247" s="1"/>
      <c r="CR2247" s="1"/>
      <c r="CS2247" s="1"/>
      <c r="CT2247" s="1"/>
      <c r="CU2247" s="1"/>
      <c r="CV2247" s="1"/>
      <c r="CW2247" s="1"/>
      <c r="CX2247" s="1"/>
      <c r="CY2247" s="1"/>
      <c r="CZ2247" s="1"/>
      <c r="DA2247" s="1"/>
      <c r="DB2247" s="1"/>
      <c r="DC2247" s="1"/>
    </row>
    <row r="2248" spans="1:107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1"/>
      <c r="AD2248" s="1"/>
      <c r="AE2248" s="1"/>
      <c r="AF2248" s="1"/>
      <c r="AG2248" s="1"/>
      <c r="AH2248" s="1"/>
      <c r="AI2248" s="1"/>
      <c r="AJ2248" s="1"/>
      <c r="AK2248" s="1"/>
      <c r="AL2248" s="1"/>
      <c r="AM2248" s="1"/>
      <c r="AN2248" s="1"/>
      <c r="AO2248" s="1"/>
      <c r="AP2248" s="1"/>
      <c r="AQ2248" s="1"/>
      <c r="AR2248" s="1"/>
      <c r="AS2248" s="1"/>
      <c r="AT2248" s="1"/>
      <c r="AU2248" s="1"/>
      <c r="AV2248" s="1"/>
      <c r="AW2248" s="1"/>
      <c r="AX2248" s="1"/>
      <c r="AY2248" s="1"/>
      <c r="AZ2248" s="1"/>
      <c r="BA2248" s="1"/>
      <c r="BB2248" s="1"/>
      <c r="BC2248" s="1"/>
      <c r="BD2248" s="1"/>
      <c r="BE2248" s="1"/>
      <c r="BF2248" s="1"/>
      <c r="BG2248" s="1"/>
      <c r="BH2248" s="1"/>
      <c r="BI2248" s="1"/>
      <c r="BJ2248" s="1"/>
      <c r="BK2248" s="1"/>
      <c r="BL2248" s="1"/>
      <c r="BM2248" s="1"/>
      <c r="BN2248" s="1"/>
      <c r="BO2248" s="1"/>
      <c r="BP2248" s="1"/>
      <c r="BQ2248" s="1"/>
      <c r="BR2248" s="1"/>
      <c r="BS2248" s="1"/>
      <c r="BT2248" s="1"/>
      <c r="BU2248" s="1"/>
      <c r="BV2248" s="1"/>
      <c r="BW2248" s="1"/>
      <c r="BX2248" s="1"/>
      <c r="BY2248" s="1"/>
      <c r="BZ2248" s="1"/>
      <c r="CA2248" s="1"/>
      <c r="CB2248" s="1"/>
      <c r="CC2248" s="1"/>
      <c r="CD2248" s="1"/>
      <c r="CE2248" s="1"/>
      <c r="CF2248" s="1"/>
      <c r="CG2248" s="1"/>
      <c r="CH2248" s="1"/>
      <c r="CI2248" s="1"/>
      <c r="CJ2248" s="1"/>
      <c r="CK2248" s="1"/>
      <c r="CL2248" s="1"/>
      <c r="CM2248" s="1"/>
      <c r="CN2248" s="1"/>
      <c r="CO2248" s="1"/>
      <c r="CP2248" s="1"/>
      <c r="CQ2248" s="1"/>
      <c r="CR2248" s="1"/>
      <c r="CS2248" s="1"/>
      <c r="CT2248" s="1"/>
      <c r="CU2248" s="1"/>
      <c r="CV2248" s="1"/>
      <c r="CW2248" s="1"/>
      <c r="CX2248" s="1"/>
      <c r="CY2248" s="1"/>
      <c r="CZ2248" s="1"/>
      <c r="DA2248" s="1"/>
      <c r="DB2248" s="1"/>
      <c r="DC2248" s="1"/>
    </row>
    <row r="2249" spans="1:107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  <c r="AC2249" s="1"/>
      <c r="AD2249" s="1"/>
      <c r="AE2249" s="1"/>
      <c r="AF2249" s="1"/>
      <c r="AG2249" s="1"/>
      <c r="AH2249" s="1"/>
      <c r="AI2249" s="1"/>
      <c r="AJ2249" s="1"/>
      <c r="AK2249" s="1"/>
      <c r="AL2249" s="1"/>
      <c r="AM2249" s="1"/>
      <c r="AN2249" s="1"/>
      <c r="AO2249" s="1"/>
      <c r="AP2249" s="1"/>
      <c r="AQ2249" s="1"/>
      <c r="AR2249" s="1"/>
      <c r="AS2249" s="1"/>
      <c r="AT2249" s="1"/>
      <c r="AU2249" s="1"/>
      <c r="AV2249" s="1"/>
      <c r="AW2249" s="1"/>
      <c r="AX2249" s="1"/>
      <c r="AY2249" s="1"/>
      <c r="AZ2249" s="1"/>
      <c r="BA2249" s="1"/>
      <c r="BB2249" s="1"/>
      <c r="BC2249" s="1"/>
      <c r="BD2249" s="1"/>
      <c r="BE2249" s="1"/>
      <c r="BF2249" s="1"/>
      <c r="BG2249" s="1"/>
      <c r="BH2249" s="1"/>
      <c r="BI2249" s="1"/>
      <c r="BJ2249" s="1"/>
      <c r="BK2249" s="1"/>
      <c r="BL2249" s="1"/>
      <c r="BM2249" s="1"/>
      <c r="BN2249" s="1"/>
      <c r="BO2249" s="1"/>
      <c r="BP2249" s="1"/>
      <c r="BQ2249" s="1"/>
      <c r="BR2249" s="1"/>
      <c r="BS2249" s="1"/>
      <c r="BT2249" s="1"/>
      <c r="BU2249" s="1"/>
      <c r="BV2249" s="1"/>
      <c r="BW2249" s="1"/>
      <c r="BX2249" s="1"/>
      <c r="BY2249" s="1"/>
      <c r="BZ2249" s="1"/>
      <c r="CA2249" s="1"/>
      <c r="CB2249" s="1"/>
      <c r="CC2249" s="1"/>
      <c r="CD2249" s="1"/>
      <c r="CE2249" s="1"/>
      <c r="CF2249" s="1"/>
      <c r="CG2249" s="1"/>
      <c r="CH2249" s="1"/>
      <c r="CI2249" s="1"/>
      <c r="CJ2249" s="1"/>
      <c r="CK2249" s="1"/>
      <c r="CL2249" s="1"/>
      <c r="CM2249" s="1"/>
      <c r="CN2249" s="1"/>
      <c r="CO2249" s="1"/>
      <c r="CP2249" s="1"/>
      <c r="CQ2249" s="1"/>
      <c r="CR2249" s="1"/>
      <c r="CS2249" s="1"/>
      <c r="CT2249" s="1"/>
      <c r="CU2249" s="1"/>
      <c r="CV2249" s="1"/>
      <c r="CW2249" s="1"/>
      <c r="CX2249" s="1"/>
      <c r="CY2249" s="1"/>
      <c r="CZ2249" s="1"/>
      <c r="DA2249" s="1"/>
      <c r="DB2249" s="1"/>
      <c r="DC2249" s="1"/>
    </row>
    <row r="2250" spans="1:107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  <c r="AB2250" s="1"/>
      <c r="AC2250" s="1"/>
      <c r="AD2250" s="1"/>
      <c r="AE2250" s="1"/>
      <c r="AF2250" s="1"/>
      <c r="AG2250" s="1"/>
      <c r="AH2250" s="1"/>
      <c r="AI2250" s="1"/>
      <c r="AJ2250" s="1"/>
      <c r="AK2250" s="1"/>
      <c r="AL2250" s="1"/>
      <c r="AM2250" s="1"/>
      <c r="AN2250" s="1"/>
      <c r="AO2250" s="1"/>
      <c r="AP2250" s="1"/>
      <c r="AQ2250" s="1"/>
      <c r="AR2250" s="1"/>
      <c r="AS2250" s="1"/>
      <c r="AT2250" s="1"/>
      <c r="AU2250" s="1"/>
      <c r="AV2250" s="1"/>
      <c r="AW2250" s="1"/>
      <c r="AX2250" s="1"/>
      <c r="AY2250" s="1"/>
      <c r="AZ2250" s="1"/>
      <c r="BA2250" s="1"/>
      <c r="BB2250" s="1"/>
      <c r="BC2250" s="1"/>
      <c r="BD2250" s="1"/>
      <c r="BE2250" s="1"/>
      <c r="BF2250" s="1"/>
      <c r="BG2250" s="1"/>
      <c r="BH2250" s="1"/>
      <c r="BI2250" s="1"/>
      <c r="BJ2250" s="1"/>
      <c r="BK2250" s="1"/>
      <c r="BL2250" s="1"/>
      <c r="BM2250" s="1"/>
      <c r="BN2250" s="1"/>
      <c r="BO2250" s="1"/>
      <c r="BP2250" s="1"/>
      <c r="BQ2250" s="1"/>
      <c r="BR2250" s="1"/>
      <c r="BS2250" s="1"/>
      <c r="BT2250" s="1"/>
      <c r="BU2250" s="1"/>
      <c r="BV2250" s="1"/>
      <c r="BW2250" s="1"/>
      <c r="BX2250" s="1"/>
      <c r="BY2250" s="1"/>
      <c r="BZ2250" s="1"/>
      <c r="CA2250" s="1"/>
      <c r="CB2250" s="1"/>
      <c r="CC2250" s="1"/>
      <c r="CD2250" s="1"/>
      <c r="CE2250" s="1"/>
      <c r="CF2250" s="1"/>
      <c r="CG2250" s="1"/>
      <c r="CH2250" s="1"/>
      <c r="CI2250" s="1"/>
      <c r="CJ2250" s="1"/>
      <c r="CK2250" s="1"/>
      <c r="CL2250" s="1"/>
      <c r="CM2250" s="1"/>
      <c r="CN2250" s="1"/>
      <c r="CO2250" s="1"/>
      <c r="CP2250" s="1"/>
      <c r="CQ2250" s="1"/>
      <c r="CR2250" s="1"/>
      <c r="CS2250" s="1"/>
      <c r="CT2250" s="1"/>
      <c r="CU2250" s="1"/>
      <c r="CV2250" s="1"/>
      <c r="CW2250" s="1"/>
      <c r="CX2250" s="1"/>
      <c r="CY2250" s="1"/>
      <c r="CZ2250" s="1"/>
      <c r="DA2250" s="1"/>
      <c r="DB2250" s="1"/>
      <c r="DC2250" s="1"/>
    </row>
    <row r="2251" spans="1:107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  <c r="AC2251" s="1"/>
      <c r="AD2251" s="1"/>
      <c r="AE2251" s="1"/>
      <c r="AF2251" s="1"/>
      <c r="AG2251" s="1"/>
      <c r="AH2251" s="1"/>
      <c r="AI2251" s="1"/>
      <c r="AJ2251" s="1"/>
      <c r="AK2251" s="1"/>
      <c r="AL2251" s="1"/>
      <c r="AM2251" s="1"/>
      <c r="AN2251" s="1"/>
      <c r="AO2251" s="1"/>
      <c r="AP2251" s="1"/>
      <c r="AQ2251" s="1"/>
      <c r="AR2251" s="1"/>
      <c r="AS2251" s="1"/>
      <c r="AT2251" s="1"/>
      <c r="AU2251" s="1"/>
      <c r="AV2251" s="1"/>
      <c r="AW2251" s="1"/>
      <c r="AX2251" s="1"/>
      <c r="AY2251" s="1"/>
      <c r="AZ2251" s="1"/>
      <c r="BA2251" s="1"/>
      <c r="BB2251" s="1"/>
      <c r="BC2251" s="1"/>
      <c r="BD2251" s="1"/>
      <c r="BE2251" s="1"/>
      <c r="BF2251" s="1"/>
      <c r="BG2251" s="1"/>
      <c r="BH2251" s="1"/>
      <c r="BI2251" s="1"/>
      <c r="BJ2251" s="1"/>
      <c r="BK2251" s="1"/>
      <c r="BL2251" s="1"/>
      <c r="BM2251" s="1"/>
      <c r="BN2251" s="1"/>
      <c r="BO2251" s="1"/>
      <c r="BP2251" s="1"/>
      <c r="BQ2251" s="1"/>
      <c r="BR2251" s="1"/>
      <c r="BS2251" s="1"/>
      <c r="BT2251" s="1"/>
      <c r="BU2251" s="1"/>
      <c r="BV2251" s="1"/>
      <c r="BW2251" s="1"/>
      <c r="BX2251" s="1"/>
      <c r="BY2251" s="1"/>
      <c r="BZ2251" s="1"/>
      <c r="CA2251" s="1"/>
      <c r="CB2251" s="1"/>
      <c r="CC2251" s="1"/>
      <c r="CD2251" s="1"/>
      <c r="CE2251" s="1"/>
      <c r="CF2251" s="1"/>
      <c r="CG2251" s="1"/>
      <c r="CH2251" s="1"/>
      <c r="CI2251" s="1"/>
      <c r="CJ2251" s="1"/>
      <c r="CK2251" s="1"/>
      <c r="CL2251" s="1"/>
      <c r="CM2251" s="1"/>
      <c r="CN2251" s="1"/>
      <c r="CO2251" s="1"/>
      <c r="CP2251" s="1"/>
      <c r="CQ2251" s="1"/>
      <c r="CR2251" s="1"/>
      <c r="CS2251" s="1"/>
      <c r="CT2251" s="1"/>
      <c r="CU2251" s="1"/>
      <c r="CV2251" s="1"/>
      <c r="CW2251" s="1"/>
      <c r="CX2251" s="1"/>
      <c r="CY2251" s="1"/>
      <c r="CZ2251" s="1"/>
      <c r="DA2251" s="1"/>
      <c r="DB2251" s="1"/>
      <c r="DC2251" s="1"/>
    </row>
    <row r="2252" spans="1:107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  <c r="AC2252" s="1"/>
      <c r="AD2252" s="1"/>
      <c r="AE2252" s="1"/>
      <c r="AF2252" s="1"/>
      <c r="AG2252" s="1"/>
      <c r="AH2252" s="1"/>
      <c r="AI2252" s="1"/>
      <c r="AJ2252" s="1"/>
      <c r="AK2252" s="1"/>
      <c r="AL2252" s="1"/>
      <c r="AM2252" s="1"/>
      <c r="AN2252" s="1"/>
      <c r="AO2252" s="1"/>
      <c r="AP2252" s="1"/>
      <c r="AQ2252" s="1"/>
      <c r="AR2252" s="1"/>
      <c r="AS2252" s="1"/>
      <c r="AT2252" s="1"/>
      <c r="AU2252" s="1"/>
      <c r="AV2252" s="1"/>
      <c r="AW2252" s="1"/>
      <c r="AX2252" s="1"/>
      <c r="AY2252" s="1"/>
      <c r="AZ2252" s="1"/>
      <c r="BA2252" s="1"/>
      <c r="BB2252" s="1"/>
      <c r="BC2252" s="1"/>
      <c r="BD2252" s="1"/>
      <c r="BE2252" s="1"/>
      <c r="BF2252" s="1"/>
      <c r="BG2252" s="1"/>
      <c r="BH2252" s="1"/>
      <c r="BI2252" s="1"/>
      <c r="BJ2252" s="1"/>
      <c r="BK2252" s="1"/>
      <c r="BL2252" s="1"/>
      <c r="BM2252" s="1"/>
      <c r="BN2252" s="1"/>
      <c r="BO2252" s="1"/>
      <c r="BP2252" s="1"/>
      <c r="BQ2252" s="1"/>
      <c r="BR2252" s="1"/>
      <c r="BS2252" s="1"/>
      <c r="BT2252" s="1"/>
      <c r="BU2252" s="1"/>
      <c r="BV2252" s="1"/>
      <c r="BW2252" s="1"/>
      <c r="BX2252" s="1"/>
      <c r="BY2252" s="1"/>
      <c r="BZ2252" s="1"/>
      <c r="CA2252" s="1"/>
      <c r="CB2252" s="1"/>
      <c r="CC2252" s="1"/>
      <c r="CD2252" s="1"/>
      <c r="CE2252" s="1"/>
      <c r="CF2252" s="1"/>
      <c r="CG2252" s="1"/>
      <c r="CH2252" s="1"/>
      <c r="CI2252" s="1"/>
      <c r="CJ2252" s="1"/>
      <c r="CK2252" s="1"/>
      <c r="CL2252" s="1"/>
      <c r="CM2252" s="1"/>
      <c r="CN2252" s="1"/>
      <c r="CO2252" s="1"/>
      <c r="CP2252" s="1"/>
      <c r="CQ2252" s="1"/>
      <c r="CR2252" s="1"/>
      <c r="CS2252" s="1"/>
      <c r="CT2252" s="1"/>
      <c r="CU2252" s="1"/>
      <c r="CV2252" s="1"/>
      <c r="CW2252" s="1"/>
      <c r="CX2252" s="1"/>
      <c r="CY2252" s="1"/>
      <c r="CZ2252" s="1"/>
      <c r="DA2252" s="1"/>
      <c r="DB2252" s="1"/>
      <c r="DC2252" s="1"/>
    </row>
    <row r="2253" spans="1:107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  <c r="AC2253" s="1"/>
      <c r="AD2253" s="1"/>
      <c r="AE2253" s="1"/>
      <c r="AF2253" s="1"/>
      <c r="AG2253" s="1"/>
      <c r="AH2253" s="1"/>
      <c r="AI2253" s="1"/>
      <c r="AJ2253" s="1"/>
      <c r="AK2253" s="1"/>
      <c r="AL2253" s="1"/>
      <c r="AM2253" s="1"/>
      <c r="AN2253" s="1"/>
      <c r="AO2253" s="1"/>
      <c r="AP2253" s="1"/>
      <c r="AQ2253" s="1"/>
      <c r="AR2253" s="1"/>
      <c r="AS2253" s="1"/>
      <c r="AT2253" s="1"/>
      <c r="AU2253" s="1"/>
      <c r="AV2253" s="1"/>
      <c r="AW2253" s="1"/>
      <c r="AX2253" s="1"/>
      <c r="AY2253" s="1"/>
      <c r="AZ2253" s="1"/>
      <c r="BA2253" s="1"/>
      <c r="BB2253" s="1"/>
      <c r="BC2253" s="1"/>
      <c r="BD2253" s="1"/>
      <c r="BE2253" s="1"/>
      <c r="BF2253" s="1"/>
      <c r="BG2253" s="1"/>
      <c r="BH2253" s="1"/>
      <c r="BI2253" s="1"/>
      <c r="BJ2253" s="1"/>
      <c r="BK2253" s="1"/>
      <c r="BL2253" s="1"/>
      <c r="BM2253" s="1"/>
      <c r="BN2253" s="1"/>
      <c r="BO2253" s="1"/>
      <c r="BP2253" s="1"/>
      <c r="BQ2253" s="1"/>
      <c r="BR2253" s="1"/>
      <c r="BS2253" s="1"/>
      <c r="BT2253" s="1"/>
      <c r="BU2253" s="1"/>
      <c r="BV2253" s="1"/>
      <c r="BW2253" s="1"/>
      <c r="BX2253" s="1"/>
      <c r="BY2253" s="1"/>
      <c r="BZ2253" s="1"/>
      <c r="CA2253" s="1"/>
      <c r="CB2253" s="1"/>
      <c r="CC2253" s="1"/>
      <c r="CD2253" s="1"/>
      <c r="CE2253" s="1"/>
      <c r="CF2253" s="1"/>
      <c r="CG2253" s="1"/>
      <c r="CH2253" s="1"/>
      <c r="CI2253" s="1"/>
      <c r="CJ2253" s="1"/>
      <c r="CK2253" s="1"/>
      <c r="CL2253" s="1"/>
      <c r="CM2253" s="1"/>
      <c r="CN2253" s="1"/>
      <c r="CO2253" s="1"/>
      <c r="CP2253" s="1"/>
      <c r="CQ2253" s="1"/>
      <c r="CR2253" s="1"/>
      <c r="CS2253" s="1"/>
      <c r="CT2253" s="1"/>
      <c r="CU2253" s="1"/>
      <c r="CV2253" s="1"/>
      <c r="CW2253" s="1"/>
      <c r="CX2253" s="1"/>
      <c r="CY2253" s="1"/>
      <c r="CZ2253" s="1"/>
      <c r="DA2253" s="1"/>
      <c r="DB2253" s="1"/>
      <c r="DC2253" s="1"/>
    </row>
    <row r="2254" spans="1:107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  <c r="AC2254" s="1"/>
      <c r="AD2254" s="1"/>
      <c r="AE2254" s="1"/>
      <c r="AF2254" s="1"/>
      <c r="AG2254" s="1"/>
      <c r="AH2254" s="1"/>
      <c r="AI2254" s="1"/>
      <c r="AJ2254" s="1"/>
      <c r="AK2254" s="1"/>
      <c r="AL2254" s="1"/>
      <c r="AM2254" s="1"/>
      <c r="AN2254" s="1"/>
      <c r="AO2254" s="1"/>
      <c r="AP2254" s="1"/>
      <c r="AQ2254" s="1"/>
      <c r="AR2254" s="1"/>
      <c r="AS2254" s="1"/>
      <c r="AT2254" s="1"/>
      <c r="AU2254" s="1"/>
      <c r="AV2254" s="1"/>
      <c r="AW2254" s="1"/>
      <c r="AX2254" s="1"/>
      <c r="AY2254" s="1"/>
      <c r="AZ2254" s="1"/>
      <c r="BA2254" s="1"/>
      <c r="BB2254" s="1"/>
      <c r="BC2254" s="1"/>
      <c r="BD2254" s="1"/>
      <c r="BE2254" s="1"/>
      <c r="BF2254" s="1"/>
      <c r="BG2254" s="1"/>
      <c r="BH2254" s="1"/>
      <c r="BI2254" s="1"/>
      <c r="BJ2254" s="1"/>
      <c r="BK2254" s="1"/>
      <c r="BL2254" s="1"/>
      <c r="BM2254" s="1"/>
      <c r="BN2254" s="1"/>
      <c r="BO2254" s="1"/>
      <c r="BP2254" s="1"/>
      <c r="BQ2254" s="1"/>
      <c r="BR2254" s="1"/>
      <c r="BS2254" s="1"/>
      <c r="BT2254" s="1"/>
      <c r="BU2254" s="1"/>
      <c r="BV2254" s="1"/>
      <c r="BW2254" s="1"/>
      <c r="BX2254" s="1"/>
      <c r="BY2254" s="1"/>
      <c r="BZ2254" s="1"/>
      <c r="CA2254" s="1"/>
      <c r="CB2254" s="1"/>
      <c r="CC2254" s="1"/>
      <c r="CD2254" s="1"/>
      <c r="CE2254" s="1"/>
      <c r="CF2254" s="1"/>
      <c r="CG2254" s="1"/>
      <c r="CH2254" s="1"/>
      <c r="CI2254" s="1"/>
      <c r="CJ2254" s="1"/>
      <c r="CK2254" s="1"/>
      <c r="CL2254" s="1"/>
      <c r="CM2254" s="1"/>
      <c r="CN2254" s="1"/>
      <c r="CO2254" s="1"/>
      <c r="CP2254" s="1"/>
      <c r="CQ2254" s="1"/>
      <c r="CR2254" s="1"/>
      <c r="CS2254" s="1"/>
      <c r="CT2254" s="1"/>
      <c r="CU2254" s="1"/>
      <c r="CV2254" s="1"/>
      <c r="CW2254" s="1"/>
      <c r="CX2254" s="1"/>
      <c r="CY2254" s="1"/>
      <c r="CZ2254" s="1"/>
      <c r="DA2254" s="1"/>
      <c r="DB2254" s="1"/>
      <c r="DC2254" s="1"/>
    </row>
    <row r="2255" spans="1:107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  <c r="AC2255" s="1"/>
      <c r="AD2255" s="1"/>
      <c r="AE2255" s="1"/>
      <c r="AF2255" s="1"/>
      <c r="AG2255" s="1"/>
      <c r="AH2255" s="1"/>
      <c r="AI2255" s="1"/>
      <c r="AJ2255" s="1"/>
      <c r="AK2255" s="1"/>
      <c r="AL2255" s="1"/>
      <c r="AM2255" s="1"/>
      <c r="AN2255" s="1"/>
      <c r="AO2255" s="1"/>
      <c r="AP2255" s="1"/>
      <c r="AQ2255" s="1"/>
      <c r="AR2255" s="1"/>
      <c r="AS2255" s="1"/>
      <c r="AT2255" s="1"/>
      <c r="AU2255" s="1"/>
      <c r="AV2255" s="1"/>
      <c r="AW2255" s="1"/>
      <c r="AX2255" s="1"/>
      <c r="AY2255" s="1"/>
      <c r="AZ2255" s="1"/>
      <c r="BA2255" s="1"/>
      <c r="BB2255" s="1"/>
      <c r="BC2255" s="1"/>
      <c r="BD2255" s="1"/>
      <c r="BE2255" s="1"/>
      <c r="BF2255" s="1"/>
      <c r="BG2255" s="1"/>
      <c r="BH2255" s="1"/>
      <c r="BI2255" s="1"/>
      <c r="BJ2255" s="1"/>
      <c r="BK2255" s="1"/>
      <c r="BL2255" s="1"/>
      <c r="BM2255" s="1"/>
      <c r="BN2255" s="1"/>
      <c r="BO2255" s="1"/>
      <c r="BP2255" s="1"/>
      <c r="BQ2255" s="1"/>
      <c r="BR2255" s="1"/>
      <c r="BS2255" s="1"/>
      <c r="BT2255" s="1"/>
      <c r="BU2255" s="1"/>
      <c r="BV2255" s="1"/>
      <c r="BW2255" s="1"/>
      <c r="BX2255" s="1"/>
      <c r="BY2255" s="1"/>
      <c r="BZ2255" s="1"/>
      <c r="CA2255" s="1"/>
      <c r="CB2255" s="1"/>
      <c r="CC2255" s="1"/>
      <c r="CD2255" s="1"/>
      <c r="CE2255" s="1"/>
      <c r="CF2255" s="1"/>
      <c r="CG2255" s="1"/>
      <c r="CH2255" s="1"/>
      <c r="CI2255" s="1"/>
      <c r="CJ2255" s="1"/>
      <c r="CK2255" s="1"/>
      <c r="CL2255" s="1"/>
      <c r="CM2255" s="1"/>
      <c r="CN2255" s="1"/>
      <c r="CO2255" s="1"/>
      <c r="CP2255" s="1"/>
      <c r="CQ2255" s="1"/>
      <c r="CR2255" s="1"/>
      <c r="CS2255" s="1"/>
      <c r="CT2255" s="1"/>
      <c r="CU2255" s="1"/>
      <c r="CV2255" s="1"/>
      <c r="CW2255" s="1"/>
      <c r="CX2255" s="1"/>
      <c r="CY2255" s="1"/>
      <c r="CZ2255" s="1"/>
      <c r="DA2255" s="1"/>
      <c r="DB2255" s="1"/>
      <c r="DC2255" s="1"/>
    </row>
    <row r="2256" spans="1:107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  <c r="AC2256" s="1"/>
      <c r="AD2256" s="1"/>
      <c r="AE2256" s="1"/>
      <c r="AF2256" s="1"/>
      <c r="AG2256" s="1"/>
      <c r="AH2256" s="1"/>
      <c r="AI2256" s="1"/>
      <c r="AJ2256" s="1"/>
      <c r="AK2256" s="1"/>
      <c r="AL2256" s="1"/>
      <c r="AM2256" s="1"/>
      <c r="AN2256" s="1"/>
      <c r="AO2256" s="1"/>
      <c r="AP2256" s="1"/>
      <c r="AQ2256" s="1"/>
      <c r="AR2256" s="1"/>
      <c r="AS2256" s="1"/>
      <c r="AT2256" s="1"/>
      <c r="AU2256" s="1"/>
      <c r="AV2256" s="1"/>
      <c r="AW2256" s="1"/>
      <c r="AX2256" s="1"/>
      <c r="AY2256" s="1"/>
      <c r="AZ2256" s="1"/>
      <c r="BA2256" s="1"/>
      <c r="BB2256" s="1"/>
      <c r="BC2256" s="1"/>
      <c r="BD2256" s="1"/>
      <c r="BE2256" s="1"/>
      <c r="BF2256" s="1"/>
      <c r="BG2256" s="1"/>
      <c r="BH2256" s="1"/>
      <c r="BI2256" s="1"/>
      <c r="BJ2256" s="1"/>
      <c r="BK2256" s="1"/>
      <c r="BL2256" s="1"/>
      <c r="BM2256" s="1"/>
      <c r="BN2256" s="1"/>
      <c r="BO2256" s="1"/>
      <c r="BP2256" s="1"/>
      <c r="BQ2256" s="1"/>
      <c r="BR2256" s="1"/>
      <c r="BS2256" s="1"/>
      <c r="BT2256" s="1"/>
      <c r="BU2256" s="1"/>
      <c r="BV2256" s="1"/>
      <c r="BW2256" s="1"/>
      <c r="BX2256" s="1"/>
      <c r="BY2256" s="1"/>
      <c r="BZ2256" s="1"/>
      <c r="CA2256" s="1"/>
      <c r="CB2256" s="1"/>
      <c r="CC2256" s="1"/>
      <c r="CD2256" s="1"/>
      <c r="CE2256" s="1"/>
      <c r="CF2256" s="1"/>
      <c r="CG2256" s="1"/>
      <c r="CH2256" s="1"/>
      <c r="CI2256" s="1"/>
      <c r="CJ2256" s="1"/>
      <c r="CK2256" s="1"/>
      <c r="CL2256" s="1"/>
      <c r="CM2256" s="1"/>
      <c r="CN2256" s="1"/>
      <c r="CO2256" s="1"/>
      <c r="CP2256" s="1"/>
      <c r="CQ2256" s="1"/>
      <c r="CR2256" s="1"/>
      <c r="CS2256" s="1"/>
      <c r="CT2256" s="1"/>
      <c r="CU2256" s="1"/>
      <c r="CV2256" s="1"/>
      <c r="CW2256" s="1"/>
      <c r="CX2256" s="1"/>
      <c r="CY2256" s="1"/>
      <c r="CZ2256" s="1"/>
      <c r="DA2256" s="1"/>
      <c r="DB2256" s="1"/>
      <c r="DC2256" s="1"/>
    </row>
    <row r="2257" spans="1:107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  <c r="AC2257" s="1"/>
      <c r="AD2257" s="1"/>
      <c r="AE2257" s="1"/>
      <c r="AF2257" s="1"/>
      <c r="AG2257" s="1"/>
      <c r="AH2257" s="1"/>
      <c r="AI2257" s="1"/>
      <c r="AJ2257" s="1"/>
      <c r="AK2257" s="1"/>
      <c r="AL2257" s="1"/>
      <c r="AM2257" s="1"/>
      <c r="AN2257" s="1"/>
      <c r="AO2257" s="1"/>
      <c r="AP2257" s="1"/>
      <c r="AQ2257" s="1"/>
      <c r="AR2257" s="1"/>
      <c r="AS2257" s="1"/>
      <c r="AT2257" s="1"/>
      <c r="AU2257" s="1"/>
      <c r="AV2257" s="1"/>
      <c r="AW2257" s="1"/>
      <c r="AX2257" s="1"/>
      <c r="AY2257" s="1"/>
      <c r="AZ2257" s="1"/>
      <c r="BA2257" s="1"/>
      <c r="BB2257" s="1"/>
      <c r="BC2257" s="1"/>
      <c r="BD2257" s="1"/>
      <c r="BE2257" s="1"/>
      <c r="BF2257" s="1"/>
      <c r="BG2257" s="1"/>
      <c r="BH2257" s="1"/>
      <c r="BI2257" s="1"/>
      <c r="BJ2257" s="1"/>
      <c r="BK2257" s="1"/>
      <c r="BL2257" s="1"/>
      <c r="BM2257" s="1"/>
      <c r="BN2257" s="1"/>
      <c r="BO2257" s="1"/>
      <c r="BP2257" s="1"/>
      <c r="BQ2257" s="1"/>
      <c r="BR2257" s="1"/>
      <c r="BS2257" s="1"/>
      <c r="BT2257" s="1"/>
      <c r="BU2257" s="1"/>
      <c r="BV2257" s="1"/>
      <c r="BW2257" s="1"/>
      <c r="BX2257" s="1"/>
      <c r="BY2257" s="1"/>
      <c r="BZ2257" s="1"/>
      <c r="CA2257" s="1"/>
      <c r="CB2257" s="1"/>
      <c r="CC2257" s="1"/>
      <c r="CD2257" s="1"/>
      <c r="CE2257" s="1"/>
      <c r="CF2257" s="1"/>
      <c r="CG2257" s="1"/>
      <c r="CH2257" s="1"/>
      <c r="CI2257" s="1"/>
      <c r="CJ2257" s="1"/>
      <c r="CK2257" s="1"/>
      <c r="CL2257" s="1"/>
      <c r="CM2257" s="1"/>
      <c r="CN2257" s="1"/>
      <c r="CO2257" s="1"/>
      <c r="CP2257" s="1"/>
      <c r="CQ2257" s="1"/>
      <c r="CR2257" s="1"/>
      <c r="CS2257" s="1"/>
      <c r="CT2257" s="1"/>
      <c r="CU2257" s="1"/>
      <c r="CV2257" s="1"/>
      <c r="CW2257" s="1"/>
      <c r="CX2257" s="1"/>
      <c r="CY2257" s="1"/>
      <c r="CZ2257" s="1"/>
      <c r="DA2257" s="1"/>
      <c r="DB2257" s="1"/>
      <c r="DC2257" s="1"/>
    </row>
    <row r="2258" spans="1:107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  <c r="AC2258" s="1"/>
      <c r="AD2258" s="1"/>
      <c r="AE2258" s="1"/>
      <c r="AF2258" s="1"/>
      <c r="AG2258" s="1"/>
      <c r="AH2258" s="1"/>
      <c r="AI2258" s="1"/>
      <c r="AJ2258" s="1"/>
      <c r="AK2258" s="1"/>
      <c r="AL2258" s="1"/>
      <c r="AM2258" s="1"/>
      <c r="AN2258" s="1"/>
      <c r="AO2258" s="1"/>
      <c r="AP2258" s="1"/>
      <c r="AQ2258" s="1"/>
      <c r="AR2258" s="1"/>
      <c r="AS2258" s="1"/>
      <c r="AT2258" s="1"/>
      <c r="AU2258" s="1"/>
      <c r="AV2258" s="1"/>
      <c r="AW2258" s="1"/>
      <c r="AX2258" s="1"/>
      <c r="AY2258" s="1"/>
      <c r="AZ2258" s="1"/>
      <c r="BA2258" s="1"/>
      <c r="BB2258" s="1"/>
      <c r="BC2258" s="1"/>
      <c r="BD2258" s="1"/>
      <c r="BE2258" s="1"/>
      <c r="BF2258" s="1"/>
      <c r="BG2258" s="1"/>
      <c r="BH2258" s="1"/>
      <c r="BI2258" s="1"/>
      <c r="BJ2258" s="1"/>
      <c r="BK2258" s="1"/>
      <c r="BL2258" s="1"/>
      <c r="BM2258" s="1"/>
      <c r="BN2258" s="1"/>
      <c r="BO2258" s="1"/>
      <c r="BP2258" s="1"/>
      <c r="BQ2258" s="1"/>
      <c r="BR2258" s="1"/>
      <c r="BS2258" s="1"/>
      <c r="BT2258" s="1"/>
      <c r="BU2258" s="1"/>
      <c r="BV2258" s="1"/>
      <c r="BW2258" s="1"/>
      <c r="BX2258" s="1"/>
      <c r="BY2258" s="1"/>
      <c r="BZ2258" s="1"/>
      <c r="CA2258" s="1"/>
      <c r="CB2258" s="1"/>
      <c r="CC2258" s="1"/>
      <c r="CD2258" s="1"/>
      <c r="CE2258" s="1"/>
      <c r="CF2258" s="1"/>
      <c r="CG2258" s="1"/>
      <c r="CH2258" s="1"/>
      <c r="CI2258" s="1"/>
      <c r="CJ2258" s="1"/>
      <c r="CK2258" s="1"/>
      <c r="CL2258" s="1"/>
      <c r="CM2258" s="1"/>
      <c r="CN2258" s="1"/>
      <c r="CO2258" s="1"/>
      <c r="CP2258" s="1"/>
      <c r="CQ2258" s="1"/>
      <c r="CR2258" s="1"/>
      <c r="CS2258" s="1"/>
      <c r="CT2258" s="1"/>
      <c r="CU2258" s="1"/>
      <c r="CV2258" s="1"/>
      <c r="CW2258" s="1"/>
      <c r="CX2258" s="1"/>
      <c r="CY2258" s="1"/>
      <c r="CZ2258" s="1"/>
      <c r="DA2258" s="1"/>
      <c r="DB2258" s="1"/>
      <c r="DC2258" s="1"/>
    </row>
    <row r="2259" spans="1:107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1"/>
      <c r="AD2259" s="1"/>
      <c r="AE2259" s="1"/>
      <c r="AF2259" s="1"/>
      <c r="AG2259" s="1"/>
      <c r="AH2259" s="1"/>
      <c r="AI2259" s="1"/>
      <c r="AJ2259" s="1"/>
      <c r="AK2259" s="1"/>
      <c r="AL2259" s="1"/>
      <c r="AM2259" s="1"/>
      <c r="AN2259" s="1"/>
      <c r="AO2259" s="1"/>
      <c r="AP2259" s="1"/>
      <c r="AQ2259" s="1"/>
      <c r="AR2259" s="1"/>
      <c r="AS2259" s="1"/>
      <c r="AT2259" s="1"/>
      <c r="AU2259" s="1"/>
      <c r="AV2259" s="1"/>
      <c r="AW2259" s="1"/>
      <c r="AX2259" s="1"/>
      <c r="AY2259" s="1"/>
      <c r="AZ2259" s="1"/>
      <c r="BA2259" s="1"/>
      <c r="BB2259" s="1"/>
      <c r="BC2259" s="1"/>
      <c r="BD2259" s="1"/>
      <c r="BE2259" s="1"/>
      <c r="BF2259" s="1"/>
      <c r="BG2259" s="1"/>
      <c r="BH2259" s="1"/>
      <c r="BI2259" s="1"/>
      <c r="BJ2259" s="1"/>
      <c r="BK2259" s="1"/>
      <c r="BL2259" s="1"/>
      <c r="BM2259" s="1"/>
      <c r="BN2259" s="1"/>
      <c r="BO2259" s="1"/>
      <c r="BP2259" s="1"/>
      <c r="BQ2259" s="1"/>
      <c r="BR2259" s="1"/>
      <c r="BS2259" s="1"/>
      <c r="BT2259" s="1"/>
      <c r="BU2259" s="1"/>
      <c r="BV2259" s="1"/>
      <c r="BW2259" s="1"/>
      <c r="BX2259" s="1"/>
      <c r="BY2259" s="1"/>
      <c r="BZ2259" s="1"/>
      <c r="CA2259" s="1"/>
      <c r="CB2259" s="1"/>
      <c r="CC2259" s="1"/>
      <c r="CD2259" s="1"/>
      <c r="CE2259" s="1"/>
      <c r="CF2259" s="1"/>
      <c r="CG2259" s="1"/>
      <c r="CH2259" s="1"/>
      <c r="CI2259" s="1"/>
      <c r="CJ2259" s="1"/>
      <c r="CK2259" s="1"/>
      <c r="CL2259" s="1"/>
      <c r="CM2259" s="1"/>
      <c r="CN2259" s="1"/>
      <c r="CO2259" s="1"/>
      <c r="CP2259" s="1"/>
      <c r="CQ2259" s="1"/>
      <c r="CR2259" s="1"/>
      <c r="CS2259" s="1"/>
      <c r="CT2259" s="1"/>
      <c r="CU2259" s="1"/>
      <c r="CV2259" s="1"/>
      <c r="CW2259" s="1"/>
      <c r="CX2259" s="1"/>
      <c r="CY2259" s="1"/>
      <c r="CZ2259" s="1"/>
      <c r="DA2259" s="1"/>
      <c r="DB2259" s="1"/>
      <c r="DC2259" s="1"/>
    </row>
    <row r="2260" spans="1:107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  <c r="AC2260" s="1"/>
      <c r="AD2260" s="1"/>
      <c r="AE2260" s="1"/>
      <c r="AF2260" s="1"/>
      <c r="AG2260" s="1"/>
      <c r="AH2260" s="1"/>
      <c r="AI2260" s="1"/>
      <c r="AJ2260" s="1"/>
      <c r="AK2260" s="1"/>
      <c r="AL2260" s="1"/>
      <c r="AM2260" s="1"/>
      <c r="AN2260" s="1"/>
      <c r="AO2260" s="1"/>
      <c r="AP2260" s="1"/>
      <c r="AQ2260" s="1"/>
      <c r="AR2260" s="1"/>
      <c r="AS2260" s="1"/>
      <c r="AT2260" s="1"/>
      <c r="AU2260" s="1"/>
      <c r="AV2260" s="1"/>
      <c r="AW2260" s="1"/>
      <c r="AX2260" s="1"/>
      <c r="AY2260" s="1"/>
      <c r="AZ2260" s="1"/>
      <c r="BA2260" s="1"/>
      <c r="BB2260" s="1"/>
      <c r="BC2260" s="1"/>
      <c r="BD2260" s="1"/>
      <c r="BE2260" s="1"/>
      <c r="BF2260" s="1"/>
      <c r="BG2260" s="1"/>
      <c r="BH2260" s="1"/>
      <c r="BI2260" s="1"/>
      <c r="BJ2260" s="1"/>
      <c r="BK2260" s="1"/>
      <c r="BL2260" s="1"/>
      <c r="BM2260" s="1"/>
      <c r="BN2260" s="1"/>
      <c r="BO2260" s="1"/>
      <c r="BP2260" s="1"/>
      <c r="BQ2260" s="1"/>
      <c r="BR2260" s="1"/>
      <c r="BS2260" s="1"/>
      <c r="BT2260" s="1"/>
      <c r="BU2260" s="1"/>
      <c r="BV2260" s="1"/>
      <c r="BW2260" s="1"/>
      <c r="BX2260" s="1"/>
      <c r="BY2260" s="1"/>
      <c r="BZ2260" s="1"/>
      <c r="CA2260" s="1"/>
      <c r="CB2260" s="1"/>
      <c r="CC2260" s="1"/>
      <c r="CD2260" s="1"/>
      <c r="CE2260" s="1"/>
      <c r="CF2260" s="1"/>
      <c r="CG2260" s="1"/>
      <c r="CH2260" s="1"/>
      <c r="CI2260" s="1"/>
      <c r="CJ2260" s="1"/>
      <c r="CK2260" s="1"/>
      <c r="CL2260" s="1"/>
      <c r="CM2260" s="1"/>
      <c r="CN2260" s="1"/>
      <c r="CO2260" s="1"/>
      <c r="CP2260" s="1"/>
      <c r="CQ2260" s="1"/>
      <c r="CR2260" s="1"/>
      <c r="CS2260" s="1"/>
      <c r="CT2260" s="1"/>
      <c r="CU2260" s="1"/>
      <c r="CV2260" s="1"/>
      <c r="CW2260" s="1"/>
      <c r="CX2260" s="1"/>
      <c r="CY2260" s="1"/>
      <c r="CZ2260" s="1"/>
      <c r="DA2260" s="1"/>
      <c r="DB2260" s="1"/>
      <c r="DC2260" s="1"/>
    </row>
    <row r="2261" spans="1:107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1"/>
      <c r="AD2261" s="1"/>
      <c r="AE2261" s="1"/>
      <c r="AF2261" s="1"/>
      <c r="AG2261" s="1"/>
      <c r="AH2261" s="1"/>
      <c r="AI2261" s="1"/>
      <c r="AJ2261" s="1"/>
      <c r="AK2261" s="1"/>
      <c r="AL2261" s="1"/>
      <c r="AM2261" s="1"/>
      <c r="AN2261" s="1"/>
      <c r="AO2261" s="1"/>
      <c r="AP2261" s="1"/>
      <c r="AQ2261" s="1"/>
      <c r="AR2261" s="1"/>
      <c r="AS2261" s="1"/>
      <c r="AT2261" s="1"/>
      <c r="AU2261" s="1"/>
      <c r="AV2261" s="1"/>
      <c r="AW2261" s="1"/>
      <c r="AX2261" s="1"/>
      <c r="AY2261" s="1"/>
      <c r="AZ2261" s="1"/>
      <c r="BA2261" s="1"/>
      <c r="BB2261" s="1"/>
      <c r="BC2261" s="1"/>
      <c r="BD2261" s="1"/>
      <c r="BE2261" s="1"/>
      <c r="BF2261" s="1"/>
      <c r="BG2261" s="1"/>
      <c r="BH2261" s="1"/>
      <c r="BI2261" s="1"/>
      <c r="BJ2261" s="1"/>
      <c r="BK2261" s="1"/>
      <c r="BL2261" s="1"/>
      <c r="BM2261" s="1"/>
      <c r="BN2261" s="1"/>
      <c r="BO2261" s="1"/>
      <c r="BP2261" s="1"/>
      <c r="BQ2261" s="1"/>
      <c r="BR2261" s="1"/>
      <c r="BS2261" s="1"/>
      <c r="BT2261" s="1"/>
      <c r="BU2261" s="1"/>
      <c r="BV2261" s="1"/>
      <c r="BW2261" s="1"/>
      <c r="BX2261" s="1"/>
      <c r="BY2261" s="1"/>
      <c r="BZ2261" s="1"/>
      <c r="CA2261" s="1"/>
      <c r="CB2261" s="1"/>
      <c r="CC2261" s="1"/>
      <c r="CD2261" s="1"/>
      <c r="CE2261" s="1"/>
      <c r="CF2261" s="1"/>
      <c r="CG2261" s="1"/>
      <c r="CH2261" s="1"/>
      <c r="CI2261" s="1"/>
      <c r="CJ2261" s="1"/>
      <c r="CK2261" s="1"/>
      <c r="CL2261" s="1"/>
      <c r="CM2261" s="1"/>
      <c r="CN2261" s="1"/>
      <c r="CO2261" s="1"/>
      <c r="CP2261" s="1"/>
      <c r="CQ2261" s="1"/>
      <c r="CR2261" s="1"/>
      <c r="CS2261" s="1"/>
      <c r="CT2261" s="1"/>
      <c r="CU2261" s="1"/>
      <c r="CV2261" s="1"/>
      <c r="CW2261" s="1"/>
      <c r="CX2261" s="1"/>
      <c r="CY2261" s="1"/>
      <c r="CZ2261" s="1"/>
      <c r="DA2261" s="1"/>
      <c r="DB2261" s="1"/>
      <c r="DC2261" s="1"/>
    </row>
    <row r="2262" spans="1:107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1"/>
      <c r="AD2262" s="1"/>
      <c r="AE2262" s="1"/>
      <c r="AF2262" s="1"/>
      <c r="AG2262" s="1"/>
      <c r="AH2262" s="1"/>
      <c r="AI2262" s="1"/>
      <c r="AJ2262" s="1"/>
      <c r="AK2262" s="1"/>
      <c r="AL2262" s="1"/>
      <c r="AM2262" s="1"/>
      <c r="AN2262" s="1"/>
      <c r="AO2262" s="1"/>
      <c r="AP2262" s="1"/>
      <c r="AQ2262" s="1"/>
      <c r="AR2262" s="1"/>
      <c r="AS2262" s="1"/>
      <c r="AT2262" s="1"/>
      <c r="AU2262" s="1"/>
      <c r="AV2262" s="1"/>
      <c r="AW2262" s="1"/>
      <c r="AX2262" s="1"/>
      <c r="AY2262" s="1"/>
      <c r="AZ2262" s="1"/>
      <c r="BA2262" s="1"/>
      <c r="BB2262" s="1"/>
      <c r="BC2262" s="1"/>
      <c r="BD2262" s="1"/>
      <c r="BE2262" s="1"/>
      <c r="BF2262" s="1"/>
      <c r="BG2262" s="1"/>
      <c r="BH2262" s="1"/>
      <c r="BI2262" s="1"/>
      <c r="BJ2262" s="1"/>
      <c r="BK2262" s="1"/>
      <c r="BL2262" s="1"/>
      <c r="BM2262" s="1"/>
      <c r="BN2262" s="1"/>
      <c r="BO2262" s="1"/>
      <c r="BP2262" s="1"/>
      <c r="BQ2262" s="1"/>
      <c r="BR2262" s="1"/>
      <c r="BS2262" s="1"/>
      <c r="BT2262" s="1"/>
      <c r="BU2262" s="1"/>
      <c r="BV2262" s="1"/>
      <c r="BW2262" s="1"/>
      <c r="BX2262" s="1"/>
      <c r="BY2262" s="1"/>
      <c r="BZ2262" s="1"/>
      <c r="CA2262" s="1"/>
      <c r="CB2262" s="1"/>
      <c r="CC2262" s="1"/>
      <c r="CD2262" s="1"/>
      <c r="CE2262" s="1"/>
      <c r="CF2262" s="1"/>
      <c r="CG2262" s="1"/>
      <c r="CH2262" s="1"/>
      <c r="CI2262" s="1"/>
      <c r="CJ2262" s="1"/>
      <c r="CK2262" s="1"/>
      <c r="CL2262" s="1"/>
      <c r="CM2262" s="1"/>
      <c r="CN2262" s="1"/>
      <c r="CO2262" s="1"/>
      <c r="CP2262" s="1"/>
      <c r="CQ2262" s="1"/>
      <c r="CR2262" s="1"/>
      <c r="CS2262" s="1"/>
      <c r="CT2262" s="1"/>
      <c r="CU2262" s="1"/>
      <c r="CV2262" s="1"/>
      <c r="CW2262" s="1"/>
      <c r="CX2262" s="1"/>
      <c r="CY2262" s="1"/>
      <c r="CZ2262" s="1"/>
      <c r="DA2262" s="1"/>
      <c r="DB2262" s="1"/>
      <c r="DC2262" s="1"/>
    </row>
    <row r="2263" spans="1:107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  <c r="AC2263" s="1"/>
      <c r="AD2263" s="1"/>
      <c r="AE2263" s="1"/>
      <c r="AF2263" s="1"/>
      <c r="AG2263" s="1"/>
      <c r="AH2263" s="1"/>
      <c r="AI2263" s="1"/>
      <c r="AJ2263" s="1"/>
      <c r="AK2263" s="1"/>
      <c r="AL2263" s="1"/>
      <c r="AM2263" s="1"/>
      <c r="AN2263" s="1"/>
      <c r="AO2263" s="1"/>
      <c r="AP2263" s="1"/>
      <c r="AQ2263" s="1"/>
      <c r="AR2263" s="1"/>
      <c r="AS2263" s="1"/>
      <c r="AT2263" s="1"/>
      <c r="AU2263" s="1"/>
      <c r="AV2263" s="1"/>
      <c r="AW2263" s="1"/>
      <c r="AX2263" s="1"/>
      <c r="AY2263" s="1"/>
      <c r="AZ2263" s="1"/>
      <c r="BA2263" s="1"/>
      <c r="BB2263" s="1"/>
      <c r="BC2263" s="1"/>
      <c r="BD2263" s="1"/>
      <c r="BE2263" s="1"/>
      <c r="BF2263" s="1"/>
      <c r="BG2263" s="1"/>
      <c r="BH2263" s="1"/>
      <c r="BI2263" s="1"/>
      <c r="BJ2263" s="1"/>
      <c r="BK2263" s="1"/>
      <c r="BL2263" s="1"/>
      <c r="BM2263" s="1"/>
      <c r="BN2263" s="1"/>
      <c r="BO2263" s="1"/>
      <c r="BP2263" s="1"/>
      <c r="BQ2263" s="1"/>
      <c r="BR2263" s="1"/>
      <c r="BS2263" s="1"/>
      <c r="BT2263" s="1"/>
      <c r="BU2263" s="1"/>
      <c r="BV2263" s="1"/>
      <c r="BW2263" s="1"/>
      <c r="BX2263" s="1"/>
      <c r="BY2263" s="1"/>
      <c r="BZ2263" s="1"/>
      <c r="CA2263" s="1"/>
      <c r="CB2263" s="1"/>
      <c r="CC2263" s="1"/>
      <c r="CD2263" s="1"/>
      <c r="CE2263" s="1"/>
      <c r="CF2263" s="1"/>
      <c r="CG2263" s="1"/>
      <c r="CH2263" s="1"/>
      <c r="CI2263" s="1"/>
      <c r="CJ2263" s="1"/>
      <c r="CK2263" s="1"/>
      <c r="CL2263" s="1"/>
      <c r="CM2263" s="1"/>
      <c r="CN2263" s="1"/>
      <c r="CO2263" s="1"/>
      <c r="CP2263" s="1"/>
      <c r="CQ2263" s="1"/>
      <c r="CR2263" s="1"/>
      <c r="CS2263" s="1"/>
      <c r="CT2263" s="1"/>
      <c r="CU2263" s="1"/>
      <c r="CV2263" s="1"/>
      <c r="CW2263" s="1"/>
      <c r="CX2263" s="1"/>
      <c r="CY2263" s="1"/>
      <c r="CZ2263" s="1"/>
      <c r="DA2263" s="1"/>
      <c r="DB2263" s="1"/>
      <c r="DC2263" s="1"/>
    </row>
    <row r="2264" spans="1:107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1"/>
      <c r="AD2264" s="1"/>
      <c r="AE2264" s="1"/>
      <c r="AF2264" s="1"/>
      <c r="AG2264" s="1"/>
      <c r="AH2264" s="1"/>
      <c r="AI2264" s="1"/>
      <c r="AJ2264" s="1"/>
      <c r="AK2264" s="1"/>
      <c r="AL2264" s="1"/>
      <c r="AM2264" s="1"/>
      <c r="AN2264" s="1"/>
      <c r="AO2264" s="1"/>
      <c r="AP2264" s="1"/>
      <c r="AQ2264" s="1"/>
      <c r="AR2264" s="1"/>
      <c r="AS2264" s="1"/>
      <c r="AT2264" s="1"/>
      <c r="AU2264" s="1"/>
      <c r="AV2264" s="1"/>
      <c r="AW2264" s="1"/>
      <c r="AX2264" s="1"/>
      <c r="AY2264" s="1"/>
      <c r="AZ2264" s="1"/>
      <c r="BA2264" s="1"/>
      <c r="BB2264" s="1"/>
      <c r="BC2264" s="1"/>
      <c r="BD2264" s="1"/>
      <c r="BE2264" s="1"/>
      <c r="BF2264" s="1"/>
      <c r="BG2264" s="1"/>
      <c r="BH2264" s="1"/>
      <c r="BI2264" s="1"/>
      <c r="BJ2264" s="1"/>
      <c r="BK2264" s="1"/>
      <c r="BL2264" s="1"/>
      <c r="BM2264" s="1"/>
      <c r="BN2264" s="1"/>
      <c r="BO2264" s="1"/>
      <c r="BP2264" s="1"/>
      <c r="BQ2264" s="1"/>
      <c r="BR2264" s="1"/>
      <c r="BS2264" s="1"/>
      <c r="BT2264" s="1"/>
      <c r="BU2264" s="1"/>
      <c r="BV2264" s="1"/>
      <c r="BW2264" s="1"/>
      <c r="BX2264" s="1"/>
      <c r="BY2264" s="1"/>
      <c r="BZ2264" s="1"/>
      <c r="CA2264" s="1"/>
      <c r="CB2264" s="1"/>
      <c r="CC2264" s="1"/>
      <c r="CD2264" s="1"/>
      <c r="CE2264" s="1"/>
      <c r="CF2264" s="1"/>
      <c r="CG2264" s="1"/>
      <c r="CH2264" s="1"/>
      <c r="CI2264" s="1"/>
      <c r="CJ2264" s="1"/>
      <c r="CK2264" s="1"/>
      <c r="CL2264" s="1"/>
      <c r="CM2264" s="1"/>
      <c r="CN2264" s="1"/>
      <c r="CO2264" s="1"/>
      <c r="CP2264" s="1"/>
      <c r="CQ2264" s="1"/>
      <c r="CR2264" s="1"/>
      <c r="CS2264" s="1"/>
      <c r="CT2264" s="1"/>
      <c r="CU2264" s="1"/>
      <c r="CV2264" s="1"/>
      <c r="CW2264" s="1"/>
      <c r="CX2264" s="1"/>
      <c r="CY2264" s="1"/>
      <c r="CZ2264" s="1"/>
      <c r="DA2264" s="1"/>
      <c r="DB2264" s="1"/>
      <c r="DC2264" s="1"/>
    </row>
    <row r="2265" spans="1:107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  <c r="AC2265" s="1"/>
      <c r="AD2265" s="1"/>
      <c r="AE2265" s="1"/>
      <c r="AF2265" s="1"/>
      <c r="AG2265" s="1"/>
      <c r="AH2265" s="1"/>
      <c r="AI2265" s="1"/>
      <c r="AJ2265" s="1"/>
      <c r="AK2265" s="1"/>
      <c r="AL2265" s="1"/>
      <c r="AM2265" s="1"/>
      <c r="AN2265" s="1"/>
      <c r="AO2265" s="1"/>
      <c r="AP2265" s="1"/>
      <c r="AQ2265" s="1"/>
      <c r="AR2265" s="1"/>
      <c r="AS2265" s="1"/>
      <c r="AT2265" s="1"/>
      <c r="AU2265" s="1"/>
      <c r="AV2265" s="1"/>
      <c r="AW2265" s="1"/>
      <c r="AX2265" s="1"/>
      <c r="AY2265" s="1"/>
      <c r="AZ2265" s="1"/>
      <c r="BA2265" s="1"/>
      <c r="BB2265" s="1"/>
      <c r="BC2265" s="1"/>
      <c r="BD2265" s="1"/>
      <c r="BE2265" s="1"/>
      <c r="BF2265" s="1"/>
      <c r="BG2265" s="1"/>
      <c r="BH2265" s="1"/>
      <c r="BI2265" s="1"/>
      <c r="BJ2265" s="1"/>
      <c r="BK2265" s="1"/>
      <c r="BL2265" s="1"/>
      <c r="BM2265" s="1"/>
      <c r="BN2265" s="1"/>
      <c r="BO2265" s="1"/>
      <c r="BP2265" s="1"/>
      <c r="BQ2265" s="1"/>
      <c r="BR2265" s="1"/>
      <c r="BS2265" s="1"/>
      <c r="BT2265" s="1"/>
      <c r="BU2265" s="1"/>
      <c r="BV2265" s="1"/>
      <c r="BW2265" s="1"/>
      <c r="BX2265" s="1"/>
      <c r="BY2265" s="1"/>
      <c r="BZ2265" s="1"/>
      <c r="CA2265" s="1"/>
      <c r="CB2265" s="1"/>
      <c r="CC2265" s="1"/>
      <c r="CD2265" s="1"/>
      <c r="CE2265" s="1"/>
      <c r="CF2265" s="1"/>
      <c r="CG2265" s="1"/>
      <c r="CH2265" s="1"/>
      <c r="CI2265" s="1"/>
      <c r="CJ2265" s="1"/>
      <c r="CK2265" s="1"/>
      <c r="CL2265" s="1"/>
      <c r="CM2265" s="1"/>
      <c r="CN2265" s="1"/>
      <c r="CO2265" s="1"/>
      <c r="CP2265" s="1"/>
      <c r="CQ2265" s="1"/>
      <c r="CR2265" s="1"/>
      <c r="CS2265" s="1"/>
      <c r="CT2265" s="1"/>
      <c r="CU2265" s="1"/>
      <c r="CV2265" s="1"/>
      <c r="CW2265" s="1"/>
      <c r="CX2265" s="1"/>
      <c r="CY2265" s="1"/>
      <c r="CZ2265" s="1"/>
      <c r="DA2265" s="1"/>
      <c r="DB2265" s="1"/>
      <c r="DC2265" s="1"/>
    </row>
    <row r="2266" spans="1:107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  <c r="AC2266" s="1"/>
      <c r="AD2266" s="1"/>
      <c r="AE2266" s="1"/>
      <c r="AF2266" s="1"/>
      <c r="AG2266" s="1"/>
      <c r="AH2266" s="1"/>
      <c r="AI2266" s="1"/>
      <c r="AJ2266" s="1"/>
      <c r="AK2266" s="1"/>
      <c r="AL2266" s="1"/>
      <c r="AM2266" s="1"/>
      <c r="AN2266" s="1"/>
      <c r="AO2266" s="1"/>
      <c r="AP2266" s="1"/>
      <c r="AQ2266" s="1"/>
      <c r="AR2266" s="1"/>
      <c r="AS2266" s="1"/>
      <c r="AT2266" s="1"/>
      <c r="AU2266" s="1"/>
      <c r="AV2266" s="1"/>
      <c r="AW2266" s="1"/>
      <c r="AX2266" s="1"/>
      <c r="AY2266" s="1"/>
      <c r="AZ2266" s="1"/>
      <c r="BA2266" s="1"/>
      <c r="BB2266" s="1"/>
      <c r="BC2266" s="1"/>
      <c r="BD2266" s="1"/>
      <c r="BE2266" s="1"/>
      <c r="BF2266" s="1"/>
      <c r="BG2266" s="1"/>
      <c r="BH2266" s="1"/>
      <c r="BI2266" s="1"/>
      <c r="BJ2266" s="1"/>
      <c r="BK2266" s="1"/>
      <c r="BL2266" s="1"/>
      <c r="BM2266" s="1"/>
      <c r="BN2266" s="1"/>
      <c r="BO2266" s="1"/>
      <c r="BP2266" s="1"/>
      <c r="BQ2266" s="1"/>
      <c r="BR2266" s="1"/>
      <c r="BS2266" s="1"/>
      <c r="BT2266" s="1"/>
      <c r="BU2266" s="1"/>
      <c r="BV2266" s="1"/>
      <c r="BW2266" s="1"/>
      <c r="BX2266" s="1"/>
      <c r="BY2266" s="1"/>
      <c r="BZ2266" s="1"/>
      <c r="CA2266" s="1"/>
      <c r="CB2266" s="1"/>
      <c r="CC2266" s="1"/>
      <c r="CD2266" s="1"/>
      <c r="CE2266" s="1"/>
      <c r="CF2266" s="1"/>
      <c r="CG2266" s="1"/>
      <c r="CH2266" s="1"/>
      <c r="CI2266" s="1"/>
      <c r="CJ2266" s="1"/>
      <c r="CK2266" s="1"/>
      <c r="CL2266" s="1"/>
      <c r="CM2266" s="1"/>
      <c r="CN2266" s="1"/>
      <c r="CO2266" s="1"/>
      <c r="CP2266" s="1"/>
      <c r="CQ2266" s="1"/>
      <c r="CR2266" s="1"/>
      <c r="CS2266" s="1"/>
      <c r="CT2266" s="1"/>
      <c r="CU2266" s="1"/>
      <c r="CV2266" s="1"/>
      <c r="CW2266" s="1"/>
      <c r="CX2266" s="1"/>
      <c r="CY2266" s="1"/>
      <c r="CZ2266" s="1"/>
      <c r="DA2266" s="1"/>
      <c r="DB2266" s="1"/>
      <c r="DC2266" s="1"/>
    </row>
    <row r="2267" spans="1:107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  <c r="AD2267" s="1"/>
      <c r="AE2267" s="1"/>
      <c r="AF2267" s="1"/>
      <c r="AG2267" s="1"/>
      <c r="AH2267" s="1"/>
      <c r="AI2267" s="1"/>
      <c r="AJ2267" s="1"/>
      <c r="AK2267" s="1"/>
      <c r="AL2267" s="1"/>
      <c r="AM2267" s="1"/>
      <c r="AN2267" s="1"/>
      <c r="AO2267" s="1"/>
      <c r="AP2267" s="1"/>
      <c r="AQ2267" s="1"/>
      <c r="AR2267" s="1"/>
      <c r="AS2267" s="1"/>
      <c r="AT2267" s="1"/>
      <c r="AU2267" s="1"/>
      <c r="AV2267" s="1"/>
      <c r="AW2267" s="1"/>
      <c r="AX2267" s="1"/>
      <c r="AY2267" s="1"/>
      <c r="AZ2267" s="1"/>
      <c r="BA2267" s="1"/>
      <c r="BB2267" s="1"/>
      <c r="BC2267" s="1"/>
      <c r="BD2267" s="1"/>
      <c r="BE2267" s="1"/>
      <c r="BF2267" s="1"/>
      <c r="BG2267" s="1"/>
      <c r="BH2267" s="1"/>
      <c r="BI2267" s="1"/>
      <c r="BJ2267" s="1"/>
      <c r="BK2267" s="1"/>
      <c r="BL2267" s="1"/>
      <c r="BM2267" s="1"/>
      <c r="BN2267" s="1"/>
      <c r="BO2267" s="1"/>
      <c r="BP2267" s="1"/>
      <c r="BQ2267" s="1"/>
      <c r="BR2267" s="1"/>
      <c r="BS2267" s="1"/>
      <c r="BT2267" s="1"/>
      <c r="BU2267" s="1"/>
      <c r="BV2267" s="1"/>
      <c r="BW2267" s="1"/>
      <c r="BX2267" s="1"/>
      <c r="BY2267" s="1"/>
      <c r="BZ2267" s="1"/>
      <c r="CA2267" s="1"/>
      <c r="CB2267" s="1"/>
      <c r="CC2267" s="1"/>
      <c r="CD2267" s="1"/>
      <c r="CE2267" s="1"/>
      <c r="CF2267" s="1"/>
      <c r="CG2267" s="1"/>
      <c r="CH2267" s="1"/>
      <c r="CI2267" s="1"/>
      <c r="CJ2267" s="1"/>
      <c r="CK2267" s="1"/>
      <c r="CL2267" s="1"/>
      <c r="CM2267" s="1"/>
      <c r="CN2267" s="1"/>
      <c r="CO2267" s="1"/>
      <c r="CP2267" s="1"/>
      <c r="CQ2267" s="1"/>
      <c r="CR2267" s="1"/>
      <c r="CS2267" s="1"/>
      <c r="CT2267" s="1"/>
      <c r="CU2267" s="1"/>
      <c r="CV2267" s="1"/>
      <c r="CW2267" s="1"/>
      <c r="CX2267" s="1"/>
      <c r="CY2267" s="1"/>
      <c r="CZ2267" s="1"/>
      <c r="DA2267" s="1"/>
      <c r="DB2267" s="1"/>
      <c r="DC2267" s="1"/>
    </row>
    <row r="2268" spans="1:107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1"/>
      <c r="AD2268" s="1"/>
      <c r="AE2268" s="1"/>
      <c r="AF2268" s="1"/>
      <c r="AG2268" s="1"/>
      <c r="AH2268" s="1"/>
      <c r="AI2268" s="1"/>
      <c r="AJ2268" s="1"/>
      <c r="AK2268" s="1"/>
      <c r="AL2268" s="1"/>
      <c r="AM2268" s="1"/>
      <c r="AN2268" s="1"/>
      <c r="AO2268" s="1"/>
      <c r="AP2268" s="1"/>
      <c r="AQ2268" s="1"/>
      <c r="AR2268" s="1"/>
      <c r="AS2268" s="1"/>
      <c r="AT2268" s="1"/>
      <c r="AU2268" s="1"/>
      <c r="AV2268" s="1"/>
      <c r="AW2268" s="1"/>
      <c r="AX2268" s="1"/>
      <c r="AY2268" s="1"/>
      <c r="AZ2268" s="1"/>
      <c r="BA2268" s="1"/>
      <c r="BB2268" s="1"/>
      <c r="BC2268" s="1"/>
      <c r="BD2268" s="1"/>
      <c r="BE2268" s="1"/>
      <c r="BF2268" s="1"/>
      <c r="BG2268" s="1"/>
      <c r="BH2268" s="1"/>
      <c r="BI2268" s="1"/>
      <c r="BJ2268" s="1"/>
      <c r="BK2268" s="1"/>
      <c r="BL2268" s="1"/>
      <c r="BM2268" s="1"/>
      <c r="BN2268" s="1"/>
      <c r="BO2268" s="1"/>
      <c r="BP2268" s="1"/>
      <c r="BQ2268" s="1"/>
      <c r="BR2268" s="1"/>
      <c r="BS2268" s="1"/>
      <c r="BT2268" s="1"/>
      <c r="BU2268" s="1"/>
      <c r="BV2268" s="1"/>
      <c r="BW2268" s="1"/>
      <c r="BX2268" s="1"/>
      <c r="BY2268" s="1"/>
      <c r="BZ2268" s="1"/>
      <c r="CA2268" s="1"/>
      <c r="CB2268" s="1"/>
      <c r="CC2268" s="1"/>
      <c r="CD2268" s="1"/>
      <c r="CE2268" s="1"/>
      <c r="CF2268" s="1"/>
      <c r="CG2268" s="1"/>
      <c r="CH2268" s="1"/>
      <c r="CI2268" s="1"/>
      <c r="CJ2268" s="1"/>
      <c r="CK2268" s="1"/>
      <c r="CL2268" s="1"/>
      <c r="CM2268" s="1"/>
      <c r="CN2268" s="1"/>
      <c r="CO2268" s="1"/>
      <c r="CP2268" s="1"/>
      <c r="CQ2268" s="1"/>
      <c r="CR2268" s="1"/>
      <c r="CS2268" s="1"/>
      <c r="CT2268" s="1"/>
      <c r="CU2268" s="1"/>
      <c r="CV2268" s="1"/>
      <c r="CW2268" s="1"/>
      <c r="CX2268" s="1"/>
      <c r="CY2268" s="1"/>
      <c r="CZ2268" s="1"/>
      <c r="DA2268" s="1"/>
      <c r="DB2268" s="1"/>
      <c r="DC2268" s="1"/>
    </row>
    <row r="2269" spans="1:107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/>
      <c r="AC2269" s="1"/>
      <c r="AD2269" s="1"/>
      <c r="AE2269" s="1"/>
      <c r="AF2269" s="1"/>
      <c r="AG2269" s="1"/>
      <c r="AH2269" s="1"/>
      <c r="AI2269" s="1"/>
      <c r="AJ2269" s="1"/>
      <c r="AK2269" s="1"/>
      <c r="AL2269" s="1"/>
      <c r="AM2269" s="1"/>
      <c r="AN2269" s="1"/>
      <c r="AO2269" s="1"/>
      <c r="AP2269" s="1"/>
      <c r="AQ2269" s="1"/>
      <c r="AR2269" s="1"/>
      <c r="AS2269" s="1"/>
      <c r="AT2269" s="1"/>
      <c r="AU2269" s="1"/>
      <c r="AV2269" s="1"/>
      <c r="AW2269" s="1"/>
      <c r="AX2269" s="1"/>
      <c r="AY2269" s="1"/>
      <c r="AZ2269" s="1"/>
      <c r="BA2269" s="1"/>
      <c r="BB2269" s="1"/>
      <c r="BC2269" s="1"/>
      <c r="BD2269" s="1"/>
      <c r="BE2269" s="1"/>
      <c r="BF2269" s="1"/>
      <c r="BG2269" s="1"/>
      <c r="BH2269" s="1"/>
      <c r="BI2269" s="1"/>
      <c r="BJ2269" s="1"/>
      <c r="BK2269" s="1"/>
      <c r="BL2269" s="1"/>
      <c r="BM2269" s="1"/>
      <c r="BN2269" s="1"/>
      <c r="BO2269" s="1"/>
      <c r="BP2269" s="1"/>
      <c r="BQ2269" s="1"/>
      <c r="BR2269" s="1"/>
      <c r="BS2269" s="1"/>
      <c r="BT2269" s="1"/>
      <c r="BU2269" s="1"/>
      <c r="BV2269" s="1"/>
      <c r="BW2269" s="1"/>
      <c r="BX2269" s="1"/>
      <c r="BY2269" s="1"/>
      <c r="BZ2269" s="1"/>
      <c r="CA2269" s="1"/>
      <c r="CB2269" s="1"/>
      <c r="CC2269" s="1"/>
      <c r="CD2269" s="1"/>
      <c r="CE2269" s="1"/>
      <c r="CF2269" s="1"/>
      <c r="CG2269" s="1"/>
      <c r="CH2269" s="1"/>
      <c r="CI2269" s="1"/>
      <c r="CJ2269" s="1"/>
      <c r="CK2269" s="1"/>
      <c r="CL2269" s="1"/>
      <c r="CM2269" s="1"/>
      <c r="CN2269" s="1"/>
      <c r="CO2269" s="1"/>
      <c r="CP2269" s="1"/>
      <c r="CQ2269" s="1"/>
      <c r="CR2269" s="1"/>
      <c r="CS2269" s="1"/>
      <c r="CT2269" s="1"/>
      <c r="CU2269" s="1"/>
      <c r="CV2269" s="1"/>
      <c r="CW2269" s="1"/>
      <c r="CX2269" s="1"/>
      <c r="CY2269" s="1"/>
      <c r="CZ2269" s="1"/>
      <c r="DA2269" s="1"/>
      <c r="DB2269" s="1"/>
      <c r="DC2269" s="1"/>
    </row>
    <row r="2270" spans="1:107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1"/>
      <c r="AD2270" s="1"/>
      <c r="AE2270" s="1"/>
      <c r="AF2270" s="1"/>
      <c r="AG2270" s="1"/>
      <c r="AH2270" s="1"/>
      <c r="AI2270" s="1"/>
      <c r="AJ2270" s="1"/>
      <c r="AK2270" s="1"/>
      <c r="AL2270" s="1"/>
      <c r="AM2270" s="1"/>
      <c r="AN2270" s="1"/>
      <c r="AO2270" s="1"/>
      <c r="AP2270" s="1"/>
      <c r="AQ2270" s="1"/>
      <c r="AR2270" s="1"/>
      <c r="AS2270" s="1"/>
      <c r="AT2270" s="1"/>
      <c r="AU2270" s="1"/>
      <c r="AV2270" s="1"/>
      <c r="AW2270" s="1"/>
      <c r="AX2270" s="1"/>
      <c r="AY2270" s="1"/>
      <c r="AZ2270" s="1"/>
      <c r="BA2270" s="1"/>
      <c r="BB2270" s="1"/>
      <c r="BC2270" s="1"/>
      <c r="BD2270" s="1"/>
      <c r="BE2270" s="1"/>
      <c r="BF2270" s="1"/>
      <c r="BG2270" s="1"/>
      <c r="BH2270" s="1"/>
      <c r="BI2270" s="1"/>
      <c r="BJ2270" s="1"/>
      <c r="BK2270" s="1"/>
      <c r="BL2270" s="1"/>
      <c r="BM2270" s="1"/>
      <c r="BN2270" s="1"/>
      <c r="BO2270" s="1"/>
      <c r="BP2270" s="1"/>
      <c r="BQ2270" s="1"/>
      <c r="BR2270" s="1"/>
      <c r="BS2270" s="1"/>
      <c r="BT2270" s="1"/>
      <c r="BU2270" s="1"/>
      <c r="BV2270" s="1"/>
      <c r="BW2270" s="1"/>
      <c r="BX2270" s="1"/>
      <c r="BY2270" s="1"/>
      <c r="BZ2270" s="1"/>
      <c r="CA2270" s="1"/>
      <c r="CB2270" s="1"/>
      <c r="CC2270" s="1"/>
      <c r="CD2270" s="1"/>
      <c r="CE2270" s="1"/>
      <c r="CF2270" s="1"/>
      <c r="CG2270" s="1"/>
      <c r="CH2270" s="1"/>
      <c r="CI2270" s="1"/>
      <c r="CJ2270" s="1"/>
      <c r="CK2270" s="1"/>
      <c r="CL2270" s="1"/>
      <c r="CM2270" s="1"/>
      <c r="CN2270" s="1"/>
      <c r="CO2270" s="1"/>
      <c r="CP2270" s="1"/>
      <c r="CQ2270" s="1"/>
      <c r="CR2270" s="1"/>
      <c r="CS2270" s="1"/>
      <c r="CT2270" s="1"/>
      <c r="CU2270" s="1"/>
      <c r="CV2270" s="1"/>
      <c r="CW2270" s="1"/>
      <c r="CX2270" s="1"/>
      <c r="CY2270" s="1"/>
      <c r="CZ2270" s="1"/>
      <c r="DA2270" s="1"/>
      <c r="DB2270" s="1"/>
      <c r="DC2270" s="1"/>
    </row>
    <row r="2271" spans="1:107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  <c r="AC2271" s="1"/>
      <c r="AD2271" s="1"/>
      <c r="AE2271" s="1"/>
      <c r="AF2271" s="1"/>
      <c r="AG2271" s="1"/>
      <c r="AH2271" s="1"/>
      <c r="AI2271" s="1"/>
      <c r="AJ2271" s="1"/>
      <c r="AK2271" s="1"/>
      <c r="AL2271" s="1"/>
      <c r="AM2271" s="1"/>
      <c r="AN2271" s="1"/>
      <c r="AO2271" s="1"/>
      <c r="AP2271" s="1"/>
      <c r="AQ2271" s="1"/>
      <c r="AR2271" s="1"/>
      <c r="AS2271" s="1"/>
      <c r="AT2271" s="1"/>
      <c r="AU2271" s="1"/>
      <c r="AV2271" s="1"/>
      <c r="AW2271" s="1"/>
      <c r="AX2271" s="1"/>
      <c r="AY2271" s="1"/>
      <c r="AZ2271" s="1"/>
      <c r="BA2271" s="1"/>
      <c r="BB2271" s="1"/>
      <c r="BC2271" s="1"/>
      <c r="BD2271" s="1"/>
      <c r="BE2271" s="1"/>
      <c r="BF2271" s="1"/>
      <c r="BG2271" s="1"/>
      <c r="BH2271" s="1"/>
      <c r="BI2271" s="1"/>
      <c r="BJ2271" s="1"/>
      <c r="BK2271" s="1"/>
      <c r="BL2271" s="1"/>
      <c r="BM2271" s="1"/>
      <c r="BN2271" s="1"/>
      <c r="BO2271" s="1"/>
      <c r="BP2271" s="1"/>
      <c r="BQ2271" s="1"/>
      <c r="BR2271" s="1"/>
      <c r="BS2271" s="1"/>
      <c r="BT2271" s="1"/>
      <c r="BU2271" s="1"/>
      <c r="BV2271" s="1"/>
      <c r="BW2271" s="1"/>
      <c r="BX2271" s="1"/>
      <c r="BY2271" s="1"/>
      <c r="BZ2271" s="1"/>
      <c r="CA2271" s="1"/>
      <c r="CB2271" s="1"/>
      <c r="CC2271" s="1"/>
      <c r="CD2271" s="1"/>
      <c r="CE2271" s="1"/>
      <c r="CF2271" s="1"/>
      <c r="CG2271" s="1"/>
      <c r="CH2271" s="1"/>
      <c r="CI2271" s="1"/>
      <c r="CJ2271" s="1"/>
      <c r="CK2271" s="1"/>
      <c r="CL2271" s="1"/>
      <c r="CM2271" s="1"/>
      <c r="CN2271" s="1"/>
      <c r="CO2271" s="1"/>
      <c r="CP2271" s="1"/>
      <c r="CQ2271" s="1"/>
      <c r="CR2271" s="1"/>
      <c r="CS2271" s="1"/>
      <c r="CT2271" s="1"/>
      <c r="CU2271" s="1"/>
      <c r="CV2271" s="1"/>
      <c r="CW2271" s="1"/>
      <c r="CX2271" s="1"/>
      <c r="CY2271" s="1"/>
      <c r="CZ2271" s="1"/>
      <c r="DA2271" s="1"/>
      <c r="DB2271" s="1"/>
      <c r="DC2271" s="1"/>
    </row>
    <row r="2272" spans="1:107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  <c r="AC2272" s="1"/>
      <c r="AD2272" s="1"/>
      <c r="AE2272" s="1"/>
      <c r="AF2272" s="1"/>
      <c r="AG2272" s="1"/>
      <c r="AH2272" s="1"/>
      <c r="AI2272" s="1"/>
      <c r="AJ2272" s="1"/>
      <c r="AK2272" s="1"/>
      <c r="AL2272" s="1"/>
      <c r="AM2272" s="1"/>
      <c r="AN2272" s="1"/>
      <c r="AO2272" s="1"/>
      <c r="AP2272" s="1"/>
      <c r="AQ2272" s="1"/>
      <c r="AR2272" s="1"/>
      <c r="AS2272" s="1"/>
      <c r="AT2272" s="1"/>
      <c r="AU2272" s="1"/>
      <c r="AV2272" s="1"/>
      <c r="AW2272" s="1"/>
      <c r="AX2272" s="1"/>
      <c r="AY2272" s="1"/>
      <c r="AZ2272" s="1"/>
      <c r="BA2272" s="1"/>
      <c r="BB2272" s="1"/>
      <c r="BC2272" s="1"/>
      <c r="BD2272" s="1"/>
      <c r="BE2272" s="1"/>
      <c r="BF2272" s="1"/>
      <c r="BG2272" s="1"/>
      <c r="BH2272" s="1"/>
      <c r="BI2272" s="1"/>
      <c r="BJ2272" s="1"/>
      <c r="BK2272" s="1"/>
      <c r="BL2272" s="1"/>
      <c r="BM2272" s="1"/>
      <c r="BN2272" s="1"/>
      <c r="BO2272" s="1"/>
      <c r="BP2272" s="1"/>
      <c r="BQ2272" s="1"/>
      <c r="BR2272" s="1"/>
      <c r="BS2272" s="1"/>
      <c r="BT2272" s="1"/>
      <c r="BU2272" s="1"/>
      <c r="BV2272" s="1"/>
      <c r="BW2272" s="1"/>
      <c r="BX2272" s="1"/>
      <c r="BY2272" s="1"/>
      <c r="BZ2272" s="1"/>
      <c r="CA2272" s="1"/>
      <c r="CB2272" s="1"/>
      <c r="CC2272" s="1"/>
      <c r="CD2272" s="1"/>
      <c r="CE2272" s="1"/>
      <c r="CF2272" s="1"/>
      <c r="CG2272" s="1"/>
      <c r="CH2272" s="1"/>
      <c r="CI2272" s="1"/>
      <c r="CJ2272" s="1"/>
      <c r="CK2272" s="1"/>
      <c r="CL2272" s="1"/>
      <c r="CM2272" s="1"/>
      <c r="CN2272" s="1"/>
      <c r="CO2272" s="1"/>
      <c r="CP2272" s="1"/>
      <c r="CQ2272" s="1"/>
      <c r="CR2272" s="1"/>
      <c r="CS2272" s="1"/>
      <c r="CT2272" s="1"/>
      <c r="CU2272" s="1"/>
      <c r="CV2272" s="1"/>
      <c r="CW2272" s="1"/>
      <c r="CX2272" s="1"/>
      <c r="CY2272" s="1"/>
      <c r="CZ2272" s="1"/>
      <c r="DA2272" s="1"/>
      <c r="DB2272" s="1"/>
      <c r="DC2272" s="1"/>
    </row>
    <row r="2273" spans="1:107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1"/>
      <c r="AD2273" s="1"/>
      <c r="AE2273" s="1"/>
      <c r="AF2273" s="1"/>
      <c r="AG2273" s="1"/>
      <c r="AH2273" s="1"/>
      <c r="AI2273" s="1"/>
      <c r="AJ2273" s="1"/>
      <c r="AK2273" s="1"/>
      <c r="AL2273" s="1"/>
      <c r="AM2273" s="1"/>
      <c r="AN2273" s="1"/>
      <c r="AO2273" s="1"/>
      <c r="AP2273" s="1"/>
      <c r="AQ2273" s="1"/>
      <c r="AR2273" s="1"/>
      <c r="AS2273" s="1"/>
      <c r="AT2273" s="1"/>
      <c r="AU2273" s="1"/>
      <c r="AV2273" s="1"/>
      <c r="AW2273" s="1"/>
      <c r="AX2273" s="1"/>
      <c r="AY2273" s="1"/>
      <c r="AZ2273" s="1"/>
      <c r="BA2273" s="1"/>
      <c r="BB2273" s="1"/>
      <c r="BC2273" s="1"/>
      <c r="BD2273" s="1"/>
      <c r="BE2273" s="1"/>
      <c r="BF2273" s="1"/>
      <c r="BG2273" s="1"/>
      <c r="BH2273" s="1"/>
      <c r="BI2273" s="1"/>
      <c r="BJ2273" s="1"/>
      <c r="BK2273" s="1"/>
      <c r="BL2273" s="1"/>
      <c r="BM2273" s="1"/>
      <c r="BN2273" s="1"/>
      <c r="BO2273" s="1"/>
      <c r="BP2273" s="1"/>
      <c r="BQ2273" s="1"/>
      <c r="BR2273" s="1"/>
      <c r="BS2273" s="1"/>
      <c r="BT2273" s="1"/>
      <c r="BU2273" s="1"/>
      <c r="BV2273" s="1"/>
      <c r="BW2273" s="1"/>
      <c r="BX2273" s="1"/>
      <c r="BY2273" s="1"/>
      <c r="BZ2273" s="1"/>
      <c r="CA2273" s="1"/>
      <c r="CB2273" s="1"/>
      <c r="CC2273" s="1"/>
      <c r="CD2273" s="1"/>
      <c r="CE2273" s="1"/>
      <c r="CF2273" s="1"/>
      <c r="CG2273" s="1"/>
      <c r="CH2273" s="1"/>
      <c r="CI2273" s="1"/>
      <c r="CJ2273" s="1"/>
      <c r="CK2273" s="1"/>
      <c r="CL2273" s="1"/>
      <c r="CM2273" s="1"/>
      <c r="CN2273" s="1"/>
      <c r="CO2273" s="1"/>
      <c r="CP2273" s="1"/>
      <c r="CQ2273" s="1"/>
      <c r="CR2273" s="1"/>
      <c r="CS2273" s="1"/>
      <c r="CT2273" s="1"/>
      <c r="CU2273" s="1"/>
      <c r="CV2273" s="1"/>
      <c r="CW2273" s="1"/>
      <c r="CX2273" s="1"/>
      <c r="CY2273" s="1"/>
      <c r="CZ2273" s="1"/>
      <c r="DA2273" s="1"/>
      <c r="DB2273" s="1"/>
      <c r="DC2273" s="1"/>
    </row>
    <row r="2274" spans="1:107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s="1"/>
      <c r="AD2274" s="1"/>
      <c r="AE2274" s="1"/>
      <c r="AF2274" s="1"/>
      <c r="AG2274" s="1"/>
      <c r="AH2274" s="1"/>
      <c r="AI2274" s="1"/>
      <c r="AJ2274" s="1"/>
      <c r="AK2274" s="1"/>
      <c r="AL2274" s="1"/>
      <c r="AM2274" s="1"/>
      <c r="AN2274" s="1"/>
      <c r="AO2274" s="1"/>
      <c r="AP2274" s="1"/>
      <c r="AQ2274" s="1"/>
      <c r="AR2274" s="1"/>
      <c r="AS2274" s="1"/>
      <c r="AT2274" s="1"/>
      <c r="AU2274" s="1"/>
      <c r="AV2274" s="1"/>
      <c r="AW2274" s="1"/>
      <c r="AX2274" s="1"/>
      <c r="AY2274" s="1"/>
      <c r="AZ2274" s="1"/>
      <c r="BA2274" s="1"/>
      <c r="BB2274" s="1"/>
      <c r="BC2274" s="1"/>
      <c r="BD2274" s="1"/>
      <c r="BE2274" s="1"/>
      <c r="BF2274" s="1"/>
      <c r="BG2274" s="1"/>
      <c r="BH2274" s="1"/>
      <c r="BI2274" s="1"/>
      <c r="BJ2274" s="1"/>
      <c r="BK2274" s="1"/>
      <c r="BL2274" s="1"/>
      <c r="BM2274" s="1"/>
      <c r="BN2274" s="1"/>
      <c r="BO2274" s="1"/>
      <c r="BP2274" s="1"/>
      <c r="BQ2274" s="1"/>
      <c r="BR2274" s="1"/>
      <c r="BS2274" s="1"/>
      <c r="BT2274" s="1"/>
      <c r="BU2274" s="1"/>
      <c r="BV2274" s="1"/>
      <c r="BW2274" s="1"/>
      <c r="BX2274" s="1"/>
      <c r="BY2274" s="1"/>
      <c r="BZ2274" s="1"/>
      <c r="CA2274" s="1"/>
      <c r="CB2274" s="1"/>
      <c r="CC2274" s="1"/>
      <c r="CD2274" s="1"/>
      <c r="CE2274" s="1"/>
      <c r="CF2274" s="1"/>
      <c r="CG2274" s="1"/>
      <c r="CH2274" s="1"/>
      <c r="CI2274" s="1"/>
      <c r="CJ2274" s="1"/>
      <c r="CK2274" s="1"/>
      <c r="CL2274" s="1"/>
      <c r="CM2274" s="1"/>
      <c r="CN2274" s="1"/>
      <c r="CO2274" s="1"/>
      <c r="CP2274" s="1"/>
      <c r="CQ2274" s="1"/>
      <c r="CR2274" s="1"/>
      <c r="CS2274" s="1"/>
      <c r="CT2274" s="1"/>
      <c r="CU2274" s="1"/>
      <c r="CV2274" s="1"/>
      <c r="CW2274" s="1"/>
      <c r="CX2274" s="1"/>
      <c r="CY2274" s="1"/>
      <c r="CZ2274" s="1"/>
      <c r="DA2274" s="1"/>
      <c r="DB2274" s="1"/>
      <c r="DC2274" s="1"/>
    </row>
    <row r="2275" spans="1:107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1"/>
      <c r="AD2275" s="1"/>
      <c r="AE2275" s="1"/>
      <c r="AF2275" s="1"/>
      <c r="AG2275" s="1"/>
      <c r="AH2275" s="1"/>
      <c r="AI2275" s="1"/>
      <c r="AJ2275" s="1"/>
      <c r="AK2275" s="1"/>
      <c r="AL2275" s="1"/>
      <c r="AM2275" s="1"/>
      <c r="AN2275" s="1"/>
      <c r="AO2275" s="1"/>
      <c r="AP2275" s="1"/>
      <c r="AQ2275" s="1"/>
      <c r="AR2275" s="1"/>
      <c r="AS2275" s="1"/>
      <c r="AT2275" s="1"/>
      <c r="AU2275" s="1"/>
      <c r="AV2275" s="1"/>
      <c r="AW2275" s="1"/>
      <c r="AX2275" s="1"/>
      <c r="AY2275" s="1"/>
      <c r="AZ2275" s="1"/>
      <c r="BA2275" s="1"/>
      <c r="BB2275" s="1"/>
      <c r="BC2275" s="1"/>
      <c r="BD2275" s="1"/>
      <c r="BE2275" s="1"/>
      <c r="BF2275" s="1"/>
      <c r="BG2275" s="1"/>
      <c r="BH2275" s="1"/>
      <c r="BI2275" s="1"/>
      <c r="BJ2275" s="1"/>
      <c r="BK2275" s="1"/>
      <c r="BL2275" s="1"/>
      <c r="BM2275" s="1"/>
      <c r="BN2275" s="1"/>
      <c r="BO2275" s="1"/>
      <c r="BP2275" s="1"/>
      <c r="BQ2275" s="1"/>
      <c r="BR2275" s="1"/>
      <c r="BS2275" s="1"/>
      <c r="BT2275" s="1"/>
      <c r="BU2275" s="1"/>
      <c r="BV2275" s="1"/>
      <c r="BW2275" s="1"/>
      <c r="BX2275" s="1"/>
      <c r="BY2275" s="1"/>
      <c r="BZ2275" s="1"/>
      <c r="CA2275" s="1"/>
      <c r="CB2275" s="1"/>
      <c r="CC2275" s="1"/>
      <c r="CD2275" s="1"/>
      <c r="CE2275" s="1"/>
      <c r="CF2275" s="1"/>
      <c r="CG2275" s="1"/>
      <c r="CH2275" s="1"/>
      <c r="CI2275" s="1"/>
      <c r="CJ2275" s="1"/>
      <c r="CK2275" s="1"/>
      <c r="CL2275" s="1"/>
      <c r="CM2275" s="1"/>
      <c r="CN2275" s="1"/>
      <c r="CO2275" s="1"/>
      <c r="CP2275" s="1"/>
      <c r="CQ2275" s="1"/>
      <c r="CR2275" s="1"/>
      <c r="CS2275" s="1"/>
      <c r="CT2275" s="1"/>
      <c r="CU2275" s="1"/>
      <c r="CV2275" s="1"/>
      <c r="CW2275" s="1"/>
      <c r="CX2275" s="1"/>
      <c r="CY2275" s="1"/>
      <c r="CZ2275" s="1"/>
      <c r="DA2275" s="1"/>
      <c r="DB2275" s="1"/>
      <c r="DC2275" s="1"/>
    </row>
    <row r="2276" spans="1:107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  <c r="AD2276" s="1"/>
      <c r="AE2276" s="1"/>
      <c r="AF2276" s="1"/>
      <c r="AG2276" s="1"/>
      <c r="AH2276" s="1"/>
      <c r="AI2276" s="1"/>
      <c r="AJ2276" s="1"/>
      <c r="AK2276" s="1"/>
      <c r="AL2276" s="1"/>
      <c r="AM2276" s="1"/>
      <c r="AN2276" s="1"/>
      <c r="AO2276" s="1"/>
      <c r="AP2276" s="1"/>
      <c r="AQ2276" s="1"/>
      <c r="AR2276" s="1"/>
      <c r="AS2276" s="1"/>
      <c r="AT2276" s="1"/>
      <c r="AU2276" s="1"/>
      <c r="AV2276" s="1"/>
      <c r="AW2276" s="1"/>
      <c r="AX2276" s="1"/>
      <c r="AY2276" s="1"/>
      <c r="AZ2276" s="1"/>
      <c r="BA2276" s="1"/>
      <c r="BB2276" s="1"/>
      <c r="BC2276" s="1"/>
      <c r="BD2276" s="1"/>
      <c r="BE2276" s="1"/>
      <c r="BF2276" s="1"/>
      <c r="BG2276" s="1"/>
      <c r="BH2276" s="1"/>
      <c r="BI2276" s="1"/>
      <c r="BJ2276" s="1"/>
      <c r="BK2276" s="1"/>
      <c r="BL2276" s="1"/>
      <c r="BM2276" s="1"/>
      <c r="BN2276" s="1"/>
      <c r="BO2276" s="1"/>
      <c r="BP2276" s="1"/>
      <c r="BQ2276" s="1"/>
      <c r="BR2276" s="1"/>
      <c r="BS2276" s="1"/>
      <c r="BT2276" s="1"/>
      <c r="BU2276" s="1"/>
      <c r="BV2276" s="1"/>
      <c r="BW2276" s="1"/>
      <c r="BX2276" s="1"/>
      <c r="BY2276" s="1"/>
      <c r="BZ2276" s="1"/>
      <c r="CA2276" s="1"/>
      <c r="CB2276" s="1"/>
      <c r="CC2276" s="1"/>
      <c r="CD2276" s="1"/>
      <c r="CE2276" s="1"/>
      <c r="CF2276" s="1"/>
      <c r="CG2276" s="1"/>
      <c r="CH2276" s="1"/>
      <c r="CI2276" s="1"/>
      <c r="CJ2276" s="1"/>
      <c r="CK2276" s="1"/>
      <c r="CL2276" s="1"/>
      <c r="CM2276" s="1"/>
      <c r="CN2276" s="1"/>
      <c r="CO2276" s="1"/>
      <c r="CP2276" s="1"/>
      <c r="CQ2276" s="1"/>
      <c r="CR2276" s="1"/>
      <c r="CS2276" s="1"/>
      <c r="CT2276" s="1"/>
      <c r="CU2276" s="1"/>
      <c r="CV2276" s="1"/>
      <c r="CW2276" s="1"/>
      <c r="CX2276" s="1"/>
      <c r="CY2276" s="1"/>
      <c r="CZ2276" s="1"/>
      <c r="DA2276" s="1"/>
      <c r="DB2276" s="1"/>
      <c r="DC2276" s="1"/>
    </row>
    <row r="2277" spans="1:107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  <c r="AC2277" s="1"/>
      <c r="AD2277" s="1"/>
      <c r="AE2277" s="1"/>
      <c r="AF2277" s="1"/>
      <c r="AG2277" s="1"/>
      <c r="AH2277" s="1"/>
      <c r="AI2277" s="1"/>
      <c r="AJ2277" s="1"/>
      <c r="AK2277" s="1"/>
      <c r="AL2277" s="1"/>
      <c r="AM2277" s="1"/>
      <c r="AN2277" s="1"/>
      <c r="AO2277" s="1"/>
      <c r="AP2277" s="1"/>
      <c r="AQ2277" s="1"/>
      <c r="AR2277" s="1"/>
      <c r="AS2277" s="1"/>
      <c r="AT2277" s="1"/>
      <c r="AU2277" s="1"/>
      <c r="AV2277" s="1"/>
      <c r="AW2277" s="1"/>
      <c r="AX2277" s="1"/>
      <c r="AY2277" s="1"/>
      <c r="AZ2277" s="1"/>
      <c r="BA2277" s="1"/>
      <c r="BB2277" s="1"/>
      <c r="BC2277" s="1"/>
      <c r="BD2277" s="1"/>
      <c r="BE2277" s="1"/>
      <c r="BF2277" s="1"/>
      <c r="BG2277" s="1"/>
      <c r="BH2277" s="1"/>
      <c r="BI2277" s="1"/>
      <c r="BJ2277" s="1"/>
      <c r="BK2277" s="1"/>
      <c r="BL2277" s="1"/>
      <c r="BM2277" s="1"/>
      <c r="BN2277" s="1"/>
      <c r="BO2277" s="1"/>
      <c r="BP2277" s="1"/>
      <c r="BQ2277" s="1"/>
      <c r="BR2277" s="1"/>
      <c r="BS2277" s="1"/>
      <c r="BT2277" s="1"/>
      <c r="BU2277" s="1"/>
      <c r="BV2277" s="1"/>
      <c r="BW2277" s="1"/>
      <c r="BX2277" s="1"/>
      <c r="BY2277" s="1"/>
      <c r="BZ2277" s="1"/>
      <c r="CA2277" s="1"/>
      <c r="CB2277" s="1"/>
      <c r="CC2277" s="1"/>
      <c r="CD2277" s="1"/>
      <c r="CE2277" s="1"/>
      <c r="CF2277" s="1"/>
      <c r="CG2277" s="1"/>
      <c r="CH2277" s="1"/>
      <c r="CI2277" s="1"/>
      <c r="CJ2277" s="1"/>
      <c r="CK2277" s="1"/>
      <c r="CL2277" s="1"/>
      <c r="CM2277" s="1"/>
      <c r="CN2277" s="1"/>
      <c r="CO2277" s="1"/>
      <c r="CP2277" s="1"/>
      <c r="CQ2277" s="1"/>
      <c r="CR2277" s="1"/>
      <c r="CS2277" s="1"/>
      <c r="CT2277" s="1"/>
      <c r="CU2277" s="1"/>
      <c r="CV2277" s="1"/>
      <c r="CW2277" s="1"/>
      <c r="CX2277" s="1"/>
      <c r="CY2277" s="1"/>
      <c r="CZ2277" s="1"/>
      <c r="DA2277" s="1"/>
      <c r="DB2277" s="1"/>
      <c r="DC2277" s="1"/>
    </row>
    <row r="2278" spans="1:107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  <c r="AE2278" s="1"/>
      <c r="AF2278" s="1"/>
      <c r="AG2278" s="1"/>
      <c r="AH2278" s="1"/>
      <c r="AI2278" s="1"/>
      <c r="AJ2278" s="1"/>
      <c r="AK2278" s="1"/>
      <c r="AL2278" s="1"/>
      <c r="AM2278" s="1"/>
      <c r="AN2278" s="1"/>
      <c r="AO2278" s="1"/>
      <c r="AP2278" s="1"/>
      <c r="AQ2278" s="1"/>
      <c r="AR2278" s="1"/>
      <c r="AS2278" s="1"/>
      <c r="AT2278" s="1"/>
      <c r="AU2278" s="1"/>
      <c r="AV2278" s="1"/>
      <c r="AW2278" s="1"/>
      <c r="AX2278" s="1"/>
      <c r="AY2278" s="1"/>
      <c r="AZ2278" s="1"/>
      <c r="BA2278" s="1"/>
      <c r="BB2278" s="1"/>
      <c r="BC2278" s="1"/>
      <c r="BD2278" s="1"/>
      <c r="BE2278" s="1"/>
      <c r="BF2278" s="1"/>
      <c r="BG2278" s="1"/>
      <c r="BH2278" s="1"/>
      <c r="BI2278" s="1"/>
      <c r="BJ2278" s="1"/>
      <c r="BK2278" s="1"/>
      <c r="BL2278" s="1"/>
      <c r="BM2278" s="1"/>
      <c r="BN2278" s="1"/>
      <c r="BO2278" s="1"/>
      <c r="BP2278" s="1"/>
      <c r="BQ2278" s="1"/>
      <c r="BR2278" s="1"/>
      <c r="BS2278" s="1"/>
      <c r="BT2278" s="1"/>
      <c r="BU2278" s="1"/>
      <c r="BV2278" s="1"/>
      <c r="BW2278" s="1"/>
      <c r="BX2278" s="1"/>
      <c r="BY2278" s="1"/>
      <c r="BZ2278" s="1"/>
      <c r="CA2278" s="1"/>
      <c r="CB2278" s="1"/>
      <c r="CC2278" s="1"/>
      <c r="CD2278" s="1"/>
      <c r="CE2278" s="1"/>
      <c r="CF2278" s="1"/>
      <c r="CG2278" s="1"/>
      <c r="CH2278" s="1"/>
      <c r="CI2278" s="1"/>
      <c r="CJ2278" s="1"/>
      <c r="CK2278" s="1"/>
      <c r="CL2278" s="1"/>
      <c r="CM2278" s="1"/>
      <c r="CN2278" s="1"/>
      <c r="CO2278" s="1"/>
      <c r="CP2278" s="1"/>
      <c r="CQ2278" s="1"/>
      <c r="CR2278" s="1"/>
      <c r="CS2278" s="1"/>
      <c r="CT2278" s="1"/>
      <c r="CU2278" s="1"/>
      <c r="CV2278" s="1"/>
      <c r="CW2278" s="1"/>
      <c r="CX2278" s="1"/>
      <c r="CY2278" s="1"/>
      <c r="CZ2278" s="1"/>
      <c r="DA2278" s="1"/>
      <c r="DB2278" s="1"/>
      <c r="DC2278" s="1"/>
    </row>
    <row r="2279" spans="1:107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  <c r="AD2279" s="1"/>
      <c r="AE2279" s="1"/>
      <c r="AF2279" s="1"/>
      <c r="AG2279" s="1"/>
      <c r="AH2279" s="1"/>
      <c r="AI2279" s="1"/>
      <c r="AJ2279" s="1"/>
      <c r="AK2279" s="1"/>
      <c r="AL2279" s="1"/>
      <c r="AM2279" s="1"/>
      <c r="AN2279" s="1"/>
      <c r="AO2279" s="1"/>
      <c r="AP2279" s="1"/>
      <c r="AQ2279" s="1"/>
      <c r="AR2279" s="1"/>
      <c r="AS2279" s="1"/>
      <c r="AT2279" s="1"/>
      <c r="AU2279" s="1"/>
      <c r="AV2279" s="1"/>
      <c r="AW2279" s="1"/>
      <c r="AX2279" s="1"/>
      <c r="AY2279" s="1"/>
      <c r="AZ2279" s="1"/>
      <c r="BA2279" s="1"/>
      <c r="BB2279" s="1"/>
      <c r="BC2279" s="1"/>
      <c r="BD2279" s="1"/>
      <c r="BE2279" s="1"/>
      <c r="BF2279" s="1"/>
      <c r="BG2279" s="1"/>
      <c r="BH2279" s="1"/>
      <c r="BI2279" s="1"/>
      <c r="BJ2279" s="1"/>
      <c r="BK2279" s="1"/>
      <c r="BL2279" s="1"/>
      <c r="BM2279" s="1"/>
      <c r="BN2279" s="1"/>
      <c r="BO2279" s="1"/>
      <c r="BP2279" s="1"/>
      <c r="BQ2279" s="1"/>
      <c r="BR2279" s="1"/>
      <c r="BS2279" s="1"/>
      <c r="BT2279" s="1"/>
      <c r="BU2279" s="1"/>
      <c r="BV2279" s="1"/>
      <c r="BW2279" s="1"/>
      <c r="BX2279" s="1"/>
      <c r="BY2279" s="1"/>
      <c r="BZ2279" s="1"/>
      <c r="CA2279" s="1"/>
      <c r="CB2279" s="1"/>
      <c r="CC2279" s="1"/>
      <c r="CD2279" s="1"/>
      <c r="CE2279" s="1"/>
      <c r="CF2279" s="1"/>
      <c r="CG2279" s="1"/>
      <c r="CH2279" s="1"/>
      <c r="CI2279" s="1"/>
      <c r="CJ2279" s="1"/>
      <c r="CK2279" s="1"/>
      <c r="CL2279" s="1"/>
      <c r="CM2279" s="1"/>
      <c r="CN2279" s="1"/>
      <c r="CO2279" s="1"/>
      <c r="CP2279" s="1"/>
      <c r="CQ2279" s="1"/>
      <c r="CR2279" s="1"/>
      <c r="CS2279" s="1"/>
      <c r="CT2279" s="1"/>
      <c r="CU2279" s="1"/>
      <c r="CV2279" s="1"/>
      <c r="CW2279" s="1"/>
      <c r="CX2279" s="1"/>
      <c r="CY2279" s="1"/>
      <c r="CZ2279" s="1"/>
      <c r="DA2279" s="1"/>
      <c r="DB2279" s="1"/>
      <c r="DC2279" s="1"/>
    </row>
    <row r="2280" spans="1:107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1"/>
      <c r="AD2280" s="1"/>
      <c r="AE2280" s="1"/>
      <c r="AF2280" s="1"/>
      <c r="AG2280" s="1"/>
      <c r="AH2280" s="1"/>
      <c r="AI2280" s="1"/>
      <c r="AJ2280" s="1"/>
      <c r="AK2280" s="1"/>
      <c r="AL2280" s="1"/>
      <c r="AM2280" s="1"/>
      <c r="AN2280" s="1"/>
      <c r="AO2280" s="1"/>
      <c r="AP2280" s="1"/>
      <c r="AQ2280" s="1"/>
      <c r="AR2280" s="1"/>
      <c r="AS2280" s="1"/>
      <c r="AT2280" s="1"/>
      <c r="AU2280" s="1"/>
      <c r="AV2280" s="1"/>
      <c r="AW2280" s="1"/>
      <c r="AX2280" s="1"/>
      <c r="AY2280" s="1"/>
      <c r="AZ2280" s="1"/>
      <c r="BA2280" s="1"/>
      <c r="BB2280" s="1"/>
      <c r="BC2280" s="1"/>
      <c r="BD2280" s="1"/>
      <c r="BE2280" s="1"/>
      <c r="BF2280" s="1"/>
      <c r="BG2280" s="1"/>
      <c r="BH2280" s="1"/>
      <c r="BI2280" s="1"/>
      <c r="BJ2280" s="1"/>
      <c r="BK2280" s="1"/>
      <c r="BL2280" s="1"/>
      <c r="BM2280" s="1"/>
      <c r="BN2280" s="1"/>
      <c r="BO2280" s="1"/>
      <c r="BP2280" s="1"/>
      <c r="BQ2280" s="1"/>
      <c r="BR2280" s="1"/>
      <c r="BS2280" s="1"/>
      <c r="BT2280" s="1"/>
      <c r="BU2280" s="1"/>
      <c r="BV2280" s="1"/>
      <c r="BW2280" s="1"/>
      <c r="BX2280" s="1"/>
      <c r="BY2280" s="1"/>
      <c r="BZ2280" s="1"/>
      <c r="CA2280" s="1"/>
      <c r="CB2280" s="1"/>
      <c r="CC2280" s="1"/>
      <c r="CD2280" s="1"/>
      <c r="CE2280" s="1"/>
      <c r="CF2280" s="1"/>
      <c r="CG2280" s="1"/>
      <c r="CH2280" s="1"/>
      <c r="CI2280" s="1"/>
      <c r="CJ2280" s="1"/>
      <c r="CK2280" s="1"/>
      <c r="CL2280" s="1"/>
      <c r="CM2280" s="1"/>
      <c r="CN2280" s="1"/>
      <c r="CO2280" s="1"/>
      <c r="CP2280" s="1"/>
      <c r="CQ2280" s="1"/>
      <c r="CR2280" s="1"/>
      <c r="CS2280" s="1"/>
      <c r="CT2280" s="1"/>
      <c r="CU2280" s="1"/>
      <c r="CV2280" s="1"/>
      <c r="CW2280" s="1"/>
      <c r="CX2280" s="1"/>
      <c r="CY2280" s="1"/>
      <c r="CZ2280" s="1"/>
      <c r="DA2280" s="1"/>
      <c r="DB2280" s="1"/>
      <c r="DC2280" s="1"/>
    </row>
    <row r="2281" spans="1:107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  <c r="AD2281" s="1"/>
      <c r="AE2281" s="1"/>
      <c r="AF2281" s="1"/>
      <c r="AG2281" s="1"/>
      <c r="AH2281" s="1"/>
      <c r="AI2281" s="1"/>
      <c r="AJ2281" s="1"/>
      <c r="AK2281" s="1"/>
      <c r="AL2281" s="1"/>
      <c r="AM2281" s="1"/>
      <c r="AN2281" s="1"/>
      <c r="AO2281" s="1"/>
      <c r="AP2281" s="1"/>
      <c r="AQ2281" s="1"/>
      <c r="AR2281" s="1"/>
      <c r="AS2281" s="1"/>
      <c r="AT2281" s="1"/>
      <c r="AU2281" s="1"/>
      <c r="AV2281" s="1"/>
      <c r="AW2281" s="1"/>
      <c r="AX2281" s="1"/>
      <c r="AY2281" s="1"/>
      <c r="AZ2281" s="1"/>
      <c r="BA2281" s="1"/>
      <c r="BB2281" s="1"/>
      <c r="BC2281" s="1"/>
      <c r="BD2281" s="1"/>
      <c r="BE2281" s="1"/>
      <c r="BF2281" s="1"/>
      <c r="BG2281" s="1"/>
      <c r="BH2281" s="1"/>
      <c r="BI2281" s="1"/>
      <c r="BJ2281" s="1"/>
      <c r="BK2281" s="1"/>
      <c r="BL2281" s="1"/>
      <c r="BM2281" s="1"/>
      <c r="BN2281" s="1"/>
      <c r="BO2281" s="1"/>
      <c r="BP2281" s="1"/>
      <c r="BQ2281" s="1"/>
      <c r="BR2281" s="1"/>
      <c r="BS2281" s="1"/>
      <c r="BT2281" s="1"/>
      <c r="BU2281" s="1"/>
      <c r="BV2281" s="1"/>
      <c r="BW2281" s="1"/>
      <c r="BX2281" s="1"/>
      <c r="BY2281" s="1"/>
      <c r="BZ2281" s="1"/>
      <c r="CA2281" s="1"/>
      <c r="CB2281" s="1"/>
      <c r="CC2281" s="1"/>
      <c r="CD2281" s="1"/>
      <c r="CE2281" s="1"/>
      <c r="CF2281" s="1"/>
      <c r="CG2281" s="1"/>
      <c r="CH2281" s="1"/>
      <c r="CI2281" s="1"/>
      <c r="CJ2281" s="1"/>
      <c r="CK2281" s="1"/>
      <c r="CL2281" s="1"/>
      <c r="CM2281" s="1"/>
      <c r="CN2281" s="1"/>
      <c r="CO2281" s="1"/>
      <c r="CP2281" s="1"/>
      <c r="CQ2281" s="1"/>
      <c r="CR2281" s="1"/>
      <c r="CS2281" s="1"/>
      <c r="CT2281" s="1"/>
      <c r="CU2281" s="1"/>
      <c r="CV2281" s="1"/>
      <c r="CW2281" s="1"/>
      <c r="CX2281" s="1"/>
      <c r="CY2281" s="1"/>
      <c r="CZ2281" s="1"/>
      <c r="DA2281" s="1"/>
      <c r="DB2281" s="1"/>
      <c r="DC2281" s="1"/>
    </row>
    <row r="2282" spans="1:107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1"/>
      <c r="AD2282" s="1"/>
      <c r="AE2282" s="1"/>
      <c r="AF2282" s="1"/>
      <c r="AG2282" s="1"/>
      <c r="AH2282" s="1"/>
      <c r="AI2282" s="1"/>
      <c r="AJ2282" s="1"/>
      <c r="AK2282" s="1"/>
      <c r="AL2282" s="1"/>
      <c r="AM2282" s="1"/>
      <c r="AN2282" s="1"/>
      <c r="AO2282" s="1"/>
      <c r="AP2282" s="1"/>
      <c r="AQ2282" s="1"/>
      <c r="AR2282" s="1"/>
      <c r="AS2282" s="1"/>
      <c r="AT2282" s="1"/>
      <c r="AU2282" s="1"/>
      <c r="AV2282" s="1"/>
      <c r="AW2282" s="1"/>
      <c r="AX2282" s="1"/>
      <c r="AY2282" s="1"/>
      <c r="AZ2282" s="1"/>
      <c r="BA2282" s="1"/>
      <c r="BB2282" s="1"/>
      <c r="BC2282" s="1"/>
      <c r="BD2282" s="1"/>
      <c r="BE2282" s="1"/>
      <c r="BF2282" s="1"/>
      <c r="BG2282" s="1"/>
      <c r="BH2282" s="1"/>
      <c r="BI2282" s="1"/>
      <c r="BJ2282" s="1"/>
      <c r="BK2282" s="1"/>
      <c r="BL2282" s="1"/>
      <c r="BM2282" s="1"/>
      <c r="BN2282" s="1"/>
      <c r="BO2282" s="1"/>
      <c r="BP2282" s="1"/>
      <c r="BQ2282" s="1"/>
      <c r="BR2282" s="1"/>
      <c r="BS2282" s="1"/>
      <c r="BT2282" s="1"/>
      <c r="BU2282" s="1"/>
      <c r="BV2282" s="1"/>
      <c r="BW2282" s="1"/>
      <c r="BX2282" s="1"/>
      <c r="BY2282" s="1"/>
      <c r="BZ2282" s="1"/>
      <c r="CA2282" s="1"/>
      <c r="CB2282" s="1"/>
      <c r="CC2282" s="1"/>
      <c r="CD2282" s="1"/>
      <c r="CE2282" s="1"/>
      <c r="CF2282" s="1"/>
      <c r="CG2282" s="1"/>
      <c r="CH2282" s="1"/>
      <c r="CI2282" s="1"/>
      <c r="CJ2282" s="1"/>
      <c r="CK2282" s="1"/>
      <c r="CL2282" s="1"/>
      <c r="CM2282" s="1"/>
      <c r="CN2282" s="1"/>
      <c r="CO2282" s="1"/>
      <c r="CP2282" s="1"/>
      <c r="CQ2282" s="1"/>
      <c r="CR2282" s="1"/>
      <c r="CS2282" s="1"/>
      <c r="CT2282" s="1"/>
      <c r="CU2282" s="1"/>
      <c r="CV2282" s="1"/>
      <c r="CW2282" s="1"/>
      <c r="CX2282" s="1"/>
      <c r="CY2282" s="1"/>
      <c r="CZ2282" s="1"/>
      <c r="DA2282" s="1"/>
      <c r="DB2282" s="1"/>
      <c r="DC2282" s="1"/>
    </row>
    <row r="2283" spans="1:107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  <c r="AE2283" s="1"/>
      <c r="AF2283" s="1"/>
      <c r="AG2283" s="1"/>
      <c r="AH2283" s="1"/>
      <c r="AI2283" s="1"/>
      <c r="AJ2283" s="1"/>
      <c r="AK2283" s="1"/>
      <c r="AL2283" s="1"/>
      <c r="AM2283" s="1"/>
      <c r="AN2283" s="1"/>
      <c r="AO2283" s="1"/>
      <c r="AP2283" s="1"/>
      <c r="AQ2283" s="1"/>
      <c r="AR2283" s="1"/>
      <c r="AS2283" s="1"/>
      <c r="AT2283" s="1"/>
      <c r="AU2283" s="1"/>
      <c r="AV2283" s="1"/>
      <c r="AW2283" s="1"/>
      <c r="AX2283" s="1"/>
      <c r="AY2283" s="1"/>
      <c r="AZ2283" s="1"/>
      <c r="BA2283" s="1"/>
      <c r="BB2283" s="1"/>
      <c r="BC2283" s="1"/>
      <c r="BD2283" s="1"/>
      <c r="BE2283" s="1"/>
      <c r="BF2283" s="1"/>
      <c r="BG2283" s="1"/>
      <c r="BH2283" s="1"/>
      <c r="BI2283" s="1"/>
      <c r="BJ2283" s="1"/>
      <c r="BK2283" s="1"/>
      <c r="BL2283" s="1"/>
      <c r="BM2283" s="1"/>
      <c r="BN2283" s="1"/>
      <c r="BO2283" s="1"/>
      <c r="BP2283" s="1"/>
      <c r="BQ2283" s="1"/>
      <c r="BR2283" s="1"/>
      <c r="BS2283" s="1"/>
      <c r="BT2283" s="1"/>
      <c r="BU2283" s="1"/>
      <c r="BV2283" s="1"/>
      <c r="BW2283" s="1"/>
      <c r="BX2283" s="1"/>
      <c r="BY2283" s="1"/>
      <c r="BZ2283" s="1"/>
      <c r="CA2283" s="1"/>
      <c r="CB2283" s="1"/>
      <c r="CC2283" s="1"/>
      <c r="CD2283" s="1"/>
      <c r="CE2283" s="1"/>
      <c r="CF2283" s="1"/>
      <c r="CG2283" s="1"/>
      <c r="CH2283" s="1"/>
      <c r="CI2283" s="1"/>
      <c r="CJ2283" s="1"/>
      <c r="CK2283" s="1"/>
      <c r="CL2283" s="1"/>
      <c r="CM2283" s="1"/>
      <c r="CN2283" s="1"/>
      <c r="CO2283" s="1"/>
      <c r="CP2283" s="1"/>
      <c r="CQ2283" s="1"/>
      <c r="CR2283" s="1"/>
      <c r="CS2283" s="1"/>
      <c r="CT2283" s="1"/>
      <c r="CU2283" s="1"/>
      <c r="CV2283" s="1"/>
      <c r="CW2283" s="1"/>
      <c r="CX2283" s="1"/>
      <c r="CY2283" s="1"/>
      <c r="CZ2283" s="1"/>
      <c r="DA2283" s="1"/>
      <c r="DB2283" s="1"/>
      <c r="DC2283" s="1"/>
    </row>
    <row r="2284" spans="1:107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  <c r="AD2284" s="1"/>
      <c r="AE2284" s="1"/>
      <c r="AF2284" s="1"/>
      <c r="AG2284" s="1"/>
      <c r="AH2284" s="1"/>
      <c r="AI2284" s="1"/>
      <c r="AJ2284" s="1"/>
      <c r="AK2284" s="1"/>
      <c r="AL2284" s="1"/>
      <c r="AM2284" s="1"/>
      <c r="AN2284" s="1"/>
      <c r="AO2284" s="1"/>
      <c r="AP2284" s="1"/>
      <c r="AQ2284" s="1"/>
      <c r="AR2284" s="1"/>
      <c r="AS2284" s="1"/>
      <c r="AT2284" s="1"/>
      <c r="AU2284" s="1"/>
      <c r="AV2284" s="1"/>
      <c r="AW2284" s="1"/>
      <c r="AX2284" s="1"/>
      <c r="AY2284" s="1"/>
      <c r="AZ2284" s="1"/>
      <c r="BA2284" s="1"/>
      <c r="BB2284" s="1"/>
      <c r="BC2284" s="1"/>
      <c r="BD2284" s="1"/>
      <c r="BE2284" s="1"/>
      <c r="BF2284" s="1"/>
      <c r="BG2284" s="1"/>
      <c r="BH2284" s="1"/>
      <c r="BI2284" s="1"/>
      <c r="BJ2284" s="1"/>
      <c r="BK2284" s="1"/>
      <c r="BL2284" s="1"/>
      <c r="BM2284" s="1"/>
      <c r="BN2284" s="1"/>
      <c r="BO2284" s="1"/>
      <c r="BP2284" s="1"/>
      <c r="BQ2284" s="1"/>
      <c r="BR2284" s="1"/>
      <c r="BS2284" s="1"/>
      <c r="BT2284" s="1"/>
      <c r="BU2284" s="1"/>
      <c r="BV2284" s="1"/>
      <c r="BW2284" s="1"/>
      <c r="BX2284" s="1"/>
      <c r="BY2284" s="1"/>
      <c r="BZ2284" s="1"/>
      <c r="CA2284" s="1"/>
      <c r="CB2284" s="1"/>
      <c r="CC2284" s="1"/>
      <c r="CD2284" s="1"/>
      <c r="CE2284" s="1"/>
      <c r="CF2284" s="1"/>
      <c r="CG2284" s="1"/>
      <c r="CH2284" s="1"/>
      <c r="CI2284" s="1"/>
      <c r="CJ2284" s="1"/>
      <c r="CK2284" s="1"/>
      <c r="CL2284" s="1"/>
      <c r="CM2284" s="1"/>
      <c r="CN2284" s="1"/>
      <c r="CO2284" s="1"/>
      <c r="CP2284" s="1"/>
      <c r="CQ2284" s="1"/>
      <c r="CR2284" s="1"/>
      <c r="CS2284" s="1"/>
      <c r="CT2284" s="1"/>
      <c r="CU2284" s="1"/>
      <c r="CV2284" s="1"/>
      <c r="CW2284" s="1"/>
      <c r="CX2284" s="1"/>
      <c r="CY2284" s="1"/>
      <c r="CZ2284" s="1"/>
      <c r="DA2284" s="1"/>
      <c r="DB2284" s="1"/>
      <c r="DC2284" s="1"/>
    </row>
    <row r="2285" spans="1:107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  <c r="AD2285" s="1"/>
      <c r="AE2285" s="1"/>
      <c r="AF2285" s="1"/>
      <c r="AG2285" s="1"/>
      <c r="AH2285" s="1"/>
      <c r="AI2285" s="1"/>
      <c r="AJ2285" s="1"/>
      <c r="AK2285" s="1"/>
      <c r="AL2285" s="1"/>
      <c r="AM2285" s="1"/>
      <c r="AN2285" s="1"/>
      <c r="AO2285" s="1"/>
      <c r="AP2285" s="1"/>
      <c r="AQ2285" s="1"/>
      <c r="AR2285" s="1"/>
      <c r="AS2285" s="1"/>
      <c r="AT2285" s="1"/>
      <c r="AU2285" s="1"/>
      <c r="AV2285" s="1"/>
      <c r="AW2285" s="1"/>
      <c r="AX2285" s="1"/>
      <c r="AY2285" s="1"/>
      <c r="AZ2285" s="1"/>
      <c r="BA2285" s="1"/>
      <c r="BB2285" s="1"/>
      <c r="BC2285" s="1"/>
      <c r="BD2285" s="1"/>
      <c r="BE2285" s="1"/>
      <c r="BF2285" s="1"/>
      <c r="BG2285" s="1"/>
      <c r="BH2285" s="1"/>
      <c r="BI2285" s="1"/>
      <c r="BJ2285" s="1"/>
      <c r="BK2285" s="1"/>
      <c r="BL2285" s="1"/>
      <c r="BM2285" s="1"/>
      <c r="BN2285" s="1"/>
      <c r="BO2285" s="1"/>
      <c r="BP2285" s="1"/>
      <c r="BQ2285" s="1"/>
      <c r="BR2285" s="1"/>
      <c r="BS2285" s="1"/>
      <c r="BT2285" s="1"/>
      <c r="BU2285" s="1"/>
      <c r="BV2285" s="1"/>
      <c r="BW2285" s="1"/>
      <c r="BX2285" s="1"/>
      <c r="BY2285" s="1"/>
      <c r="BZ2285" s="1"/>
      <c r="CA2285" s="1"/>
      <c r="CB2285" s="1"/>
      <c r="CC2285" s="1"/>
      <c r="CD2285" s="1"/>
      <c r="CE2285" s="1"/>
      <c r="CF2285" s="1"/>
      <c r="CG2285" s="1"/>
      <c r="CH2285" s="1"/>
      <c r="CI2285" s="1"/>
      <c r="CJ2285" s="1"/>
      <c r="CK2285" s="1"/>
      <c r="CL2285" s="1"/>
      <c r="CM2285" s="1"/>
      <c r="CN2285" s="1"/>
      <c r="CO2285" s="1"/>
      <c r="CP2285" s="1"/>
      <c r="CQ2285" s="1"/>
      <c r="CR2285" s="1"/>
      <c r="CS2285" s="1"/>
      <c r="CT2285" s="1"/>
      <c r="CU2285" s="1"/>
      <c r="CV2285" s="1"/>
      <c r="CW2285" s="1"/>
      <c r="CX2285" s="1"/>
      <c r="CY2285" s="1"/>
      <c r="CZ2285" s="1"/>
      <c r="DA2285" s="1"/>
      <c r="DB2285" s="1"/>
      <c r="DC2285" s="1"/>
    </row>
    <row r="2286" spans="1:107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1"/>
      <c r="AD2286" s="1"/>
      <c r="AE2286" s="1"/>
      <c r="AF2286" s="1"/>
      <c r="AG2286" s="1"/>
      <c r="AH2286" s="1"/>
      <c r="AI2286" s="1"/>
      <c r="AJ2286" s="1"/>
      <c r="AK2286" s="1"/>
      <c r="AL2286" s="1"/>
      <c r="AM2286" s="1"/>
      <c r="AN2286" s="1"/>
      <c r="AO2286" s="1"/>
      <c r="AP2286" s="1"/>
      <c r="AQ2286" s="1"/>
      <c r="AR2286" s="1"/>
      <c r="AS2286" s="1"/>
      <c r="AT2286" s="1"/>
      <c r="AU2286" s="1"/>
      <c r="AV2286" s="1"/>
      <c r="AW2286" s="1"/>
      <c r="AX2286" s="1"/>
      <c r="AY2286" s="1"/>
      <c r="AZ2286" s="1"/>
      <c r="BA2286" s="1"/>
      <c r="BB2286" s="1"/>
      <c r="BC2286" s="1"/>
      <c r="BD2286" s="1"/>
      <c r="BE2286" s="1"/>
      <c r="BF2286" s="1"/>
      <c r="BG2286" s="1"/>
      <c r="BH2286" s="1"/>
      <c r="BI2286" s="1"/>
      <c r="BJ2286" s="1"/>
      <c r="BK2286" s="1"/>
      <c r="BL2286" s="1"/>
      <c r="BM2286" s="1"/>
      <c r="BN2286" s="1"/>
      <c r="BO2286" s="1"/>
      <c r="BP2286" s="1"/>
      <c r="BQ2286" s="1"/>
      <c r="BR2286" s="1"/>
      <c r="BS2286" s="1"/>
      <c r="BT2286" s="1"/>
      <c r="BU2286" s="1"/>
      <c r="BV2286" s="1"/>
      <c r="BW2286" s="1"/>
      <c r="BX2286" s="1"/>
      <c r="BY2286" s="1"/>
      <c r="BZ2286" s="1"/>
      <c r="CA2286" s="1"/>
      <c r="CB2286" s="1"/>
      <c r="CC2286" s="1"/>
      <c r="CD2286" s="1"/>
      <c r="CE2286" s="1"/>
      <c r="CF2286" s="1"/>
      <c r="CG2286" s="1"/>
      <c r="CH2286" s="1"/>
      <c r="CI2286" s="1"/>
      <c r="CJ2286" s="1"/>
      <c r="CK2286" s="1"/>
      <c r="CL2286" s="1"/>
      <c r="CM2286" s="1"/>
      <c r="CN2286" s="1"/>
      <c r="CO2286" s="1"/>
      <c r="CP2286" s="1"/>
      <c r="CQ2286" s="1"/>
      <c r="CR2286" s="1"/>
      <c r="CS2286" s="1"/>
      <c r="CT2286" s="1"/>
      <c r="CU2286" s="1"/>
      <c r="CV2286" s="1"/>
      <c r="CW2286" s="1"/>
      <c r="CX2286" s="1"/>
      <c r="CY2286" s="1"/>
      <c r="CZ2286" s="1"/>
      <c r="DA2286" s="1"/>
      <c r="DB2286" s="1"/>
      <c r="DC2286" s="1"/>
    </row>
    <row r="2287" spans="1:107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1"/>
      <c r="AD2287" s="1"/>
      <c r="AE2287" s="1"/>
      <c r="AF2287" s="1"/>
      <c r="AG2287" s="1"/>
      <c r="AH2287" s="1"/>
      <c r="AI2287" s="1"/>
      <c r="AJ2287" s="1"/>
      <c r="AK2287" s="1"/>
      <c r="AL2287" s="1"/>
      <c r="AM2287" s="1"/>
      <c r="AN2287" s="1"/>
      <c r="AO2287" s="1"/>
      <c r="AP2287" s="1"/>
      <c r="AQ2287" s="1"/>
      <c r="AR2287" s="1"/>
      <c r="AS2287" s="1"/>
      <c r="AT2287" s="1"/>
      <c r="AU2287" s="1"/>
      <c r="AV2287" s="1"/>
      <c r="AW2287" s="1"/>
      <c r="AX2287" s="1"/>
      <c r="AY2287" s="1"/>
      <c r="AZ2287" s="1"/>
      <c r="BA2287" s="1"/>
      <c r="BB2287" s="1"/>
      <c r="BC2287" s="1"/>
      <c r="BD2287" s="1"/>
      <c r="BE2287" s="1"/>
      <c r="BF2287" s="1"/>
      <c r="BG2287" s="1"/>
      <c r="BH2287" s="1"/>
      <c r="BI2287" s="1"/>
      <c r="BJ2287" s="1"/>
      <c r="BK2287" s="1"/>
      <c r="BL2287" s="1"/>
      <c r="BM2287" s="1"/>
      <c r="BN2287" s="1"/>
      <c r="BO2287" s="1"/>
      <c r="BP2287" s="1"/>
      <c r="BQ2287" s="1"/>
      <c r="BR2287" s="1"/>
      <c r="BS2287" s="1"/>
      <c r="BT2287" s="1"/>
      <c r="BU2287" s="1"/>
      <c r="BV2287" s="1"/>
      <c r="BW2287" s="1"/>
      <c r="BX2287" s="1"/>
      <c r="BY2287" s="1"/>
      <c r="BZ2287" s="1"/>
      <c r="CA2287" s="1"/>
      <c r="CB2287" s="1"/>
      <c r="CC2287" s="1"/>
      <c r="CD2287" s="1"/>
      <c r="CE2287" s="1"/>
      <c r="CF2287" s="1"/>
      <c r="CG2287" s="1"/>
      <c r="CH2287" s="1"/>
      <c r="CI2287" s="1"/>
      <c r="CJ2287" s="1"/>
      <c r="CK2287" s="1"/>
      <c r="CL2287" s="1"/>
      <c r="CM2287" s="1"/>
      <c r="CN2287" s="1"/>
      <c r="CO2287" s="1"/>
      <c r="CP2287" s="1"/>
      <c r="CQ2287" s="1"/>
      <c r="CR2287" s="1"/>
      <c r="CS2287" s="1"/>
      <c r="CT2287" s="1"/>
      <c r="CU2287" s="1"/>
      <c r="CV2287" s="1"/>
      <c r="CW2287" s="1"/>
      <c r="CX2287" s="1"/>
      <c r="CY2287" s="1"/>
      <c r="CZ2287" s="1"/>
      <c r="DA2287" s="1"/>
      <c r="DB2287" s="1"/>
      <c r="DC2287" s="1"/>
    </row>
    <row r="2288" spans="1:107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1"/>
      <c r="AD2288" s="1"/>
      <c r="AE2288" s="1"/>
      <c r="AF2288" s="1"/>
      <c r="AG2288" s="1"/>
      <c r="AH2288" s="1"/>
      <c r="AI2288" s="1"/>
      <c r="AJ2288" s="1"/>
      <c r="AK2288" s="1"/>
      <c r="AL2288" s="1"/>
      <c r="AM2288" s="1"/>
      <c r="AN2288" s="1"/>
      <c r="AO2288" s="1"/>
      <c r="AP2288" s="1"/>
      <c r="AQ2288" s="1"/>
      <c r="AR2288" s="1"/>
      <c r="AS2288" s="1"/>
      <c r="AT2288" s="1"/>
      <c r="AU2288" s="1"/>
      <c r="AV2288" s="1"/>
      <c r="AW2288" s="1"/>
      <c r="AX2288" s="1"/>
      <c r="AY2288" s="1"/>
      <c r="AZ2288" s="1"/>
      <c r="BA2288" s="1"/>
      <c r="BB2288" s="1"/>
      <c r="BC2288" s="1"/>
      <c r="BD2288" s="1"/>
      <c r="BE2288" s="1"/>
      <c r="BF2288" s="1"/>
      <c r="BG2288" s="1"/>
      <c r="BH2288" s="1"/>
      <c r="BI2288" s="1"/>
      <c r="BJ2288" s="1"/>
      <c r="BK2288" s="1"/>
      <c r="BL2288" s="1"/>
      <c r="BM2288" s="1"/>
      <c r="BN2288" s="1"/>
      <c r="BO2288" s="1"/>
      <c r="BP2288" s="1"/>
      <c r="BQ2288" s="1"/>
      <c r="BR2288" s="1"/>
      <c r="BS2288" s="1"/>
      <c r="BT2288" s="1"/>
      <c r="BU2288" s="1"/>
      <c r="BV2288" s="1"/>
      <c r="BW2288" s="1"/>
      <c r="BX2288" s="1"/>
      <c r="BY2288" s="1"/>
      <c r="BZ2288" s="1"/>
      <c r="CA2288" s="1"/>
      <c r="CB2288" s="1"/>
      <c r="CC2288" s="1"/>
      <c r="CD2288" s="1"/>
      <c r="CE2288" s="1"/>
      <c r="CF2288" s="1"/>
      <c r="CG2288" s="1"/>
      <c r="CH2288" s="1"/>
      <c r="CI2288" s="1"/>
      <c r="CJ2288" s="1"/>
      <c r="CK2288" s="1"/>
      <c r="CL2288" s="1"/>
      <c r="CM2288" s="1"/>
      <c r="CN2288" s="1"/>
      <c r="CO2288" s="1"/>
      <c r="CP2288" s="1"/>
      <c r="CQ2288" s="1"/>
      <c r="CR2288" s="1"/>
      <c r="CS2288" s="1"/>
      <c r="CT2288" s="1"/>
      <c r="CU2288" s="1"/>
      <c r="CV2288" s="1"/>
      <c r="CW2288" s="1"/>
      <c r="CX2288" s="1"/>
      <c r="CY2288" s="1"/>
      <c r="CZ2288" s="1"/>
      <c r="DA2288" s="1"/>
      <c r="DB2288" s="1"/>
      <c r="DC2288" s="1"/>
    </row>
    <row r="2289" spans="1:107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1"/>
      <c r="AD2289" s="1"/>
      <c r="AE2289" s="1"/>
      <c r="AF2289" s="1"/>
      <c r="AG2289" s="1"/>
      <c r="AH2289" s="1"/>
      <c r="AI2289" s="1"/>
      <c r="AJ2289" s="1"/>
      <c r="AK2289" s="1"/>
      <c r="AL2289" s="1"/>
      <c r="AM2289" s="1"/>
      <c r="AN2289" s="1"/>
      <c r="AO2289" s="1"/>
      <c r="AP2289" s="1"/>
      <c r="AQ2289" s="1"/>
      <c r="AR2289" s="1"/>
      <c r="AS2289" s="1"/>
      <c r="AT2289" s="1"/>
      <c r="AU2289" s="1"/>
      <c r="AV2289" s="1"/>
      <c r="AW2289" s="1"/>
      <c r="AX2289" s="1"/>
      <c r="AY2289" s="1"/>
      <c r="AZ2289" s="1"/>
      <c r="BA2289" s="1"/>
      <c r="BB2289" s="1"/>
      <c r="BC2289" s="1"/>
      <c r="BD2289" s="1"/>
      <c r="BE2289" s="1"/>
      <c r="BF2289" s="1"/>
      <c r="BG2289" s="1"/>
      <c r="BH2289" s="1"/>
      <c r="BI2289" s="1"/>
      <c r="BJ2289" s="1"/>
      <c r="BK2289" s="1"/>
      <c r="BL2289" s="1"/>
      <c r="BM2289" s="1"/>
      <c r="BN2289" s="1"/>
      <c r="BO2289" s="1"/>
      <c r="BP2289" s="1"/>
      <c r="BQ2289" s="1"/>
      <c r="BR2289" s="1"/>
      <c r="BS2289" s="1"/>
      <c r="BT2289" s="1"/>
      <c r="BU2289" s="1"/>
      <c r="BV2289" s="1"/>
      <c r="BW2289" s="1"/>
      <c r="BX2289" s="1"/>
      <c r="BY2289" s="1"/>
      <c r="BZ2289" s="1"/>
      <c r="CA2289" s="1"/>
      <c r="CB2289" s="1"/>
      <c r="CC2289" s="1"/>
      <c r="CD2289" s="1"/>
      <c r="CE2289" s="1"/>
      <c r="CF2289" s="1"/>
      <c r="CG2289" s="1"/>
      <c r="CH2289" s="1"/>
      <c r="CI2289" s="1"/>
      <c r="CJ2289" s="1"/>
      <c r="CK2289" s="1"/>
      <c r="CL2289" s="1"/>
      <c r="CM2289" s="1"/>
      <c r="CN2289" s="1"/>
      <c r="CO2289" s="1"/>
      <c r="CP2289" s="1"/>
      <c r="CQ2289" s="1"/>
      <c r="CR2289" s="1"/>
      <c r="CS2289" s="1"/>
      <c r="CT2289" s="1"/>
      <c r="CU2289" s="1"/>
      <c r="CV2289" s="1"/>
      <c r="CW2289" s="1"/>
      <c r="CX2289" s="1"/>
      <c r="CY2289" s="1"/>
      <c r="CZ2289" s="1"/>
      <c r="DA2289" s="1"/>
      <c r="DB2289" s="1"/>
      <c r="DC2289" s="1"/>
    </row>
    <row r="2290" spans="1:107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  <c r="AC2290" s="1"/>
      <c r="AD2290" s="1"/>
      <c r="AE2290" s="1"/>
      <c r="AF2290" s="1"/>
      <c r="AG2290" s="1"/>
      <c r="AH2290" s="1"/>
      <c r="AI2290" s="1"/>
      <c r="AJ2290" s="1"/>
      <c r="AK2290" s="1"/>
      <c r="AL2290" s="1"/>
      <c r="AM2290" s="1"/>
      <c r="AN2290" s="1"/>
      <c r="AO2290" s="1"/>
      <c r="AP2290" s="1"/>
      <c r="AQ2290" s="1"/>
      <c r="AR2290" s="1"/>
      <c r="AS2290" s="1"/>
      <c r="AT2290" s="1"/>
      <c r="AU2290" s="1"/>
      <c r="AV2290" s="1"/>
      <c r="AW2290" s="1"/>
      <c r="AX2290" s="1"/>
      <c r="AY2290" s="1"/>
      <c r="AZ2290" s="1"/>
      <c r="BA2290" s="1"/>
      <c r="BB2290" s="1"/>
      <c r="BC2290" s="1"/>
      <c r="BD2290" s="1"/>
      <c r="BE2290" s="1"/>
      <c r="BF2290" s="1"/>
      <c r="BG2290" s="1"/>
      <c r="BH2290" s="1"/>
      <c r="BI2290" s="1"/>
      <c r="BJ2290" s="1"/>
      <c r="BK2290" s="1"/>
      <c r="BL2290" s="1"/>
      <c r="BM2290" s="1"/>
      <c r="BN2290" s="1"/>
      <c r="BO2290" s="1"/>
      <c r="BP2290" s="1"/>
      <c r="BQ2290" s="1"/>
      <c r="BR2290" s="1"/>
      <c r="BS2290" s="1"/>
      <c r="BT2290" s="1"/>
      <c r="BU2290" s="1"/>
      <c r="BV2290" s="1"/>
      <c r="BW2290" s="1"/>
      <c r="BX2290" s="1"/>
      <c r="BY2290" s="1"/>
      <c r="BZ2290" s="1"/>
      <c r="CA2290" s="1"/>
      <c r="CB2290" s="1"/>
      <c r="CC2290" s="1"/>
      <c r="CD2290" s="1"/>
      <c r="CE2290" s="1"/>
      <c r="CF2290" s="1"/>
      <c r="CG2290" s="1"/>
      <c r="CH2290" s="1"/>
      <c r="CI2290" s="1"/>
      <c r="CJ2290" s="1"/>
      <c r="CK2290" s="1"/>
      <c r="CL2290" s="1"/>
      <c r="CM2290" s="1"/>
      <c r="CN2290" s="1"/>
      <c r="CO2290" s="1"/>
      <c r="CP2290" s="1"/>
      <c r="CQ2290" s="1"/>
      <c r="CR2290" s="1"/>
      <c r="CS2290" s="1"/>
      <c r="CT2290" s="1"/>
      <c r="CU2290" s="1"/>
      <c r="CV2290" s="1"/>
      <c r="CW2290" s="1"/>
      <c r="CX2290" s="1"/>
      <c r="CY2290" s="1"/>
      <c r="CZ2290" s="1"/>
      <c r="DA2290" s="1"/>
      <c r="DB2290" s="1"/>
      <c r="DC2290" s="1"/>
    </row>
    <row r="2291" spans="1:107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  <c r="AD2291" s="1"/>
      <c r="AE2291" s="1"/>
      <c r="AF2291" s="1"/>
      <c r="AG2291" s="1"/>
      <c r="AH2291" s="1"/>
      <c r="AI2291" s="1"/>
      <c r="AJ2291" s="1"/>
      <c r="AK2291" s="1"/>
      <c r="AL2291" s="1"/>
      <c r="AM2291" s="1"/>
      <c r="AN2291" s="1"/>
      <c r="AO2291" s="1"/>
      <c r="AP2291" s="1"/>
      <c r="AQ2291" s="1"/>
      <c r="AR2291" s="1"/>
      <c r="AS2291" s="1"/>
      <c r="AT2291" s="1"/>
      <c r="AU2291" s="1"/>
      <c r="AV2291" s="1"/>
      <c r="AW2291" s="1"/>
      <c r="AX2291" s="1"/>
      <c r="AY2291" s="1"/>
      <c r="AZ2291" s="1"/>
      <c r="BA2291" s="1"/>
      <c r="BB2291" s="1"/>
      <c r="BC2291" s="1"/>
      <c r="BD2291" s="1"/>
      <c r="BE2291" s="1"/>
      <c r="BF2291" s="1"/>
      <c r="BG2291" s="1"/>
      <c r="BH2291" s="1"/>
      <c r="BI2291" s="1"/>
      <c r="BJ2291" s="1"/>
      <c r="BK2291" s="1"/>
      <c r="BL2291" s="1"/>
      <c r="BM2291" s="1"/>
      <c r="BN2291" s="1"/>
      <c r="BO2291" s="1"/>
      <c r="BP2291" s="1"/>
      <c r="BQ2291" s="1"/>
      <c r="BR2291" s="1"/>
      <c r="BS2291" s="1"/>
      <c r="BT2291" s="1"/>
      <c r="BU2291" s="1"/>
      <c r="BV2291" s="1"/>
      <c r="BW2291" s="1"/>
      <c r="BX2291" s="1"/>
      <c r="BY2291" s="1"/>
      <c r="BZ2291" s="1"/>
      <c r="CA2291" s="1"/>
      <c r="CB2291" s="1"/>
      <c r="CC2291" s="1"/>
      <c r="CD2291" s="1"/>
      <c r="CE2291" s="1"/>
      <c r="CF2291" s="1"/>
      <c r="CG2291" s="1"/>
      <c r="CH2291" s="1"/>
      <c r="CI2291" s="1"/>
      <c r="CJ2291" s="1"/>
      <c r="CK2291" s="1"/>
      <c r="CL2291" s="1"/>
      <c r="CM2291" s="1"/>
      <c r="CN2291" s="1"/>
      <c r="CO2291" s="1"/>
      <c r="CP2291" s="1"/>
      <c r="CQ2291" s="1"/>
      <c r="CR2291" s="1"/>
      <c r="CS2291" s="1"/>
      <c r="CT2291" s="1"/>
      <c r="CU2291" s="1"/>
      <c r="CV2291" s="1"/>
      <c r="CW2291" s="1"/>
      <c r="CX2291" s="1"/>
      <c r="CY2291" s="1"/>
      <c r="CZ2291" s="1"/>
      <c r="DA2291" s="1"/>
      <c r="DB2291" s="1"/>
      <c r="DC2291" s="1"/>
    </row>
    <row r="2292" spans="1:107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  <c r="AD2292" s="1"/>
      <c r="AE2292" s="1"/>
      <c r="AF2292" s="1"/>
      <c r="AG2292" s="1"/>
      <c r="AH2292" s="1"/>
      <c r="AI2292" s="1"/>
      <c r="AJ2292" s="1"/>
      <c r="AK2292" s="1"/>
      <c r="AL2292" s="1"/>
      <c r="AM2292" s="1"/>
      <c r="AN2292" s="1"/>
      <c r="AO2292" s="1"/>
      <c r="AP2292" s="1"/>
      <c r="AQ2292" s="1"/>
      <c r="AR2292" s="1"/>
      <c r="AS2292" s="1"/>
      <c r="AT2292" s="1"/>
      <c r="AU2292" s="1"/>
      <c r="AV2292" s="1"/>
      <c r="AW2292" s="1"/>
      <c r="AX2292" s="1"/>
      <c r="AY2292" s="1"/>
      <c r="AZ2292" s="1"/>
      <c r="BA2292" s="1"/>
      <c r="BB2292" s="1"/>
      <c r="BC2292" s="1"/>
      <c r="BD2292" s="1"/>
      <c r="BE2292" s="1"/>
      <c r="BF2292" s="1"/>
      <c r="BG2292" s="1"/>
      <c r="BH2292" s="1"/>
      <c r="BI2292" s="1"/>
      <c r="BJ2292" s="1"/>
      <c r="BK2292" s="1"/>
      <c r="BL2292" s="1"/>
      <c r="BM2292" s="1"/>
      <c r="BN2292" s="1"/>
      <c r="BO2292" s="1"/>
      <c r="BP2292" s="1"/>
      <c r="BQ2292" s="1"/>
      <c r="BR2292" s="1"/>
      <c r="BS2292" s="1"/>
      <c r="BT2292" s="1"/>
      <c r="BU2292" s="1"/>
      <c r="BV2292" s="1"/>
      <c r="BW2292" s="1"/>
      <c r="BX2292" s="1"/>
      <c r="BY2292" s="1"/>
      <c r="BZ2292" s="1"/>
      <c r="CA2292" s="1"/>
      <c r="CB2292" s="1"/>
      <c r="CC2292" s="1"/>
      <c r="CD2292" s="1"/>
      <c r="CE2292" s="1"/>
      <c r="CF2292" s="1"/>
      <c r="CG2292" s="1"/>
      <c r="CH2292" s="1"/>
      <c r="CI2292" s="1"/>
      <c r="CJ2292" s="1"/>
      <c r="CK2292" s="1"/>
      <c r="CL2292" s="1"/>
      <c r="CM2292" s="1"/>
      <c r="CN2292" s="1"/>
      <c r="CO2292" s="1"/>
      <c r="CP2292" s="1"/>
      <c r="CQ2292" s="1"/>
      <c r="CR2292" s="1"/>
      <c r="CS2292" s="1"/>
      <c r="CT2292" s="1"/>
      <c r="CU2292" s="1"/>
      <c r="CV2292" s="1"/>
      <c r="CW2292" s="1"/>
      <c r="CX2292" s="1"/>
      <c r="CY2292" s="1"/>
      <c r="CZ2292" s="1"/>
      <c r="DA2292" s="1"/>
      <c r="DB2292" s="1"/>
      <c r="DC2292" s="1"/>
    </row>
    <row r="2293" spans="1:107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  <c r="AD2293" s="1"/>
      <c r="AE2293" s="1"/>
      <c r="AF2293" s="1"/>
      <c r="AG2293" s="1"/>
      <c r="AH2293" s="1"/>
      <c r="AI2293" s="1"/>
      <c r="AJ2293" s="1"/>
      <c r="AK2293" s="1"/>
      <c r="AL2293" s="1"/>
      <c r="AM2293" s="1"/>
      <c r="AN2293" s="1"/>
      <c r="AO2293" s="1"/>
      <c r="AP2293" s="1"/>
      <c r="AQ2293" s="1"/>
      <c r="AR2293" s="1"/>
      <c r="AS2293" s="1"/>
      <c r="AT2293" s="1"/>
      <c r="AU2293" s="1"/>
      <c r="AV2293" s="1"/>
      <c r="AW2293" s="1"/>
      <c r="AX2293" s="1"/>
      <c r="AY2293" s="1"/>
      <c r="AZ2293" s="1"/>
      <c r="BA2293" s="1"/>
      <c r="BB2293" s="1"/>
      <c r="BC2293" s="1"/>
      <c r="BD2293" s="1"/>
      <c r="BE2293" s="1"/>
      <c r="BF2293" s="1"/>
      <c r="BG2293" s="1"/>
      <c r="BH2293" s="1"/>
      <c r="BI2293" s="1"/>
      <c r="BJ2293" s="1"/>
      <c r="BK2293" s="1"/>
      <c r="BL2293" s="1"/>
      <c r="BM2293" s="1"/>
      <c r="BN2293" s="1"/>
      <c r="BO2293" s="1"/>
      <c r="BP2293" s="1"/>
      <c r="BQ2293" s="1"/>
      <c r="BR2293" s="1"/>
      <c r="BS2293" s="1"/>
      <c r="BT2293" s="1"/>
      <c r="BU2293" s="1"/>
      <c r="BV2293" s="1"/>
      <c r="BW2293" s="1"/>
      <c r="BX2293" s="1"/>
      <c r="BY2293" s="1"/>
      <c r="BZ2293" s="1"/>
      <c r="CA2293" s="1"/>
      <c r="CB2293" s="1"/>
      <c r="CC2293" s="1"/>
      <c r="CD2293" s="1"/>
      <c r="CE2293" s="1"/>
      <c r="CF2293" s="1"/>
      <c r="CG2293" s="1"/>
      <c r="CH2293" s="1"/>
      <c r="CI2293" s="1"/>
      <c r="CJ2293" s="1"/>
      <c r="CK2293" s="1"/>
      <c r="CL2293" s="1"/>
      <c r="CM2293" s="1"/>
      <c r="CN2293" s="1"/>
      <c r="CO2293" s="1"/>
      <c r="CP2293" s="1"/>
      <c r="CQ2293" s="1"/>
      <c r="CR2293" s="1"/>
      <c r="CS2293" s="1"/>
      <c r="CT2293" s="1"/>
      <c r="CU2293" s="1"/>
      <c r="CV2293" s="1"/>
      <c r="CW2293" s="1"/>
      <c r="CX2293" s="1"/>
      <c r="CY2293" s="1"/>
      <c r="CZ2293" s="1"/>
      <c r="DA2293" s="1"/>
      <c r="DB2293" s="1"/>
      <c r="DC2293" s="1"/>
    </row>
    <row r="2294" spans="1:107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1"/>
      <c r="AD2294" s="1"/>
      <c r="AE2294" s="1"/>
      <c r="AF2294" s="1"/>
      <c r="AG2294" s="1"/>
      <c r="AH2294" s="1"/>
      <c r="AI2294" s="1"/>
      <c r="AJ2294" s="1"/>
      <c r="AK2294" s="1"/>
      <c r="AL2294" s="1"/>
      <c r="AM2294" s="1"/>
      <c r="AN2294" s="1"/>
      <c r="AO2294" s="1"/>
      <c r="AP2294" s="1"/>
      <c r="AQ2294" s="1"/>
      <c r="AR2294" s="1"/>
      <c r="AS2294" s="1"/>
      <c r="AT2294" s="1"/>
      <c r="AU2294" s="1"/>
      <c r="AV2294" s="1"/>
      <c r="AW2294" s="1"/>
      <c r="AX2294" s="1"/>
      <c r="AY2294" s="1"/>
      <c r="AZ2294" s="1"/>
      <c r="BA2294" s="1"/>
      <c r="BB2294" s="1"/>
      <c r="BC2294" s="1"/>
      <c r="BD2294" s="1"/>
      <c r="BE2294" s="1"/>
      <c r="BF2294" s="1"/>
      <c r="BG2294" s="1"/>
      <c r="BH2294" s="1"/>
      <c r="BI2294" s="1"/>
      <c r="BJ2294" s="1"/>
      <c r="BK2294" s="1"/>
      <c r="BL2294" s="1"/>
      <c r="BM2294" s="1"/>
      <c r="BN2294" s="1"/>
      <c r="BO2294" s="1"/>
      <c r="BP2294" s="1"/>
      <c r="BQ2294" s="1"/>
      <c r="BR2294" s="1"/>
      <c r="BS2294" s="1"/>
      <c r="BT2294" s="1"/>
      <c r="BU2294" s="1"/>
      <c r="BV2294" s="1"/>
      <c r="BW2294" s="1"/>
      <c r="BX2294" s="1"/>
      <c r="BY2294" s="1"/>
      <c r="BZ2294" s="1"/>
      <c r="CA2294" s="1"/>
      <c r="CB2294" s="1"/>
      <c r="CC2294" s="1"/>
      <c r="CD2294" s="1"/>
      <c r="CE2294" s="1"/>
      <c r="CF2294" s="1"/>
      <c r="CG2294" s="1"/>
      <c r="CH2294" s="1"/>
      <c r="CI2294" s="1"/>
      <c r="CJ2294" s="1"/>
      <c r="CK2294" s="1"/>
      <c r="CL2294" s="1"/>
      <c r="CM2294" s="1"/>
      <c r="CN2294" s="1"/>
      <c r="CO2294" s="1"/>
      <c r="CP2294" s="1"/>
      <c r="CQ2294" s="1"/>
      <c r="CR2294" s="1"/>
      <c r="CS2294" s="1"/>
      <c r="CT2294" s="1"/>
      <c r="CU2294" s="1"/>
      <c r="CV2294" s="1"/>
      <c r="CW2294" s="1"/>
      <c r="CX2294" s="1"/>
      <c r="CY2294" s="1"/>
      <c r="CZ2294" s="1"/>
      <c r="DA2294" s="1"/>
      <c r="DB2294" s="1"/>
      <c r="DC2294" s="1"/>
    </row>
    <row r="2295" spans="1:107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/>
      <c r="AE2295" s="1"/>
      <c r="AF2295" s="1"/>
      <c r="AG2295" s="1"/>
      <c r="AH2295" s="1"/>
      <c r="AI2295" s="1"/>
      <c r="AJ2295" s="1"/>
      <c r="AK2295" s="1"/>
      <c r="AL2295" s="1"/>
      <c r="AM2295" s="1"/>
      <c r="AN2295" s="1"/>
      <c r="AO2295" s="1"/>
      <c r="AP2295" s="1"/>
      <c r="AQ2295" s="1"/>
      <c r="AR2295" s="1"/>
      <c r="AS2295" s="1"/>
      <c r="AT2295" s="1"/>
      <c r="AU2295" s="1"/>
      <c r="AV2295" s="1"/>
      <c r="AW2295" s="1"/>
      <c r="AX2295" s="1"/>
      <c r="AY2295" s="1"/>
      <c r="AZ2295" s="1"/>
      <c r="BA2295" s="1"/>
      <c r="BB2295" s="1"/>
      <c r="BC2295" s="1"/>
      <c r="BD2295" s="1"/>
      <c r="BE2295" s="1"/>
      <c r="BF2295" s="1"/>
      <c r="BG2295" s="1"/>
      <c r="BH2295" s="1"/>
      <c r="BI2295" s="1"/>
      <c r="BJ2295" s="1"/>
      <c r="BK2295" s="1"/>
      <c r="BL2295" s="1"/>
      <c r="BM2295" s="1"/>
      <c r="BN2295" s="1"/>
      <c r="BO2295" s="1"/>
      <c r="BP2295" s="1"/>
      <c r="BQ2295" s="1"/>
      <c r="BR2295" s="1"/>
      <c r="BS2295" s="1"/>
      <c r="BT2295" s="1"/>
      <c r="BU2295" s="1"/>
      <c r="BV2295" s="1"/>
      <c r="BW2295" s="1"/>
      <c r="BX2295" s="1"/>
      <c r="BY2295" s="1"/>
      <c r="BZ2295" s="1"/>
      <c r="CA2295" s="1"/>
      <c r="CB2295" s="1"/>
      <c r="CC2295" s="1"/>
      <c r="CD2295" s="1"/>
      <c r="CE2295" s="1"/>
      <c r="CF2295" s="1"/>
      <c r="CG2295" s="1"/>
      <c r="CH2295" s="1"/>
      <c r="CI2295" s="1"/>
      <c r="CJ2295" s="1"/>
      <c r="CK2295" s="1"/>
      <c r="CL2295" s="1"/>
      <c r="CM2295" s="1"/>
      <c r="CN2295" s="1"/>
      <c r="CO2295" s="1"/>
      <c r="CP2295" s="1"/>
      <c r="CQ2295" s="1"/>
      <c r="CR2295" s="1"/>
      <c r="CS2295" s="1"/>
      <c r="CT2295" s="1"/>
      <c r="CU2295" s="1"/>
      <c r="CV2295" s="1"/>
      <c r="CW2295" s="1"/>
      <c r="CX2295" s="1"/>
      <c r="CY2295" s="1"/>
      <c r="CZ2295" s="1"/>
      <c r="DA2295" s="1"/>
      <c r="DB2295" s="1"/>
      <c r="DC2295" s="1"/>
    </row>
    <row r="2296" spans="1:107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  <c r="AC2296" s="1"/>
      <c r="AD2296" s="1"/>
      <c r="AE2296" s="1"/>
      <c r="AF2296" s="1"/>
      <c r="AG2296" s="1"/>
      <c r="AH2296" s="1"/>
      <c r="AI2296" s="1"/>
      <c r="AJ2296" s="1"/>
      <c r="AK2296" s="1"/>
      <c r="AL2296" s="1"/>
      <c r="AM2296" s="1"/>
      <c r="AN2296" s="1"/>
      <c r="AO2296" s="1"/>
      <c r="AP2296" s="1"/>
      <c r="AQ2296" s="1"/>
      <c r="AR2296" s="1"/>
      <c r="AS2296" s="1"/>
      <c r="AT2296" s="1"/>
      <c r="AU2296" s="1"/>
      <c r="AV2296" s="1"/>
      <c r="AW2296" s="1"/>
      <c r="AX2296" s="1"/>
      <c r="AY2296" s="1"/>
      <c r="AZ2296" s="1"/>
      <c r="BA2296" s="1"/>
      <c r="BB2296" s="1"/>
      <c r="BC2296" s="1"/>
      <c r="BD2296" s="1"/>
      <c r="BE2296" s="1"/>
      <c r="BF2296" s="1"/>
      <c r="BG2296" s="1"/>
      <c r="BH2296" s="1"/>
      <c r="BI2296" s="1"/>
      <c r="BJ2296" s="1"/>
      <c r="BK2296" s="1"/>
      <c r="BL2296" s="1"/>
      <c r="BM2296" s="1"/>
      <c r="BN2296" s="1"/>
      <c r="BO2296" s="1"/>
      <c r="BP2296" s="1"/>
      <c r="BQ2296" s="1"/>
      <c r="BR2296" s="1"/>
      <c r="BS2296" s="1"/>
      <c r="BT2296" s="1"/>
      <c r="BU2296" s="1"/>
      <c r="BV2296" s="1"/>
      <c r="BW2296" s="1"/>
      <c r="BX2296" s="1"/>
      <c r="BY2296" s="1"/>
      <c r="BZ2296" s="1"/>
      <c r="CA2296" s="1"/>
      <c r="CB2296" s="1"/>
      <c r="CC2296" s="1"/>
      <c r="CD2296" s="1"/>
      <c r="CE2296" s="1"/>
      <c r="CF2296" s="1"/>
      <c r="CG2296" s="1"/>
      <c r="CH2296" s="1"/>
      <c r="CI2296" s="1"/>
      <c r="CJ2296" s="1"/>
      <c r="CK2296" s="1"/>
      <c r="CL2296" s="1"/>
      <c r="CM2296" s="1"/>
      <c r="CN2296" s="1"/>
      <c r="CO2296" s="1"/>
      <c r="CP2296" s="1"/>
      <c r="CQ2296" s="1"/>
      <c r="CR2296" s="1"/>
      <c r="CS2296" s="1"/>
      <c r="CT2296" s="1"/>
      <c r="CU2296" s="1"/>
      <c r="CV2296" s="1"/>
      <c r="CW2296" s="1"/>
      <c r="CX2296" s="1"/>
      <c r="CY2296" s="1"/>
      <c r="CZ2296" s="1"/>
      <c r="DA2296" s="1"/>
      <c r="DB2296" s="1"/>
      <c r="DC2296" s="1"/>
    </row>
    <row r="2297" spans="1:107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1"/>
      <c r="AD2297" s="1"/>
      <c r="AE2297" s="1"/>
      <c r="AF2297" s="1"/>
      <c r="AG2297" s="1"/>
      <c r="AH2297" s="1"/>
      <c r="AI2297" s="1"/>
      <c r="AJ2297" s="1"/>
      <c r="AK2297" s="1"/>
      <c r="AL2297" s="1"/>
      <c r="AM2297" s="1"/>
      <c r="AN2297" s="1"/>
      <c r="AO2297" s="1"/>
      <c r="AP2297" s="1"/>
      <c r="AQ2297" s="1"/>
      <c r="AR2297" s="1"/>
      <c r="AS2297" s="1"/>
      <c r="AT2297" s="1"/>
      <c r="AU2297" s="1"/>
      <c r="AV2297" s="1"/>
      <c r="AW2297" s="1"/>
      <c r="AX2297" s="1"/>
      <c r="AY2297" s="1"/>
      <c r="AZ2297" s="1"/>
      <c r="BA2297" s="1"/>
      <c r="BB2297" s="1"/>
      <c r="BC2297" s="1"/>
      <c r="BD2297" s="1"/>
      <c r="BE2297" s="1"/>
      <c r="BF2297" s="1"/>
      <c r="BG2297" s="1"/>
      <c r="BH2297" s="1"/>
      <c r="BI2297" s="1"/>
      <c r="BJ2297" s="1"/>
      <c r="BK2297" s="1"/>
      <c r="BL2297" s="1"/>
      <c r="BM2297" s="1"/>
      <c r="BN2297" s="1"/>
      <c r="BO2297" s="1"/>
      <c r="BP2297" s="1"/>
      <c r="BQ2297" s="1"/>
      <c r="BR2297" s="1"/>
      <c r="BS2297" s="1"/>
      <c r="BT2297" s="1"/>
      <c r="BU2297" s="1"/>
      <c r="BV2297" s="1"/>
      <c r="BW2297" s="1"/>
      <c r="BX2297" s="1"/>
      <c r="BY2297" s="1"/>
      <c r="BZ2297" s="1"/>
      <c r="CA2297" s="1"/>
      <c r="CB2297" s="1"/>
      <c r="CC2297" s="1"/>
      <c r="CD2297" s="1"/>
      <c r="CE2297" s="1"/>
      <c r="CF2297" s="1"/>
      <c r="CG2297" s="1"/>
      <c r="CH2297" s="1"/>
      <c r="CI2297" s="1"/>
      <c r="CJ2297" s="1"/>
      <c r="CK2297" s="1"/>
      <c r="CL2297" s="1"/>
      <c r="CM2297" s="1"/>
      <c r="CN2297" s="1"/>
      <c r="CO2297" s="1"/>
      <c r="CP2297" s="1"/>
      <c r="CQ2297" s="1"/>
      <c r="CR2297" s="1"/>
      <c r="CS2297" s="1"/>
      <c r="CT2297" s="1"/>
      <c r="CU2297" s="1"/>
      <c r="CV2297" s="1"/>
      <c r="CW2297" s="1"/>
      <c r="CX2297" s="1"/>
      <c r="CY2297" s="1"/>
      <c r="CZ2297" s="1"/>
      <c r="DA2297" s="1"/>
      <c r="DB2297" s="1"/>
      <c r="DC2297" s="1"/>
    </row>
    <row r="2298" spans="1:107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  <c r="AC2298" s="1"/>
      <c r="AD2298" s="1"/>
      <c r="AE2298" s="1"/>
      <c r="AF2298" s="1"/>
      <c r="AG2298" s="1"/>
      <c r="AH2298" s="1"/>
      <c r="AI2298" s="1"/>
      <c r="AJ2298" s="1"/>
      <c r="AK2298" s="1"/>
      <c r="AL2298" s="1"/>
      <c r="AM2298" s="1"/>
      <c r="AN2298" s="1"/>
      <c r="AO2298" s="1"/>
      <c r="AP2298" s="1"/>
      <c r="AQ2298" s="1"/>
      <c r="AR2298" s="1"/>
      <c r="AS2298" s="1"/>
      <c r="AT2298" s="1"/>
      <c r="AU2298" s="1"/>
      <c r="AV2298" s="1"/>
      <c r="AW2298" s="1"/>
      <c r="AX2298" s="1"/>
      <c r="AY2298" s="1"/>
      <c r="AZ2298" s="1"/>
      <c r="BA2298" s="1"/>
      <c r="BB2298" s="1"/>
      <c r="BC2298" s="1"/>
      <c r="BD2298" s="1"/>
      <c r="BE2298" s="1"/>
      <c r="BF2298" s="1"/>
      <c r="BG2298" s="1"/>
      <c r="BH2298" s="1"/>
      <c r="BI2298" s="1"/>
      <c r="BJ2298" s="1"/>
      <c r="BK2298" s="1"/>
      <c r="BL2298" s="1"/>
      <c r="BM2298" s="1"/>
      <c r="BN2298" s="1"/>
      <c r="BO2298" s="1"/>
      <c r="BP2298" s="1"/>
      <c r="BQ2298" s="1"/>
      <c r="BR2298" s="1"/>
      <c r="BS2298" s="1"/>
      <c r="BT2298" s="1"/>
      <c r="BU2298" s="1"/>
      <c r="BV2298" s="1"/>
      <c r="BW2298" s="1"/>
      <c r="BX2298" s="1"/>
      <c r="BY2298" s="1"/>
      <c r="BZ2298" s="1"/>
      <c r="CA2298" s="1"/>
      <c r="CB2298" s="1"/>
      <c r="CC2298" s="1"/>
      <c r="CD2298" s="1"/>
      <c r="CE2298" s="1"/>
      <c r="CF2298" s="1"/>
      <c r="CG2298" s="1"/>
      <c r="CH2298" s="1"/>
      <c r="CI2298" s="1"/>
      <c r="CJ2298" s="1"/>
      <c r="CK2298" s="1"/>
      <c r="CL2298" s="1"/>
      <c r="CM2298" s="1"/>
      <c r="CN2298" s="1"/>
      <c r="CO2298" s="1"/>
      <c r="CP2298" s="1"/>
      <c r="CQ2298" s="1"/>
      <c r="CR2298" s="1"/>
      <c r="CS2298" s="1"/>
      <c r="CT2298" s="1"/>
      <c r="CU2298" s="1"/>
      <c r="CV2298" s="1"/>
      <c r="CW2298" s="1"/>
      <c r="CX2298" s="1"/>
      <c r="CY2298" s="1"/>
      <c r="CZ2298" s="1"/>
      <c r="DA2298" s="1"/>
      <c r="DB2298" s="1"/>
      <c r="DC2298" s="1"/>
    </row>
    <row r="2299" spans="1:107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1"/>
      <c r="AD2299" s="1"/>
      <c r="AE2299" s="1"/>
      <c r="AF2299" s="1"/>
      <c r="AG2299" s="1"/>
      <c r="AH2299" s="1"/>
      <c r="AI2299" s="1"/>
      <c r="AJ2299" s="1"/>
      <c r="AK2299" s="1"/>
      <c r="AL2299" s="1"/>
      <c r="AM2299" s="1"/>
      <c r="AN2299" s="1"/>
      <c r="AO2299" s="1"/>
      <c r="AP2299" s="1"/>
      <c r="AQ2299" s="1"/>
      <c r="AR2299" s="1"/>
      <c r="AS2299" s="1"/>
      <c r="AT2299" s="1"/>
      <c r="AU2299" s="1"/>
      <c r="AV2299" s="1"/>
      <c r="AW2299" s="1"/>
      <c r="AX2299" s="1"/>
      <c r="AY2299" s="1"/>
      <c r="AZ2299" s="1"/>
      <c r="BA2299" s="1"/>
      <c r="BB2299" s="1"/>
      <c r="BC2299" s="1"/>
      <c r="BD2299" s="1"/>
      <c r="BE2299" s="1"/>
      <c r="BF2299" s="1"/>
      <c r="BG2299" s="1"/>
      <c r="BH2299" s="1"/>
      <c r="BI2299" s="1"/>
      <c r="BJ2299" s="1"/>
      <c r="BK2299" s="1"/>
      <c r="BL2299" s="1"/>
      <c r="BM2299" s="1"/>
      <c r="BN2299" s="1"/>
      <c r="BO2299" s="1"/>
      <c r="BP2299" s="1"/>
      <c r="BQ2299" s="1"/>
      <c r="BR2299" s="1"/>
      <c r="BS2299" s="1"/>
      <c r="BT2299" s="1"/>
      <c r="BU2299" s="1"/>
      <c r="BV2299" s="1"/>
      <c r="BW2299" s="1"/>
      <c r="BX2299" s="1"/>
      <c r="BY2299" s="1"/>
      <c r="BZ2299" s="1"/>
      <c r="CA2299" s="1"/>
      <c r="CB2299" s="1"/>
      <c r="CC2299" s="1"/>
      <c r="CD2299" s="1"/>
      <c r="CE2299" s="1"/>
      <c r="CF2299" s="1"/>
      <c r="CG2299" s="1"/>
      <c r="CH2299" s="1"/>
      <c r="CI2299" s="1"/>
      <c r="CJ2299" s="1"/>
      <c r="CK2299" s="1"/>
      <c r="CL2299" s="1"/>
      <c r="CM2299" s="1"/>
      <c r="CN2299" s="1"/>
      <c r="CO2299" s="1"/>
      <c r="CP2299" s="1"/>
      <c r="CQ2299" s="1"/>
      <c r="CR2299" s="1"/>
      <c r="CS2299" s="1"/>
      <c r="CT2299" s="1"/>
      <c r="CU2299" s="1"/>
      <c r="CV2299" s="1"/>
      <c r="CW2299" s="1"/>
      <c r="CX2299" s="1"/>
      <c r="CY2299" s="1"/>
      <c r="CZ2299" s="1"/>
      <c r="DA2299" s="1"/>
      <c r="DB2299" s="1"/>
      <c r="DC2299" s="1"/>
    </row>
    <row r="2300" spans="1:107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1"/>
      <c r="AD2300" s="1"/>
      <c r="AE2300" s="1"/>
      <c r="AF2300" s="1"/>
      <c r="AG2300" s="1"/>
      <c r="AH2300" s="1"/>
      <c r="AI2300" s="1"/>
      <c r="AJ2300" s="1"/>
      <c r="AK2300" s="1"/>
      <c r="AL2300" s="1"/>
      <c r="AM2300" s="1"/>
      <c r="AN2300" s="1"/>
      <c r="AO2300" s="1"/>
      <c r="AP2300" s="1"/>
      <c r="AQ2300" s="1"/>
      <c r="AR2300" s="1"/>
      <c r="AS2300" s="1"/>
      <c r="AT2300" s="1"/>
      <c r="AU2300" s="1"/>
      <c r="AV2300" s="1"/>
      <c r="AW2300" s="1"/>
      <c r="AX2300" s="1"/>
      <c r="AY2300" s="1"/>
      <c r="AZ2300" s="1"/>
      <c r="BA2300" s="1"/>
      <c r="BB2300" s="1"/>
      <c r="BC2300" s="1"/>
      <c r="BD2300" s="1"/>
      <c r="BE2300" s="1"/>
      <c r="BF2300" s="1"/>
      <c r="BG2300" s="1"/>
      <c r="BH2300" s="1"/>
      <c r="BI2300" s="1"/>
      <c r="BJ2300" s="1"/>
      <c r="BK2300" s="1"/>
      <c r="BL2300" s="1"/>
      <c r="BM2300" s="1"/>
      <c r="BN2300" s="1"/>
      <c r="BO2300" s="1"/>
      <c r="BP2300" s="1"/>
      <c r="BQ2300" s="1"/>
      <c r="BR2300" s="1"/>
      <c r="BS2300" s="1"/>
      <c r="BT2300" s="1"/>
      <c r="BU2300" s="1"/>
      <c r="BV2300" s="1"/>
      <c r="BW2300" s="1"/>
      <c r="BX2300" s="1"/>
      <c r="BY2300" s="1"/>
      <c r="BZ2300" s="1"/>
      <c r="CA2300" s="1"/>
      <c r="CB2300" s="1"/>
      <c r="CC2300" s="1"/>
      <c r="CD2300" s="1"/>
      <c r="CE2300" s="1"/>
      <c r="CF2300" s="1"/>
      <c r="CG2300" s="1"/>
      <c r="CH2300" s="1"/>
      <c r="CI2300" s="1"/>
      <c r="CJ2300" s="1"/>
      <c r="CK2300" s="1"/>
      <c r="CL2300" s="1"/>
      <c r="CM2300" s="1"/>
      <c r="CN2300" s="1"/>
      <c r="CO2300" s="1"/>
      <c r="CP2300" s="1"/>
      <c r="CQ2300" s="1"/>
      <c r="CR2300" s="1"/>
      <c r="CS2300" s="1"/>
      <c r="CT2300" s="1"/>
      <c r="CU2300" s="1"/>
      <c r="CV2300" s="1"/>
      <c r="CW2300" s="1"/>
      <c r="CX2300" s="1"/>
      <c r="CY2300" s="1"/>
      <c r="CZ2300" s="1"/>
      <c r="DA2300" s="1"/>
      <c r="DB2300" s="1"/>
      <c r="DC2300" s="1"/>
    </row>
    <row r="2301" spans="1:107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  <c r="AD2301" s="1"/>
      <c r="AE2301" s="1"/>
      <c r="AF2301" s="1"/>
      <c r="AG2301" s="1"/>
      <c r="AH2301" s="1"/>
      <c r="AI2301" s="1"/>
      <c r="AJ2301" s="1"/>
      <c r="AK2301" s="1"/>
      <c r="AL2301" s="1"/>
      <c r="AM2301" s="1"/>
      <c r="AN2301" s="1"/>
      <c r="AO2301" s="1"/>
      <c r="AP2301" s="1"/>
      <c r="AQ2301" s="1"/>
      <c r="AR2301" s="1"/>
      <c r="AS2301" s="1"/>
      <c r="AT2301" s="1"/>
      <c r="AU2301" s="1"/>
      <c r="AV2301" s="1"/>
      <c r="AW2301" s="1"/>
      <c r="AX2301" s="1"/>
      <c r="AY2301" s="1"/>
      <c r="AZ2301" s="1"/>
      <c r="BA2301" s="1"/>
      <c r="BB2301" s="1"/>
      <c r="BC2301" s="1"/>
      <c r="BD2301" s="1"/>
      <c r="BE2301" s="1"/>
      <c r="BF2301" s="1"/>
      <c r="BG2301" s="1"/>
      <c r="BH2301" s="1"/>
      <c r="BI2301" s="1"/>
      <c r="BJ2301" s="1"/>
      <c r="BK2301" s="1"/>
      <c r="BL2301" s="1"/>
      <c r="BM2301" s="1"/>
      <c r="BN2301" s="1"/>
      <c r="BO2301" s="1"/>
      <c r="BP2301" s="1"/>
      <c r="BQ2301" s="1"/>
      <c r="BR2301" s="1"/>
      <c r="BS2301" s="1"/>
      <c r="BT2301" s="1"/>
      <c r="BU2301" s="1"/>
      <c r="BV2301" s="1"/>
      <c r="BW2301" s="1"/>
      <c r="BX2301" s="1"/>
      <c r="BY2301" s="1"/>
      <c r="BZ2301" s="1"/>
      <c r="CA2301" s="1"/>
      <c r="CB2301" s="1"/>
      <c r="CC2301" s="1"/>
      <c r="CD2301" s="1"/>
      <c r="CE2301" s="1"/>
      <c r="CF2301" s="1"/>
      <c r="CG2301" s="1"/>
      <c r="CH2301" s="1"/>
      <c r="CI2301" s="1"/>
      <c r="CJ2301" s="1"/>
      <c r="CK2301" s="1"/>
      <c r="CL2301" s="1"/>
      <c r="CM2301" s="1"/>
      <c r="CN2301" s="1"/>
      <c r="CO2301" s="1"/>
      <c r="CP2301" s="1"/>
      <c r="CQ2301" s="1"/>
      <c r="CR2301" s="1"/>
      <c r="CS2301" s="1"/>
      <c r="CT2301" s="1"/>
      <c r="CU2301" s="1"/>
      <c r="CV2301" s="1"/>
      <c r="CW2301" s="1"/>
      <c r="CX2301" s="1"/>
      <c r="CY2301" s="1"/>
      <c r="CZ2301" s="1"/>
      <c r="DA2301" s="1"/>
      <c r="DB2301" s="1"/>
      <c r="DC2301" s="1"/>
    </row>
    <row r="2302" spans="1:107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1"/>
      <c r="AD2302" s="1"/>
      <c r="AE2302" s="1"/>
      <c r="AF2302" s="1"/>
      <c r="AG2302" s="1"/>
      <c r="AH2302" s="1"/>
      <c r="AI2302" s="1"/>
      <c r="AJ2302" s="1"/>
      <c r="AK2302" s="1"/>
      <c r="AL2302" s="1"/>
      <c r="AM2302" s="1"/>
      <c r="AN2302" s="1"/>
      <c r="AO2302" s="1"/>
      <c r="AP2302" s="1"/>
      <c r="AQ2302" s="1"/>
      <c r="AR2302" s="1"/>
      <c r="AS2302" s="1"/>
      <c r="AT2302" s="1"/>
      <c r="AU2302" s="1"/>
      <c r="AV2302" s="1"/>
      <c r="AW2302" s="1"/>
      <c r="AX2302" s="1"/>
      <c r="AY2302" s="1"/>
      <c r="AZ2302" s="1"/>
      <c r="BA2302" s="1"/>
      <c r="BB2302" s="1"/>
      <c r="BC2302" s="1"/>
      <c r="BD2302" s="1"/>
      <c r="BE2302" s="1"/>
      <c r="BF2302" s="1"/>
      <c r="BG2302" s="1"/>
      <c r="BH2302" s="1"/>
      <c r="BI2302" s="1"/>
      <c r="BJ2302" s="1"/>
      <c r="BK2302" s="1"/>
      <c r="BL2302" s="1"/>
      <c r="BM2302" s="1"/>
      <c r="BN2302" s="1"/>
      <c r="BO2302" s="1"/>
      <c r="BP2302" s="1"/>
      <c r="BQ2302" s="1"/>
      <c r="BR2302" s="1"/>
      <c r="BS2302" s="1"/>
      <c r="BT2302" s="1"/>
      <c r="BU2302" s="1"/>
      <c r="BV2302" s="1"/>
      <c r="BW2302" s="1"/>
      <c r="BX2302" s="1"/>
      <c r="BY2302" s="1"/>
      <c r="BZ2302" s="1"/>
      <c r="CA2302" s="1"/>
      <c r="CB2302" s="1"/>
      <c r="CC2302" s="1"/>
      <c r="CD2302" s="1"/>
      <c r="CE2302" s="1"/>
      <c r="CF2302" s="1"/>
      <c r="CG2302" s="1"/>
      <c r="CH2302" s="1"/>
      <c r="CI2302" s="1"/>
      <c r="CJ2302" s="1"/>
      <c r="CK2302" s="1"/>
      <c r="CL2302" s="1"/>
      <c r="CM2302" s="1"/>
      <c r="CN2302" s="1"/>
      <c r="CO2302" s="1"/>
      <c r="CP2302" s="1"/>
      <c r="CQ2302" s="1"/>
      <c r="CR2302" s="1"/>
      <c r="CS2302" s="1"/>
      <c r="CT2302" s="1"/>
      <c r="CU2302" s="1"/>
      <c r="CV2302" s="1"/>
      <c r="CW2302" s="1"/>
      <c r="CX2302" s="1"/>
      <c r="CY2302" s="1"/>
      <c r="CZ2302" s="1"/>
      <c r="DA2302" s="1"/>
      <c r="DB2302" s="1"/>
      <c r="DC2302" s="1"/>
    </row>
    <row r="2303" spans="1:107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1"/>
      <c r="AD2303" s="1"/>
      <c r="AE2303" s="1"/>
      <c r="AF2303" s="1"/>
      <c r="AG2303" s="1"/>
      <c r="AH2303" s="1"/>
      <c r="AI2303" s="1"/>
      <c r="AJ2303" s="1"/>
      <c r="AK2303" s="1"/>
      <c r="AL2303" s="1"/>
      <c r="AM2303" s="1"/>
      <c r="AN2303" s="1"/>
      <c r="AO2303" s="1"/>
      <c r="AP2303" s="1"/>
      <c r="AQ2303" s="1"/>
      <c r="AR2303" s="1"/>
      <c r="AS2303" s="1"/>
      <c r="AT2303" s="1"/>
      <c r="AU2303" s="1"/>
      <c r="AV2303" s="1"/>
      <c r="AW2303" s="1"/>
      <c r="AX2303" s="1"/>
      <c r="AY2303" s="1"/>
      <c r="AZ2303" s="1"/>
      <c r="BA2303" s="1"/>
      <c r="BB2303" s="1"/>
      <c r="BC2303" s="1"/>
      <c r="BD2303" s="1"/>
      <c r="BE2303" s="1"/>
      <c r="BF2303" s="1"/>
      <c r="BG2303" s="1"/>
      <c r="BH2303" s="1"/>
      <c r="BI2303" s="1"/>
      <c r="BJ2303" s="1"/>
      <c r="BK2303" s="1"/>
      <c r="BL2303" s="1"/>
      <c r="BM2303" s="1"/>
      <c r="BN2303" s="1"/>
      <c r="BO2303" s="1"/>
      <c r="BP2303" s="1"/>
      <c r="BQ2303" s="1"/>
      <c r="BR2303" s="1"/>
      <c r="BS2303" s="1"/>
      <c r="BT2303" s="1"/>
      <c r="BU2303" s="1"/>
      <c r="BV2303" s="1"/>
      <c r="BW2303" s="1"/>
      <c r="BX2303" s="1"/>
      <c r="BY2303" s="1"/>
      <c r="BZ2303" s="1"/>
      <c r="CA2303" s="1"/>
      <c r="CB2303" s="1"/>
      <c r="CC2303" s="1"/>
      <c r="CD2303" s="1"/>
      <c r="CE2303" s="1"/>
      <c r="CF2303" s="1"/>
      <c r="CG2303" s="1"/>
      <c r="CH2303" s="1"/>
      <c r="CI2303" s="1"/>
      <c r="CJ2303" s="1"/>
      <c r="CK2303" s="1"/>
      <c r="CL2303" s="1"/>
      <c r="CM2303" s="1"/>
      <c r="CN2303" s="1"/>
      <c r="CO2303" s="1"/>
      <c r="CP2303" s="1"/>
      <c r="CQ2303" s="1"/>
      <c r="CR2303" s="1"/>
      <c r="CS2303" s="1"/>
      <c r="CT2303" s="1"/>
      <c r="CU2303" s="1"/>
      <c r="CV2303" s="1"/>
      <c r="CW2303" s="1"/>
      <c r="CX2303" s="1"/>
      <c r="CY2303" s="1"/>
      <c r="CZ2303" s="1"/>
      <c r="DA2303" s="1"/>
      <c r="DB2303" s="1"/>
      <c r="DC2303" s="1"/>
    </row>
    <row r="2304" spans="1:107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  <c r="AC2304" s="1"/>
      <c r="AD2304" s="1"/>
      <c r="AE2304" s="1"/>
      <c r="AF2304" s="1"/>
      <c r="AG2304" s="1"/>
      <c r="AH2304" s="1"/>
      <c r="AI2304" s="1"/>
      <c r="AJ2304" s="1"/>
      <c r="AK2304" s="1"/>
      <c r="AL2304" s="1"/>
      <c r="AM2304" s="1"/>
      <c r="AN2304" s="1"/>
      <c r="AO2304" s="1"/>
      <c r="AP2304" s="1"/>
      <c r="AQ2304" s="1"/>
      <c r="AR2304" s="1"/>
      <c r="AS2304" s="1"/>
      <c r="AT2304" s="1"/>
      <c r="AU2304" s="1"/>
      <c r="AV2304" s="1"/>
      <c r="AW2304" s="1"/>
      <c r="AX2304" s="1"/>
      <c r="AY2304" s="1"/>
      <c r="AZ2304" s="1"/>
      <c r="BA2304" s="1"/>
      <c r="BB2304" s="1"/>
      <c r="BC2304" s="1"/>
      <c r="BD2304" s="1"/>
      <c r="BE2304" s="1"/>
      <c r="BF2304" s="1"/>
      <c r="BG2304" s="1"/>
      <c r="BH2304" s="1"/>
      <c r="BI2304" s="1"/>
      <c r="BJ2304" s="1"/>
      <c r="BK2304" s="1"/>
      <c r="BL2304" s="1"/>
      <c r="BM2304" s="1"/>
      <c r="BN2304" s="1"/>
      <c r="BO2304" s="1"/>
      <c r="BP2304" s="1"/>
      <c r="BQ2304" s="1"/>
      <c r="BR2304" s="1"/>
      <c r="BS2304" s="1"/>
      <c r="BT2304" s="1"/>
      <c r="BU2304" s="1"/>
      <c r="BV2304" s="1"/>
      <c r="BW2304" s="1"/>
      <c r="BX2304" s="1"/>
      <c r="BY2304" s="1"/>
      <c r="BZ2304" s="1"/>
      <c r="CA2304" s="1"/>
      <c r="CB2304" s="1"/>
      <c r="CC2304" s="1"/>
      <c r="CD2304" s="1"/>
      <c r="CE2304" s="1"/>
      <c r="CF2304" s="1"/>
      <c r="CG2304" s="1"/>
      <c r="CH2304" s="1"/>
      <c r="CI2304" s="1"/>
      <c r="CJ2304" s="1"/>
      <c r="CK2304" s="1"/>
      <c r="CL2304" s="1"/>
      <c r="CM2304" s="1"/>
      <c r="CN2304" s="1"/>
      <c r="CO2304" s="1"/>
      <c r="CP2304" s="1"/>
      <c r="CQ2304" s="1"/>
      <c r="CR2304" s="1"/>
      <c r="CS2304" s="1"/>
      <c r="CT2304" s="1"/>
      <c r="CU2304" s="1"/>
      <c r="CV2304" s="1"/>
      <c r="CW2304" s="1"/>
      <c r="CX2304" s="1"/>
      <c r="CY2304" s="1"/>
      <c r="CZ2304" s="1"/>
      <c r="DA2304" s="1"/>
      <c r="DB2304" s="1"/>
      <c r="DC2304" s="1"/>
    </row>
    <row r="2305" spans="1:107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s="1"/>
      <c r="AD2305" s="1"/>
      <c r="AE2305" s="1"/>
      <c r="AF2305" s="1"/>
      <c r="AG2305" s="1"/>
      <c r="AH2305" s="1"/>
      <c r="AI2305" s="1"/>
      <c r="AJ2305" s="1"/>
      <c r="AK2305" s="1"/>
      <c r="AL2305" s="1"/>
      <c r="AM2305" s="1"/>
      <c r="AN2305" s="1"/>
      <c r="AO2305" s="1"/>
      <c r="AP2305" s="1"/>
      <c r="AQ2305" s="1"/>
      <c r="AR2305" s="1"/>
      <c r="AS2305" s="1"/>
      <c r="AT2305" s="1"/>
      <c r="AU2305" s="1"/>
      <c r="AV2305" s="1"/>
      <c r="AW2305" s="1"/>
      <c r="AX2305" s="1"/>
      <c r="AY2305" s="1"/>
      <c r="AZ2305" s="1"/>
      <c r="BA2305" s="1"/>
      <c r="BB2305" s="1"/>
      <c r="BC2305" s="1"/>
      <c r="BD2305" s="1"/>
      <c r="BE2305" s="1"/>
      <c r="BF2305" s="1"/>
      <c r="BG2305" s="1"/>
      <c r="BH2305" s="1"/>
      <c r="BI2305" s="1"/>
      <c r="BJ2305" s="1"/>
      <c r="BK2305" s="1"/>
      <c r="BL2305" s="1"/>
      <c r="BM2305" s="1"/>
      <c r="BN2305" s="1"/>
      <c r="BO2305" s="1"/>
      <c r="BP2305" s="1"/>
      <c r="BQ2305" s="1"/>
      <c r="BR2305" s="1"/>
      <c r="BS2305" s="1"/>
      <c r="BT2305" s="1"/>
      <c r="BU2305" s="1"/>
      <c r="BV2305" s="1"/>
      <c r="BW2305" s="1"/>
      <c r="BX2305" s="1"/>
      <c r="BY2305" s="1"/>
      <c r="BZ2305" s="1"/>
      <c r="CA2305" s="1"/>
      <c r="CB2305" s="1"/>
      <c r="CC2305" s="1"/>
      <c r="CD2305" s="1"/>
      <c r="CE2305" s="1"/>
      <c r="CF2305" s="1"/>
      <c r="CG2305" s="1"/>
      <c r="CH2305" s="1"/>
      <c r="CI2305" s="1"/>
      <c r="CJ2305" s="1"/>
      <c r="CK2305" s="1"/>
      <c r="CL2305" s="1"/>
      <c r="CM2305" s="1"/>
      <c r="CN2305" s="1"/>
      <c r="CO2305" s="1"/>
      <c r="CP2305" s="1"/>
      <c r="CQ2305" s="1"/>
      <c r="CR2305" s="1"/>
      <c r="CS2305" s="1"/>
      <c r="CT2305" s="1"/>
      <c r="CU2305" s="1"/>
      <c r="CV2305" s="1"/>
      <c r="CW2305" s="1"/>
      <c r="CX2305" s="1"/>
      <c r="CY2305" s="1"/>
      <c r="CZ2305" s="1"/>
      <c r="DA2305" s="1"/>
      <c r="DB2305" s="1"/>
      <c r="DC2305" s="1"/>
    </row>
    <row r="2306" spans="1:107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1"/>
      <c r="AD2306" s="1"/>
      <c r="AE2306" s="1"/>
      <c r="AF2306" s="1"/>
      <c r="AG2306" s="1"/>
      <c r="AH2306" s="1"/>
      <c r="AI2306" s="1"/>
      <c r="AJ2306" s="1"/>
      <c r="AK2306" s="1"/>
      <c r="AL2306" s="1"/>
      <c r="AM2306" s="1"/>
      <c r="AN2306" s="1"/>
      <c r="AO2306" s="1"/>
      <c r="AP2306" s="1"/>
      <c r="AQ2306" s="1"/>
      <c r="AR2306" s="1"/>
      <c r="AS2306" s="1"/>
      <c r="AT2306" s="1"/>
      <c r="AU2306" s="1"/>
      <c r="AV2306" s="1"/>
      <c r="AW2306" s="1"/>
      <c r="AX2306" s="1"/>
      <c r="AY2306" s="1"/>
      <c r="AZ2306" s="1"/>
      <c r="BA2306" s="1"/>
      <c r="BB2306" s="1"/>
      <c r="BC2306" s="1"/>
      <c r="BD2306" s="1"/>
      <c r="BE2306" s="1"/>
      <c r="BF2306" s="1"/>
      <c r="BG2306" s="1"/>
      <c r="BH2306" s="1"/>
      <c r="BI2306" s="1"/>
      <c r="BJ2306" s="1"/>
      <c r="BK2306" s="1"/>
      <c r="BL2306" s="1"/>
      <c r="BM2306" s="1"/>
      <c r="BN2306" s="1"/>
      <c r="BO2306" s="1"/>
      <c r="BP2306" s="1"/>
      <c r="BQ2306" s="1"/>
      <c r="BR2306" s="1"/>
      <c r="BS2306" s="1"/>
      <c r="BT2306" s="1"/>
      <c r="BU2306" s="1"/>
      <c r="BV2306" s="1"/>
      <c r="BW2306" s="1"/>
      <c r="BX2306" s="1"/>
      <c r="BY2306" s="1"/>
      <c r="BZ2306" s="1"/>
      <c r="CA2306" s="1"/>
      <c r="CB2306" s="1"/>
      <c r="CC2306" s="1"/>
      <c r="CD2306" s="1"/>
      <c r="CE2306" s="1"/>
      <c r="CF2306" s="1"/>
      <c r="CG2306" s="1"/>
      <c r="CH2306" s="1"/>
      <c r="CI2306" s="1"/>
      <c r="CJ2306" s="1"/>
      <c r="CK2306" s="1"/>
      <c r="CL2306" s="1"/>
      <c r="CM2306" s="1"/>
      <c r="CN2306" s="1"/>
      <c r="CO2306" s="1"/>
      <c r="CP2306" s="1"/>
      <c r="CQ2306" s="1"/>
      <c r="CR2306" s="1"/>
      <c r="CS2306" s="1"/>
      <c r="CT2306" s="1"/>
      <c r="CU2306" s="1"/>
      <c r="CV2306" s="1"/>
      <c r="CW2306" s="1"/>
      <c r="CX2306" s="1"/>
      <c r="CY2306" s="1"/>
      <c r="CZ2306" s="1"/>
      <c r="DA2306" s="1"/>
      <c r="DB2306" s="1"/>
      <c r="DC2306" s="1"/>
    </row>
    <row r="2307" spans="1:107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  <c r="AC2307" s="1"/>
      <c r="AD2307" s="1"/>
      <c r="AE2307" s="1"/>
      <c r="AF2307" s="1"/>
      <c r="AG2307" s="1"/>
      <c r="AH2307" s="1"/>
      <c r="AI2307" s="1"/>
      <c r="AJ2307" s="1"/>
      <c r="AK2307" s="1"/>
      <c r="AL2307" s="1"/>
      <c r="AM2307" s="1"/>
      <c r="AN2307" s="1"/>
      <c r="AO2307" s="1"/>
      <c r="AP2307" s="1"/>
      <c r="AQ2307" s="1"/>
      <c r="AR2307" s="1"/>
      <c r="AS2307" s="1"/>
      <c r="AT2307" s="1"/>
      <c r="AU2307" s="1"/>
      <c r="AV2307" s="1"/>
      <c r="AW2307" s="1"/>
      <c r="AX2307" s="1"/>
      <c r="AY2307" s="1"/>
      <c r="AZ2307" s="1"/>
      <c r="BA2307" s="1"/>
      <c r="BB2307" s="1"/>
      <c r="BC2307" s="1"/>
      <c r="BD2307" s="1"/>
      <c r="BE2307" s="1"/>
      <c r="BF2307" s="1"/>
      <c r="BG2307" s="1"/>
      <c r="BH2307" s="1"/>
      <c r="BI2307" s="1"/>
      <c r="BJ2307" s="1"/>
      <c r="BK2307" s="1"/>
      <c r="BL2307" s="1"/>
      <c r="BM2307" s="1"/>
      <c r="BN2307" s="1"/>
      <c r="BO2307" s="1"/>
      <c r="BP2307" s="1"/>
      <c r="BQ2307" s="1"/>
      <c r="BR2307" s="1"/>
      <c r="BS2307" s="1"/>
      <c r="BT2307" s="1"/>
      <c r="BU2307" s="1"/>
      <c r="BV2307" s="1"/>
      <c r="BW2307" s="1"/>
      <c r="BX2307" s="1"/>
      <c r="BY2307" s="1"/>
      <c r="BZ2307" s="1"/>
      <c r="CA2307" s="1"/>
      <c r="CB2307" s="1"/>
      <c r="CC2307" s="1"/>
      <c r="CD2307" s="1"/>
      <c r="CE2307" s="1"/>
      <c r="CF2307" s="1"/>
      <c r="CG2307" s="1"/>
      <c r="CH2307" s="1"/>
      <c r="CI2307" s="1"/>
      <c r="CJ2307" s="1"/>
      <c r="CK2307" s="1"/>
      <c r="CL2307" s="1"/>
      <c r="CM2307" s="1"/>
      <c r="CN2307" s="1"/>
      <c r="CO2307" s="1"/>
      <c r="CP2307" s="1"/>
      <c r="CQ2307" s="1"/>
      <c r="CR2307" s="1"/>
      <c r="CS2307" s="1"/>
      <c r="CT2307" s="1"/>
      <c r="CU2307" s="1"/>
      <c r="CV2307" s="1"/>
      <c r="CW2307" s="1"/>
      <c r="CX2307" s="1"/>
      <c r="CY2307" s="1"/>
      <c r="CZ2307" s="1"/>
      <c r="DA2307" s="1"/>
      <c r="DB2307" s="1"/>
      <c r="DC2307" s="1"/>
    </row>
    <row r="2308" spans="1:107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1"/>
      <c r="AD2308" s="1"/>
      <c r="AE2308" s="1"/>
      <c r="AF2308" s="1"/>
      <c r="AG2308" s="1"/>
      <c r="AH2308" s="1"/>
      <c r="AI2308" s="1"/>
      <c r="AJ2308" s="1"/>
      <c r="AK2308" s="1"/>
      <c r="AL2308" s="1"/>
      <c r="AM2308" s="1"/>
      <c r="AN2308" s="1"/>
      <c r="AO2308" s="1"/>
      <c r="AP2308" s="1"/>
      <c r="AQ2308" s="1"/>
      <c r="AR2308" s="1"/>
      <c r="AS2308" s="1"/>
      <c r="AT2308" s="1"/>
      <c r="AU2308" s="1"/>
      <c r="AV2308" s="1"/>
      <c r="AW2308" s="1"/>
      <c r="AX2308" s="1"/>
      <c r="AY2308" s="1"/>
      <c r="AZ2308" s="1"/>
      <c r="BA2308" s="1"/>
      <c r="BB2308" s="1"/>
      <c r="BC2308" s="1"/>
      <c r="BD2308" s="1"/>
      <c r="BE2308" s="1"/>
      <c r="BF2308" s="1"/>
      <c r="BG2308" s="1"/>
      <c r="BH2308" s="1"/>
      <c r="BI2308" s="1"/>
      <c r="BJ2308" s="1"/>
      <c r="BK2308" s="1"/>
      <c r="BL2308" s="1"/>
      <c r="BM2308" s="1"/>
      <c r="BN2308" s="1"/>
      <c r="BO2308" s="1"/>
      <c r="BP2308" s="1"/>
      <c r="BQ2308" s="1"/>
      <c r="BR2308" s="1"/>
      <c r="BS2308" s="1"/>
      <c r="BT2308" s="1"/>
      <c r="BU2308" s="1"/>
      <c r="BV2308" s="1"/>
      <c r="BW2308" s="1"/>
      <c r="BX2308" s="1"/>
      <c r="BY2308" s="1"/>
      <c r="BZ2308" s="1"/>
      <c r="CA2308" s="1"/>
      <c r="CB2308" s="1"/>
      <c r="CC2308" s="1"/>
      <c r="CD2308" s="1"/>
      <c r="CE2308" s="1"/>
      <c r="CF2308" s="1"/>
      <c r="CG2308" s="1"/>
      <c r="CH2308" s="1"/>
      <c r="CI2308" s="1"/>
      <c r="CJ2308" s="1"/>
      <c r="CK2308" s="1"/>
      <c r="CL2308" s="1"/>
      <c r="CM2308" s="1"/>
      <c r="CN2308" s="1"/>
      <c r="CO2308" s="1"/>
      <c r="CP2308" s="1"/>
      <c r="CQ2308" s="1"/>
      <c r="CR2308" s="1"/>
      <c r="CS2308" s="1"/>
      <c r="CT2308" s="1"/>
      <c r="CU2308" s="1"/>
      <c r="CV2308" s="1"/>
      <c r="CW2308" s="1"/>
      <c r="CX2308" s="1"/>
      <c r="CY2308" s="1"/>
      <c r="CZ2308" s="1"/>
      <c r="DA2308" s="1"/>
      <c r="DB2308" s="1"/>
      <c r="DC2308" s="1"/>
    </row>
    <row r="2309" spans="1:107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1"/>
      <c r="AD2309" s="1"/>
      <c r="AE2309" s="1"/>
      <c r="AF2309" s="1"/>
      <c r="AG2309" s="1"/>
      <c r="AH2309" s="1"/>
      <c r="AI2309" s="1"/>
      <c r="AJ2309" s="1"/>
      <c r="AK2309" s="1"/>
      <c r="AL2309" s="1"/>
      <c r="AM2309" s="1"/>
      <c r="AN2309" s="1"/>
      <c r="AO2309" s="1"/>
      <c r="AP2309" s="1"/>
      <c r="AQ2309" s="1"/>
      <c r="AR2309" s="1"/>
      <c r="AS2309" s="1"/>
      <c r="AT2309" s="1"/>
      <c r="AU2309" s="1"/>
      <c r="AV2309" s="1"/>
      <c r="AW2309" s="1"/>
      <c r="AX2309" s="1"/>
      <c r="AY2309" s="1"/>
      <c r="AZ2309" s="1"/>
      <c r="BA2309" s="1"/>
      <c r="BB2309" s="1"/>
      <c r="BC2309" s="1"/>
      <c r="BD2309" s="1"/>
      <c r="BE2309" s="1"/>
      <c r="BF2309" s="1"/>
      <c r="BG2309" s="1"/>
      <c r="BH2309" s="1"/>
      <c r="BI2309" s="1"/>
      <c r="BJ2309" s="1"/>
      <c r="BK2309" s="1"/>
      <c r="BL2309" s="1"/>
      <c r="BM2309" s="1"/>
      <c r="BN2309" s="1"/>
      <c r="BO2309" s="1"/>
      <c r="BP2309" s="1"/>
      <c r="BQ2309" s="1"/>
      <c r="BR2309" s="1"/>
      <c r="BS2309" s="1"/>
      <c r="BT2309" s="1"/>
      <c r="BU2309" s="1"/>
      <c r="BV2309" s="1"/>
      <c r="BW2309" s="1"/>
      <c r="BX2309" s="1"/>
      <c r="BY2309" s="1"/>
      <c r="BZ2309" s="1"/>
      <c r="CA2309" s="1"/>
      <c r="CB2309" s="1"/>
      <c r="CC2309" s="1"/>
      <c r="CD2309" s="1"/>
      <c r="CE2309" s="1"/>
      <c r="CF2309" s="1"/>
      <c r="CG2309" s="1"/>
      <c r="CH2309" s="1"/>
      <c r="CI2309" s="1"/>
      <c r="CJ2309" s="1"/>
      <c r="CK2309" s="1"/>
      <c r="CL2309" s="1"/>
      <c r="CM2309" s="1"/>
      <c r="CN2309" s="1"/>
      <c r="CO2309" s="1"/>
      <c r="CP2309" s="1"/>
      <c r="CQ2309" s="1"/>
      <c r="CR2309" s="1"/>
      <c r="CS2309" s="1"/>
      <c r="CT2309" s="1"/>
      <c r="CU2309" s="1"/>
      <c r="CV2309" s="1"/>
      <c r="CW2309" s="1"/>
      <c r="CX2309" s="1"/>
      <c r="CY2309" s="1"/>
      <c r="CZ2309" s="1"/>
      <c r="DA2309" s="1"/>
      <c r="DB2309" s="1"/>
      <c r="DC2309" s="1"/>
    </row>
    <row r="2310" spans="1:107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  <c r="AD2310" s="1"/>
      <c r="AE2310" s="1"/>
      <c r="AF2310" s="1"/>
      <c r="AG2310" s="1"/>
      <c r="AH2310" s="1"/>
      <c r="AI2310" s="1"/>
      <c r="AJ2310" s="1"/>
      <c r="AK2310" s="1"/>
      <c r="AL2310" s="1"/>
      <c r="AM2310" s="1"/>
      <c r="AN2310" s="1"/>
      <c r="AO2310" s="1"/>
      <c r="AP2310" s="1"/>
      <c r="AQ2310" s="1"/>
      <c r="AR2310" s="1"/>
      <c r="AS2310" s="1"/>
      <c r="AT2310" s="1"/>
      <c r="AU2310" s="1"/>
      <c r="AV2310" s="1"/>
      <c r="AW2310" s="1"/>
      <c r="AX2310" s="1"/>
      <c r="AY2310" s="1"/>
      <c r="AZ2310" s="1"/>
      <c r="BA2310" s="1"/>
      <c r="BB2310" s="1"/>
      <c r="BC2310" s="1"/>
      <c r="BD2310" s="1"/>
      <c r="BE2310" s="1"/>
      <c r="BF2310" s="1"/>
      <c r="BG2310" s="1"/>
      <c r="BH2310" s="1"/>
      <c r="BI2310" s="1"/>
      <c r="BJ2310" s="1"/>
      <c r="BK2310" s="1"/>
      <c r="BL2310" s="1"/>
      <c r="BM2310" s="1"/>
      <c r="BN2310" s="1"/>
      <c r="BO2310" s="1"/>
      <c r="BP2310" s="1"/>
      <c r="BQ2310" s="1"/>
      <c r="BR2310" s="1"/>
      <c r="BS2310" s="1"/>
      <c r="BT2310" s="1"/>
      <c r="BU2310" s="1"/>
      <c r="BV2310" s="1"/>
      <c r="BW2310" s="1"/>
      <c r="BX2310" s="1"/>
      <c r="BY2310" s="1"/>
      <c r="BZ2310" s="1"/>
      <c r="CA2310" s="1"/>
      <c r="CB2310" s="1"/>
      <c r="CC2310" s="1"/>
      <c r="CD2310" s="1"/>
      <c r="CE2310" s="1"/>
      <c r="CF2310" s="1"/>
      <c r="CG2310" s="1"/>
      <c r="CH2310" s="1"/>
      <c r="CI2310" s="1"/>
      <c r="CJ2310" s="1"/>
      <c r="CK2310" s="1"/>
      <c r="CL2310" s="1"/>
      <c r="CM2310" s="1"/>
      <c r="CN2310" s="1"/>
      <c r="CO2310" s="1"/>
      <c r="CP2310" s="1"/>
      <c r="CQ2310" s="1"/>
      <c r="CR2310" s="1"/>
      <c r="CS2310" s="1"/>
      <c r="CT2310" s="1"/>
      <c r="CU2310" s="1"/>
      <c r="CV2310" s="1"/>
      <c r="CW2310" s="1"/>
      <c r="CX2310" s="1"/>
      <c r="CY2310" s="1"/>
      <c r="CZ2310" s="1"/>
      <c r="DA2310" s="1"/>
      <c r="DB2310" s="1"/>
      <c r="DC2310" s="1"/>
    </row>
    <row r="2311" spans="1:107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  <c r="AD2311" s="1"/>
      <c r="AE2311" s="1"/>
      <c r="AF2311" s="1"/>
      <c r="AG2311" s="1"/>
      <c r="AH2311" s="1"/>
      <c r="AI2311" s="1"/>
      <c r="AJ2311" s="1"/>
      <c r="AK2311" s="1"/>
      <c r="AL2311" s="1"/>
      <c r="AM2311" s="1"/>
      <c r="AN2311" s="1"/>
      <c r="AO2311" s="1"/>
      <c r="AP2311" s="1"/>
      <c r="AQ2311" s="1"/>
      <c r="AR2311" s="1"/>
      <c r="AS2311" s="1"/>
      <c r="AT2311" s="1"/>
      <c r="AU2311" s="1"/>
      <c r="AV2311" s="1"/>
      <c r="AW2311" s="1"/>
      <c r="AX2311" s="1"/>
      <c r="AY2311" s="1"/>
      <c r="AZ2311" s="1"/>
      <c r="BA2311" s="1"/>
      <c r="BB2311" s="1"/>
      <c r="BC2311" s="1"/>
      <c r="BD2311" s="1"/>
      <c r="BE2311" s="1"/>
      <c r="BF2311" s="1"/>
      <c r="BG2311" s="1"/>
      <c r="BH2311" s="1"/>
      <c r="BI2311" s="1"/>
      <c r="BJ2311" s="1"/>
      <c r="BK2311" s="1"/>
      <c r="BL2311" s="1"/>
      <c r="BM2311" s="1"/>
      <c r="BN2311" s="1"/>
      <c r="BO2311" s="1"/>
      <c r="BP2311" s="1"/>
      <c r="BQ2311" s="1"/>
      <c r="BR2311" s="1"/>
      <c r="BS2311" s="1"/>
      <c r="BT2311" s="1"/>
      <c r="BU2311" s="1"/>
      <c r="BV2311" s="1"/>
      <c r="BW2311" s="1"/>
      <c r="BX2311" s="1"/>
      <c r="BY2311" s="1"/>
      <c r="BZ2311" s="1"/>
      <c r="CA2311" s="1"/>
      <c r="CB2311" s="1"/>
      <c r="CC2311" s="1"/>
      <c r="CD2311" s="1"/>
      <c r="CE2311" s="1"/>
      <c r="CF2311" s="1"/>
      <c r="CG2311" s="1"/>
      <c r="CH2311" s="1"/>
      <c r="CI2311" s="1"/>
      <c r="CJ2311" s="1"/>
      <c r="CK2311" s="1"/>
      <c r="CL2311" s="1"/>
      <c r="CM2311" s="1"/>
      <c r="CN2311" s="1"/>
      <c r="CO2311" s="1"/>
      <c r="CP2311" s="1"/>
      <c r="CQ2311" s="1"/>
      <c r="CR2311" s="1"/>
      <c r="CS2311" s="1"/>
      <c r="CT2311" s="1"/>
      <c r="CU2311" s="1"/>
      <c r="CV2311" s="1"/>
      <c r="CW2311" s="1"/>
      <c r="CX2311" s="1"/>
      <c r="CY2311" s="1"/>
      <c r="CZ2311" s="1"/>
      <c r="DA2311" s="1"/>
      <c r="DB2311" s="1"/>
      <c r="DC2311" s="1"/>
    </row>
    <row r="2312" spans="1:107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  <c r="AD2312" s="1"/>
      <c r="AE2312" s="1"/>
      <c r="AF2312" s="1"/>
      <c r="AG2312" s="1"/>
      <c r="AH2312" s="1"/>
      <c r="AI2312" s="1"/>
      <c r="AJ2312" s="1"/>
      <c r="AK2312" s="1"/>
      <c r="AL2312" s="1"/>
      <c r="AM2312" s="1"/>
      <c r="AN2312" s="1"/>
      <c r="AO2312" s="1"/>
      <c r="AP2312" s="1"/>
      <c r="AQ2312" s="1"/>
      <c r="AR2312" s="1"/>
      <c r="AS2312" s="1"/>
      <c r="AT2312" s="1"/>
      <c r="AU2312" s="1"/>
      <c r="AV2312" s="1"/>
      <c r="AW2312" s="1"/>
      <c r="AX2312" s="1"/>
      <c r="AY2312" s="1"/>
      <c r="AZ2312" s="1"/>
      <c r="BA2312" s="1"/>
      <c r="BB2312" s="1"/>
      <c r="BC2312" s="1"/>
      <c r="BD2312" s="1"/>
      <c r="BE2312" s="1"/>
      <c r="BF2312" s="1"/>
      <c r="BG2312" s="1"/>
      <c r="BH2312" s="1"/>
      <c r="BI2312" s="1"/>
      <c r="BJ2312" s="1"/>
      <c r="BK2312" s="1"/>
      <c r="BL2312" s="1"/>
      <c r="BM2312" s="1"/>
      <c r="BN2312" s="1"/>
      <c r="BO2312" s="1"/>
      <c r="BP2312" s="1"/>
      <c r="BQ2312" s="1"/>
      <c r="BR2312" s="1"/>
      <c r="BS2312" s="1"/>
      <c r="BT2312" s="1"/>
      <c r="BU2312" s="1"/>
      <c r="BV2312" s="1"/>
      <c r="BW2312" s="1"/>
      <c r="BX2312" s="1"/>
      <c r="BY2312" s="1"/>
      <c r="BZ2312" s="1"/>
      <c r="CA2312" s="1"/>
      <c r="CB2312" s="1"/>
      <c r="CC2312" s="1"/>
      <c r="CD2312" s="1"/>
      <c r="CE2312" s="1"/>
      <c r="CF2312" s="1"/>
      <c r="CG2312" s="1"/>
      <c r="CH2312" s="1"/>
      <c r="CI2312" s="1"/>
      <c r="CJ2312" s="1"/>
      <c r="CK2312" s="1"/>
      <c r="CL2312" s="1"/>
      <c r="CM2312" s="1"/>
      <c r="CN2312" s="1"/>
      <c r="CO2312" s="1"/>
      <c r="CP2312" s="1"/>
      <c r="CQ2312" s="1"/>
      <c r="CR2312" s="1"/>
      <c r="CS2312" s="1"/>
      <c r="CT2312" s="1"/>
      <c r="CU2312" s="1"/>
      <c r="CV2312" s="1"/>
      <c r="CW2312" s="1"/>
      <c r="CX2312" s="1"/>
      <c r="CY2312" s="1"/>
      <c r="CZ2312" s="1"/>
      <c r="DA2312" s="1"/>
      <c r="DB2312" s="1"/>
      <c r="DC2312" s="1"/>
    </row>
    <row r="2313" spans="1:107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s="1"/>
      <c r="AD2313" s="1"/>
      <c r="AE2313" s="1"/>
      <c r="AF2313" s="1"/>
      <c r="AG2313" s="1"/>
      <c r="AH2313" s="1"/>
      <c r="AI2313" s="1"/>
      <c r="AJ2313" s="1"/>
      <c r="AK2313" s="1"/>
      <c r="AL2313" s="1"/>
      <c r="AM2313" s="1"/>
      <c r="AN2313" s="1"/>
      <c r="AO2313" s="1"/>
      <c r="AP2313" s="1"/>
      <c r="AQ2313" s="1"/>
      <c r="AR2313" s="1"/>
      <c r="AS2313" s="1"/>
      <c r="AT2313" s="1"/>
      <c r="AU2313" s="1"/>
      <c r="AV2313" s="1"/>
      <c r="AW2313" s="1"/>
      <c r="AX2313" s="1"/>
      <c r="AY2313" s="1"/>
      <c r="AZ2313" s="1"/>
      <c r="BA2313" s="1"/>
      <c r="BB2313" s="1"/>
      <c r="BC2313" s="1"/>
      <c r="BD2313" s="1"/>
      <c r="BE2313" s="1"/>
      <c r="BF2313" s="1"/>
      <c r="BG2313" s="1"/>
      <c r="BH2313" s="1"/>
      <c r="BI2313" s="1"/>
      <c r="BJ2313" s="1"/>
      <c r="BK2313" s="1"/>
      <c r="BL2313" s="1"/>
      <c r="BM2313" s="1"/>
      <c r="BN2313" s="1"/>
      <c r="BO2313" s="1"/>
      <c r="BP2313" s="1"/>
      <c r="BQ2313" s="1"/>
      <c r="BR2313" s="1"/>
      <c r="BS2313" s="1"/>
      <c r="BT2313" s="1"/>
      <c r="BU2313" s="1"/>
      <c r="BV2313" s="1"/>
      <c r="BW2313" s="1"/>
      <c r="BX2313" s="1"/>
      <c r="BY2313" s="1"/>
      <c r="BZ2313" s="1"/>
      <c r="CA2313" s="1"/>
      <c r="CB2313" s="1"/>
      <c r="CC2313" s="1"/>
      <c r="CD2313" s="1"/>
      <c r="CE2313" s="1"/>
      <c r="CF2313" s="1"/>
      <c r="CG2313" s="1"/>
      <c r="CH2313" s="1"/>
      <c r="CI2313" s="1"/>
      <c r="CJ2313" s="1"/>
      <c r="CK2313" s="1"/>
      <c r="CL2313" s="1"/>
      <c r="CM2313" s="1"/>
      <c r="CN2313" s="1"/>
      <c r="CO2313" s="1"/>
      <c r="CP2313" s="1"/>
      <c r="CQ2313" s="1"/>
      <c r="CR2313" s="1"/>
      <c r="CS2313" s="1"/>
      <c r="CT2313" s="1"/>
      <c r="CU2313" s="1"/>
      <c r="CV2313" s="1"/>
      <c r="CW2313" s="1"/>
      <c r="CX2313" s="1"/>
      <c r="CY2313" s="1"/>
      <c r="CZ2313" s="1"/>
      <c r="DA2313" s="1"/>
      <c r="DB2313" s="1"/>
      <c r="DC2313" s="1"/>
    </row>
    <row r="2314" spans="1:107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  <c r="AD2314" s="1"/>
      <c r="AE2314" s="1"/>
      <c r="AF2314" s="1"/>
      <c r="AG2314" s="1"/>
      <c r="AH2314" s="1"/>
      <c r="AI2314" s="1"/>
      <c r="AJ2314" s="1"/>
      <c r="AK2314" s="1"/>
      <c r="AL2314" s="1"/>
      <c r="AM2314" s="1"/>
      <c r="AN2314" s="1"/>
      <c r="AO2314" s="1"/>
      <c r="AP2314" s="1"/>
      <c r="AQ2314" s="1"/>
      <c r="AR2314" s="1"/>
      <c r="AS2314" s="1"/>
      <c r="AT2314" s="1"/>
      <c r="AU2314" s="1"/>
      <c r="AV2314" s="1"/>
      <c r="AW2314" s="1"/>
      <c r="AX2314" s="1"/>
      <c r="AY2314" s="1"/>
      <c r="AZ2314" s="1"/>
      <c r="BA2314" s="1"/>
      <c r="BB2314" s="1"/>
      <c r="BC2314" s="1"/>
      <c r="BD2314" s="1"/>
      <c r="BE2314" s="1"/>
      <c r="BF2314" s="1"/>
      <c r="BG2314" s="1"/>
      <c r="BH2314" s="1"/>
      <c r="BI2314" s="1"/>
      <c r="BJ2314" s="1"/>
      <c r="BK2314" s="1"/>
      <c r="BL2314" s="1"/>
      <c r="BM2314" s="1"/>
      <c r="BN2314" s="1"/>
      <c r="BO2314" s="1"/>
      <c r="BP2314" s="1"/>
      <c r="BQ2314" s="1"/>
      <c r="BR2314" s="1"/>
      <c r="BS2314" s="1"/>
      <c r="BT2314" s="1"/>
      <c r="BU2314" s="1"/>
      <c r="BV2314" s="1"/>
      <c r="BW2314" s="1"/>
      <c r="BX2314" s="1"/>
      <c r="BY2314" s="1"/>
      <c r="BZ2314" s="1"/>
      <c r="CA2314" s="1"/>
      <c r="CB2314" s="1"/>
      <c r="CC2314" s="1"/>
      <c r="CD2314" s="1"/>
      <c r="CE2314" s="1"/>
      <c r="CF2314" s="1"/>
      <c r="CG2314" s="1"/>
      <c r="CH2314" s="1"/>
      <c r="CI2314" s="1"/>
      <c r="CJ2314" s="1"/>
      <c r="CK2314" s="1"/>
      <c r="CL2314" s="1"/>
      <c r="CM2314" s="1"/>
      <c r="CN2314" s="1"/>
      <c r="CO2314" s="1"/>
      <c r="CP2314" s="1"/>
      <c r="CQ2314" s="1"/>
      <c r="CR2314" s="1"/>
      <c r="CS2314" s="1"/>
      <c r="CT2314" s="1"/>
      <c r="CU2314" s="1"/>
      <c r="CV2314" s="1"/>
      <c r="CW2314" s="1"/>
      <c r="CX2314" s="1"/>
      <c r="CY2314" s="1"/>
      <c r="CZ2314" s="1"/>
      <c r="DA2314" s="1"/>
      <c r="DB2314" s="1"/>
      <c r="DC2314" s="1"/>
    </row>
    <row r="2315" spans="1:107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  <c r="AD2315" s="1"/>
      <c r="AE2315" s="1"/>
      <c r="AF2315" s="1"/>
      <c r="AG2315" s="1"/>
      <c r="AH2315" s="1"/>
      <c r="AI2315" s="1"/>
      <c r="AJ2315" s="1"/>
      <c r="AK2315" s="1"/>
      <c r="AL2315" s="1"/>
      <c r="AM2315" s="1"/>
      <c r="AN2315" s="1"/>
      <c r="AO2315" s="1"/>
      <c r="AP2315" s="1"/>
      <c r="AQ2315" s="1"/>
      <c r="AR2315" s="1"/>
      <c r="AS2315" s="1"/>
      <c r="AT2315" s="1"/>
      <c r="AU2315" s="1"/>
      <c r="AV2315" s="1"/>
      <c r="AW2315" s="1"/>
      <c r="AX2315" s="1"/>
      <c r="AY2315" s="1"/>
      <c r="AZ2315" s="1"/>
      <c r="BA2315" s="1"/>
      <c r="BB2315" s="1"/>
      <c r="BC2315" s="1"/>
      <c r="BD2315" s="1"/>
      <c r="BE2315" s="1"/>
      <c r="BF2315" s="1"/>
      <c r="BG2315" s="1"/>
      <c r="BH2315" s="1"/>
      <c r="BI2315" s="1"/>
      <c r="BJ2315" s="1"/>
      <c r="BK2315" s="1"/>
      <c r="BL2315" s="1"/>
      <c r="BM2315" s="1"/>
      <c r="BN2315" s="1"/>
      <c r="BO2315" s="1"/>
      <c r="BP2315" s="1"/>
      <c r="BQ2315" s="1"/>
      <c r="BR2315" s="1"/>
      <c r="BS2315" s="1"/>
      <c r="BT2315" s="1"/>
      <c r="BU2315" s="1"/>
      <c r="BV2315" s="1"/>
      <c r="BW2315" s="1"/>
      <c r="BX2315" s="1"/>
      <c r="BY2315" s="1"/>
      <c r="BZ2315" s="1"/>
      <c r="CA2315" s="1"/>
      <c r="CB2315" s="1"/>
      <c r="CC2315" s="1"/>
      <c r="CD2315" s="1"/>
      <c r="CE2315" s="1"/>
      <c r="CF2315" s="1"/>
      <c r="CG2315" s="1"/>
      <c r="CH2315" s="1"/>
      <c r="CI2315" s="1"/>
      <c r="CJ2315" s="1"/>
      <c r="CK2315" s="1"/>
      <c r="CL2315" s="1"/>
      <c r="CM2315" s="1"/>
      <c r="CN2315" s="1"/>
      <c r="CO2315" s="1"/>
      <c r="CP2315" s="1"/>
      <c r="CQ2315" s="1"/>
      <c r="CR2315" s="1"/>
      <c r="CS2315" s="1"/>
      <c r="CT2315" s="1"/>
      <c r="CU2315" s="1"/>
      <c r="CV2315" s="1"/>
      <c r="CW2315" s="1"/>
      <c r="CX2315" s="1"/>
      <c r="CY2315" s="1"/>
      <c r="CZ2315" s="1"/>
      <c r="DA2315" s="1"/>
      <c r="DB2315" s="1"/>
      <c r="DC2315" s="1"/>
    </row>
    <row r="2316" spans="1:107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1"/>
      <c r="AD2316" s="1"/>
      <c r="AE2316" s="1"/>
      <c r="AF2316" s="1"/>
      <c r="AG2316" s="1"/>
      <c r="AH2316" s="1"/>
      <c r="AI2316" s="1"/>
      <c r="AJ2316" s="1"/>
      <c r="AK2316" s="1"/>
      <c r="AL2316" s="1"/>
      <c r="AM2316" s="1"/>
      <c r="AN2316" s="1"/>
      <c r="AO2316" s="1"/>
      <c r="AP2316" s="1"/>
      <c r="AQ2316" s="1"/>
      <c r="AR2316" s="1"/>
      <c r="AS2316" s="1"/>
      <c r="AT2316" s="1"/>
      <c r="AU2316" s="1"/>
      <c r="AV2316" s="1"/>
      <c r="AW2316" s="1"/>
      <c r="AX2316" s="1"/>
      <c r="AY2316" s="1"/>
      <c r="AZ2316" s="1"/>
      <c r="BA2316" s="1"/>
      <c r="BB2316" s="1"/>
      <c r="BC2316" s="1"/>
      <c r="BD2316" s="1"/>
      <c r="BE2316" s="1"/>
      <c r="BF2316" s="1"/>
      <c r="BG2316" s="1"/>
      <c r="BH2316" s="1"/>
      <c r="BI2316" s="1"/>
      <c r="BJ2316" s="1"/>
      <c r="BK2316" s="1"/>
      <c r="BL2316" s="1"/>
      <c r="BM2316" s="1"/>
      <c r="BN2316" s="1"/>
      <c r="BO2316" s="1"/>
      <c r="BP2316" s="1"/>
      <c r="BQ2316" s="1"/>
      <c r="BR2316" s="1"/>
      <c r="BS2316" s="1"/>
      <c r="BT2316" s="1"/>
      <c r="BU2316" s="1"/>
      <c r="BV2316" s="1"/>
      <c r="BW2316" s="1"/>
      <c r="BX2316" s="1"/>
      <c r="BY2316" s="1"/>
      <c r="BZ2316" s="1"/>
      <c r="CA2316" s="1"/>
      <c r="CB2316" s="1"/>
      <c r="CC2316" s="1"/>
      <c r="CD2316" s="1"/>
      <c r="CE2316" s="1"/>
      <c r="CF2316" s="1"/>
      <c r="CG2316" s="1"/>
      <c r="CH2316" s="1"/>
      <c r="CI2316" s="1"/>
      <c r="CJ2316" s="1"/>
      <c r="CK2316" s="1"/>
      <c r="CL2316" s="1"/>
      <c r="CM2316" s="1"/>
      <c r="CN2316" s="1"/>
      <c r="CO2316" s="1"/>
      <c r="CP2316" s="1"/>
      <c r="CQ2316" s="1"/>
      <c r="CR2316" s="1"/>
      <c r="CS2316" s="1"/>
      <c r="CT2316" s="1"/>
      <c r="CU2316" s="1"/>
      <c r="CV2316" s="1"/>
      <c r="CW2316" s="1"/>
      <c r="CX2316" s="1"/>
      <c r="CY2316" s="1"/>
      <c r="CZ2316" s="1"/>
      <c r="DA2316" s="1"/>
      <c r="DB2316" s="1"/>
      <c r="DC2316" s="1"/>
    </row>
    <row r="2317" spans="1:107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  <c r="AD2317" s="1"/>
      <c r="AE2317" s="1"/>
      <c r="AF2317" s="1"/>
      <c r="AG2317" s="1"/>
      <c r="AH2317" s="1"/>
      <c r="AI2317" s="1"/>
      <c r="AJ2317" s="1"/>
      <c r="AK2317" s="1"/>
      <c r="AL2317" s="1"/>
      <c r="AM2317" s="1"/>
      <c r="AN2317" s="1"/>
      <c r="AO2317" s="1"/>
      <c r="AP2317" s="1"/>
      <c r="AQ2317" s="1"/>
      <c r="AR2317" s="1"/>
      <c r="AS2317" s="1"/>
      <c r="AT2317" s="1"/>
      <c r="AU2317" s="1"/>
      <c r="AV2317" s="1"/>
      <c r="AW2317" s="1"/>
      <c r="AX2317" s="1"/>
      <c r="AY2317" s="1"/>
      <c r="AZ2317" s="1"/>
      <c r="BA2317" s="1"/>
      <c r="BB2317" s="1"/>
      <c r="BC2317" s="1"/>
      <c r="BD2317" s="1"/>
      <c r="BE2317" s="1"/>
      <c r="BF2317" s="1"/>
      <c r="BG2317" s="1"/>
      <c r="BH2317" s="1"/>
      <c r="BI2317" s="1"/>
      <c r="BJ2317" s="1"/>
      <c r="BK2317" s="1"/>
      <c r="BL2317" s="1"/>
      <c r="BM2317" s="1"/>
      <c r="BN2317" s="1"/>
      <c r="BO2317" s="1"/>
      <c r="BP2317" s="1"/>
      <c r="BQ2317" s="1"/>
      <c r="BR2317" s="1"/>
      <c r="BS2317" s="1"/>
      <c r="BT2317" s="1"/>
      <c r="BU2317" s="1"/>
      <c r="BV2317" s="1"/>
      <c r="BW2317" s="1"/>
      <c r="BX2317" s="1"/>
      <c r="BY2317" s="1"/>
      <c r="BZ2317" s="1"/>
      <c r="CA2317" s="1"/>
      <c r="CB2317" s="1"/>
      <c r="CC2317" s="1"/>
      <c r="CD2317" s="1"/>
      <c r="CE2317" s="1"/>
      <c r="CF2317" s="1"/>
      <c r="CG2317" s="1"/>
      <c r="CH2317" s="1"/>
      <c r="CI2317" s="1"/>
      <c r="CJ2317" s="1"/>
      <c r="CK2317" s="1"/>
      <c r="CL2317" s="1"/>
      <c r="CM2317" s="1"/>
      <c r="CN2317" s="1"/>
      <c r="CO2317" s="1"/>
      <c r="CP2317" s="1"/>
      <c r="CQ2317" s="1"/>
      <c r="CR2317" s="1"/>
      <c r="CS2317" s="1"/>
      <c r="CT2317" s="1"/>
      <c r="CU2317" s="1"/>
      <c r="CV2317" s="1"/>
      <c r="CW2317" s="1"/>
      <c r="CX2317" s="1"/>
      <c r="CY2317" s="1"/>
      <c r="CZ2317" s="1"/>
      <c r="DA2317" s="1"/>
      <c r="DB2317" s="1"/>
      <c r="DC2317" s="1"/>
    </row>
    <row r="2318" spans="1:107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1"/>
      <c r="AD2318" s="1"/>
      <c r="AE2318" s="1"/>
      <c r="AF2318" s="1"/>
      <c r="AG2318" s="1"/>
      <c r="AH2318" s="1"/>
      <c r="AI2318" s="1"/>
      <c r="AJ2318" s="1"/>
      <c r="AK2318" s="1"/>
      <c r="AL2318" s="1"/>
      <c r="AM2318" s="1"/>
      <c r="AN2318" s="1"/>
      <c r="AO2318" s="1"/>
      <c r="AP2318" s="1"/>
      <c r="AQ2318" s="1"/>
      <c r="AR2318" s="1"/>
      <c r="AS2318" s="1"/>
      <c r="AT2318" s="1"/>
      <c r="AU2318" s="1"/>
      <c r="AV2318" s="1"/>
      <c r="AW2318" s="1"/>
      <c r="AX2318" s="1"/>
      <c r="AY2318" s="1"/>
      <c r="AZ2318" s="1"/>
      <c r="BA2318" s="1"/>
      <c r="BB2318" s="1"/>
      <c r="BC2318" s="1"/>
      <c r="BD2318" s="1"/>
      <c r="BE2318" s="1"/>
      <c r="BF2318" s="1"/>
      <c r="BG2318" s="1"/>
      <c r="BH2318" s="1"/>
      <c r="BI2318" s="1"/>
      <c r="BJ2318" s="1"/>
      <c r="BK2318" s="1"/>
      <c r="BL2318" s="1"/>
      <c r="BM2318" s="1"/>
      <c r="BN2318" s="1"/>
      <c r="BO2318" s="1"/>
      <c r="BP2318" s="1"/>
      <c r="BQ2318" s="1"/>
      <c r="BR2318" s="1"/>
      <c r="BS2318" s="1"/>
      <c r="BT2318" s="1"/>
      <c r="BU2318" s="1"/>
      <c r="BV2318" s="1"/>
      <c r="BW2318" s="1"/>
      <c r="BX2318" s="1"/>
      <c r="BY2318" s="1"/>
      <c r="BZ2318" s="1"/>
      <c r="CA2318" s="1"/>
      <c r="CB2318" s="1"/>
      <c r="CC2318" s="1"/>
      <c r="CD2318" s="1"/>
      <c r="CE2318" s="1"/>
      <c r="CF2318" s="1"/>
      <c r="CG2318" s="1"/>
      <c r="CH2318" s="1"/>
      <c r="CI2318" s="1"/>
      <c r="CJ2318" s="1"/>
      <c r="CK2318" s="1"/>
      <c r="CL2318" s="1"/>
      <c r="CM2318" s="1"/>
      <c r="CN2318" s="1"/>
      <c r="CO2318" s="1"/>
      <c r="CP2318" s="1"/>
      <c r="CQ2318" s="1"/>
      <c r="CR2318" s="1"/>
      <c r="CS2318" s="1"/>
      <c r="CT2318" s="1"/>
      <c r="CU2318" s="1"/>
      <c r="CV2318" s="1"/>
      <c r="CW2318" s="1"/>
      <c r="CX2318" s="1"/>
      <c r="CY2318" s="1"/>
      <c r="CZ2318" s="1"/>
      <c r="DA2318" s="1"/>
      <c r="DB2318" s="1"/>
      <c r="DC2318" s="1"/>
    </row>
    <row r="2319" spans="1:107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  <c r="AC2319" s="1"/>
      <c r="AD2319" s="1"/>
      <c r="AE2319" s="1"/>
      <c r="AF2319" s="1"/>
      <c r="AG2319" s="1"/>
      <c r="AH2319" s="1"/>
      <c r="AI2319" s="1"/>
      <c r="AJ2319" s="1"/>
      <c r="AK2319" s="1"/>
      <c r="AL2319" s="1"/>
      <c r="AM2319" s="1"/>
      <c r="AN2319" s="1"/>
      <c r="AO2319" s="1"/>
      <c r="AP2319" s="1"/>
      <c r="AQ2319" s="1"/>
      <c r="AR2319" s="1"/>
      <c r="AS2319" s="1"/>
      <c r="AT2319" s="1"/>
      <c r="AU2319" s="1"/>
      <c r="AV2319" s="1"/>
      <c r="AW2319" s="1"/>
      <c r="AX2319" s="1"/>
      <c r="AY2319" s="1"/>
      <c r="AZ2319" s="1"/>
      <c r="BA2319" s="1"/>
      <c r="BB2319" s="1"/>
      <c r="BC2319" s="1"/>
      <c r="BD2319" s="1"/>
      <c r="BE2319" s="1"/>
      <c r="BF2319" s="1"/>
      <c r="BG2319" s="1"/>
      <c r="BH2319" s="1"/>
      <c r="BI2319" s="1"/>
      <c r="BJ2319" s="1"/>
      <c r="BK2319" s="1"/>
      <c r="BL2319" s="1"/>
      <c r="BM2319" s="1"/>
      <c r="BN2319" s="1"/>
      <c r="BO2319" s="1"/>
      <c r="BP2319" s="1"/>
      <c r="BQ2319" s="1"/>
      <c r="BR2319" s="1"/>
      <c r="BS2319" s="1"/>
      <c r="BT2319" s="1"/>
      <c r="BU2319" s="1"/>
      <c r="BV2319" s="1"/>
      <c r="BW2319" s="1"/>
      <c r="BX2319" s="1"/>
      <c r="BY2319" s="1"/>
      <c r="BZ2319" s="1"/>
      <c r="CA2319" s="1"/>
      <c r="CB2319" s="1"/>
      <c r="CC2319" s="1"/>
      <c r="CD2319" s="1"/>
      <c r="CE2319" s="1"/>
      <c r="CF2319" s="1"/>
      <c r="CG2319" s="1"/>
      <c r="CH2319" s="1"/>
      <c r="CI2319" s="1"/>
      <c r="CJ2319" s="1"/>
      <c r="CK2319" s="1"/>
      <c r="CL2319" s="1"/>
      <c r="CM2319" s="1"/>
      <c r="CN2319" s="1"/>
      <c r="CO2319" s="1"/>
      <c r="CP2319" s="1"/>
      <c r="CQ2319" s="1"/>
      <c r="CR2319" s="1"/>
      <c r="CS2319" s="1"/>
      <c r="CT2319" s="1"/>
      <c r="CU2319" s="1"/>
      <c r="CV2319" s="1"/>
      <c r="CW2319" s="1"/>
      <c r="CX2319" s="1"/>
      <c r="CY2319" s="1"/>
      <c r="CZ2319" s="1"/>
      <c r="DA2319" s="1"/>
      <c r="DB2319" s="1"/>
      <c r="DC2319" s="1"/>
    </row>
    <row r="2320" spans="1:107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  <c r="AE2320" s="1"/>
      <c r="AF2320" s="1"/>
      <c r="AG2320" s="1"/>
      <c r="AH2320" s="1"/>
      <c r="AI2320" s="1"/>
      <c r="AJ2320" s="1"/>
      <c r="AK2320" s="1"/>
      <c r="AL2320" s="1"/>
      <c r="AM2320" s="1"/>
      <c r="AN2320" s="1"/>
      <c r="AO2320" s="1"/>
      <c r="AP2320" s="1"/>
      <c r="AQ2320" s="1"/>
      <c r="AR2320" s="1"/>
      <c r="AS2320" s="1"/>
      <c r="AT2320" s="1"/>
      <c r="AU2320" s="1"/>
      <c r="AV2320" s="1"/>
      <c r="AW2320" s="1"/>
      <c r="AX2320" s="1"/>
      <c r="AY2320" s="1"/>
      <c r="AZ2320" s="1"/>
      <c r="BA2320" s="1"/>
      <c r="BB2320" s="1"/>
      <c r="BC2320" s="1"/>
      <c r="BD2320" s="1"/>
      <c r="BE2320" s="1"/>
      <c r="BF2320" s="1"/>
      <c r="BG2320" s="1"/>
      <c r="BH2320" s="1"/>
      <c r="BI2320" s="1"/>
      <c r="BJ2320" s="1"/>
      <c r="BK2320" s="1"/>
      <c r="BL2320" s="1"/>
      <c r="BM2320" s="1"/>
      <c r="BN2320" s="1"/>
      <c r="BO2320" s="1"/>
      <c r="BP2320" s="1"/>
      <c r="BQ2320" s="1"/>
      <c r="BR2320" s="1"/>
      <c r="BS2320" s="1"/>
      <c r="BT2320" s="1"/>
      <c r="BU2320" s="1"/>
      <c r="BV2320" s="1"/>
      <c r="BW2320" s="1"/>
      <c r="BX2320" s="1"/>
      <c r="BY2320" s="1"/>
      <c r="BZ2320" s="1"/>
      <c r="CA2320" s="1"/>
      <c r="CB2320" s="1"/>
      <c r="CC2320" s="1"/>
      <c r="CD2320" s="1"/>
      <c r="CE2320" s="1"/>
      <c r="CF2320" s="1"/>
      <c r="CG2320" s="1"/>
      <c r="CH2320" s="1"/>
      <c r="CI2320" s="1"/>
      <c r="CJ2320" s="1"/>
      <c r="CK2320" s="1"/>
      <c r="CL2320" s="1"/>
      <c r="CM2320" s="1"/>
      <c r="CN2320" s="1"/>
      <c r="CO2320" s="1"/>
      <c r="CP2320" s="1"/>
      <c r="CQ2320" s="1"/>
      <c r="CR2320" s="1"/>
      <c r="CS2320" s="1"/>
      <c r="CT2320" s="1"/>
      <c r="CU2320" s="1"/>
      <c r="CV2320" s="1"/>
      <c r="CW2320" s="1"/>
      <c r="CX2320" s="1"/>
      <c r="CY2320" s="1"/>
      <c r="CZ2320" s="1"/>
      <c r="DA2320" s="1"/>
      <c r="DB2320" s="1"/>
      <c r="DC2320" s="1"/>
    </row>
    <row r="2321" spans="1:107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s="1"/>
      <c r="AD2321" s="1"/>
      <c r="AE2321" s="1"/>
      <c r="AF2321" s="1"/>
      <c r="AG2321" s="1"/>
      <c r="AH2321" s="1"/>
      <c r="AI2321" s="1"/>
      <c r="AJ2321" s="1"/>
      <c r="AK2321" s="1"/>
      <c r="AL2321" s="1"/>
      <c r="AM2321" s="1"/>
      <c r="AN2321" s="1"/>
      <c r="AO2321" s="1"/>
      <c r="AP2321" s="1"/>
      <c r="AQ2321" s="1"/>
      <c r="AR2321" s="1"/>
      <c r="AS2321" s="1"/>
      <c r="AT2321" s="1"/>
      <c r="AU2321" s="1"/>
      <c r="AV2321" s="1"/>
      <c r="AW2321" s="1"/>
      <c r="AX2321" s="1"/>
      <c r="AY2321" s="1"/>
      <c r="AZ2321" s="1"/>
      <c r="BA2321" s="1"/>
      <c r="BB2321" s="1"/>
      <c r="BC2321" s="1"/>
      <c r="BD2321" s="1"/>
      <c r="BE2321" s="1"/>
      <c r="BF2321" s="1"/>
      <c r="BG2321" s="1"/>
      <c r="BH2321" s="1"/>
      <c r="BI2321" s="1"/>
      <c r="BJ2321" s="1"/>
      <c r="BK2321" s="1"/>
      <c r="BL2321" s="1"/>
      <c r="BM2321" s="1"/>
      <c r="BN2321" s="1"/>
      <c r="BO2321" s="1"/>
      <c r="BP2321" s="1"/>
      <c r="BQ2321" s="1"/>
      <c r="BR2321" s="1"/>
      <c r="BS2321" s="1"/>
      <c r="BT2321" s="1"/>
      <c r="BU2321" s="1"/>
      <c r="BV2321" s="1"/>
      <c r="BW2321" s="1"/>
      <c r="BX2321" s="1"/>
      <c r="BY2321" s="1"/>
      <c r="BZ2321" s="1"/>
      <c r="CA2321" s="1"/>
      <c r="CB2321" s="1"/>
      <c r="CC2321" s="1"/>
      <c r="CD2321" s="1"/>
      <c r="CE2321" s="1"/>
      <c r="CF2321" s="1"/>
      <c r="CG2321" s="1"/>
      <c r="CH2321" s="1"/>
      <c r="CI2321" s="1"/>
      <c r="CJ2321" s="1"/>
      <c r="CK2321" s="1"/>
      <c r="CL2321" s="1"/>
      <c r="CM2321" s="1"/>
      <c r="CN2321" s="1"/>
      <c r="CO2321" s="1"/>
      <c r="CP2321" s="1"/>
      <c r="CQ2321" s="1"/>
      <c r="CR2321" s="1"/>
      <c r="CS2321" s="1"/>
      <c r="CT2321" s="1"/>
      <c r="CU2321" s="1"/>
      <c r="CV2321" s="1"/>
      <c r="CW2321" s="1"/>
      <c r="CX2321" s="1"/>
      <c r="CY2321" s="1"/>
      <c r="CZ2321" s="1"/>
      <c r="DA2321" s="1"/>
      <c r="DB2321" s="1"/>
      <c r="DC2321" s="1"/>
    </row>
    <row r="2322" spans="1:107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1"/>
      <c r="AD2322" s="1"/>
      <c r="AE2322" s="1"/>
      <c r="AF2322" s="1"/>
      <c r="AG2322" s="1"/>
      <c r="AH2322" s="1"/>
      <c r="AI2322" s="1"/>
      <c r="AJ2322" s="1"/>
      <c r="AK2322" s="1"/>
      <c r="AL2322" s="1"/>
      <c r="AM2322" s="1"/>
      <c r="AN2322" s="1"/>
      <c r="AO2322" s="1"/>
      <c r="AP2322" s="1"/>
      <c r="AQ2322" s="1"/>
      <c r="AR2322" s="1"/>
      <c r="AS2322" s="1"/>
      <c r="AT2322" s="1"/>
      <c r="AU2322" s="1"/>
      <c r="AV2322" s="1"/>
      <c r="AW2322" s="1"/>
      <c r="AX2322" s="1"/>
      <c r="AY2322" s="1"/>
      <c r="AZ2322" s="1"/>
      <c r="BA2322" s="1"/>
      <c r="BB2322" s="1"/>
      <c r="BC2322" s="1"/>
      <c r="BD2322" s="1"/>
      <c r="BE2322" s="1"/>
      <c r="BF2322" s="1"/>
      <c r="BG2322" s="1"/>
      <c r="BH2322" s="1"/>
      <c r="BI2322" s="1"/>
      <c r="BJ2322" s="1"/>
      <c r="BK2322" s="1"/>
      <c r="BL2322" s="1"/>
      <c r="BM2322" s="1"/>
      <c r="BN2322" s="1"/>
      <c r="BO2322" s="1"/>
      <c r="BP2322" s="1"/>
      <c r="BQ2322" s="1"/>
      <c r="BR2322" s="1"/>
      <c r="BS2322" s="1"/>
      <c r="BT2322" s="1"/>
      <c r="BU2322" s="1"/>
      <c r="BV2322" s="1"/>
      <c r="BW2322" s="1"/>
      <c r="BX2322" s="1"/>
      <c r="BY2322" s="1"/>
      <c r="BZ2322" s="1"/>
      <c r="CA2322" s="1"/>
      <c r="CB2322" s="1"/>
      <c r="CC2322" s="1"/>
      <c r="CD2322" s="1"/>
      <c r="CE2322" s="1"/>
      <c r="CF2322" s="1"/>
      <c r="CG2322" s="1"/>
      <c r="CH2322" s="1"/>
      <c r="CI2322" s="1"/>
      <c r="CJ2322" s="1"/>
      <c r="CK2322" s="1"/>
      <c r="CL2322" s="1"/>
      <c r="CM2322" s="1"/>
      <c r="CN2322" s="1"/>
      <c r="CO2322" s="1"/>
      <c r="CP2322" s="1"/>
      <c r="CQ2322" s="1"/>
      <c r="CR2322" s="1"/>
      <c r="CS2322" s="1"/>
      <c r="CT2322" s="1"/>
      <c r="CU2322" s="1"/>
      <c r="CV2322" s="1"/>
      <c r="CW2322" s="1"/>
      <c r="CX2322" s="1"/>
      <c r="CY2322" s="1"/>
      <c r="CZ2322" s="1"/>
      <c r="DA2322" s="1"/>
      <c r="DB2322" s="1"/>
      <c r="DC2322" s="1"/>
    </row>
    <row r="2323" spans="1:107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  <c r="AC2323" s="1"/>
      <c r="AD2323" s="1"/>
      <c r="AE2323" s="1"/>
      <c r="AF2323" s="1"/>
      <c r="AG2323" s="1"/>
      <c r="AH2323" s="1"/>
      <c r="AI2323" s="1"/>
      <c r="AJ2323" s="1"/>
      <c r="AK2323" s="1"/>
      <c r="AL2323" s="1"/>
      <c r="AM2323" s="1"/>
      <c r="AN2323" s="1"/>
      <c r="AO2323" s="1"/>
      <c r="AP2323" s="1"/>
      <c r="AQ2323" s="1"/>
      <c r="AR2323" s="1"/>
      <c r="AS2323" s="1"/>
      <c r="AT2323" s="1"/>
      <c r="AU2323" s="1"/>
      <c r="AV2323" s="1"/>
      <c r="AW2323" s="1"/>
      <c r="AX2323" s="1"/>
      <c r="AY2323" s="1"/>
      <c r="AZ2323" s="1"/>
      <c r="BA2323" s="1"/>
      <c r="BB2323" s="1"/>
      <c r="BC2323" s="1"/>
      <c r="BD2323" s="1"/>
      <c r="BE2323" s="1"/>
      <c r="BF2323" s="1"/>
      <c r="BG2323" s="1"/>
      <c r="BH2323" s="1"/>
      <c r="BI2323" s="1"/>
      <c r="BJ2323" s="1"/>
      <c r="BK2323" s="1"/>
      <c r="BL2323" s="1"/>
      <c r="BM2323" s="1"/>
      <c r="BN2323" s="1"/>
      <c r="BO2323" s="1"/>
      <c r="BP2323" s="1"/>
      <c r="BQ2323" s="1"/>
      <c r="BR2323" s="1"/>
      <c r="BS2323" s="1"/>
      <c r="BT2323" s="1"/>
      <c r="BU2323" s="1"/>
      <c r="BV2323" s="1"/>
      <c r="BW2323" s="1"/>
      <c r="BX2323" s="1"/>
      <c r="BY2323" s="1"/>
      <c r="BZ2323" s="1"/>
      <c r="CA2323" s="1"/>
      <c r="CB2323" s="1"/>
      <c r="CC2323" s="1"/>
      <c r="CD2323" s="1"/>
      <c r="CE2323" s="1"/>
      <c r="CF2323" s="1"/>
      <c r="CG2323" s="1"/>
      <c r="CH2323" s="1"/>
      <c r="CI2323" s="1"/>
      <c r="CJ2323" s="1"/>
      <c r="CK2323" s="1"/>
      <c r="CL2323" s="1"/>
      <c r="CM2323" s="1"/>
      <c r="CN2323" s="1"/>
      <c r="CO2323" s="1"/>
      <c r="CP2323" s="1"/>
      <c r="CQ2323" s="1"/>
      <c r="CR2323" s="1"/>
      <c r="CS2323" s="1"/>
      <c r="CT2323" s="1"/>
      <c r="CU2323" s="1"/>
      <c r="CV2323" s="1"/>
      <c r="CW2323" s="1"/>
      <c r="CX2323" s="1"/>
      <c r="CY2323" s="1"/>
      <c r="CZ2323" s="1"/>
      <c r="DA2323" s="1"/>
      <c r="DB2323" s="1"/>
      <c r="DC2323" s="1"/>
    </row>
    <row r="2324" spans="1:107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s="1"/>
      <c r="AD2324" s="1"/>
      <c r="AE2324" s="1"/>
      <c r="AF2324" s="1"/>
      <c r="AG2324" s="1"/>
      <c r="AH2324" s="1"/>
      <c r="AI2324" s="1"/>
      <c r="AJ2324" s="1"/>
      <c r="AK2324" s="1"/>
      <c r="AL2324" s="1"/>
      <c r="AM2324" s="1"/>
      <c r="AN2324" s="1"/>
      <c r="AO2324" s="1"/>
      <c r="AP2324" s="1"/>
      <c r="AQ2324" s="1"/>
      <c r="AR2324" s="1"/>
      <c r="AS2324" s="1"/>
      <c r="AT2324" s="1"/>
      <c r="AU2324" s="1"/>
      <c r="AV2324" s="1"/>
      <c r="AW2324" s="1"/>
      <c r="AX2324" s="1"/>
      <c r="AY2324" s="1"/>
      <c r="AZ2324" s="1"/>
      <c r="BA2324" s="1"/>
      <c r="BB2324" s="1"/>
      <c r="BC2324" s="1"/>
      <c r="BD2324" s="1"/>
      <c r="BE2324" s="1"/>
      <c r="BF2324" s="1"/>
      <c r="BG2324" s="1"/>
      <c r="BH2324" s="1"/>
      <c r="BI2324" s="1"/>
      <c r="BJ2324" s="1"/>
      <c r="BK2324" s="1"/>
      <c r="BL2324" s="1"/>
      <c r="BM2324" s="1"/>
      <c r="BN2324" s="1"/>
      <c r="BO2324" s="1"/>
      <c r="BP2324" s="1"/>
      <c r="BQ2324" s="1"/>
      <c r="BR2324" s="1"/>
      <c r="BS2324" s="1"/>
      <c r="BT2324" s="1"/>
      <c r="BU2324" s="1"/>
      <c r="BV2324" s="1"/>
      <c r="BW2324" s="1"/>
      <c r="BX2324" s="1"/>
      <c r="BY2324" s="1"/>
      <c r="BZ2324" s="1"/>
      <c r="CA2324" s="1"/>
      <c r="CB2324" s="1"/>
      <c r="CC2324" s="1"/>
      <c r="CD2324" s="1"/>
      <c r="CE2324" s="1"/>
      <c r="CF2324" s="1"/>
      <c r="CG2324" s="1"/>
      <c r="CH2324" s="1"/>
      <c r="CI2324" s="1"/>
      <c r="CJ2324" s="1"/>
      <c r="CK2324" s="1"/>
      <c r="CL2324" s="1"/>
      <c r="CM2324" s="1"/>
      <c r="CN2324" s="1"/>
      <c r="CO2324" s="1"/>
      <c r="CP2324" s="1"/>
      <c r="CQ2324" s="1"/>
      <c r="CR2324" s="1"/>
      <c r="CS2324" s="1"/>
      <c r="CT2324" s="1"/>
      <c r="CU2324" s="1"/>
      <c r="CV2324" s="1"/>
      <c r="CW2324" s="1"/>
      <c r="CX2324" s="1"/>
      <c r="CY2324" s="1"/>
      <c r="CZ2324" s="1"/>
      <c r="DA2324" s="1"/>
      <c r="DB2324" s="1"/>
      <c r="DC2324" s="1"/>
    </row>
    <row r="2325" spans="1:107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1"/>
      <c r="AD2325" s="1"/>
      <c r="AE2325" s="1"/>
      <c r="AF2325" s="1"/>
      <c r="AG2325" s="1"/>
      <c r="AH2325" s="1"/>
      <c r="AI2325" s="1"/>
      <c r="AJ2325" s="1"/>
      <c r="AK2325" s="1"/>
      <c r="AL2325" s="1"/>
      <c r="AM2325" s="1"/>
      <c r="AN2325" s="1"/>
      <c r="AO2325" s="1"/>
      <c r="AP2325" s="1"/>
      <c r="AQ2325" s="1"/>
      <c r="AR2325" s="1"/>
      <c r="AS2325" s="1"/>
      <c r="AT2325" s="1"/>
      <c r="AU2325" s="1"/>
      <c r="AV2325" s="1"/>
      <c r="AW2325" s="1"/>
      <c r="AX2325" s="1"/>
      <c r="AY2325" s="1"/>
      <c r="AZ2325" s="1"/>
      <c r="BA2325" s="1"/>
      <c r="BB2325" s="1"/>
      <c r="BC2325" s="1"/>
      <c r="BD2325" s="1"/>
      <c r="BE2325" s="1"/>
      <c r="BF2325" s="1"/>
      <c r="BG2325" s="1"/>
      <c r="BH2325" s="1"/>
      <c r="BI2325" s="1"/>
      <c r="BJ2325" s="1"/>
      <c r="BK2325" s="1"/>
      <c r="BL2325" s="1"/>
      <c r="BM2325" s="1"/>
      <c r="BN2325" s="1"/>
      <c r="BO2325" s="1"/>
      <c r="BP2325" s="1"/>
      <c r="BQ2325" s="1"/>
      <c r="BR2325" s="1"/>
      <c r="BS2325" s="1"/>
      <c r="BT2325" s="1"/>
      <c r="BU2325" s="1"/>
      <c r="BV2325" s="1"/>
      <c r="BW2325" s="1"/>
      <c r="BX2325" s="1"/>
      <c r="BY2325" s="1"/>
      <c r="BZ2325" s="1"/>
      <c r="CA2325" s="1"/>
      <c r="CB2325" s="1"/>
      <c r="CC2325" s="1"/>
      <c r="CD2325" s="1"/>
      <c r="CE2325" s="1"/>
      <c r="CF2325" s="1"/>
      <c r="CG2325" s="1"/>
      <c r="CH2325" s="1"/>
      <c r="CI2325" s="1"/>
      <c r="CJ2325" s="1"/>
      <c r="CK2325" s="1"/>
      <c r="CL2325" s="1"/>
      <c r="CM2325" s="1"/>
      <c r="CN2325" s="1"/>
      <c r="CO2325" s="1"/>
      <c r="CP2325" s="1"/>
      <c r="CQ2325" s="1"/>
      <c r="CR2325" s="1"/>
      <c r="CS2325" s="1"/>
      <c r="CT2325" s="1"/>
      <c r="CU2325" s="1"/>
      <c r="CV2325" s="1"/>
      <c r="CW2325" s="1"/>
      <c r="CX2325" s="1"/>
      <c r="CY2325" s="1"/>
      <c r="CZ2325" s="1"/>
      <c r="DA2325" s="1"/>
      <c r="DB2325" s="1"/>
      <c r="DC2325" s="1"/>
    </row>
    <row r="2326" spans="1:107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1"/>
      <c r="AD2326" s="1"/>
      <c r="AE2326" s="1"/>
      <c r="AF2326" s="1"/>
      <c r="AG2326" s="1"/>
      <c r="AH2326" s="1"/>
      <c r="AI2326" s="1"/>
      <c r="AJ2326" s="1"/>
      <c r="AK2326" s="1"/>
      <c r="AL2326" s="1"/>
      <c r="AM2326" s="1"/>
      <c r="AN2326" s="1"/>
      <c r="AO2326" s="1"/>
      <c r="AP2326" s="1"/>
      <c r="AQ2326" s="1"/>
      <c r="AR2326" s="1"/>
      <c r="AS2326" s="1"/>
      <c r="AT2326" s="1"/>
      <c r="AU2326" s="1"/>
      <c r="AV2326" s="1"/>
      <c r="AW2326" s="1"/>
      <c r="AX2326" s="1"/>
      <c r="AY2326" s="1"/>
      <c r="AZ2326" s="1"/>
      <c r="BA2326" s="1"/>
      <c r="BB2326" s="1"/>
      <c r="BC2326" s="1"/>
      <c r="BD2326" s="1"/>
      <c r="BE2326" s="1"/>
      <c r="BF2326" s="1"/>
      <c r="BG2326" s="1"/>
      <c r="BH2326" s="1"/>
      <c r="BI2326" s="1"/>
      <c r="BJ2326" s="1"/>
      <c r="BK2326" s="1"/>
      <c r="BL2326" s="1"/>
      <c r="BM2326" s="1"/>
      <c r="BN2326" s="1"/>
      <c r="BO2326" s="1"/>
      <c r="BP2326" s="1"/>
      <c r="BQ2326" s="1"/>
      <c r="BR2326" s="1"/>
      <c r="BS2326" s="1"/>
      <c r="BT2326" s="1"/>
      <c r="BU2326" s="1"/>
      <c r="BV2326" s="1"/>
      <c r="BW2326" s="1"/>
      <c r="BX2326" s="1"/>
      <c r="BY2326" s="1"/>
      <c r="BZ2326" s="1"/>
      <c r="CA2326" s="1"/>
      <c r="CB2326" s="1"/>
      <c r="CC2326" s="1"/>
      <c r="CD2326" s="1"/>
      <c r="CE2326" s="1"/>
      <c r="CF2326" s="1"/>
      <c r="CG2326" s="1"/>
      <c r="CH2326" s="1"/>
      <c r="CI2326" s="1"/>
      <c r="CJ2326" s="1"/>
      <c r="CK2326" s="1"/>
      <c r="CL2326" s="1"/>
      <c r="CM2326" s="1"/>
      <c r="CN2326" s="1"/>
      <c r="CO2326" s="1"/>
      <c r="CP2326" s="1"/>
      <c r="CQ2326" s="1"/>
      <c r="CR2326" s="1"/>
      <c r="CS2326" s="1"/>
      <c r="CT2326" s="1"/>
      <c r="CU2326" s="1"/>
      <c r="CV2326" s="1"/>
      <c r="CW2326" s="1"/>
      <c r="CX2326" s="1"/>
      <c r="CY2326" s="1"/>
      <c r="CZ2326" s="1"/>
      <c r="DA2326" s="1"/>
      <c r="DB2326" s="1"/>
      <c r="DC2326" s="1"/>
    </row>
    <row r="2327" spans="1:107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  <c r="AD2327" s="1"/>
      <c r="AE2327" s="1"/>
      <c r="AF2327" s="1"/>
      <c r="AG2327" s="1"/>
      <c r="AH2327" s="1"/>
      <c r="AI2327" s="1"/>
      <c r="AJ2327" s="1"/>
      <c r="AK2327" s="1"/>
      <c r="AL2327" s="1"/>
      <c r="AM2327" s="1"/>
      <c r="AN2327" s="1"/>
      <c r="AO2327" s="1"/>
      <c r="AP2327" s="1"/>
      <c r="AQ2327" s="1"/>
      <c r="AR2327" s="1"/>
      <c r="AS2327" s="1"/>
      <c r="AT2327" s="1"/>
      <c r="AU2327" s="1"/>
      <c r="AV2327" s="1"/>
      <c r="AW2327" s="1"/>
      <c r="AX2327" s="1"/>
      <c r="AY2327" s="1"/>
      <c r="AZ2327" s="1"/>
      <c r="BA2327" s="1"/>
      <c r="BB2327" s="1"/>
      <c r="BC2327" s="1"/>
      <c r="BD2327" s="1"/>
      <c r="BE2327" s="1"/>
      <c r="BF2327" s="1"/>
      <c r="BG2327" s="1"/>
      <c r="BH2327" s="1"/>
      <c r="BI2327" s="1"/>
      <c r="BJ2327" s="1"/>
      <c r="BK2327" s="1"/>
      <c r="BL2327" s="1"/>
      <c r="BM2327" s="1"/>
      <c r="BN2327" s="1"/>
      <c r="BO2327" s="1"/>
      <c r="BP2327" s="1"/>
      <c r="BQ2327" s="1"/>
      <c r="BR2327" s="1"/>
      <c r="BS2327" s="1"/>
      <c r="BT2327" s="1"/>
      <c r="BU2327" s="1"/>
      <c r="BV2327" s="1"/>
      <c r="BW2327" s="1"/>
      <c r="BX2327" s="1"/>
      <c r="BY2327" s="1"/>
      <c r="BZ2327" s="1"/>
      <c r="CA2327" s="1"/>
      <c r="CB2327" s="1"/>
      <c r="CC2327" s="1"/>
      <c r="CD2327" s="1"/>
      <c r="CE2327" s="1"/>
      <c r="CF2327" s="1"/>
      <c r="CG2327" s="1"/>
      <c r="CH2327" s="1"/>
      <c r="CI2327" s="1"/>
      <c r="CJ2327" s="1"/>
      <c r="CK2327" s="1"/>
      <c r="CL2327" s="1"/>
      <c r="CM2327" s="1"/>
      <c r="CN2327" s="1"/>
      <c r="CO2327" s="1"/>
      <c r="CP2327" s="1"/>
      <c r="CQ2327" s="1"/>
      <c r="CR2327" s="1"/>
      <c r="CS2327" s="1"/>
      <c r="CT2327" s="1"/>
      <c r="CU2327" s="1"/>
      <c r="CV2327" s="1"/>
      <c r="CW2327" s="1"/>
      <c r="CX2327" s="1"/>
      <c r="CY2327" s="1"/>
      <c r="CZ2327" s="1"/>
      <c r="DA2327" s="1"/>
      <c r="DB2327" s="1"/>
      <c r="DC2327" s="1"/>
    </row>
    <row r="2328" spans="1:107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  <c r="AC2328" s="1"/>
      <c r="AD2328" s="1"/>
      <c r="AE2328" s="1"/>
      <c r="AF2328" s="1"/>
      <c r="AG2328" s="1"/>
      <c r="AH2328" s="1"/>
      <c r="AI2328" s="1"/>
      <c r="AJ2328" s="1"/>
      <c r="AK2328" s="1"/>
      <c r="AL2328" s="1"/>
      <c r="AM2328" s="1"/>
      <c r="AN2328" s="1"/>
      <c r="AO2328" s="1"/>
      <c r="AP2328" s="1"/>
      <c r="AQ2328" s="1"/>
      <c r="AR2328" s="1"/>
      <c r="AS2328" s="1"/>
      <c r="AT2328" s="1"/>
      <c r="AU2328" s="1"/>
      <c r="AV2328" s="1"/>
      <c r="AW2328" s="1"/>
      <c r="AX2328" s="1"/>
      <c r="AY2328" s="1"/>
      <c r="AZ2328" s="1"/>
      <c r="BA2328" s="1"/>
      <c r="BB2328" s="1"/>
      <c r="BC2328" s="1"/>
      <c r="BD2328" s="1"/>
      <c r="BE2328" s="1"/>
      <c r="BF2328" s="1"/>
      <c r="BG2328" s="1"/>
      <c r="BH2328" s="1"/>
      <c r="BI2328" s="1"/>
      <c r="BJ2328" s="1"/>
      <c r="BK2328" s="1"/>
      <c r="BL2328" s="1"/>
      <c r="BM2328" s="1"/>
      <c r="BN2328" s="1"/>
      <c r="BO2328" s="1"/>
      <c r="BP2328" s="1"/>
      <c r="BQ2328" s="1"/>
      <c r="BR2328" s="1"/>
      <c r="BS2328" s="1"/>
      <c r="BT2328" s="1"/>
      <c r="BU2328" s="1"/>
      <c r="BV2328" s="1"/>
      <c r="BW2328" s="1"/>
      <c r="BX2328" s="1"/>
      <c r="BY2328" s="1"/>
      <c r="BZ2328" s="1"/>
      <c r="CA2328" s="1"/>
      <c r="CB2328" s="1"/>
      <c r="CC2328" s="1"/>
      <c r="CD2328" s="1"/>
      <c r="CE2328" s="1"/>
      <c r="CF2328" s="1"/>
      <c r="CG2328" s="1"/>
      <c r="CH2328" s="1"/>
      <c r="CI2328" s="1"/>
      <c r="CJ2328" s="1"/>
      <c r="CK2328" s="1"/>
      <c r="CL2328" s="1"/>
      <c r="CM2328" s="1"/>
      <c r="CN2328" s="1"/>
      <c r="CO2328" s="1"/>
      <c r="CP2328" s="1"/>
      <c r="CQ2328" s="1"/>
      <c r="CR2328" s="1"/>
      <c r="CS2328" s="1"/>
      <c r="CT2328" s="1"/>
      <c r="CU2328" s="1"/>
      <c r="CV2328" s="1"/>
      <c r="CW2328" s="1"/>
      <c r="CX2328" s="1"/>
      <c r="CY2328" s="1"/>
      <c r="CZ2328" s="1"/>
      <c r="DA2328" s="1"/>
      <c r="DB2328" s="1"/>
      <c r="DC2328" s="1"/>
    </row>
    <row r="2329" spans="1:107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1"/>
      <c r="AD2329" s="1"/>
      <c r="AE2329" s="1"/>
      <c r="AF2329" s="1"/>
      <c r="AG2329" s="1"/>
      <c r="AH2329" s="1"/>
      <c r="AI2329" s="1"/>
      <c r="AJ2329" s="1"/>
      <c r="AK2329" s="1"/>
      <c r="AL2329" s="1"/>
      <c r="AM2329" s="1"/>
      <c r="AN2329" s="1"/>
      <c r="AO2329" s="1"/>
      <c r="AP2329" s="1"/>
      <c r="AQ2329" s="1"/>
      <c r="AR2329" s="1"/>
      <c r="AS2329" s="1"/>
      <c r="AT2329" s="1"/>
      <c r="AU2329" s="1"/>
      <c r="AV2329" s="1"/>
      <c r="AW2329" s="1"/>
      <c r="AX2329" s="1"/>
      <c r="AY2329" s="1"/>
      <c r="AZ2329" s="1"/>
      <c r="BA2329" s="1"/>
      <c r="BB2329" s="1"/>
      <c r="BC2329" s="1"/>
      <c r="BD2329" s="1"/>
      <c r="BE2329" s="1"/>
      <c r="BF2329" s="1"/>
      <c r="BG2329" s="1"/>
      <c r="BH2329" s="1"/>
      <c r="BI2329" s="1"/>
      <c r="BJ2329" s="1"/>
      <c r="BK2329" s="1"/>
      <c r="BL2329" s="1"/>
      <c r="BM2329" s="1"/>
      <c r="BN2329" s="1"/>
      <c r="BO2329" s="1"/>
      <c r="BP2329" s="1"/>
      <c r="BQ2329" s="1"/>
      <c r="BR2329" s="1"/>
      <c r="BS2329" s="1"/>
      <c r="BT2329" s="1"/>
      <c r="BU2329" s="1"/>
      <c r="BV2329" s="1"/>
      <c r="BW2329" s="1"/>
      <c r="BX2329" s="1"/>
      <c r="BY2329" s="1"/>
      <c r="BZ2329" s="1"/>
      <c r="CA2329" s="1"/>
      <c r="CB2329" s="1"/>
      <c r="CC2329" s="1"/>
      <c r="CD2329" s="1"/>
      <c r="CE2329" s="1"/>
      <c r="CF2329" s="1"/>
      <c r="CG2329" s="1"/>
      <c r="CH2329" s="1"/>
      <c r="CI2329" s="1"/>
      <c r="CJ2329" s="1"/>
      <c r="CK2329" s="1"/>
      <c r="CL2329" s="1"/>
      <c r="CM2329" s="1"/>
      <c r="CN2329" s="1"/>
      <c r="CO2329" s="1"/>
      <c r="CP2329" s="1"/>
      <c r="CQ2329" s="1"/>
      <c r="CR2329" s="1"/>
      <c r="CS2329" s="1"/>
      <c r="CT2329" s="1"/>
      <c r="CU2329" s="1"/>
      <c r="CV2329" s="1"/>
      <c r="CW2329" s="1"/>
      <c r="CX2329" s="1"/>
      <c r="CY2329" s="1"/>
      <c r="CZ2329" s="1"/>
      <c r="DA2329" s="1"/>
      <c r="DB2329" s="1"/>
      <c r="DC2329" s="1"/>
    </row>
    <row r="2330" spans="1:107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  <c r="AD2330" s="1"/>
      <c r="AE2330" s="1"/>
      <c r="AF2330" s="1"/>
      <c r="AG2330" s="1"/>
      <c r="AH2330" s="1"/>
      <c r="AI2330" s="1"/>
      <c r="AJ2330" s="1"/>
      <c r="AK2330" s="1"/>
      <c r="AL2330" s="1"/>
      <c r="AM2330" s="1"/>
      <c r="AN2330" s="1"/>
      <c r="AO2330" s="1"/>
      <c r="AP2330" s="1"/>
      <c r="AQ2330" s="1"/>
      <c r="AR2330" s="1"/>
      <c r="AS2330" s="1"/>
      <c r="AT2330" s="1"/>
      <c r="AU2330" s="1"/>
      <c r="AV2330" s="1"/>
      <c r="AW2330" s="1"/>
      <c r="AX2330" s="1"/>
      <c r="AY2330" s="1"/>
      <c r="AZ2330" s="1"/>
      <c r="BA2330" s="1"/>
      <c r="BB2330" s="1"/>
      <c r="BC2330" s="1"/>
      <c r="BD2330" s="1"/>
      <c r="BE2330" s="1"/>
      <c r="BF2330" s="1"/>
      <c r="BG2330" s="1"/>
      <c r="BH2330" s="1"/>
      <c r="BI2330" s="1"/>
      <c r="BJ2330" s="1"/>
      <c r="BK2330" s="1"/>
      <c r="BL2330" s="1"/>
      <c r="BM2330" s="1"/>
      <c r="BN2330" s="1"/>
      <c r="BO2330" s="1"/>
      <c r="BP2330" s="1"/>
      <c r="BQ2330" s="1"/>
      <c r="BR2330" s="1"/>
      <c r="BS2330" s="1"/>
      <c r="BT2330" s="1"/>
      <c r="BU2330" s="1"/>
      <c r="BV2330" s="1"/>
      <c r="BW2330" s="1"/>
      <c r="BX2330" s="1"/>
      <c r="BY2330" s="1"/>
      <c r="BZ2330" s="1"/>
      <c r="CA2330" s="1"/>
      <c r="CB2330" s="1"/>
      <c r="CC2330" s="1"/>
      <c r="CD2330" s="1"/>
      <c r="CE2330" s="1"/>
      <c r="CF2330" s="1"/>
      <c r="CG2330" s="1"/>
      <c r="CH2330" s="1"/>
      <c r="CI2330" s="1"/>
      <c r="CJ2330" s="1"/>
      <c r="CK2330" s="1"/>
      <c r="CL2330" s="1"/>
      <c r="CM2330" s="1"/>
      <c r="CN2330" s="1"/>
      <c r="CO2330" s="1"/>
      <c r="CP2330" s="1"/>
      <c r="CQ2330" s="1"/>
      <c r="CR2330" s="1"/>
      <c r="CS2330" s="1"/>
      <c r="CT2330" s="1"/>
      <c r="CU2330" s="1"/>
      <c r="CV2330" s="1"/>
      <c r="CW2330" s="1"/>
      <c r="CX2330" s="1"/>
      <c r="CY2330" s="1"/>
      <c r="CZ2330" s="1"/>
      <c r="DA2330" s="1"/>
      <c r="DB2330" s="1"/>
      <c r="DC2330" s="1"/>
    </row>
    <row r="2331" spans="1:107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1"/>
      <c r="AD2331" s="1"/>
      <c r="AE2331" s="1"/>
      <c r="AF2331" s="1"/>
      <c r="AG2331" s="1"/>
      <c r="AH2331" s="1"/>
      <c r="AI2331" s="1"/>
      <c r="AJ2331" s="1"/>
      <c r="AK2331" s="1"/>
      <c r="AL2331" s="1"/>
      <c r="AM2331" s="1"/>
      <c r="AN2331" s="1"/>
      <c r="AO2331" s="1"/>
      <c r="AP2331" s="1"/>
      <c r="AQ2331" s="1"/>
      <c r="AR2331" s="1"/>
      <c r="AS2331" s="1"/>
      <c r="AT2331" s="1"/>
      <c r="AU2331" s="1"/>
      <c r="AV2331" s="1"/>
      <c r="AW2331" s="1"/>
      <c r="AX2331" s="1"/>
      <c r="AY2331" s="1"/>
      <c r="AZ2331" s="1"/>
      <c r="BA2331" s="1"/>
      <c r="BB2331" s="1"/>
      <c r="BC2331" s="1"/>
      <c r="BD2331" s="1"/>
      <c r="BE2331" s="1"/>
      <c r="BF2331" s="1"/>
      <c r="BG2331" s="1"/>
      <c r="BH2331" s="1"/>
      <c r="BI2331" s="1"/>
      <c r="BJ2331" s="1"/>
      <c r="BK2331" s="1"/>
      <c r="BL2331" s="1"/>
      <c r="BM2331" s="1"/>
      <c r="BN2331" s="1"/>
      <c r="BO2331" s="1"/>
      <c r="BP2331" s="1"/>
      <c r="BQ2331" s="1"/>
      <c r="BR2331" s="1"/>
      <c r="BS2331" s="1"/>
      <c r="BT2331" s="1"/>
      <c r="BU2331" s="1"/>
      <c r="BV2331" s="1"/>
      <c r="BW2331" s="1"/>
      <c r="BX2331" s="1"/>
      <c r="BY2331" s="1"/>
      <c r="BZ2331" s="1"/>
      <c r="CA2331" s="1"/>
      <c r="CB2331" s="1"/>
      <c r="CC2331" s="1"/>
      <c r="CD2331" s="1"/>
      <c r="CE2331" s="1"/>
      <c r="CF2331" s="1"/>
      <c r="CG2331" s="1"/>
      <c r="CH2331" s="1"/>
      <c r="CI2331" s="1"/>
      <c r="CJ2331" s="1"/>
      <c r="CK2331" s="1"/>
      <c r="CL2331" s="1"/>
      <c r="CM2331" s="1"/>
      <c r="CN2331" s="1"/>
      <c r="CO2331" s="1"/>
      <c r="CP2331" s="1"/>
      <c r="CQ2331" s="1"/>
      <c r="CR2331" s="1"/>
      <c r="CS2331" s="1"/>
      <c r="CT2331" s="1"/>
      <c r="CU2331" s="1"/>
      <c r="CV2331" s="1"/>
      <c r="CW2331" s="1"/>
      <c r="CX2331" s="1"/>
      <c r="CY2331" s="1"/>
      <c r="CZ2331" s="1"/>
      <c r="DA2331" s="1"/>
      <c r="DB2331" s="1"/>
      <c r="DC2331" s="1"/>
    </row>
    <row r="2332" spans="1:107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1"/>
      <c r="AD2332" s="1"/>
      <c r="AE2332" s="1"/>
      <c r="AF2332" s="1"/>
      <c r="AG2332" s="1"/>
      <c r="AH2332" s="1"/>
      <c r="AI2332" s="1"/>
      <c r="AJ2332" s="1"/>
      <c r="AK2332" s="1"/>
      <c r="AL2332" s="1"/>
      <c r="AM2332" s="1"/>
      <c r="AN2332" s="1"/>
      <c r="AO2332" s="1"/>
      <c r="AP2332" s="1"/>
      <c r="AQ2332" s="1"/>
      <c r="AR2332" s="1"/>
      <c r="AS2332" s="1"/>
      <c r="AT2332" s="1"/>
      <c r="AU2332" s="1"/>
      <c r="AV2332" s="1"/>
      <c r="AW2332" s="1"/>
      <c r="AX2332" s="1"/>
      <c r="AY2332" s="1"/>
      <c r="AZ2332" s="1"/>
      <c r="BA2332" s="1"/>
      <c r="BB2332" s="1"/>
      <c r="BC2332" s="1"/>
      <c r="BD2332" s="1"/>
      <c r="BE2332" s="1"/>
      <c r="BF2332" s="1"/>
      <c r="BG2332" s="1"/>
      <c r="BH2332" s="1"/>
      <c r="BI2332" s="1"/>
      <c r="BJ2332" s="1"/>
      <c r="BK2332" s="1"/>
      <c r="BL2332" s="1"/>
      <c r="BM2332" s="1"/>
      <c r="BN2332" s="1"/>
      <c r="BO2332" s="1"/>
      <c r="BP2332" s="1"/>
      <c r="BQ2332" s="1"/>
      <c r="BR2332" s="1"/>
      <c r="BS2332" s="1"/>
      <c r="BT2332" s="1"/>
      <c r="BU2332" s="1"/>
      <c r="BV2332" s="1"/>
      <c r="BW2332" s="1"/>
      <c r="BX2332" s="1"/>
      <c r="BY2332" s="1"/>
      <c r="BZ2332" s="1"/>
      <c r="CA2332" s="1"/>
      <c r="CB2332" s="1"/>
      <c r="CC2332" s="1"/>
      <c r="CD2332" s="1"/>
      <c r="CE2332" s="1"/>
      <c r="CF2332" s="1"/>
      <c r="CG2332" s="1"/>
      <c r="CH2332" s="1"/>
      <c r="CI2332" s="1"/>
      <c r="CJ2332" s="1"/>
      <c r="CK2332" s="1"/>
      <c r="CL2332" s="1"/>
      <c r="CM2332" s="1"/>
      <c r="CN2332" s="1"/>
      <c r="CO2332" s="1"/>
      <c r="CP2332" s="1"/>
      <c r="CQ2332" s="1"/>
      <c r="CR2332" s="1"/>
      <c r="CS2332" s="1"/>
      <c r="CT2332" s="1"/>
      <c r="CU2332" s="1"/>
      <c r="CV2332" s="1"/>
      <c r="CW2332" s="1"/>
      <c r="CX2332" s="1"/>
      <c r="CY2332" s="1"/>
      <c r="CZ2332" s="1"/>
      <c r="DA2332" s="1"/>
      <c r="DB2332" s="1"/>
      <c r="DC2332" s="1"/>
    </row>
    <row r="2333" spans="1:107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  <c r="AC2333" s="1"/>
      <c r="AD2333" s="1"/>
      <c r="AE2333" s="1"/>
      <c r="AF2333" s="1"/>
      <c r="AG2333" s="1"/>
      <c r="AH2333" s="1"/>
      <c r="AI2333" s="1"/>
      <c r="AJ2333" s="1"/>
      <c r="AK2333" s="1"/>
      <c r="AL2333" s="1"/>
      <c r="AM2333" s="1"/>
      <c r="AN2333" s="1"/>
      <c r="AO2333" s="1"/>
      <c r="AP2333" s="1"/>
      <c r="AQ2333" s="1"/>
      <c r="AR2333" s="1"/>
      <c r="AS2333" s="1"/>
      <c r="AT2333" s="1"/>
      <c r="AU2333" s="1"/>
      <c r="AV2333" s="1"/>
      <c r="AW2333" s="1"/>
      <c r="AX2333" s="1"/>
      <c r="AY2333" s="1"/>
      <c r="AZ2333" s="1"/>
      <c r="BA2333" s="1"/>
      <c r="BB2333" s="1"/>
      <c r="BC2333" s="1"/>
      <c r="BD2333" s="1"/>
      <c r="BE2333" s="1"/>
      <c r="BF2333" s="1"/>
      <c r="BG2333" s="1"/>
      <c r="BH2333" s="1"/>
      <c r="BI2333" s="1"/>
      <c r="BJ2333" s="1"/>
      <c r="BK2333" s="1"/>
      <c r="BL2333" s="1"/>
      <c r="BM2333" s="1"/>
      <c r="BN2333" s="1"/>
      <c r="BO2333" s="1"/>
      <c r="BP2333" s="1"/>
      <c r="BQ2333" s="1"/>
      <c r="BR2333" s="1"/>
      <c r="BS2333" s="1"/>
      <c r="BT2333" s="1"/>
      <c r="BU2333" s="1"/>
      <c r="BV2333" s="1"/>
      <c r="BW2333" s="1"/>
      <c r="BX2333" s="1"/>
      <c r="BY2333" s="1"/>
      <c r="BZ2333" s="1"/>
      <c r="CA2333" s="1"/>
      <c r="CB2333" s="1"/>
      <c r="CC2333" s="1"/>
      <c r="CD2333" s="1"/>
      <c r="CE2333" s="1"/>
      <c r="CF2333" s="1"/>
      <c r="CG2333" s="1"/>
      <c r="CH2333" s="1"/>
      <c r="CI2333" s="1"/>
      <c r="CJ2333" s="1"/>
      <c r="CK2333" s="1"/>
      <c r="CL2333" s="1"/>
      <c r="CM2333" s="1"/>
      <c r="CN2333" s="1"/>
      <c r="CO2333" s="1"/>
      <c r="CP2333" s="1"/>
      <c r="CQ2333" s="1"/>
      <c r="CR2333" s="1"/>
      <c r="CS2333" s="1"/>
      <c r="CT2333" s="1"/>
      <c r="CU2333" s="1"/>
      <c r="CV2333" s="1"/>
      <c r="CW2333" s="1"/>
      <c r="CX2333" s="1"/>
      <c r="CY2333" s="1"/>
      <c r="CZ2333" s="1"/>
      <c r="DA2333" s="1"/>
      <c r="DB2333" s="1"/>
      <c r="DC2333" s="1"/>
    </row>
    <row r="2334" spans="1:107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1"/>
      <c r="AD2334" s="1"/>
      <c r="AE2334" s="1"/>
      <c r="AF2334" s="1"/>
      <c r="AG2334" s="1"/>
      <c r="AH2334" s="1"/>
      <c r="AI2334" s="1"/>
      <c r="AJ2334" s="1"/>
      <c r="AK2334" s="1"/>
      <c r="AL2334" s="1"/>
      <c r="AM2334" s="1"/>
      <c r="AN2334" s="1"/>
      <c r="AO2334" s="1"/>
      <c r="AP2334" s="1"/>
      <c r="AQ2334" s="1"/>
      <c r="AR2334" s="1"/>
      <c r="AS2334" s="1"/>
      <c r="AT2334" s="1"/>
      <c r="AU2334" s="1"/>
      <c r="AV2334" s="1"/>
      <c r="AW2334" s="1"/>
      <c r="AX2334" s="1"/>
      <c r="AY2334" s="1"/>
      <c r="AZ2334" s="1"/>
      <c r="BA2334" s="1"/>
      <c r="BB2334" s="1"/>
      <c r="BC2334" s="1"/>
      <c r="BD2334" s="1"/>
      <c r="BE2334" s="1"/>
      <c r="BF2334" s="1"/>
      <c r="BG2334" s="1"/>
      <c r="BH2334" s="1"/>
      <c r="BI2334" s="1"/>
      <c r="BJ2334" s="1"/>
      <c r="BK2334" s="1"/>
      <c r="BL2334" s="1"/>
      <c r="BM2334" s="1"/>
      <c r="BN2334" s="1"/>
      <c r="BO2334" s="1"/>
      <c r="BP2334" s="1"/>
      <c r="BQ2334" s="1"/>
      <c r="BR2334" s="1"/>
      <c r="BS2334" s="1"/>
      <c r="BT2334" s="1"/>
      <c r="BU2334" s="1"/>
      <c r="BV2334" s="1"/>
      <c r="BW2334" s="1"/>
      <c r="BX2334" s="1"/>
      <c r="BY2334" s="1"/>
      <c r="BZ2334" s="1"/>
      <c r="CA2334" s="1"/>
      <c r="CB2334" s="1"/>
      <c r="CC2334" s="1"/>
      <c r="CD2334" s="1"/>
      <c r="CE2334" s="1"/>
      <c r="CF2334" s="1"/>
      <c r="CG2334" s="1"/>
      <c r="CH2334" s="1"/>
      <c r="CI2334" s="1"/>
      <c r="CJ2334" s="1"/>
      <c r="CK2334" s="1"/>
      <c r="CL2334" s="1"/>
      <c r="CM2334" s="1"/>
      <c r="CN2334" s="1"/>
      <c r="CO2334" s="1"/>
      <c r="CP2334" s="1"/>
      <c r="CQ2334" s="1"/>
      <c r="CR2334" s="1"/>
      <c r="CS2334" s="1"/>
      <c r="CT2334" s="1"/>
      <c r="CU2334" s="1"/>
      <c r="CV2334" s="1"/>
      <c r="CW2334" s="1"/>
      <c r="CX2334" s="1"/>
      <c r="CY2334" s="1"/>
      <c r="CZ2334" s="1"/>
      <c r="DA2334" s="1"/>
      <c r="DB2334" s="1"/>
      <c r="DC2334" s="1"/>
    </row>
    <row r="2335" spans="1:107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1"/>
      <c r="AD2335" s="1"/>
      <c r="AE2335" s="1"/>
      <c r="AF2335" s="1"/>
      <c r="AG2335" s="1"/>
      <c r="AH2335" s="1"/>
      <c r="AI2335" s="1"/>
      <c r="AJ2335" s="1"/>
      <c r="AK2335" s="1"/>
      <c r="AL2335" s="1"/>
      <c r="AM2335" s="1"/>
      <c r="AN2335" s="1"/>
      <c r="AO2335" s="1"/>
      <c r="AP2335" s="1"/>
      <c r="AQ2335" s="1"/>
      <c r="AR2335" s="1"/>
      <c r="AS2335" s="1"/>
      <c r="AT2335" s="1"/>
      <c r="AU2335" s="1"/>
      <c r="AV2335" s="1"/>
      <c r="AW2335" s="1"/>
      <c r="AX2335" s="1"/>
      <c r="AY2335" s="1"/>
      <c r="AZ2335" s="1"/>
      <c r="BA2335" s="1"/>
      <c r="BB2335" s="1"/>
      <c r="BC2335" s="1"/>
      <c r="BD2335" s="1"/>
      <c r="BE2335" s="1"/>
      <c r="BF2335" s="1"/>
      <c r="BG2335" s="1"/>
      <c r="BH2335" s="1"/>
      <c r="BI2335" s="1"/>
      <c r="BJ2335" s="1"/>
      <c r="BK2335" s="1"/>
      <c r="BL2335" s="1"/>
      <c r="BM2335" s="1"/>
      <c r="BN2335" s="1"/>
      <c r="BO2335" s="1"/>
      <c r="BP2335" s="1"/>
      <c r="BQ2335" s="1"/>
      <c r="BR2335" s="1"/>
      <c r="BS2335" s="1"/>
      <c r="BT2335" s="1"/>
      <c r="BU2335" s="1"/>
      <c r="BV2335" s="1"/>
      <c r="BW2335" s="1"/>
      <c r="BX2335" s="1"/>
      <c r="BY2335" s="1"/>
      <c r="BZ2335" s="1"/>
      <c r="CA2335" s="1"/>
      <c r="CB2335" s="1"/>
      <c r="CC2335" s="1"/>
      <c r="CD2335" s="1"/>
      <c r="CE2335" s="1"/>
      <c r="CF2335" s="1"/>
      <c r="CG2335" s="1"/>
      <c r="CH2335" s="1"/>
      <c r="CI2335" s="1"/>
      <c r="CJ2335" s="1"/>
      <c r="CK2335" s="1"/>
      <c r="CL2335" s="1"/>
      <c r="CM2335" s="1"/>
      <c r="CN2335" s="1"/>
      <c r="CO2335" s="1"/>
      <c r="CP2335" s="1"/>
      <c r="CQ2335" s="1"/>
      <c r="CR2335" s="1"/>
      <c r="CS2335" s="1"/>
      <c r="CT2335" s="1"/>
      <c r="CU2335" s="1"/>
      <c r="CV2335" s="1"/>
      <c r="CW2335" s="1"/>
      <c r="CX2335" s="1"/>
      <c r="CY2335" s="1"/>
      <c r="CZ2335" s="1"/>
      <c r="DA2335" s="1"/>
      <c r="DB2335" s="1"/>
      <c r="DC2335" s="1"/>
    </row>
    <row r="2336" spans="1:107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1"/>
      <c r="AD2336" s="1"/>
      <c r="AE2336" s="1"/>
      <c r="AF2336" s="1"/>
      <c r="AG2336" s="1"/>
      <c r="AH2336" s="1"/>
      <c r="AI2336" s="1"/>
      <c r="AJ2336" s="1"/>
      <c r="AK2336" s="1"/>
      <c r="AL2336" s="1"/>
      <c r="AM2336" s="1"/>
      <c r="AN2336" s="1"/>
      <c r="AO2336" s="1"/>
      <c r="AP2336" s="1"/>
      <c r="AQ2336" s="1"/>
      <c r="AR2336" s="1"/>
      <c r="AS2336" s="1"/>
      <c r="AT2336" s="1"/>
      <c r="AU2336" s="1"/>
      <c r="AV2336" s="1"/>
      <c r="AW2336" s="1"/>
      <c r="AX2336" s="1"/>
      <c r="AY2336" s="1"/>
      <c r="AZ2336" s="1"/>
      <c r="BA2336" s="1"/>
      <c r="BB2336" s="1"/>
      <c r="BC2336" s="1"/>
      <c r="BD2336" s="1"/>
      <c r="BE2336" s="1"/>
      <c r="BF2336" s="1"/>
      <c r="BG2336" s="1"/>
      <c r="BH2336" s="1"/>
      <c r="BI2336" s="1"/>
      <c r="BJ2336" s="1"/>
      <c r="BK2336" s="1"/>
      <c r="BL2336" s="1"/>
      <c r="BM2336" s="1"/>
      <c r="BN2336" s="1"/>
      <c r="BO2336" s="1"/>
      <c r="BP2336" s="1"/>
      <c r="BQ2336" s="1"/>
      <c r="BR2336" s="1"/>
      <c r="BS2336" s="1"/>
      <c r="BT2336" s="1"/>
      <c r="BU2336" s="1"/>
      <c r="BV2336" s="1"/>
      <c r="BW2336" s="1"/>
      <c r="BX2336" s="1"/>
      <c r="BY2336" s="1"/>
      <c r="BZ2336" s="1"/>
      <c r="CA2336" s="1"/>
      <c r="CB2336" s="1"/>
      <c r="CC2336" s="1"/>
      <c r="CD2336" s="1"/>
      <c r="CE2336" s="1"/>
      <c r="CF2336" s="1"/>
      <c r="CG2336" s="1"/>
      <c r="CH2336" s="1"/>
      <c r="CI2336" s="1"/>
      <c r="CJ2336" s="1"/>
      <c r="CK2336" s="1"/>
      <c r="CL2336" s="1"/>
      <c r="CM2336" s="1"/>
      <c r="CN2336" s="1"/>
      <c r="CO2336" s="1"/>
      <c r="CP2336" s="1"/>
      <c r="CQ2336" s="1"/>
      <c r="CR2336" s="1"/>
      <c r="CS2336" s="1"/>
      <c r="CT2336" s="1"/>
      <c r="CU2336" s="1"/>
      <c r="CV2336" s="1"/>
      <c r="CW2336" s="1"/>
      <c r="CX2336" s="1"/>
      <c r="CY2336" s="1"/>
      <c r="CZ2336" s="1"/>
      <c r="DA2336" s="1"/>
      <c r="DB2336" s="1"/>
      <c r="DC2336" s="1"/>
    </row>
    <row r="2337" spans="1:107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  <c r="AD2337" s="1"/>
      <c r="AE2337" s="1"/>
      <c r="AF2337" s="1"/>
      <c r="AG2337" s="1"/>
      <c r="AH2337" s="1"/>
      <c r="AI2337" s="1"/>
      <c r="AJ2337" s="1"/>
      <c r="AK2337" s="1"/>
      <c r="AL2337" s="1"/>
      <c r="AM2337" s="1"/>
      <c r="AN2337" s="1"/>
      <c r="AO2337" s="1"/>
      <c r="AP2337" s="1"/>
      <c r="AQ2337" s="1"/>
      <c r="AR2337" s="1"/>
      <c r="AS2337" s="1"/>
      <c r="AT2337" s="1"/>
      <c r="AU2337" s="1"/>
      <c r="AV2337" s="1"/>
      <c r="AW2337" s="1"/>
      <c r="AX2337" s="1"/>
      <c r="AY2337" s="1"/>
      <c r="AZ2337" s="1"/>
      <c r="BA2337" s="1"/>
      <c r="BB2337" s="1"/>
      <c r="BC2337" s="1"/>
      <c r="BD2337" s="1"/>
      <c r="BE2337" s="1"/>
      <c r="BF2337" s="1"/>
      <c r="BG2337" s="1"/>
      <c r="BH2337" s="1"/>
      <c r="BI2337" s="1"/>
      <c r="BJ2337" s="1"/>
      <c r="BK2337" s="1"/>
      <c r="BL2337" s="1"/>
      <c r="BM2337" s="1"/>
      <c r="BN2337" s="1"/>
      <c r="BO2337" s="1"/>
      <c r="BP2337" s="1"/>
      <c r="BQ2337" s="1"/>
      <c r="BR2337" s="1"/>
      <c r="BS2337" s="1"/>
      <c r="BT2337" s="1"/>
      <c r="BU2337" s="1"/>
      <c r="BV2337" s="1"/>
      <c r="BW2337" s="1"/>
      <c r="BX2337" s="1"/>
      <c r="BY2337" s="1"/>
      <c r="BZ2337" s="1"/>
      <c r="CA2337" s="1"/>
      <c r="CB2337" s="1"/>
      <c r="CC2337" s="1"/>
      <c r="CD2337" s="1"/>
      <c r="CE2337" s="1"/>
      <c r="CF2337" s="1"/>
      <c r="CG2337" s="1"/>
      <c r="CH2337" s="1"/>
      <c r="CI2337" s="1"/>
      <c r="CJ2337" s="1"/>
      <c r="CK2337" s="1"/>
      <c r="CL2337" s="1"/>
      <c r="CM2337" s="1"/>
      <c r="CN2337" s="1"/>
      <c r="CO2337" s="1"/>
      <c r="CP2337" s="1"/>
      <c r="CQ2337" s="1"/>
      <c r="CR2337" s="1"/>
      <c r="CS2337" s="1"/>
      <c r="CT2337" s="1"/>
      <c r="CU2337" s="1"/>
      <c r="CV2337" s="1"/>
      <c r="CW2337" s="1"/>
      <c r="CX2337" s="1"/>
      <c r="CY2337" s="1"/>
      <c r="CZ2337" s="1"/>
      <c r="DA2337" s="1"/>
      <c r="DB2337" s="1"/>
      <c r="DC2337" s="1"/>
    </row>
    <row r="2338" spans="1:107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  <c r="AC2338" s="1"/>
      <c r="AD2338" s="1"/>
      <c r="AE2338" s="1"/>
      <c r="AF2338" s="1"/>
      <c r="AG2338" s="1"/>
      <c r="AH2338" s="1"/>
      <c r="AI2338" s="1"/>
      <c r="AJ2338" s="1"/>
      <c r="AK2338" s="1"/>
      <c r="AL2338" s="1"/>
      <c r="AM2338" s="1"/>
      <c r="AN2338" s="1"/>
      <c r="AO2338" s="1"/>
      <c r="AP2338" s="1"/>
      <c r="AQ2338" s="1"/>
      <c r="AR2338" s="1"/>
      <c r="AS2338" s="1"/>
      <c r="AT2338" s="1"/>
      <c r="AU2338" s="1"/>
      <c r="AV2338" s="1"/>
      <c r="AW2338" s="1"/>
      <c r="AX2338" s="1"/>
      <c r="AY2338" s="1"/>
      <c r="AZ2338" s="1"/>
      <c r="BA2338" s="1"/>
      <c r="BB2338" s="1"/>
      <c r="BC2338" s="1"/>
      <c r="BD2338" s="1"/>
      <c r="BE2338" s="1"/>
      <c r="BF2338" s="1"/>
      <c r="BG2338" s="1"/>
      <c r="BH2338" s="1"/>
      <c r="BI2338" s="1"/>
      <c r="BJ2338" s="1"/>
      <c r="BK2338" s="1"/>
      <c r="BL2338" s="1"/>
      <c r="BM2338" s="1"/>
      <c r="BN2338" s="1"/>
      <c r="BO2338" s="1"/>
      <c r="BP2338" s="1"/>
      <c r="BQ2338" s="1"/>
      <c r="BR2338" s="1"/>
      <c r="BS2338" s="1"/>
      <c r="BT2338" s="1"/>
      <c r="BU2338" s="1"/>
      <c r="BV2338" s="1"/>
      <c r="BW2338" s="1"/>
      <c r="BX2338" s="1"/>
      <c r="BY2338" s="1"/>
      <c r="BZ2338" s="1"/>
      <c r="CA2338" s="1"/>
      <c r="CB2338" s="1"/>
      <c r="CC2338" s="1"/>
      <c r="CD2338" s="1"/>
      <c r="CE2338" s="1"/>
      <c r="CF2338" s="1"/>
      <c r="CG2338" s="1"/>
      <c r="CH2338" s="1"/>
      <c r="CI2338" s="1"/>
      <c r="CJ2338" s="1"/>
      <c r="CK2338" s="1"/>
      <c r="CL2338" s="1"/>
      <c r="CM2338" s="1"/>
      <c r="CN2338" s="1"/>
      <c r="CO2338" s="1"/>
      <c r="CP2338" s="1"/>
      <c r="CQ2338" s="1"/>
      <c r="CR2338" s="1"/>
      <c r="CS2338" s="1"/>
      <c r="CT2338" s="1"/>
      <c r="CU2338" s="1"/>
      <c r="CV2338" s="1"/>
      <c r="CW2338" s="1"/>
      <c r="CX2338" s="1"/>
      <c r="CY2338" s="1"/>
      <c r="CZ2338" s="1"/>
      <c r="DA2338" s="1"/>
      <c r="DB2338" s="1"/>
      <c r="DC2338" s="1"/>
    </row>
    <row r="2339" spans="1:107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  <c r="AC2339" s="1"/>
      <c r="AD2339" s="1"/>
      <c r="AE2339" s="1"/>
      <c r="AF2339" s="1"/>
      <c r="AG2339" s="1"/>
      <c r="AH2339" s="1"/>
      <c r="AI2339" s="1"/>
      <c r="AJ2339" s="1"/>
      <c r="AK2339" s="1"/>
      <c r="AL2339" s="1"/>
      <c r="AM2339" s="1"/>
      <c r="AN2339" s="1"/>
      <c r="AO2339" s="1"/>
      <c r="AP2339" s="1"/>
      <c r="AQ2339" s="1"/>
      <c r="AR2339" s="1"/>
      <c r="AS2339" s="1"/>
      <c r="AT2339" s="1"/>
      <c r="AU2339" s="1"/>
      <c r="AV2339" s="1"/>
      <c r="AW2339" s="1"/>
      <c r="AX2339" s="1"/>
      <c r="AY2339" s="1"/>
      <c r="AZ2339" s="1"/>
      <c r="BA2339" s="1"/>
      <c r="BB2339" s="1"/>
      <c r="BC2339" s="1"/>
      <c r="BD2339" s="1"/>
      <c r="BE2339" s="1"/>
      <c r="BF2339" s="1"/>
      <c r="BG2339" s="1"/>
      <c r="BH2339" s="1"/>
      <c r="BI2339" s="1"/>
      <c r="BJ2339" s="1"/>
      <c r="BK2339" s="1"/>
      <c r="BL2339" s="1"/>
      <c r="BM2339" s="1"/>
      <c r="BN2339" s="1"/>
      <c r="BO2339" s="1"/>
      <c r="BP2339" s="1"/>
      <c r="BQ2339" s="1"/>
      <c r="BR2339" s="1"/>
      <c r="BS2339" s="1"/>
      <c r="BT2339" s="1"/>
      <c r="BU2339" s="1"/>
      <c r="BV2339" s="1"/>
      <c r="BW2339" s="1"/>
      <c r="BX2339" s="1"/>
      <c r="BY2339" s="1"/>
      <c r="BZ2339" s="1"/>
      <c r="CA2339" s="1"/>
      <c r="CB2339" s="1"/>
      <c r="CC2339" s="1"/>
      <c r="CD2339" s="1"/>
      <c r="CE2339" s="1"/>
      <c r="CF2339" s="1"/>
      <c r="CG2339" s="1"/>
      <c r="CH2339" s="1"/>
      <c r="CI2339" s="1"/>
      <c r="CJ2339" s="1"/>
      <c r="CK2339" s="1"/>
      <c r="CL2339" s="1"/>
      <c r="CM2339" s="1"/>
      <c r="CN2339" s="1"/>
      <c r="CO2339" s="1"/>
      <c r="CP2339" s="1"/>
      <c r="CQ2339" s="1"/>
      <c r="CR2339" s="1"/>
      <c r="CS2339" s="1"/>
      <c r="CT2339" s="1"/>
      <c r="CU2339" s="1"/>
      <c r="CV2339" s="1"/>
      <c r="CW2339" s="1"/>
      <c r="CX2339" s="1"/>
      <c r="CY2339" s="1"/>
      <c r="CZ2339" s="1"/>
      <c r="DA2339" s="1"/>
      <c r="DB2339" s="1"/>
      <c r="DC2339" s="1"/>
    </row>
    <row r="2340" spans="1:107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  <c r="AC2340" s="1"/>
      <c r="AD2340" s="1"/>
      <c r="AE2340" s="1"/>
      <c r="AF2340" s="1"/>
      <c r="AG2340" s="1"/>
      <c r="AH2340" s="1"/>
      <c r="AI2340" s="1"/>
      <c r="AJ2340" s="1"/>
      <c r="AK2340" s="1"/>
      <c r="AL2340" s="1"/>
      <c r="AM2340" s="1"/>
      <c r="AN2340" s="1"/>
      <c r="AO2340" s="1"/>
      <c r="AP2340" s="1"/>
      <c r="AQ2340" s="1"/>
      <c r="AR2340" s="1"/>
      <c r="AS2340" s="1"/>
      <c r="AT2340" s="1"/>
      <c r="AU2340" s="1"/>
      <c r="AV2340" s="1"/>
      <c r="AW2340" s="1"/>
      <c r="AX2340" s="1"/>
      <c r="AY2340" s="1"/>
      <c r="AZ2340" s="1"/>
      <c r="BA2340" s="1"/>
      <c r="BB2340" s="1"/>
      <c r="BC2340" s="1"/>
      <c r="BD2340" s="1"/>
      <c r="BE2340" s="1"/>
      <c r="BF2340" s="1"/>
      <c r="BG2340" s="1"/>
      <c r="BH2340" s="1"/>
      <c r="BI2340" s="1"/>
      <c r="BJ2340" s="1"/>
      <c r="BK2340" s="1"/>
      <c r="BL2340" s="1"/>
      <c r="BM2340" s="1"/>
      <c r="BN2340" s="1"/>
      <c r="BO2340" s="1"/>
      <c r="BP2340" s="1"/>
      <c r="BQ2340" s="1"/>
      <c r="BR2340" s="1"/>
      <c r="BS2340" s="1"/>
      <c r="BT2340" s="1"/>
      <c r="BU2340" s="1"/>
      <c r="BV2340" s="1"/>
      <c r="BW2340" s="1"/>
      <c r="BX2340" s="1"/>
      <c r="BY2340" s="1"/>
      <c r="BZ2340" s="1"/>
      <c r="CA2340" s="1"/>
      <c r="CB2340" s="1"/>
      <c r="CC2340" s="1"/>
      <c r="CD2340" s="1"/>
      <c r="CE2340" s="1"/>
      <c r="CF2340" s="1"/>
      <c r="CG2340" s="1"/>
      <c r="CH2340" s="1"/>
      <c r="CI2340" s="1"/>
      <c r="CJ2340" s="1"/>
      <c r="CK2340" s="1"/>
      <c r="CL2340" s="1"/>
      <c r="CM2340" s="1"/>
      <c r="CN2340" s="1"/>
      <c r="CO2340" s="1"/>
      <c r="CP2340" s="1"/>
      <c r="CQ2340" s="1"/>
      <c r="CR2340" s="1"/>
      <c r="CS2340" s="1"/>
      <c r="CT2340" s="1"/>
      <c r="CU2340" s="1"/>
      <c r="CV2340" s="1"/>
      <c r="CW2340" s="1"/>
      <c r="CX2340" s="1"/>
      <c r="CY2340" s="1"/>
      <c r="CZ2340" s="1"/>
      <c r="DA2340" s="1"/>
      <c r="DB2340" s="1"/>
      <c r="DC2340" s="1"/>
    </row>
    <row r="2341" spans="1:107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  <c r="AC2341" s="1"/>
      <c r="AD2341" s="1"/>
      <c r="AE2341" s="1"/>
      <c r="AF2341" s="1"/>
      <c r="AG2341" s="1"/>
      <c r="AH2341" s="1"/>
      <c r="AI2341" s="1"/>
      <c r="AJ2341" s="1"/>
      <c r="AK2341" s="1"/>
      <c r="AL2341" s="1"/>
      <c r="AM2341" s="1"/>
      <c r="AN2341" s="1"/>
      <c r="AO2341" s="1"/>
      <c r="AP2341" s="1"/>
      <c r="AQ2341" s="1"/>
      <c r="AR2341" s="1"/>
      <c r="AS2341" s="1"/>
      <c r="AT2341" s="1"/>
      <c r="AU2341" s="1"/>
      <c r="AV2341" s="1"/>
      <c r="AW2341" s="1"/>
      <c r="AX2341" s="1"/>
      <c r="AY2341" s="1"/>
      <c r="AZ2341" s="1"/>
      <c r="BA2341" s="1"/>
      <c r="BB2341" s="1"/>
      <c r="BC2341" s="1"/>
      <c r="BD2341" s="1"/>
      <c r="BE2341" s="1"/>
      <c r="BF2341" s="1"/>
      <c r="BG2341" s="1"/>
      <c r="BH2341" s="1"/>
      <c r="BI2341" s="1"/>
      <c r="BJ2341" s="1"/>
      <c r="BK2341" s="1"/>
      <c r="BL2341" s="1"/>
      <c r="BM2341" s="1"/>
      <c r="BN2341" s="1"/>
      <c r="BO2341" s="1"/>
      <c r="BP2341" s="1"/>
      <c r="BQ2341" s="1"/>
      <c r="BR2341" s="1"/>
      <c r="BS2341" s="1"/>
      <c r="BT2341" s="1"/>
      <c r="BU2341" s="1"/>
      <c r="BV2341" s="1"/>
      <c r="BW2341" s="1"/>
      <c r="BX2341" s="1"/>
      <c r="BY2341" s="1"/>
      <c r="BZ2341" s="1"/>
      <c r="CA2341" s="1"/>
      <c r="CB2341" s="1"/>
      <c r="CC2341" s="1"/>
      <c r="CD2341" s="1"/>
      <c r="CE2341" s="1"/>
      <c r="CF2341" s="1"/>
      <c r="CG2341" s="1"/>
      <c r="CH2341" s="1"/>
      <c r="CI2341" s="1"/>
      <c r="CJ2341" s="1"/>
      <c r="CK2341" s="1"/>
      <c r="CL2341" s="1"/>
      <c r="CM2341" s="1"/>
      <c r="CN2341" s="1"/>
      <c r="CO2341" s="1"/>
      <c r="CP2341" s="1"/>
      <c r="CQ2341" s="1"/>
      <c r="CR2341" s="1"/>
      <c r="CS2341" s="1"/>
      <c r="CT2341" s="1"/>
      <c r="CU2341" s="1"/>
      <c r="CV2341" s="1"/>
      <c r="CW2341" s="1"/>
      <c r="CX2341" s="1"/>
      <c r="CY2341" s="1"/>
      <c r="CZ2341" s="1"/>
      <c r="DA2341" s="1"/>
      <c r="DB2341" s="1"/>
      <c r="DC2341" s="1"/>
    </row>
    <row r="2342" spans="1:107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  <c r="AC2342" s="1"/>
      <c r="AD2342" s="1"/>
      <c r="AE2342" s="1"/>
      <c r="AF2342" s="1"/>
      <c r="AG2342" s="1"/>
      <c r="AH2342" s="1"/>
      <c r="AI2342" s="1"/>
      <c r="AJ2342" s="1"/>
      <c r="AK2342" s="1"/>
      <c r="AL2342" s="1"/>
      <c r="AM2342" s="1"/>
      <c r="AN2342" s="1"/>
      <c r="AO2342" s="1"/>
      <c r="AP2342" s="1"/>
      <c r="AQ2342" s="1"/>
      <c r="AR2342" s="1"/>
      <c r="AS2342" s="1"/>
      <c r="AT2342" s="1"/>
      <c r="AU2342" s="1"/>
      <c r="AV2342" s="1"/>
      <c r="AW2342" s="1"/>
      <c r="AX2342" s="1"/>
      <c r="AY2342" s="1"/>
      <c r="AZ2342" s="1"/>
      <c r="BA2342" s="1"/>
      <c r="BB2342" s="1"/>
      <c r="BC2342" s="1"/>
      <c r="BD2342" s="1"/>
      <c r="BE2342" s="1"/>
      <c r="BF2342" s="1"/>
      <c r="BG2342" s="1"/>
      <c r="BH2342" s="1"/>
      <c r="BI2342" s="1"/>
      <c r="BJ2342" s="1"/>
      <c r="BK2342" s="1"/>
      <c r="BL2342" s="1"/>
      <c r="BM2342" s="1"/>
      <c r="BN2342" s="1"/>
      <c r="BO2342" s="1"/>
      <c r="BP2342" s="1"/>
      <c r="BQ2342" s="1"/>
      <c r="BR2342" s="1"/>
      <c r="BS2342" s="1"/>
      <c r="BT2342" s="1"/>
      <c r="BU2342" s="1"/>
      <c r="BV2342" s="1"/>
      <c r="BW2342" s="1"/>
      <c r="BX2342" s="1"/>
      <c r="BY2342" s="1"/>
      <c r="BZ2342" s="1"/>
      <c r="CA2342" s="1"/>
      <c r="CB2342" s="1"/>
      <c r="CC2342" s="1"/>
      <c r="CD2342" s="1"/>
      <c r="CE2342" s="1"/>
      <c r="CF2342" s="1"/>
      <c r="CG2342" s="1"/>
      <c r="CH2342" s="1"/>
      <c r="CI2342" s="1"/>
      <c r="CJ2342" s="1"/>
      <c r="CK2342" s="1"/>
      <c r="CL2342" s="1"/>
      <c r="CM2342" s="1"/>
      <c r="CN2342" s="1"/>
      <c r="CO2342" s="1"/>
      <c r="CP2342" s="1"/>
      <c r="CQ2342" s="1"/>
      <c r="CR2342" s="1"/>
      <c r="CS2342" s="1"/>
      <c r="CT2342" s="1"/>
      <c r="CU2342" s="1"/>
      <c r="CV2342" s="1"/>
      <c r="CW2342" s="1"/>
      <c r="CX2342" s="1"/>
      <c r="CY2342" s="1"/>
      <c r="CZ2342" s="1"/>
      <c r="DA2342" s="1"/>
      <c r="DB2342" s="1"/>
      <c r="DC2342" s="1"/>
    </row>
    <row r="2343" spans="1:107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  <c r="AC2343" s="1"/>
      <c r="AD2343" s="1"/>
      <c r="AE2343" s="1"/>
      <c r="AF2343" s="1"/>
      <c r="AG2343" s="1"/>
      <c r="AH2343" s="1"/>
      <c r="AI2343" s="1"/>
      <c r="AJ2343" s="1"/>
      <c r="AK2343" s="1"/>
      <c r="AL2343" s="1"/>
      <c r="AM2343" s="1"/>
      <c r="AN2343" s="1"/>
      <c r="AO2343" s="1"/>
      <c r="AP2343" s="1"/>
      <c r="AQ2343" s="1"/>
      <c r="AR2343" s="1"/>
      <c r="AS2343" s="1"/>
      <c r="AT2343" s="1"/>
      <c r="AU2343" s="1"/>
      <c r="AV2343" s="1"/>
      <c r="AW2343" s="1"/>
      <c r="AX2343" s="1"/>
      <c r="AY2343" s="1"/>
      <c r="AZ2343" s="1"/>
      <c r="BA2343" s="1"/>
      <c r="BB2343" s="1"/>
      <c r="BC2343" s="1"/>
      <c r="BD2343" s="1"/>
      <c r="BE2343" s="1"/>
      <c r="BF2343" s="1"/>
      <c r="BG2343" s="1"/>
      <c r="BH2343" s="1"/>
      <c r="BI2343" s="1"/>
      <c r="BJ2343" s="1"/>
      <c r="BK2343" s="1"/>
      <c r="BL2343" s="1"/>
      <c r="BM2343" s="1"/>
      <c r="BN2343" s="1"/>
      <c r="BO2343" s="1"/>
      <c r="BP2343" s="1"/>
      <c r="BQ2343" s="1"/>
      <c r="BR2343" s="1"/>
      <c r="BS2343" s="1"/>
      <c r="BT2343" s="1"/>
      <c r="BU2343" s="1"/>
      <c r="BV2343" s="1"/>
      <c r="BW2343" s="1"/>
      <c r="BX2343" s="1"/>
      <c r="BY2343" s="1"/>
      <c r="BZ2343" s="1"/>
      <c r="CA2343" s="1"/>
      <c r="CB2343" s="1"/>
      <c r="CC2343" s="1"/>
      <c r="CD2343" s="1"/>
      <c r="CE2343" s="1"/>
      <c r="CF2343" s="1"/>
      <c r="CG2343" s="1"/>
      <c r="CH2343" s="1"/>
      <c r="CI2343" s="1"/>
      <c r="CJ2343" s="1"/>
      <c r="CK2343" s="1"/>
      <c r="CL2343" s="1"/>
      <c r="CM2343" s="1"/>
      <c r="CN2343" s="1"/>
      <c r="CO2343" s="1"/>
      <c r="CP2343" s="1"/>
      <c r="CQ2343" s="1"/>
      <c r="CR2343" s="1"/>
      <c r="CS2343" s="1"/>
      <c r="CT2343" s="1"/>
      <c r="CU2343" s="1"/>
      <c r="CV2343" s="1"/>
      <c r="CW2343" s="1"/>
      <c r="CX2343" s="1"/>
      <c r="CY2343" s="1"/>
      <c r="CZ2343" s="1"/>
      <c r="DA2343" s="1"/>
      <c r="DB2343" s="1"/>
      <c r="DC2343" s="1"/>
    </row>
    <row r="2344" spans="1:107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  <c r="AC2344" s="1"/>
      <c r="AD2344" s="1"/>
      <c r="AE2344" s="1"/>
      <c r="AF2344" s="1"/>
      <c r="AG2344" s="1"/>
      <c r="AH2344" s="1"/>
      <c r="AI2344" s="1"/>
      <c r="AJ2344" s="1"/>
      <c r="AK2344" s="1"/>
      <c r="AL2344" s="1"/>
      <c r="AM2344" s="1"/>
      <c r="AN2344" s="1"/>
      <c r="AO2344" s="1"/>
      <c r="AP2344" s="1"/>
      <c r="AQ2344" s="1"/>
      <c r="AR2344" s="1"/>
      <c r="AS2344" s="1"/>
      <c r="AT2344" s="1"/>
      <c r="AU2344" s="1"/>
      <c r="AV2344" s="1"/>
      <c r="AW2344" s="1"/>
      <c r="AX2344" s="1"/>
      <c r="AY2344" s="1"/>
      <c r="AZ2344" s="1"/>
      <c r="BA2344" s="1"/>
      <c r="BB2344" s="1"/>
      <c r="BC2344" s="1"/>
      <c r="BD2344" s="1"/>
      <c r="BE2344" s="1"/>
      <c r="BF2344" s="1"/>
      <c r="BG2344" s="1"/>
      <c r="BH2344" s="1"/>
      <c r="BI2344" s="1"/>
      <c r="BJ2344" s="1"/>
      <c r="BK2344" s="1"/>
      <c r="BL2344" s="1"/>
      <c r="BM2344" s="1"/>
      <c r="BN2344" s="1"/>
      <c r="BO2344" s="1"/>
      <c r="BP2344" s="1"/>
      <c r="BQ2344" s="1"/>
      <c r="BR2344" s="1"/>
      <c r="BS2344" s="1"/>
      <c r="BT2344" s="1"/>
      <c r="BU2344" s="1"/>
      <c r="BV2344" s="1"/>
      <c r="BW2344" s="1"/>
      <c r="BX2344" s="1"/>
      <c r="BY2344" s="1"/>
      <c r="BZ2344" s="1"/>
      <c r="CA2344" s="1"/>
      <c r="CB2344" s="1"/>
      <c r="CC2344" s="1"/>
      <c r="CD2344" s="1"/>
      <c r="CE2344" s="1"/>
      <c r="CF2344" s="1"/>
      <c r="CG2344" s="1"/>
      <c r="CH2344" s="1"/>
      <c r="CI2344" s="1"/>
      <c r="CJ2344" s="1"/>
      <c r="CK2344" s="1"/>
      <c r="CL2344" s="1"/>
      <c r="CM2344" s="1"/>
      <c r="CN2344" s="1"/>
      <c r="CO2344" s="1"/>
      <c r="CP2344" s="1"/>
      <c r="CQ2344" s="1"/>
      <c r="CR2344" s="1"/>
      <c r="CS2344" s="1"/>
      <c r="CT2344" s="1"/>
      <c r="CU2344" s="1"/>
      <c r="CV2344" s="1"/>
      <c r="CW2344" s="1"/>
      <c r="CX2344" s="1"/>
      <c r="CY2344" s="1"/>
      <c r="CZ2344" s="1"/>
      <c r="DA2344" s="1"/>
      <c r="DB2344" s="1"/>
      <c r="DC2344" s="1"/>
    </row>
    <row r="2345" spans="1:107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  <c r="AC2345" s="1"/>
      <c r="AD2345" s="1"/>
      <c r="AE2345" s="1"/>
      <c r="AF2345" s="1"/>
      <c r="AG2345" s="1"/>
      <c r="AH2345" s="1"/>
      <c r="AI2345" s="1"/>
      <c r="AJ2345" s="1"/>
      <c r="AK2345" s="1"/>
      <c r="AL2345" s="1"/>
      <c r="AM2345" s="1"/>
      <c r="AN2345" s="1"/>
      <c r="AO2345" s="1"/>
      <c r="AP2345" s="1"/>
      <c r="AQ2345" s="1"/>
      <c r="AR2345" s="1"/>
      <c r="AS2345" s="1"/>
      <c r="AT2345" s="1"/>
      <c r="AU2345" s="1"/>
      <c r="AV2345" s="1"/>
      <c r="AW2345" s="1"/>
      <c r="AX2345" s="1"/>
      <c r="AY2345" s="1"/>
      <c r="AZ2345" s="1"/>
      <c r="BA2345" s="1"/>
      <c r="BB2345" s="1"/>
      <c r="BC2345" s="1"/>
      <c r="BD2345" s="1"/>
      <c r="BE2345" s="1"/>
      <c r="BF2345" s="1"/>
      <c r="BG2345" s="1"/>
      <c r="BH2345" s="1"/>
      <c r="BI2345" s="1"/>
      <c r="BJ2345" s="1"/>
      <c r="BK2345" s="1"/>
      <c r="BL2345" s="1"/>
      <c r="BM2345" s="1"/>
      <c r="BN2345" s="1"/>
      <c r="BO2345" s="1"/>
      <c r="BP2345" s="1"/>
      <c r="BQ2345" s="1"/>
      <c r="BR2345" s="1"/>
      <c r="BS2345" s="1"/>
      <c r="BT2345" s="1"/>
      <c r="BU2345" s="1"/>
      <c r="BV2345" s="1"/>
      <c r="BW2345" s="1"/>
      <c r="BX2345" s="1"/>
      <c r="BY2345" s="1"/>
      <c r="BZ2345" s="1"/>
      <c r="CA2345" s="1"/>
      <c r="CB2345" s="1"/>
      <c r="CC2345" s="1"/>
      <c r="CD2345" s="1"/>
      <c r="CE2345" s="1"/>
      <c r="CF2345" s="1"/>
      <c r="CG2345" s="1"/>
      <c r="CH2345" s="1"/>
      <c r="CI2345" s="1"/>
      <c r="CJ2345" s="1"/>
      <c r="CK2345" s="1"/>
      <c r="CL2345" s="1"/>
      <c r="CM2345" s="1"/>
      <c r="CN2345" s="1"/>
      <c r="CO2345" s="1"/>
      <c r="CP2345" s="1"/>
      <c r="CQ2345" s="1"/>
      <c r="CR2345" s="1"/>
      <c r="CS2345" s="1"/>
      <c r="CT2345" s="1"/>
      <c r="CU2345" s="1"/>
      <c r="CV2345" s="1"/>
      <c r="CW2345" s="1"/>
      <c r="CX2345" s="1"/>
      <c r="CY2345" s="1"/>
      <c r="CZ2345" s="1"/>
      <c r="DA2345" s="1"/>
      <c r="DB2345" s="1"/>
      <c r="DC2345" s="1"/>
    </row>
    <row r="2346" spans="1:107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  <c r="AC2346" s="1"/>
      <c r="AD2346" s="1"/>
      <c r="AE2346" s="1"/>
      <c r="AF2346" s="1"/>
      <c r="AG2346" s="1"/>
      <c r="AH2346" s="1"/>
      <c r="AI2346" s="1"/>
      <c r="AJ2346" s="1"/>
      <c r="AK2346" s="1"/>
      <c r="AL2346" s="1"/>
      <c r="AM2346" s="1"/>
      <c r="AN2346" s="1"/>
      <c r="AO2346" s="1"/>
      <c r="AP2346" s="1"/>
      <c r="AQ2346" s="1"/>
      <c r="AR2346" s="1"/>
      <c r="AS2346" s="1"/>
      <c r="AT2346" s="1"/>
      <c r="AU2346" s="1"/>
      <c r="AV2346" s="1"/>
      <c r="AW2346" s="1"/>
      <c r="AX2346" s="1"/>
      <c r="AY2346" s="1"/>
      <c r="AZ2346" s="1"/>
      <c r="BA2346" s="1"/>
      <c r="BB2346" s="1"/>
      <c r="BC2346" s="1"/>
      <c r="BD2346" s="1"/>
      <c r="BE2346" s="1"/>
      <c r="BF2346" s="1"/>
      <c r="BG2346" s="1"/>
      <c r="BH2346" s="1"/>
      <c r="BI2346" s="1"/>
      <c r="BJ2346" s="1"/>
      <c r="BK2346" s="1"/>
      <c r="BL2346" s="1"/>
      <c r="BM2346" s="1"/>
      <c r="BN2346" s="1"/>
      <c r="BO2346" s="1"/>
      <c r="BP2346" s="1"/>
      <c r="BQ2346" s="1"/>
      <c r="BR2346" s="1"/>
      <c r="BS2346" s="1"/>
      <c r="BT2346" s="1"/>
      <c r="BU2346" s="1"/>
      <c r="BV2346" s="1"/>
      <c r="BW2346" s="1"/>
      <c r="BX2346" s="1"/>
      <c r="BY2346" s="1"/>
      <c r="BZ2346" s="1"/>
      <c r="CA2346" s="1"/>
      <c r="CB2346" s="1"/>
      <c r="CC2346" s="1"/>
      <c r="CD2346" s="1"/>
      <c r="CE2346" s="1"/>
      <c r="CF2346" s="1"/>
      <c r="CG2346" s="1"/>
      <c r="CH2346" s="1"/>
      <c r="CI2346" s="1"/>
      <c r="CJ2346" s="1"/>
      <c r="CK2346" s="1"/>
      <c r="CL2346" s="1"/>
      <c r="CM2346" s="1"/>
      <c r="CN2346" s="1"/>
      <c r="CO2346" s="1"/>
      <c r="CP2346" s="1"/>
      <c r="CQ2346" s="1"/>
      <c r="CR2346" s="1"/>
      <c r="CS2346" s="1"/>
      <c r="CT2346" s="1"/>
      <c r="CU2346" s="1"/>
      <c r="CV2346" s="1"/>
      <c r="CW2346" s="1"/>
      <c r="CX2346" s="1"/>
      <c r="CY2346" s="1"/>
      <c r="CZ2346" s="1"/>
      <c r="DA2346" s="1"/>
      <c r="DB2346" s="1"/>
      <c r="DC2346" s="1"/>
    </row>
    <row r="2347" spans="1:107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  <c r="AC2347" s="1"/>
      <c r="AD2347" s="1"/>
      <c r="AE2347" s="1"/>
      <c r="AF2347" s="1"/>
      <c r="AG2347" s="1"/>
      <c r="AH2347" s="1"/>
      <c r="AI2347" s="1"/>
      <c r="AJ2347" s="1"/>
      <c r="AK2347" s="1"/>
      <c r="AL2347" s="1"/>
      <c r="AM2347" s="1"/>
      <c r="AN2347" s="1"/>
      <c r="AO2347" s="1"/>
      <c r="AP2347" s="1"/>
      <c r="AQ2347" s="1"/>
      <c r="AR2347" s="1"/>
      <c r="AS2347" s="1"/>
      <c r="AT2347" s="1"/>
      <c r="AU2347" s="1"/>
      <c r="AV2347" s="1"/>
      <c r="AW2347" s="1"/>
      <c r="AX2347" s="1"/>
      <c r="AY2347" s="1"/>
      <c r="AZ2347" s="1"/>
      <c r="BA2347" s="1"/>
      <c r="BB2347" s="1"/>
      <c r="BC2347" s="1"/>
      <c r="BD2347" s="1"/>
      <c r="BE2347" s="1"/>
      <c r="BF2347" s="1"/>
      <c r="BG2347" s="1"/>
      <c r="BH2347" s="1"/>
      <c r="BI2347" s="1"/>
      <c r="BJ2347" s="1"/>
      <c r="BK2347" s="1"/>
      <c r="BL2347" s="1"/>
      <c r="BM2347" s="1"/>
      <c r="BN2347" s="1"/>
      <c r="BO2347" s="1"/>
      <c r="BP2347" s="1"/>
      <c r="BQ2347" s="1"/>
      <c r="BR2347" s="1"/>
      <c r="BS2347" s="1"/>
      <c r="BT2347" s="1"/>
      <c r="BU2347" s="1"/>
      <c r="BV2347" s="1"/>
      <c r="BW2347" s="1"/>
      <c r="BX2347" s="1"/>
      <c r="BY2347" s="1"/>
      <c r="BZ2347" s="1"/>
      <c r="CA2347" s="1"/>
      <c r="CB2347" s="1"/>
      <c r="CC2347" s="1"/>
      <c r="CD2347" s="1"/>
      <c r="CE2347" s="1"/>
      <c r="CF2347" s="1"/>
      <c r="CG2347" s="1"/>
      <c r="CH2347" s="1"/>
      <c r="CI2347" s="1"/>
      <c r="CJ2347" s="1"/>
      <c r="CK2347" s="1"/>
      <c r="CL2347" s="1"/>
      <c r="CM2347" s="1"/>
      <c r="CN2347" s="1"/>
      <c r="CO2347" s="1"/>
      <c r="CP2347" s="1"/>
      <c r="CQ2347" s="1"/>
      <c r="CR2347" s="1"/>
      <c r="CS2347" s="1"/>
      <c r="CT2347" s="1"/>
      <c r="CU2347" s="1"/>
      <c r="CV2347" s="1"/>
      <c r="CW2347" s="1"/>
      <c r="CX2347" s="1"/>
      <c r="CY2347" s="1"/>
      <c r="CZ2347" s="1"/>
      <c r="DA2347" s="1"/>
      <c r="DB2347" s="1"/>
      <c r="DC2347" s="1"/>
    </row>
    <row r="2348" spans="1:107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  <c r="AC2348" s="1"/>
      <c r="AD2348" s="1"/>
      <c r="AE2348" s="1"/>
      <c r="AF2348" s="1"/>
      <c r="AG2348" s="1"/>
      <c r="AH2348" s="1"/>
      <c r="AI2348" s="1"/>
      <c r="AJ2348" s="1"/>
      <c r="AK2348" s="1"/>
      <c r="AL2348" s="1"/>
      <c r="AM2348" s="1"/>
      <c r="AN2348" s="1"/>
      <c r="AO2348" s="1"/>
      <c r="AP2348" s="1"/>
      <c r="AQ2348" s="1"/>
      <c r="AR2348" s="1"/>
      <c r="AS2348" s="1"/>
      <c r="AT2348" s="1"/>
      <c r="AU2348" s="1"/>
      <c r="AV2348" s="1"/>
      <c r="AW2348" s="1"/>
      <c r="AX2348" s="1"/>
      <c r="AY2348" s="1"/>
      <c r="AZ2348" s="1"/>
      <c r="BA2348" s="1"/>
      <c r="BB2348" s="1"/>
      <c r="BC2348" s="1"/>
      <c r="BD2348" s="1"/>
      <c r="BE2348" s="1"/>
      <c r="BF2348" s="1"/>
      <c r="BG2348" s="1"/>
      <c r="BH2348" s="1"/>
      <c r="BI2348" s="1"/>
      <c r="BJ2348" s="1"/>
      <c r="BK2348" s="1"/>
      <c r="BL2348" s="1"/>
      <c r="BM2348" s="1"/>
      <c r="BN2348" s="1"/>
      <c r="BO2348" s="1"/>
      <c r="BP2348" s="1"/>
      <c r="BQ2348" s="1"/>
      <c r="BR2348" s="1"/>
      <c r="BS2348" s="1"/>
      <c r="BT2348" s="1"/>
      <c r="BU2348" s="1"/>
      <c r="BV2348" s="1"/>
      <c r="BW2348" s="1"/>
      <c r="BX2348" s="1"/>
      <c r="BY2348" s="1"/>
      <c r="BZ2348" s="1"/>
      <c r="CA2348" s="1"/>
      <c r="CB2348" s="1"/>
      <c r="CC2348" s="1"/>
      <c r="CD2348" s="1"/>
      <c r="CE2348" s="1"/>
      <c r="CF2348" s="1"/>
      <c r="CG2348" s="1"/>
      <c r="CH2348" s="1"/>
      <c r="CI2348" s="1"/>
      <c r="CJ2348" s="1"/>
      <c r="CK2348" s="1"/>
      <c r="CL2348" s="1"/>
      <c r="CM2348" s="1"/>
      <c r="CN2348" s="1"/>
      <c r="CO2348" s="1"/>
      <c r="CP2348" s="1"/>
      <c r="CQ2348" s="1"/>
      <c r="CR2348" s="1"/>
      <c r="CS2348" s="1"/>
      <c r="CT2348" s="1"/>
      <c r="CU2348" s="1"/>
      <c r="CV2348" s="1"/>
      <c r="CW2348" s="1"/>
      <c r="CX2348" s="1"/>
      <c r="CY2348" s="1"/>
      <c r="CZ2348" s="1"/>
      <c r="DA2348" s="1"/>
      <c r="DB2348" s="1"/>
      <c r="DC2348" s="1"/>
    </row>
    <row r="2349" spans="1:107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  <c r="AC2349" s="1"/>
      <c r="AD2349" s="1"/>
      <c r="AE2349" s="1"/>
      <c r="AF2349" s="1"/>
      <c r="AG2349" s="1"/>
      <c r="AH2349" s="1"/>
      <c r="AI2349" s="1"/>
      <c r="AJ2349" s="1"/>
      <c r="AK2349" s="1"/>
      <c r="AL2349" s="1"/>
      <c r="AM2349" s="1"/>
      <c r="AN2349" s="1"/>
      <c r="AO2349" s="1"/>
      <c r="AP2349" s="1"/>
      <c r="AQ2349" s="1"/>
      <c r="AR2349" s="1"/>
      <c r="AS2349" s="1"/>
      <c r="AT2349" s="1"/>
      <c r="AU2349" s="1"/>
      <c r="AV2349" s="1"/>
      <c r="AW2349" s="1"/>
      <c r="AX2349" s="1"/>
      <c r="AY2349" s="1"/>
      <c r="AZ2349" s="1"/>
      <c r="BA2349" s="1"/>
      <c r="BB2349" s="1"/>
      <c r="BC2349" s="1"/>
      <c r="BD2349" s="1"/>
      <c r="BE2349" s="1"/>
      <c r="BF2349" s="1"/>
      <c r="BG2349" s="1"/>
      <c r="BH2349" s="1"/>
      <c r="BI2349" s="1"/>
      <c r="BJ2349" s="1"/>
      <c r="BK2349" s="1"/>
      <c r="BL2349" s="1"/>
      <c r="BM2349" s="1"/>
      <c r="BN2349" s="1"/>
      <c r="BO2349" s="1"/>
      <c r="BP2349" s="1"/>
      <c r="BQ2349" s="1"/>
      <c r="BR2349" s="1"/>
      <c r="BS2349" s="1"/>
      <c r="BT2349" s="1"/>
      <c r="BU2349" s="1"/>
      <c r="BV2349" s="1"/>
      <c r="BW2349" s="1"/>
      <c r="BX2349" s="1"/>
      <c r="BY2349" s="1"/>
      <c r="BZ2349" s="1"/>
      <c r="CA2349" s="1"/>
      <c r="CB2349" s="1"/>
      <c r="CC2349" s="1"/>
      <c r="CD2349" s="1"/>
      <c r="CE2349" s="1"/>
      <c r="CF2349" s="1"/>
      <c r="CG2349" s="1"/>
      <c r="CH2349" s="1"/>
      <c r="CI2349" s="1"/>
      <c r="CJ2349" s="1"/>
      <c r="CK2349" s="1"/>
      <c r="CL2349" s="1"/>
      <c r="CM2349" s="1"/>
      <c r="CN2349" s="1"/>
      <c r="CO2349" s="1"/>
      <c r="CP2349" s="1"/>
      <c r="CQ2349" s="1"/>
      <c r="CR2349" s="1"/>
      <c r="CS2349" s="1"/>
      <c r="CT2349" s="1"/>
      <c r="CU2349" s="1"/>
      <c r="CV2349" s="1"/>
      <c r="CW2349" s="1"/>
      <c r="CX2349" s="1"/>
      <c r="CY2349" s="1"/>
      <c r="CZ2349" s="1"/>
      <c r="DA2349" s="1"/>
      <c r="DB2349" s="1"/>
      <c r="DC2349" s="1"/>
    </row>
    <row r="2350" spans="1:107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  <c r="AC2350" s="1"/>
      <c r="AD2350" s="1"/>
      <c r="AE2350" s="1"/>
      <c r="AF2350" s="1"/>
      <c r="AG2350" s="1"/>
      <c r="AH2350" s="1"/>
      <c r="AI2350" s="1"/>
      <c r="AJ2350" s="1"/>
      <c r="AK2350" s="1"/>
      <c r="AL2350" s="1"/>
      <c r="AM2350" s="1"/>
      <c r="AN2350" s="1"/>
      <c r="AO2350" s="1"/>
      <c r="AP2350" s="1"/>
      <c r="AQ2350" s="1"/>
      <c r="AR2350" s="1"/>
      <c r="AS2350" s="1"/>
      <c r="AT2350" s="1"/>
      <c r="AU2350" s="1"/>
      <c r="AV2350" s="1"/>
      <c r="AW2350" s="1"/>
      <c r="AX2350" s="1"/>
      <c r="AY2350" s="1"/>
      <c r="AZ2350" s="1"/>
      <c r="BA2350" s="1"/>
      <c r="BB2350" s="1"/>
      <c r="BC2350" s="1"/>
      <c r="BD2350" s="1"/>
      <c r="BE2350" s="1"/>
      <c r="BF2350" s="1"/>
      <c r="BG2350" s="1"/>
      <c r="BH2350" s="1"/>
      <c r="BI2350" s="1"/>
      <c r="BJ2350" s="1"/>
      <c r="BK2350" s="1"/>
      <c r="BL2350" s="1"/>
      <c r="BM2350" s="1"/>
      <c r="BN2350" s="1"/>
      <c r="BO2350" s="1"/>
      <c r="BP2350" s="1"/>
      <c r="BQ2350" s="1"/>
      <c r="BR2350" s="1"/>
      <c r="BS2350" s="1"/>
      <c r="BT2350" s="1"/>
      <c r="BU2350" s="1"/>
      <c r="BV2350" s="1"/>
      <c r="BW2350" s="1"/>
      <c r="BX2350" s="1"/>
      <c r="BY2350" s="1"/>
      <c r="BZ2350" s="1"/>
      <c r="CA2350" s="1"/>
      <c r="CB2350" s="1"/>
      <c r="CC2350" s="1"/>
      <c r="CD2350" s="1"/>
      <c r="CE2350" s="1"/>
      <c r="CF2350" s="1"/>
      <c r="CG2350" s="1"/>
      <c r="CH2350" s="1"/>
      <c r="CI2350" s="1"/>
      <c r="CJ2350" s="1"/>
      <c r="CK2350" s="1"/>
      <c r="CL2350" s="1"/>
      <c r="CM2350" s="1"/>
      <c r="CN2350" s="1"/>
      <c r="CO2350" s="1"/>
      <c r="CP2350" s="1"/>
      <c r="CQ2350" s="1"/>
      <c r="CR2350" s="1"/>
      <c r="CS2350" s="1"/>
      <c r="CT2350" s="1"/>
      <c r="CU2350" s="1"/>
      <c r="CV2350" s="1"/>
      <c r="CW2350" s="1"/>
      <c r="CX2350" s="1"/>
      <c r="CY2350" s="1"/>
      <c r="CZ2350" s="1"/>
      <c r="DA2350" s="1"/>
      <c r="DB2350" s="1"/>
      <c r="DC2350" s="1"/>
    </row>
    <row r="2351" spans="1:107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1"/>
      <c r="AD2351" s="1"/>
      <c r="AE2351" s="1"/>
      <c r="AF2351" s="1"/>
      <c r="AG2351" s="1"/>
      <c r="AH2351" s="1"/>
      <c r="AI2351" s="1"/>
      <c r="AJ2351" s="1"/>
      <c r="AK2351" s="1"/>
      <c r="AL2351" s="1"/>
      <c r="AM2351" s="1"/>
      <c r="AN2351" s="1"/>
      <c r="AO2351" s="1"/>
      <c r="AP2351" s="1"/>
      <c r="AQ2351" s="1"/>
      <c r="AR2351" s="1"/>
      <c r="AS2351" s="1"/>
      <c r="AT2351" s="1"/>
      <c r="AU2351" s="1"/>
      <c r="AV2351" s="1"/>
      <c r="AW2351" s="1"/>
      <c r="AX2351" s="1"/>
      <c r="AY2351" s="1"/>
      <c r="AZ2351" s="1"/>
      <c r="BA2351" s="1"/>
      <c r="BB2351" s="1"/>
      <c r="BC2351" s="1"/>
      <c r="BD2351" s="1"/>
      <c r="BE2351" s="1"/>
      <c r="BF2351" s="1"/>
      <c r="BG2351" s="1"/>
      <c r="BH2351" s="1"/>
      <c r="BI2351" s="1"/>
      <c r="BJ2351" s="1"/>
      <c r="BK2351" s="1"/>
      <c r="BL2351" s="1"/>
      <c r="BM2351" s="1"/>
      <c r="BN2351" s="1"/>
      <c r="BO2351" s="1"/>
      <c r="BP2351" s="1"/>
      <c r="BQ2351" s="1"/>
      <c r="BR2351" s="1"/>
      <c r="BS2351" s="1"/>
      <c r="BT2351" s="1"/>
      <c r="BU2351" s="1"/>
      <c r="BV2351" s="1"/>
      <c r="BW2351" s="1"/>
      <c r="BX2351" s="1"/>
      <c r="BY2351" s="1"/>
      <c r="BZ2351" s="1"/>
      <c r="CA2351" s="1"/>
      <c r="CB2351" s="1"/>
      <c r="CC2351" s="1"/>
      <c r="CD2351" s="1"/>
      <c r="CE2351" s="1"/>
      <c r="CF2351" s="1"/>
      <c r="CG2351" s="1"/>
      <c r="CH2351" s="1"/>
      <c r="CI2351" s="1"/>
      <c r="CJ2351" s="1"/>
      <c r="CK2351" s="1"/>
      <c r="CL2351" s="1"/>
      <c r="CM2351" s="1"/>
      <c r="CN2351" s="1"/>
      <c r="CO2351" s="1"/>
      <c r="CP2351" s="1"/>
      <c r="CQ2351" s="1"/>
      <c r="CR2351" s="1"/>
      <c r="CS2351" s="1"/>
      <c r="CT2351" s="1"/>
      <c r="CU2351" s="1"/>
      <c r="CV2351" s="1"/>
      <c r="CW2351" s="1"/>
      <c r="CX2351" s="1"/>
      <c r="CY2351" s="1"/>
      <c r="CZ2351" s="1"/>
      <c r="DA2351" s="1"/>
      <c r="DB2351" s="1"/>
      <c r="DC2351" s="1"/>
    </row>
    <row r="2352" spans="1:107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  <c r="AC2352" s="1"/>
      <c r="AD2352" s="1"/>
      <c r="AE2352" s="1"/>
      <c r="AF2352" s="1"/>
      <c r="AG2352" s="1"/>
      <c r="AH2352" s="1"/>
      <c r="AI2352" s="1"/>
      <c r="AJ2352" s="1"/>
      <c r="AK2352" s="1"/>
      <c r="AL2352" s="1"/>
      <c r="AM2352" s="1"/>
      <c r="AN2352" s="1"/>
      <c r="AO2352" s="1"/>
      <c r="AP2352" s="1"/>
      <c r="AQ2352" s="1"/>
      <c r="AR2352" s="1"/>
      <c r="AS2352" s="1"/>
      <c r="AT2352" s="1"/>
      <c r="AU2352" s="1"/>
      <c r="AV2352" s="1"/>
      <c r="AW2352" s="1"/>
      <c r="AX2352" s="1"/>
      <c r="AY2352" s="1"/>
      <c r="AZ2352" s="1"/>
      <c r="BA2352" s="1"/>
      <c r="BB2352" s="1"/>
      <c r="BC2352" s="1"/>
      <c r="BD2352" s="1"/>
      <c r="BE2352" s="1"/>
      <c r="BF2352" s="1"/>
      <c r="BG2352" s="1"/>
      <c r="BH2352" s="1"/>
      <c r="BI2352" s="1"/>
      <c r="BJ2352" s="1"/>
      <c r="BK2352" s="1"/>
      <c r="BL2352" s="1"/>
      <c r="BM2352" s="1"/>
      <c r="BN2352" s="1"/>
      <c r="BO2352" s="1"/>
      <c r="BP2352" s="1"/>
      <c r="BQ2352" s="1"/>
      <c r="BR2352" s="1"/>
      <c r="BS2352" s="1"/>
      <c r="BT2352" s="1"/>
      <c r="BU2352" s="1"/>
      <c r="BV2352" s="1"/>
      <c r="BW2352" s="1"/>
      <c r="BX2352" s="1"/>
      <c r="BY2352" s="1"/>
      <c r="BZ2352" s="1"/>
      <c r="CA2352" s="1"/>
      <c r="CB2352" s="1"/>
      <c r="CC2352" s="1"/>
      <c r="CD2352" s="1"/>
      <c r="CE2352" s="1"/>
      <c r="CF2352" s="1"/>
      <c r="CG2352" s="1"/>
      <c r="CH2352" s="1"/>
      <c r="CI2352" s="1"/>
      <c r="CJ2352" s="1"/>
      <c r="CK2352" s="1"/>
      <c r="CL2352" s="1"/>
      <c r="CM2352" s="1"/>
      <c r="CN2352" s="1"/>
      <c r="CO2352" s="1"/>
      <c r="CP2352" s="1"/>
      <c r="CQ2352" s="1"/>
      <c r="CR2352" s="1"/>
      <c r="CS2352" s="1"/>
      <c r="CT2352" s="1"/>
      <c r="CU2352" s="1"/>
      <c r="CV2352" s="1"/>
      <c r="CW2352" s="1"/>
      <c r="CX2352" s="1"/>
      <c r="CY2352" s="1"/>
      <c r="CZ2352" s="1"/>
      <c r="DA2352" s="1"/>
      <c r="DB2352" s="1"/>
      <c r="DC2352" s="1"/>
    </row>
    <row r="2353" spans="1:107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  <c r="AC2353" s="1"/>
      <c r="AD2353" s="1"/>
      <c r="AE2353" s="1"/>
      <c r="AF2353" s="1"/>
      <c r="AG2353" s="1"/>
      <c r="AH2353" s="1"/>
      <c r="AI2353" s="1"/>
      <c r="AJ2353" s="1"/>
      <c r="AK2353" s="1"/>
      <c r="AL2353" s="1"/>
      <c r="AM2353" s="1"/>
      <c r="AN2353" s="1"/>
      <c r="AO2353" s="1"/>
      <c r="AP2353" s="1"/>
      <c r="AQ2353" s="1"/>
      <c r="AR2353" s="1"/>
      <c r="AS2353" s="1"/>
      <c r="AT2353" s="1"/>
      <c r="AU2353" s="1"/>
      <c r="AV2353" s="1"/>
      <c r="AW2353" s="1"/>
      <c r="AX2353" s="1"/>
      <c r="AY2353" s="1"/>
      <c r="AZ2353" s="1"/>
      <c r="BA2353" s="1"/>
      <c r="BB2353" s="1"/>
      <c r="BC2353" s="1"/>
      <c r="BD2353" s="1"/>
      <c r="BE2353" s="1"/>
      <c r="BF2353" s="1"/>
      <c r="BG2353" s="1"/>
      <c r="BH2353" s="1"/>
      <c r="BI2353" s="1"/>
      <c r="BJ2353" s="1"/>
      <c r="BK2353" s="1"/>
      <c r="BL2353" s="1"/>
      <c r="BM2353" s="1"/>
      <c r="BN2353" s="1"/>
      <c r="BO2353" s="1"/>
      <c r="BP2353" s="1"/>
      <c r="BQ2353" s="1"/>
      <c r="BR2353" s="1"/>
      <c r="BS2353" s="1"/>
      <c r="BT2353" s="1"/>
      <c r="BU2353" s="1"/>
      <c r="BV2353" s="1"/>
      <c r="BW2353" s="1"/>
      <c r="BX2353" s="1"/>
      <c r="BY2353" s="1"/>
      <c r="BZ2353" s="1"/>
      <c r="CA2353" s="1"/>
      <c r="CB2353" s="1"/>
      <c r="CC2353" s="1"/>
      <c r="CD2353" s="1"/>
      <c r="CE2353" s="1"/>
      <c r="CF2353" s="1"/>
      <c r="CG2353" s="1"/>
      <c r="CH2353" s="1"/>
      <c r="CI2353" s="1"/>
      <c r="CJ2353" s="1"/>
      <c r="CK2353" s="1"/>
      <c r="CL2353" s="1"/>
      <c r="CM2353" s="1"/>
      <c r="CN2353" s="1"/>
      <c r="CO2353" s="1"/>
      <c r="CP2353" s="1"/>
      <c r="CQ2353" s="1"/>
      <c r="CR2353" s="1"/>
      <c r="CS2353" s="1"/>
      <c r="CT2353" s="1"/>
      <c r="CU2353" s="1"/>
      <c r="CV2353" s="1"/>
      <c r="CW2353" s="1"/>
      <c r="CX2353" s="1"/>
      <c r="CY2353" s="1"/>
      <c r="CZ2353" s="1"/>
      <c r="DA2353" s="1"/>
      <c r="DB2353" s="1"/>
      <c r="DC2353" s="1"/>
    </row>
    <row r="2354" spans="1:107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s="1"/>
      <c r="AD2354" s="1"/>
      <c r="AE2354" s="1"/>
      <c r="AF2354" s="1"/>
      <c r="AG2354" s="1"/>
      <c r="AH2354" s="1"/>
      <c r="AI2354" s="1"/>
      <c r="AJ2354" s="1"/>
      <c r="AK2354" s="1"/>
      <c r="AL2354" s="1"/>
      <c r="AM2354" s="1"/>
      <c r="AN2354" s="1"/>
      <c r="AO2354" s="1"/>
      <c r="AP2354" s="1"/>
      <c r="AQ2354" s="1"/>
      <c r="AR2354" s="1"/>
      <c r="AS2354" s="1"/>
      <c r="AT2354" s="1"/>
      <c r="AU2354" s="1"/>
      <c r="AV2354" s="1"/>
      <c r="AW2354" s="1"/>
      <c r="AX2354" s="1"/>
      <c r="AY2354" s="1"/>
      <c r="AZ2354" s="1"/>
      <c r="BA2354" s="1"/>
      <c r="BB2354" s="1"/>
      <c r="BC2354" s="1"/>
      <c r="BD2354" s="1"/>
      <c r="BE2354" s="1"/>
      <c r="BF2354" s="1"/>
      <c r="BG2354" s="1"/>
      <c r="BH2354" s="1"/>
      <c r="BI2354" s="1"/>
      <c r="BJ2354" s="1"/>
      <c r="BK2354" s="1"/>
      <c r="BL2354" s="1"/>
      <c r="BM2354" s="1"/>
      <c r="BN2354" s="1"/>
      <c r="BO2354" s="1"/>
      <c r="BP2354" s="1"/>
      <c r="BQ2354" s="1"/>
      <c r="BR2354" s="1"/>
      <c r="BS2354" s="1"/>
      <c r="BT2354" s="1"/>
      <c r="BU2354" s="1"/>
      <c r="BV2354" s="1"/>
      <c r="BW2354" s="1"/>
      <c r="BX2354" s="1"/>
      <c r="BY2354" s="1"/>
      <c r="BZ2354" s="1"/>
      <c r="CA2354" s="1"/>
      <c r="CB2354" s="1"/>
      <c r="CC2354" s="1"/>
      <c r="CD2354" s="1"/>
      <c r="CE2354" s="1"/>
      <c r="CF2354" s="1"/>
      <c r="CG2354" s="1"/>
      <c r="CH2354" s="1"/>
      <c r="CI2354" s="1"/>
      <c r="CJ2354" s="1"/>
      <c r="CK2354" s="1"/>
      <c r="CL2354" s="1"/>
      <c r="CM2354" s="1"/>
      <c r="CN2354" s="1"/>
      <c r="CO2354" s="1"/>
      <c r="CP2354" s="1"/>
      <c r="CQ2354" s="1"/>
      <c r="CR2354" s="1"/>
      <c r="CS2354" s="1"/>
      <c r="CT2354" s="1"/>
      <c r="CU2354" s="1"/>
      <c r="CV2354" s="1"/>
      <c r="CW2354" s="1"/>
      <c r="CX2354" s="1"/>
      <c r="CY2354" s="1"/>
      <c r="CZ2354" s="1"/>
      <c r="DA2354" s="1"/>
      <c r="DB2354" s="1"/>
      <c r="DC2354" s="1"/>
    </row>
    <row r="2355" spans="1:107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  <c r="AC2355" s="1"/>
      <c r="AD2355" s="1"/>
      <c r="AE2355" s="1"/>
      <c r="AF2355" s="1"/>
      <c r="AG2355" s="1"/>
      <c r="AH2355" s="1"/>
      <c r="AI2355" s="1"/>
      <c r="AJ2355" s="1"/>
      <c r="AK2355" s="1"/>
      <c r="AL2355" s="1"/>
      <c r="AM2355" s="1"/>
      <c r="AN2355" s="1"/>
      <c r="AO2355" s="1"/>
      <c r="AP2355" s="1"/>
      <c r="AQ2355" s="1"/>
      <c r="AR2355" s="1"/>
      <c r="AS2355" s="1"/>
      <c r="AT2355" s="1"/>
      <c r="AU2355" s="1"/>
      <c r="AV2355" s="1"/>
      <c r="AW2355" s="1"/>
      <c r="AX2355" s="1"/>
      <c r="AY2355" s="1"/>
      <c r="AZ2355" s="1"/>
      <c r="BA2355" s="1"/>
      <c r="BB2355" s="1"/>
      <c r="BC2355" s="1"/>
      <c r="BD2355" s="1"/>
      <c r="BE2355" s="1"/>
      <c r="BF2355" s="1"/>
      <c r="BG2355" s="1"/>
      <c r="BH2355" s="1"/>
      <c r="BI2355" s="1"/>
      <c r="BJ2355" s="1"/>
      <c r="BK2355" s="1"/>
      <c r="BL2355" s="1"/>
      <c r="BM2355" s="1"/>
      <c r="BN2355" s="1"/>
      <c r="BO2355" s="1"/>
      <c r="BP2355" s="1"/>
      <c r="BQ2355" s="1"/>
      <c r="BR2355" s="1"/>
      <c r="BS2355" s="1"/>
      <c r="BT2355" s="1"/>
      <c r="BU2355" s="1"/>
      <c r="BV2355" s="1"/>
      <c r="BW2355" s="1"/>
      <c r="BX2355" s="1"/>
      <c r="BY2355" s="1"/>
      <c r="BZ2355" s="1"/>
      <c r="CA2355" s="1"/>
      <c r="CB2355" s="1"/>
      <c r="CC2355" s="1"/>
      <c r="CD2355" s="1"/>
      <c r="CE2355" s="1"/>
      <c r="CF2355" s="1"/>
      <c r="CG2355" s="1"/>
      <c r="CH2355" s="1"/>
      <c r="CI2355" s="1"/>
      <c r="CJ2355" s="1"/>
      <c r="CK2355" s="1"/>
      <c r="CL2355" s="1"/>
      <c r="CM2355" s="1"/>
      <c r="CN2355" s="1"/>
      <c r="CO2355" s="1"/>
      <c r="CP2355" s="1"/>
      <c r="CQ2355" s="1"/>
      <c r="CR2355" s="1"/>
      <c r="CS2355" s="1"/>
      <c r="CT2355" s="1"/>
      <c r="CU2355" s="1"/>
      <c r="CV2355" s="1"/>
      <c r="CW2355" s="1"/>
      <c r="CX2355" s="1"/>
      <c r="CY2355" s="1"/>
      <c r="CZ2355" s="1"/>
      <c r="DA2355" s="1"/>
      <c r="DB2355" s="1"/>
      <c r="DC2355" s="1"/>
    </row>
    <row r="2356" spans="1:107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  <c r="AC2356" s="1"/>
      <c r="AD2356" s="1"/>
      <c r="AE2356" s="1"/>
      <c r="AF2356" s="1"/>
      <c r="AG2356" s="1"/>
      <c r="AH2356" s="1"/>
      <c r="AI2356" s="1"/>
      <c r="AJ2356" s="1"/>
      <c r="AK2356" s="1"/>
      <c r="AL2356" s="1"/>
      <c r="AM2356" s="1"/>
      <c r="AN2356" s="1"/>
      <c r="AO2356" s="1"/>
      <c r="AP2356" s="1"/>
      <c r="AQ2356" s="1"/>
      <c r="AR2356" s="1"/>
      <c r="AS2356" s="1"/>
      <c r="AT2356" s="1"/>
      <c r="AU2356" s="1"/>
      <c r="AV2356" s="1"/>
      <c r="AW2356" s="1"/>
      <c r="AX2356" s="1"/>
      <c r="AY2356" s="1"/>
      <c r="AZ2356" s="1"/>
      <c r="BA2356" s="1"/>
      <c r="BB2356" s="1"/>
      <c r="BC2356" s="1"/>
      <c r="BD2356" s="1"/>
      <c r="BE2356" s="1"/>
      <c r="BF2356" s="1"/>
      <c r="BG2356" s="1"/>
      <c r="BH2356" s="1"/>
      <c r="BI2356" s="1"/>
      <c r="BJ2356" s="1"/>
      <c r="BK2356" s="1"/>
      <c r="BL2356" s="1"/>
      <c r="BM2356" s="1"/>
      <c r="BN2356" s="1"/>
      <c r="BO2356" s="1"/>
      <c r="BP2356" s="1"/>
      <c r="BQ2356" s="1"/>
      <c r="BR2356" s="1"/>
      <c r="BS2356" s="1"/>
      <c r="BT2356" s="1"/>
      <c r="BU2356" s="1"/>
      <c r="BV2356" s="1"/>
      <c r="BW2356" s="1"/>
      <c r="BX2356" s="1"/>
      <c r="BY2356" s="1"/>
      <c r="BZ2356" s="1"/>
      <c r="CA2356" s="1"/>
      <c r="CB2356" s="1"/>
      <c r="CC2356" s="1"/>
      <c r="CD2356" s="1"/>
      <c r="CE2356" s="1"/>
      <c r="CF2356" s="1"/>
      <c r="CG2356" s="1"/>
      <c r="CH2356" s="1"/>
      <c r="CI2356" s="1"/>
      <c r="CJ2356" s="1"/>
      <c r="CK2356" s="1"/>
      <c r="CL2356" s="1"/>
      <c r="CM2356" s="1"/>
      <c r="CN2356" s="1"/>
      <c r="CO2356" s="1"/>
      <c r="CP2356" s="1"/>
      <c r="CQ2356" s="1"/>
      <c r="CR2356" s="1"/>
      <c r="CS2356" s="1"/>
      <c r="CT2356" s="1"/>
      <c r="CU2356" s="1"/>
      <c r="CV2356" s="1"/>
      <c r="CW2356" s="1"/>
      <c r="CX2356" s="1"/>
      <c r="CY2356" s="1"/>
      <c r="CZ2356" s="1"/>
      <c r="DA2356" s="1"/>
      <c r="DB2356" s="1"/>
      <c r="DC2356" s="1"/>
    </row>
    <row r="2357" spans="1:107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  <c r="AC2357" s="1"/>
      <c r="AD2357" s="1"/>
      <c r="AE2357" s="1"/>
      <c r="AF2357" s="1"/>
      <c r="AG2357" s="1"/>
      <c r="AH2357" s="1"/>
      <c r="AI2357" s="1"/>
      <c r="AJ2357" s="1"/>
      <c r="AK2357" s="1"/>
      <c r="AL2357" s="1"/>
      <c r="AM2357" s="1"/>
      <c r="AN2357" s="1"/>
      <c r="AO2357" s="1"/>
      <c r="AP2357" s="1"/>
      <c r="AQ2357" s="1"/>
      <c r="AR2357" s="1"/>
      <c r="AS2357" s="1"/>
      <c r="AT2357" s="1"/>
      <c r="AU2357" s="1"/>
      <c r="AV2357" s="1"/>
      <c r="AW2357" s="1"/>
      <c r="AX2357" s="1"/>
      <c r="AY2357" s="1"/>
      <c r="AZ2357" s="1"/>
      <c r="BA2357" s="1"/>
      <c r="BB2357" s="1"/>
      <c r="BC2357" s="1"/>
      <c r="BD2357" s="1"/>
      <c r="BE2357" s="1"/>
      <c r="BF2357" s="1"/>
      <c r="BG2357" s="1"/>
      <c r="BH2357" s="1"/>
      <c r="BI2357" s="1"/>
      <c r="BJ2357" s="1"/>
      <c r="BK2357" s="1"/>
      <c r="BL2357" s="1"/>
      <c r="BM2357" s="1"/>
      <c r="BN2357" s="1"/>
      <c r="BO2357" s="1"/>
      <c r="BP2357" s="1"/>
      <c r="BQ2357" s="1"/>
      <c r="BR2357" s="1"/>
      <c r="BS2357" s="1"/>
      <c r="BT2357" s="1"/>
      <c r="BU2357" s="1"/>
      <c r="BV2357" s="1"/>
      <c r="BW2357" s="1"/>
      <c r="BX2357" s="1"/>
      <c r="BY2357" s="1"/>
      <c r="BZ2357" s="1"/>
      <c r="CA2357" s="1"/>
      <c r="CB2357" s="1"/>
      <c r="CC2357" s="1"/>
      <c r="CD2357" s="1"/>
      <c r="CE2357" s="1"/>
      <c r="CF2357" s="1"/>
      <c r="CG2357" s="1"/>
      <c r="CH2357" s="1"/>
      <c r="CI2357" s="1"/>
      <c r="CJ2357" s="1"/>
      <c r="CK2357" s="1"/>
      <c r="CL2357" s="1"/>
      <c r="CM2357" s="1"/>
      <c r="CN2357" s="1"/>
      <c r="CO2357" s="1"/>
      <c r="CP2357" s="1"/>
      <c r="CQ2357" s="1"/>
      <c r="CR2357" s="1"/>
      <c r="CS2357" s="1"/>
      <c r="CT2357" s="1"/>
      <c r="CU2357" s="1"/>
      <c r="CV2357" s="1"/>
      <c r="CW2357" s="1"/>
      <c r="CX2357" s="1"/>
      <c r="CY2357" s="1"/>
      <c r="CZ2357" s="1"/>
      <c r="DA2357" s="1"/>
      <c r="DB2357" s="1"/>
      <c r="DC2357" s="1"/>
    </row>
    <row r="2358" spans="1:107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  <c r="AC2358" s="1"/>
      <c r="AD2358" s="1"/>
      <c r="AE2358" s="1"/>
      <c r="AF2358" s="1"/>
      <c r="AG2358" s="1"/>
      <c r="AH2358" s="1"/>
      <c r="AI2358" s="1"/>
      <c r="AJ2358" s="1"/>
      <c r="AK2358" s="1"/>
      <c r="AL2358" s="1"/>
      <c r="AM2358" s="1"/>
      <c r="AN2358" s="1"/>
      <c r="AO2358" s="1"/>
      <c r="AP2358" s="1"/>
      <c r="AQ2358" s="1"/>
      <c r="AR2358" s="1"/>
      <c r="AS2358" s="1"/>
      <c r="AT2358" s="1"/>
      <c r="AU2358" s="1"/>
      <c r="AV2358" s="1"/>
      <c r="AW2358" s="1"/>
      <c r="AX2358" s="1"/>
      <c r="AY2358" s="1"/>
      <c r="AZ2358" s="1"/>
      <c r="BA2358" s="1"/>
      <c r="BB2358" s="1"/>
      <c r="BC2358" s="1"/>
      <c r="BD2358" s="1"/>
      <c r="BE2358" s="1"/>
      <c r="BF2358" s="1"/>
      <c r="BG2358" s="1"/>
      <c r="BH2358" s="1"/>
      <c r="BI2358" s="1"/>
      <c r="BJ2358" s="1"/>
      <c r="BK2358" s="1"/>
      <c r="BL2358" s="1"/>
      <c r="BM2358" s="1"/>
      <c r="BN2358" s="1"/>
      <c r="BO2358" s="1"/>
      <c r="BP2358" s="1"/>
      <c r="BQ2358" s="1"/>
      <c r="BR2358" s="1"/>
      <c r="BS2358" s="1"/>
      <c r="BT2358" s="1"/>
      <c r="BU2358" s="1"/>
      <c r="BV2358" s="1"/>
      <c r="BW2358" s="1"/>
      <c r="BX2358" s="1"/>
      <c r="BY2358" s="1"/>
      <c r="BZ2358" s="1"/>
      <c r="CA2358" s="1"/>
      <c r="CB2358" s="1"/>
      <c r="CC2358" s="1"/>
      <c r="CD2358" s="1"/>
      <c r="CE2358" s="1"/>
      <c r="CF2358" s="1"/>
      <c r="CG2358" s="1"/>
      <c r="CH2358" s="1"/>
      <c r="CI2358" s="1"/>
      <c r="CJ2358" s="1"/>
      <c r="CK2358" s="1"/>
      <c r="CL2358" s="1"/>
      <c r="CM2358" s="1"/>
      <c r="CN2358" s="1"/>
      <c r="CO2358" s="1"/>
      <c r="CP2358" s="1"/>
      <c r="CQ2358" s="1"/>
      <c r="CR2358" s="1"/>
      <c r="CS2358" s="1"/>
      <c r="CT2358" s="1"/>
      <c r="CU2358" s="1"/>
      <c r="CV2358" s="1"/>
      <c r="CW2358" s="1"/>
      <c r="CX2358" s="1"/>
      <c r="CY2358" s="1"/>
      <c r="CZ2358" s="1"/>
      <c r="DA2358" s="1"/>
      <c r="DB2358" s="1"/>
      <c r="DC2358" s="1"/>
    </row>
    <row r="2359" spans="1:107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1"/>
      <c r="AD2359" s="1"/>
      <c r="AE2359" s="1"/>
      <c r="AF2359" s="1"/>
      <c r="AG2359" s="1"/>
      <c r="AH2359" s="1"/>
      <c r="AI2359" s="1"/>
      <c r="AJ2359" s="1"/>
      <c r="AK2359" s="1"/>
      <c r="AL2359" s="1"/>
      <c r="AM2359" s="1"/>
      <c r="AN2359" s="1"/>
      <c r="AO2359" s="1"/>
      <c r="AP2359" s="1"/>
      <c r="AQ2359" s="1"/>
      <c r="AR2359" s="1"/>
      <c r="AS2359" s="1"/>
      <c r="AT2359" s="1"/>
      <c r="AU2359" s="1"/>
      <c r="AV2359" s="1"/>
      <c r="AW2359" s="1"/>
      <c r="AX2359" s="1"/>
      <c r="AY2359" s="1"/>
      <c r="AZ2359" s="1"/>
      <c r="BA2359" s="1"/>
      <c r="BB2359" s="1"/>
      <c r="BC2359" s="1"/>
      <c r="BD2359" s="1"/>
      <c r="BE2359" s="1"/>
      <c r="BF2359" s="1"/>
      <c r="BG2359" s="1"/>
      <c r="BH2359" s="1"/>
      <c r="BI2359" s="1"/>
      <c r="BJ2359" s="1"/>
      <c r="BK2359" s="1"/>
      <c r="BL2359" s="1"/>
      <c r="BM2359" s="1"/>
      <c r="BN2359" s="1"/>
      <c r="BO2359" s="1"/>
      <c r="BP2359" s="1"/>
      <c r="BQ2359" s="1"/>
      <c r="BR2359" s="1"/>
      <c r="BS2359" s="1"/>
      <c r="BT2359" s="1"/>
      <c r="BU2359" s="1"/>
      <c r="BV2359" s="1"/>
      <c r="BW2359" s="1"/>
      <c r="BX2359" s="1"/>
      <c r="BY2359" s="1"/>
      <c r="BZ2359" s="1"/>
      <c r="CA2359" s="1"/>
      <c r="CB2359" s="1"/>
      <c r="CC2359" s="1"/>
      <c r="CD2359" s="1"/>
      <c r="CE2359" s="1"/>
      <c r="CF2359" s="1"/>
      <c r="CG2359" s="1"/>
      <c r="CH2359" s="1"/>
      <c r="CI2359" s="1"/>
      <c r="CJ2359" s="1"/>
      <c r="CK2359" s="1"/>
      <c r="CL2359" s="1"/>
      <c r="CM2359" s="1"/>
      <c r="CN2359" s="1"/>
      <c r="CO2359" s="1"/>
      <c r="CP2359" s="1"/>
      <c r="CQ2359" s="1"/>
      <c r="CR2359" s="1"/>
      <c r="CS2359" s="1"/>
      <c r="CT2359" s="1"/>
      <c r="CU2359" s="1"/>
      <c r="CV2359" s="1"/>
      <c r="CW2359" s="1"/>
      <c r="CX2359" s="1"/>
      <c r="CY2359" s="1"/>
      <c r="CZ2359" s="1"/>
      <c r="DA2359" s="1"/>
      <c r="DB2359" s="1"/>
      <c r="DC2359" s="1"/>
    </row>
    <row r="2360" spans="1:107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  <c r="AC2360" s="1"/>
      <c r="AD2360" s="1"/>
      <c r="AE2360" s="1"/>
      <c r="AF2360" s="1"/>
      <c r="AG2360" s="1"/>
      <c r="AH2360" s="1"/>
      <c r="AI2360" s="1"/>
      <c r="AJ2360" s="1"/>
      <c r="AK2360" s="1"/>
      <c r="AL2360" s="1"/>
      <c r="AM2360" s="1"/>
      <c r="AN2360" s="1"/>
      <c r="AO2360" s="1"/>
      <c r="AP2360" s="1"/>
      <c r="AQ2360" s="1"/>
      <c r="AR2360" s="1"/>
      <c r="AS2360" s="1"/>
      <c r="AT2360" s="1"/>
      <c r="AU2360" s="1"/>
      <c r="AV2360" s="1"/>
      <c r="AW2360" s="1"/>
      <c r="AX2360" s="1"/>
      <c r="AY2360" s="1"/>
      <c r="AZ2360" s="1"/>
      <c r="BA2360" s="1"/>
      <c r="BB2360" s="1"/>
      <c r="BC2360" s="1"/>
      <c r="BD2360" s="1"/>
      <c r="BE2360" s="1"/>
      <c r="BF2360" s="1"/>
      <c r="BG2360" s="1"/>
      <c r="BH2360" s="1"/>
      <c r="BI2360" s="1"/>
      <c r="BJ2360" s="1"/>
      <c r="BK2360" s="1"/>
      <c r="BL2360" s="1"/>
      <c r="BM2360" s="1"/>
      <c r="BN2360" s="1"/>
      <c r="BO2360" s="1"/>
      <c r="BP2360" s="1"/>
      <c r="BQ2360" s="1"/>
      <c r="BR2360" s="1"/>
      <c r="BS2360" s="1"/>
      <c r="BT2360" s="1"/>
      <c r="BU2360" s="1"/>
      <c r="BV2360" s="1"/>
      <c r="BW2360" s="1"/>
      <c r="BX2360" s="1"/>
      <c r="BY2360" s="1"/>
      <c r="BZ2360" s="1"/>
      <c r="CA2360" s="1"/>
      <c r="CB2360" s="1"/>
      <c r="CC2360" s="1"/>
      <c r="CD2360" s="1"/>
      <c r="CE2360" s="1"/>
      <c r="CF2360" s="1"/>
      <c r="CG2360" s="1"/>
      <c r="CH2360" s="1"/>
      <c r="CI2360" s="1"/>
      <c r="CJ2360" s="1"/>
      <c r="CK2360" s="1"/>
      <c r="CL2360" s="1"/>
      <c r="CM2360" s="1"/>
      <c r="CN2360" s="1"/>
      <c r="CO2360" s="1"/>
      <c r="CP2360" s="1"/>
      <c r="CQ2360" s="1"/>
      <c r="CR2360" s="1"/>
      <c r="CS2360" s="1"/>
      <c r="CT2360" s="1"/>
      <c r="CU2360" s="1"/>
      <c r="CV2360" s="1"/>
      <c r="CW2360" s="1"/>
      <c r="CX2360" s="1"/>
      <c r="CY2360" s="1"/>
      <c r="CZ2360" s="1"/>
      <c r="DA2360" s="1"/>
      <c r="DB2360" s="1"/>
      <c r="DC2360" s="1"/>
    </row>
    <row r="2361" spans="1:107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  <c r="AC2361" s="1"/>
      <c r="AD2361" s="1"/>
      <c r="AE2361" s="1"/>
      <c r="AF2361" s="1"/>
      <c r="AG2361" s="1"/>
      <c r="AH2361" s="1"/>
      <c r="AI2361" s="1"/>
      <c r="AJ2361" s="1"/>
      <c r="AK2361" s="1"/>
      <c r="AL2361" s="1"/>
      <c r="AM2361" s="1"/>
      <c r="AN2361" s="1"/>
      <c r="AO2361" s="1"/>
      <c r="AP2361" s="1"/>
      <c r="AQ2361" s="1"/>
      <c r="AR2361" s="1"/>
      <c r="AS2361" s="1"/>
      <c r="AT2361" s="1"/>
      <c r="AU2361" s="1"/>
      <c r="AV2361" s="1"/>
      <c r="AW2361" s="1"/>
      <c r="AX2361" s="1"/>
      <c r="AY2361" s="1"/>
      <c r="AZ2361" s="1"/>
      <c r="BA2361" s="1"/>
      <c r="BB2361" s="1"/>
      <c r="BC2361" s="1"/>
      <c r="BD2361" s="1"/>
      <c r="BE2361" s="1"/>
      <c r="BF2361" s="1"/>
      <c r="BG2361" s="1"/>
      <c r="BH2361" s="1"/>
      <c r="BI2361" s="1"/>
      <c r="BJ2361" s="1"/>
      <c r="BK2361" s="1"/>
      <c r="BL2361" s="1"/>
      <c r="BM2361" s="1"/>
      <c r="BN2361" s="1"/>
      <c r="BO2361" s="1"/>
      <c r="BP2361" s="1"/>
      <c r="BQ2361" s="1"/>
      <c r="BR2361" s="1"/>
      <c r="BS2361" s="1"/>
      <c r="BT2361" s="1"/>
      <c r="BU2361" s="1"/>
      <c r="BV2361" s="1"/>
      <c r="BW2361" s="1"/>
      <c r="BX2361" s="1"/>
      <c r="BY2361" s="1"/>
      <c r="BZ2361" s="1"/>
      <c r="CA2361" s="1"/>
      <c r="CB2361" s="1"/>
      <c r="CC2361" s="1"/>
      <c r="CD2361" s="1"/>
      <c r="CE2361" s="1"/>
      <c r="CF2361" s="1"/>
      <c r="CG2361" s="1"/>
      <c r="CH2361" s="1"/>
      <c r="CI2361" s="1"/>
      <c r="CJ2361" s="1"/>
      <c r="CK2361" s="1"/>
      <c r="CL2361" s="1"/>
      <c r="CM2361" s="1"/>
      <c r="CN2361" s="1"/>
      <c r="CO2361" s="1"/>
      <c r="CP2361" s="1"/>
      <c r="CQ2361" s="1"/>
      <c r="CR2361" s="1"/>
      <c r="CS2361" s="1"/>
      <c r="CT2361" s="1"/>
      <c r="CU2361" s="1"/>
      <c r="CV2361" s="1"/>
      <c r="CW2361" s="1"/>
      <c r="CX2361" s="1"/>
      <c r="CY2361" s="1"/>
      <c r="CZ2361" s="1"/>
      <c r="DA2361" s="1"/>
      <c r="DB2361" s="1"/>
      <c r="DC2361" s="1"/>
    </row>
    <row r="2362" spans="1:107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  <c r="AC2362" s="1"/>
      <c r="AD2362" s="1"/>
      <c r="AE2362" s="1"/>
      <c r="AF2362" s="1"/>
      <c r="AG2362" s="1"/>
      <c r="AH2362" s="1"/>
      <c r="AI2362" s="1"/>
      <c r="AJ2362" s="1"/>
      <c r="AK2362" s="1"/>
      <c r="AL2362" s="1"/>
      <c r="AM2362" s="1"/>
      <c r="AN2362" s="1"/>
      <c r="AO2362" s="1"/>
      <c r="AP2362" s="1"/>
      <c r="AQ2362" s="1"/>
      <c r="AR2362" s="1"/>
      <c r="AS2362" s="1"/>
      <c r="AT2362" s="1"/>
      <c r="AU2362" s="1"/>
      <c r="AV2362" s="1"/>
      <c r="AW2362" s="1"/>
      <c r="AX2362" s="1"/>
      <c r="AY2362" s="1"/>
      <c r="AZ2362" s="1"/>
      <c r="BA2362" s="1"/>
      <c r="BB2362" s="1"/>
      <c r="BC2362" s="1"/>
      <c r="BD2362" s="1"/>
      <c r="BE2362" s="1"/>
      <c r="BF2362" s="1"/>
      <c r="BG2362" s="1"/>
      <c r="BH2362" s="1"/>
      <c r="BI2362" s="1"/>
      <c r="BJ2362" s="1"/>
      <c r="BK2362" s="1"/>
      <c r="BL2362" s="1"/>
      <c r="BM2362" s="1"/>
      <c r="BN2362" s="1"/>
      <c r="BO2362" s="1"/>
      <c r="BP2362" s="1"/>
      <c r="BQ2362" s="1"/>
      <c r="BR2362" s="1"/>
      <c r="BS2362" s="1"/>
      <c r="BT2362" s="1"/>
      <c r="BU2362" s="1"/>
      <c r="BV2362" s="1"/>
      <c r="BW2362" s="1"/>
      <c r="BX2362" s="1"/>
      <c r="BY2362" s="1"/>
      <c r="BZ2362" s="1"/>
      <c r="CA2362" s="1"/>
      <c r="CB2362" s="1"/>
      <c r="CC2362" s="1"/>
      <c r="CD2362" s="1"/>
      <c r="CE2362" s="1"/>
      <c r="CF2362" s="1"/>
      <c r="CG2362" s="1"/>
      <c r="CH2362" s="1"/>
      <c r="CI2362" s="1"/>
      <c r="CJ2362" s="1"/>
      <c r="CK2362" s="1"/>
      <c r="CL2362" s="1"/>
      <c r="CM2362" s="1"/>
      <c r="CN2362" s="1"/>
      <c r="CO2362" s="1"/>
      <c r="CP2362" s="1"/>
      <c r="CQ2362" s="1"/>
      <c r="CR2362" s="1"/>
      <c r="CS2362" s="1"/>
      <c r="CT2362" s="1"/>
      <c r="CU2362" s="1"/>
      <c r="CV2362" s="1"/>
      <c r="CW2362" s="1"/>
      <c r="CX2362" s="1"/>
      <c r="CY2362" s="1"/>
      <c r="CZ2362" s="1"/>
      <c r="DA2362" s="1"/>
      <c r="DB2362" s="1"/>
      <c r="DC2362" s="1"/>
    </row>
    <row r="2363" spans="1:107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  <c r="AC2363" s="1"/>
      <c r="AD2363" s="1"/>
      <c r="AE2363" s="1"/>
      <c r="AF2363" s="1"/>
      <c r="AG2363" s="1"/>
      <c r="AH2363" s="1"/>
      <c r="AI2363" s="1"/>
      <c r="AJ2363" s="1"/>
      <c r="AK2363" s="1"/>
      <c r="AL2363" s="1"/>
      <c r="AM2363" s="1"/>
      <c r="AN2363" s="1"/>
      <c r="AO2363" s="1"/>
      <c r="AP2363" s="1"/>
      <c r="AQ2363" s="1"/>
      <c r="AR2363" s="1"/>
      <c r="AS2363" s="1"/>
      <c r="AT2363" s="1"/>
      <c r="AU2363" s="1"/>
      <c r="AV2363" s="1"/>
      <c r="AW2363" s="1"/>
      <c r="AX2363" s="1"/>
      <c r="AY2363" s="1"/>
      <c r="AZ2363" s="1"/>
      <c r="BA2363" s="1"/>
      <c r="BB2363" s="1"/>
      <c r="BC2363" s="1"/>
      <c r="BD2363" s="1"/>
      <c r="BE2363" s="1"/>
      <c r="BF2363" s="1"/>
      <c r="BG2363" s="1"/>
      <c r="BH2363" s="1"/>
      <c r="BI2363" s="1"/>
      <c r="BJ2363" s="1"/>
      <c r="BK2363" s="1"/>
      <c r="BL2363" s="1"/>
      <c r="BM2363" s="1"/>
      <c r="BN2363" s="1"/>
      <c r="BO2363" s="1"/>
      <c r="BP2363" s="1"/>
      <c r="BQ2363" s="1"/>
      <c r="BR2363" s="1"/>
      <c r="BS2363" s="1"/>
      <c r="BT2363" s="1"/>
      <c r="BU2363" s="1"/>
      <c r="BV2363" s="1"/>
      <c r="BW2363" s="1"/>
      <c r="BX2363" s="1"/>
      <c r="BY2363" s="1"/>
      <c r="BZ2363" s="1"/>
      <c r="CA2363" s="1"/>
      <c r="CB2363" s="1"/>
      <c r="CC2363" s="1"/>
      <c r="CD2363" s="1"/>
      <c r="CE2363" s="1"/>
      <c r="CF2363" s="1"/>
      <c r="CG2363" s="1"/>
      <c r="CH2363" s="1"/>
      <c r="CI2363" s="1"/>
      <c r="CJ2363" s="1"/>
      <c r="CK2363" s="1"/>
      <c r="CL2363" s="1"/>
      <c r="CM2363" s="1"/>
      <c r="CN2363" s="1"/>
      <c r="CO2363" s="1"/>
      <c r="CP2363" s="1"/>
      <c r="CQ2363" s="1"/>
      <c r="CR2363" s="1"/>
      <c r="CS2363" s="1"/>
      <c r="CT2363" s="1"/>
      <c r="CU2363" s="1"/>
      <c r="CV2363" s="1"/>
      <c r="CW2363" s="1"/>
      <c r="CX2363" s="1"/>
      <c r="CY2363" s="1"/>
      <c r="CZ2363" s="1"/>
      <c r="DA2363" s="1"/>
      <c r="DB2363" s="1"/>
      <c r="DC2363" s="1"/>
    </row>
    <row r="2364" spans="1:107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  <c r="AC2364" s="1"/>
      <c r="AD2364" s="1"/>
      <c r="AE2364" s="1"/>
      <c r="AF2364" s="1"/>
      <c r="AG2364" s="1"/>
      <c r="AH2364" s="1"/>
      <c r="AI2364" s="1"/>
      <c r="AJ2364" s="1"/>
      <c r="AK2364" s="1"/>
      <c r="AL2364" s="1"/>
      <c r="AM2364" s="1"/>
      <c r="AN2364" s="1"/>
      <c r="AO2364" s="1"/>
      <c r="AP2364" s="1"/>
      <c r="AQ2364" s="1"/>
      <c r="AR2364" s="1"/>
      <c r="AS2364" s="1"/>
      <c r="AT2364" s="1"/>
      <c r="AU2364" s="1"/>
      <c r="AV2364" s="1"/>
      <c r="AW2364" s="1"/>
      <c r="AX2364" s="1"/>
      <c r="AY2364" s="1"/>
      <c r="AZ2364" s="1"/>
      <c r="BA2364" s="1"/>
      <c r="BB2364" s="1"/>
      <c r="BC2364" s="1"/>
      <c r="BD2364" s="1"/>
      <c r="BE2364" s="1"/>
      <c r="BF2364" s="1"/>
      <c r="BG2364" s="1"/>
      <c r="BH2364" s="1"/>
      <c r="BI2364" s="1"/>
      <c r="BJ2364" s="1"/>
      <c r="BK2364" s="1"/>
      <c r="BL2364" s="1"/>
      <c r="BM2364" s="1"/>
      <c r="BN2364" s="1"/>
      <c r="BO2364" s="1"/>
      <c r="BP2364" s="1"/>
      <c r="BQ2364" s="1"/>
      <c r="BR2364" s="1"/>
      <c r="BS2364" s="1"/>
      <c r="BT2364" s="1"/>
      <c r="BU2364" s="1"/>
      <c r="BV2364" s="1"/>
      <c r="BW2364" s="1"/>
      <c r="BX2364" s="1"/>
      <c r="BY2364" s="1"/>
      <c r="BZ2364" s="1"/>
      <c r="CA2364" s="1"/>
      <c r="CB2364" s="1"/>
      <c r="CC2364" s="1"/>
      <c r="CD2364" s="1"/>
      <c r="CE2364" s="1"/>
      <c r="CF2364" s="1"/>
      <c r="CG2364" s="1"/>
      <c r="CH2364" s="1"/>
      <c r="CI2364" s="1"/>
      <c r="CJ2364" s="1"/>
      <c r="CK2364" s="1"/>
      <c r="CL2364" s="1"/>
      <c r="CM2364" s="1"/>
      <c r="CN2364" s="1"/>
      <c r="CO2364" s="1"/>
      <c r="CP2364" s="1"/>
      <c r="CQ2364" s="1"/>
      <c r="CR2364" s="1"/>
      <c r="CS2364" s="1"/>
      <c r="CT2364" s="1"/>
      <c r="CU2364" s="1"/>
      <c r="CV2364" s="1"/>
      <c r="CW2364" s="1"/>
      <c r="CX2364" s="1"/>
      <c r="CY2364" s="1"/>
      <c r="CZ2364" s="1"/>
      <c r="DA2364" s="1"/>
      <c r="DB2364" s="1"/>
      <c r="DC2364" s="1"/>
    </row>
    <row r="2365" spans="1:107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  <c r="AB2365" s="1"/>
      <c r="AC2365" s="1"/>
      <c r="AD2365" s="1"/>
      <c r="AE2365" s="1"/>
      <c r="AF2365" s="1"/>
      <c r="AG2365" s="1"/>
      <c r="AH2365" s="1"/>
      <c r="AI2365" s="1"/>
      <c r="AJ2365" s="1"/>
      <c r="AK2365" s="1"/>
      <c r="AL2365" s="1"/>
      <c r="AM2365" s="1"/>
      <c r="AN2365" s="1"/>
      <c r="AO2365" s="1"/>
      <c r="AP2365" s="1"/>
      <c r="AQ2365" s="1"/>
      <c r="AR2365" s="1"/>
      <c r="AS2365" s="1"/>
      <c r="AT2365" s="1"/>
      <c r="AU2365" s="1"/>
      <c r="AV2365" s="1"/>
      <c r="AW2365" s="1"/>
      <c r="AX2365" s="1"/>
      <c r="AY2365" s="1"/>
      <c r="AZ2365" s="1"/>
      <c r="BA2365" s="1"/>
      <c r="BB2365" s="1"/>
      <c r="BC2365" s="1"/>
      <c r="BD2365" s="1"/>
      <c r="BE2365" s="1"/>
      <c r="BF2365" s="1"/>
      <c r="BG2365" s="1"/>
      <c r="BH2365" s="1"/>
      <c r="BI2365" s="1"/>
      <c r="BJ2365" s="1"/>
      <c r="BK2365" s="1"/>
      <c r="BL2365" s="1"/>
      <c r="BM2365" s="1"/>
      <c r="BN2365" s="1"/>
      <c r="BO2365" s="1"/>
      <c r="BP2365" s="1"/>
      <c r="BQ2365" s="1"/>
      <c r="BR2365" s="1"/>
      <c r="BS2365" s="1"/>
      <c r="BT2365" s="1"/>
      <c r="BU2365" s="1"/>
      <c r="BV2365" s="1"/>
      <c r="BW2365" s="1"/>
      <c r="BX2365" s="1"/>
      <c r="BY2365" s="1"/>
      <c r="BZ2365" s="1"/>
      <c r="CA2365" s="1"/>
      <c r="CB2365" s="1"/>
      <c r="CC2365" s="1"/>
      <c r="CD2365" s="1"/>
      <c r="CE2365" s="1"/>
      <c r="CF2365" s="1"/>
      <c r="CG2365" s="1"/>
      <c r="CH2365" s="1"/>
      <c r="CI2365" s="1"/>
      <c r="CJ2365" s="1"/>
      <c r="CK2365" s="1"/>
      <c r="CL2365" s="1"/>
      <c r="CM2365" s="1"/>
      <c r="CN2365" s="1"/>
      <c r="CO2365" s="1"/>
      <c r="CP2365" s="1"/>
      <c r="CQ2365" s="1"/>
      <c r="CR2365" s="1"/>
      <c r="CS2365" s="1"/>
      <c r="CT2365" s="1"/>
      <c r="CU2365" s="1"/>
      <c r="CV2365" s="1"/>
      <c r="CW2365" s="1"/>
      <c r="CX2365" s="1"/>
      <c r="CY2365" s="1"/>
      <c r="CZ2365" s="1"/>
      <c r="DA2365" s="1"/>
      <c r="DB2365" s="1"/>
      <c r="DC2365" s="1"/>
    </row>
    <row r="2366" spans="1:107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  <c r="AC2366" s="1"/>
      <c r="AD2366" s="1"/>
      <c r="AE2366" s="1"/>
      <c r="AF2366" s="1"/>
      <c r="AG2366" s="1"/>
      <c r="AH2366" s="1"/>
      <c r="AI2366" s="1"/>
      <c r="AJ2366" s="1"/>
      <c r="AK2366" s="1"/>
      <c r="AL2366" s="1"/>
      <c r="AM2366" s="1"/>
      <c r="AN2366" s="1"/>
      <c r="AO2366" s="1"/>
      <c r="AP2366" s="1"/>
      <c r="AQ2366" s="1"/>
      <c r="AR2366" s="1"/>
      <c r="AS2366" s="1"/>
      <c r="AT2366" s="1"/>
      <c r="AU2366" s="1"/>
      <c r="AV2366" s="1"/>
      <c r="AW2366" s="1"/>
      <c r="AX2366" s="1"/>
      <c r="AY2366" s="1"/>
      <c r="AZ2366" s="1"/>
      <c r="BA2366" s="1"/>
      <c r="BB2366" s="1"/>
      <c r="BC2366" s="1"/>
      <c r="BD2366" s="1"/>
      <c r="BE2366" s="1"/>
      <c r="BF2366" s="1"/>
      <c r="BG2366" s="1"/>
      <c r="BH2366" s="1"/>
      <c r="BI2366" s="1"/>
      <c r="BJ2366" s="1"/>
      <c r="BK2366" s="1"/>
      <c r="BL2366" s="1"/>
      <c r="BM2366" s="1"/>
      <c r="BN2366" s="1"/>
      <c r="BO2366" s="1"/>
      <c r="BP2366" s="1"/>
      <c r="BQ2366" s="1"/>
      <c r="BR2366" s="1"/>
      <c r="BS2366" s="1"/>
      <c r="BT2366" s="1"/>
      <c r="BU2366" s="1"/>
      <c r="BV2366" s="1"/>
      <c r="BW2366" s="1"/>
      <c r="BX2366" s="1"/>
      <c r="BY2366" s="1"/>
      <c r="BZ2366" s="1"/>
      <c r="CA2366" s="1"/>
      <c r="CB2366" s="1"/>
      <c r="CC2366" s="1"/>
      <c r="CD2366" s="1"/>
      <c r="CE2366" s="1"/>
      <c r="CF2366" s="1"/>
      <c r="CG2366" s="1"/>
      <c r="CH2366" s="1"/>
      <c r="CI2366" s="1"/>
      <c r="CJ2366" s="1"/>
      <c r="CK2366" s="1"/>
      <c r="CL2366" s="1"/>
      <c r="CM2366" s="1"/>
      <c r="CN2366" s="1"/>
      <c r="CO2366" s="1"/>
      <c r="CP2366" s="1"/>
      <c r="CQ2366" s="1"/>
      <c r="CR2366" s="1"/>
      <c r="CS2366" s="1"/>
      <c r="CT2366" s="1"/>
      <c r="CU2366" s="1"/>
      <c r="CV2366" s="1"/>
      <c r="CW2366" s="1"/>
      <c r="CX2366" s="1"/>
      <c r="CY2366" s="1"/>
      <c r="CZ2366" s="1"/>
      <c r="DA2366" s="1"/>
      <c r="DB2366" s="1"/>
      <c r="DC2366" s="1"/>
    </row>
    <row r="2367" spans="1:107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  <c r="AC2367" s="1"/>
      <c r="AD2367" s="1"/>
      <c r="AE2367" s="1"/>
      <c r="AF2367" s="1"/>
      <c r="AG2367" s="1"/>
      <c r="AH2367" s="1"/>
      <c r="AI2367" s="1"/>
      <c r="AJ2367" s="1"/>
      <c r="AK2367" s="1"/>
      <c r="AL2367" s="1"/>
      <c r="AM2367" s="1"/>
      <c r="AN2367" s="1"/>
      <c r="AO2367" s="1"/>
      <c r="AP2367" s="1"/>
      <c r="AQ2367" s="1"/>
      <c r="AR2367" s="1"/>
      <c r="AS2367" s="1"/>
      <c r="AT2367" s="1"/>
      <c r="AU2367" s="1"/>
      <c r="AV2367" s="1"/>
      <c r="AW2367" s="1"/>
      <c r="AX2367" s="1"/>
      <c r="AY2367" s="1"/>
      <c r="AZ2367" s="1"/>
      <c r="BA2367" s="1"/>
      <c r="BB2367" s="1"/>
      <c r="BC2367" s="1"/>
      <c r="BD2367" s="1"/>
      <c r="BE2367" s="1"/>
      <c r="BF2367" s="1"/>
      <c r="BG2367" s="1"/>
      <c r="BH2367" s="1"/>
      <c r="BI2367" s="1"/>
      <c r="BJ2367" s="1"/>
      <c r="BK2367" s="1"/>
      <c r="BL2367" s="1"/>
      <c r="BM2367" s="1"/>
      <c r="BN2367" s="1"/>
      <c r="BO2367" s="1"/>
      <c r="BP2367" s="1"/>
      <c r="BQ2367" s="1"/>
      <c r="BR2367" s="1"/>
      <c r="BS2367" s="1"/>
      <c r="BT2367" s="1"/>
      <c r="BU2367" s="1"/>
      <c r="BV2367" s="1"/>
      <c r="BW2367" s="1"/>
      <c r="BX2367" s="1"/>
      <c r="BY2367" s="1"/>
      <c r="BZ2367" s="1"/>
      <c r="CA2367" s="1"/>
      <c r="CB2367" s="1"/>
      <c r="CC2367" s="1"/>
      <c r="CD2367" s="1"/>
      <c r="CE2367" s="1"/>
      <c r="CF2367" s="1"/>
      <c r="CG2367" s="1"/>
      <c r="CH2367" s="1"/>
      <c r="CI2367" s="1"/>
      <c r="CJ2367" s="1"/>
      <c r="CK2367" s="1"/>
      <c r="CL2367" s="1"/>
      <c r="CM2367" s="1"/>
      <c r="CN2367" s="1"/>
      <c r="CO2367" s="1"/>
      <c r="CP2367" s="1"/>
      <c r="CQ2367" s="1"/>
      <c r="CR2367" s="1"/>
      <c r="CS2367" s="1"/>
      <c r="CT2367" s="1"/>
      <c r="CU2367" s="1"/>
      <c r="CV2367" s="1"/>
      <c r="CW2367" s="1"/>
      <c r="CX2367" s="1"/>
      <c r="CY2367" s="1"/>
      <c r="CZ2367" s="1"/>
      <c r="DA2367" s="1"/>
      <c r="DB2367" s="1"/>
      <c r="DC2367" s="1"/>
    </row>
    <row r="2368" spans="1:107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  <c r="AC2368" s="1"/>
      <c r="AD2368" s="1"/>
      <c r="AE2368" s="1"/>
      <c r="AF2368" s="1"/>
      <c r="AG2368" s="1"/>
      <c r="AH2368" s="1"/>
      <c r="AI2368" s="1"/>
      <c r="AJ2368" s="1"/>
      <c r="AK2368" s="1"/>
      <c r="AL2368" s="1"/>
      <c r="AM2368" s="1"/>
      <c r="AN2368" s="1"/>
      <c r="AO2368" s="1"/>
      <c r="AP2368" s="1"/>
      <c r="AQ2368" s="1"/>
      <c r="AR2368" s="1"/>
      <c r="AS2368" s="1"/>
      <c r="AT2368" s="1"/>
      <c r="AU2368" s="1"/>
      <c r="AV2368" s="1"/>
      <c r="AW2368" s="1"/>
      <c r="AX2368" s="1"/>
      <c r="AY2368" s="1"/>
      <c r="AZ2368" s="1"/>
      <c r="BA2368" s="1"/>
      <c r="BB2368" s="1"/>
      <c r="BC2368" s="1"/>
      <c r="BD2368" s="1"/>
      <c r="BE2368" s="1"/>
      <c r="BF2368" s="1"/>
      <c r="BG2368" s="1"/>
      <c r="BH2368" s="1"/>
      <c r="BI2368" s="1"/>
      <c r="BJ2368" s="1"/>
      <c r="BK2368" s="1"/>
      <c r="BL2368" s="1"/>
      <c r="BM2368" s="1"/>
      <c r="BN2368" s="1"/>
      <c r="BO2368" s="1"/>
      <c r="BP2368" s="1"/>
      <c r="BQ2368" s="1"/>
      <c r="BR2368" s="1"/>
      <c r="BS2368" s="1"/>
      <c r="BT2368" s="1"/>
      <c r="BU2368" s="1"/>
      <c r="BV2368" s="1"/>
      <c r="BW2368" s="1"/>
      <c r="BX2368" s="1"/>
      <c r="BY2368" s="1"/>
      <c r="BZ2368" s="1"/>
      <c r="CA2368" s="1"/>
      <c r="CB2368" s="1"/>
      <c r="CC2368" s="1"/>
      <c r="CD2368" s="1"/>
      <c r="CE2368" s="1"/>
      <c r="CF2368" s="1"/>
      <c r="CG2368" s="1"/>
      <c r="CH2368" s="1"/>
      <c r="CI2368" s="1"/>
      <c r="CJ2368" s="1"/>
      <c r="CK2368" s="1"/>
      <c r="CL2368" s="1"/>
      <c r="CM2368" s="1"/>
      <c r="CN2368" s="1"/>
      <c r="CO2368" s="1"/>
      <c r="CP2368" s="1"/>
      <c r="CQ2368" s="1"/>
      <c r="CR2368" s="1"/>
      <c r="CS2368" s="1"/>
      <c r="CT2368" s="1"/>
      <c r="CU2368" s="1"/>
      <c r="CV2368" s="1"/>
      <c r="CW2368" s="1"/>
      <c r="CX2368" s="1"/>
      <c r="CY2368" s="1"/>
      <c r="CZ2368" s="1"/>
      <c r="DA2368" s="1"/>
      <c r="DB2368" s="1"/>
      <c r="DC2368" s="1"/>
    </row>
    <row r="2369" spans="1:107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  <c r="AC2369" s="1"/>
      <c r="AD2369" s="1"/>
      <c r="AE2369" s="1"/>
      <c r="AF2369" s="1"/>
      <c r="AG2369" s="1"/>
      <c r="AH2369" s="1"/>
      <c r="AI2369" s="1"/>
      <c r="AJ2369" s="1"/>
      <c r="AK2369" s="1"/>
      <c r="AL2369" s="1"/>
      <c r="AM2369" s="1"/>
      <c r="AN2369" s="1"/>
      <c r="AO2369" s="1"/>
      <c r="AP2369" s="1"/>
      <c r="AQ2369" s="1"/>
      <c r="AR2369" s="1"/>
      <c r="AS2369" s="1"/>
      <c r="AT2369" s="1"/>
      <c r="AU2369" s="1"/>
      <c r="AV2369" s="1"/>
      <c r="AW2369" s="1"/>
      <c r="AX2369" s="1"/>
      <c r="AY2369" s="1"/>
      <c r="AZ2369" s="1"/>
      <c r="BA2369" s="1"/>
      <c r="BB2369" s="1"/>
      <c r="BC2369" s="1"/>
      <c r="BD2369" s="1"/>
      <c r="BE2369" s="1"/>
      <c r="BF2369" s="1"/>
      <c r="BG2369" s="1"/>
      <c r="BH2369" s="1"/>
      <c r="BI2369" s="1"/>
      <c r="BJ2369" s="1"/>
      <c r="BK2369" s="1"/>
      <c r="BL2369" s="1"/>
      <c r="BM2369" s="1"/>
      <c r="BN2369" s="1"/>
      <c r="BO2369" s="1"/>
      <c r="BP2369" s="1"/>
      <c r="BQ2369" s="1"/>
      <c r="BR2369" s="1"/>
      <c r="BS2369" s="1"/>
      <c r="BT2369" s="1"/>
      <c r="BU2369" s="1"/>
      <c r="BV2369" s="1"/>
      <c r="BW2369" s="1"/>
      <c r="BX2369" s="1"/>
      <c r="BY2369" s="1"/>
      <c r="BZ2369" s="1"/>
      <c r="CA2369" s="1"/>
      <c r="CB2369" s="1"/>
      <c r="CC2369" s="1"/>
      <c r="CD2369" s="1"/>
      <c r="CE2369" s="1"/>
      <c r="CF2369" s="1"/>
      <c r="CG2369" s="1"/>
      <c r="CH2369" s="1"/>
      <c r="CI2369" s="1"/>
      <c r="CJ2369" s="1"/>
      <c r="CK2369" s="1"/>
      <c r="CL2369" s="1"/>
      <c r="CM2369" s="1"/>
      <c r="CN2369" s="1"/>
      <c r="CO2369" s="1"/>
      <c r="CP2369" s="1"/>
      <c r="CQ2369" s="1"/>
      <c r="CR2369" s="1"/>
      <c r="CS2369" s="1"/>
      <c r="CT2369" s="1"/>
      <c r="CU2369" s="1"/>
      <c r="CV2369" s="1"/>
      <c r="CW2369" s="1"/>
      <c r="CX2369" s="1"/>
      <c r="CY2369" s="1"/>
      <c r="CZ2369" s="1"/>
      <c r="DA2369" s="1"/>
      <c r="DB2369" s="1"/>
      <c r="DC2369" s="1"/>
    </row>
    <row r="2370" spans="1:107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  <c r="AC2370" s="1"/>
      <c r="AD2370" s="1"/>
      <c r="AE2370" s="1"/>
      <c r="AF2370" s="1"/>
      <c r="AG2370" s="1"/>
      <c r="AH2370" s="1"/>
      <c r="AI2370" s="1"/>
      <c r="AJ2370" s="1"/>
      <c r="AK2370" s="1"/>
      <c r="AL2370" s="1"/>
      <c r="AM2370" s="1"/>
      <c r="AN2370" s="1"/>
      <c r="AO2370" s="1"/>
      <c r="AP2370" s="1"/>
      <c r="AQ2370" s="1"/>
      <c r="AR2370" s="1"/>
      <c r="AS2370" s="1"/>
      <c r="AT2370" s="1"/>
      <c r="AU2370" s="1"/>
      <c r="AV2370" s="1"/>
      <c r="AW2370" s="1"/>
      <c r="AX2370" s="1"/>
      <c r="AY2370" s="1"/>
      <c r="AZ2370" s="1"/>
      <c r="BA2370" s="1"/>
      <c r="BB2370" s="1"/>
      <c r="BC2370" s="1"/>
      <c r="BD2370" s="1"/>
      <c r="BE2370" s="1"/>
      <c r="BF2370" s="1"/>
      <c r="BG2370" s="1"/>
      <c r="BH2370" s="1"/>
      <c r="BI2370" s="1"/>
      <c r="BJ2370" s="1"/>
      <c r="BK2370" s="1"/>
      <c r="BL2370" s="1"/>
      <c r="BM2370" s="1"/>
      <c r="BN2370" s="1"/>
      <c r="BO2370" s="1"/>
      <c r="BP2370" s="1"/>
      <c r="BQ2370" s="1"/>
      <c r="BR2370" s="1"/>
      <c r="BS2370" s="1"/>
      <c r="BT2370" s="1"/>
      <c r="BU2370" s="1"/>
      <c r="BV2370" s="1"/>
      <c r="BW2370" s="1"/>
      <c r="BX2370" s="1"/>
      <c r="BY2370" s="1"/>
      <c r="BZ2370" s="1"/>
      <c r="CA2370" s="1"/>
      <c r="CB2370" s="1"/>
      <c r="CC2370" s="1"/>
      <c r="CD2370" s="1"/>
      <c r="CE2370" s="1"/>
      <c r="CF2370" s="1"/>
      <c r="CG2370" s="1"/>
      <c r="CH2370" s="1"/>
      <c r="CI2370" s="1"/>
      <c r="CJ2370" s="1"/>
      <c r="CK2370" s="1"/>
      <c r="CL2370" s="1"/>
      <c r="CM2370" s="1"/>
      <c r="CN2370" s="1"/>
      <c r="CO2370" s="1"/>
      <c r="CP2370" s="1"/>
      <c r="CQ2370" s="1"/>
      <c r="CR2370" s="1"/>
      <c r="CS2370" s="1"/>
      <c r="CT2370" s="1"/>
      <c r="CU2370" s="1"/>
      <c r="CV2370" s="1"/>
      <c r="CW2370" s="1"/>
      <c r="CX2370" s="1"/>
      <c r="CY2370" s="1"/>
      <c r="CZ2370" s="1"/>
      <c r="DA2370" s="1"/>
      <c r="DB2370" s="1"/>
      <c r="DC2370" s="1"/>
    </row>
    <row r="2371" spans="1:107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  <c r="AC2371" s="1"/>
      <c r="AD2371" s="1"/>
      <c r="AE2371" s="1"/>
      <c r="AF2371" s="1"/>
      <c r="AG2371" s="1"/>
      <c r="AH2371" s="1"/>
      <c r="AI2371" s="1"/>
      <c r="AJ2371" s="1"/>
      <c r="AK2371" s="1"/>
      <c r="AL2371" s="1"/>
      <c r="AM2371" s="1"/>
      <c r="AN2371" s="1"/>
      <c r="AO2371" s="1"/>
      <c r="AP2371" s="1"/>
      <c r="AQ2371" s="1"/>
      <c r="AR2371" s="1"/>
      <c r="AS2371" s="1"/>
      <c r="AT2371" s="1"/>
      <c r="AU2371" s="1"/>
      <c r="AV2371" s="1"/>
      <c r="AW2371" s="1"/>
      <c r="AX2371" s="1"/>
      <c r="AY2371" s="1"/>
      <c r="AZ2371" s="1"/>
      <c r="BA2371" s="1"/>
      <c r="BB2371" s="1"/>
      <c r="BC2371" s="1"/>
      <c r="BD2371" s="1"/>
      <c r="BE2371" s="1"/>
      <c r="BF2371" s="1"/>
      <c r="BG2371" s="1"/>
      <c r="BH2371" s="1"/>
      <c r="BI2371" s="1"/>
      <c r="BJ2371" s="1"/>
      <c r="BK2371" s="1"/>
      <c r="BL2371" s="1"/>
      <c r="BM2371" s="1"/>
      <c r="BN2371" s="1"/>
      <c r="BO2371" s="1"/>
      <c r="BP2371" s="1"/>
      <c r="BQ2371" s="1"/>
      <c r="BR2371" s="1"/>
      <c r="BS2371" s="1"/>
      <c r="BT2371" s="1"/>
      <c r="BU2371" s="1"/>
      <c r="BV2371" s="1"/>
      <c r="BW2371" s="1"/>
      <c r="BX2371" s="1"/>
      <c r="BY2371" s="1"/>
      <c r="BZ2371" s="1"/>
      <c r="CA2371" s="1"/>
      <c r="CB2371" s="1"/>
      <c r="CC2371" s="1"/>
      <c r="CD2371" s="1"/>
      <c r="CE2371" s="1"/>
      <c r="CF2371" s="1"/>
      <c r="CG2371" s="1"/>
      <c r="CH2371" s="1"/>
      <c r="CI2371" s="1"/>
      <c r="CJ2371" s="1"/>
      <c r="CK2371" s="1"/>
      <c r="CL2371" s="1"/>
      <c r="CM2371" s="1"/>
      <c r="CN2371" s="1"/>
      <c r="CO2371" s="1"/>
      <c r="CP2371" s="1"/>
      <c r="CQ2371" s="1"/>
      <c r="CR2371" s="1"/>
      <c r="CS2371" s="1"/>
      <c r="CT2371" s="1"/>
      <c r="CU2371" s="1"/>
      <c r="CV2371" s="1"/>
      <c r="CW2371" s="1"/>
      <c r="CX2371" s="1"/>
      <c r="CY2371" s="1"/>
      <c r="CZ2371" s="1"/>
      <c r="DA2371" s="1"/>
      <c r="DB2371" s="1"/>
      <c r="DC2371" s="1"/>
    </row>
    <row r="2372" spans="1:107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  <c r="AC2372" s="1"/>
      <c r="AD2372" s="1"/>
      <c r="AE2372" s="1"/>
      <c r="AF2372" s="1"/>
      <c r="AG2372" s="1"/>
      <c r="AH2372" s="1"/>
      <c r="AI2372" s="1"/>
      <c r="AJ2372" s="1"/>
      <c r="AK2372" s="1"/>
      <c r="AL2372" s="1"/>
      <c r="AM2372" s="1"/>
      <c r="AN2372" s="1"/>
      <c r="AO2372" s="1"/>
      <c r="AP2372" s="1"/>
      <c r="AQ2372" s="1"/>
      <c r="AR2372" s="1"/>
      <c r="AS2372" s="1"/>
      <c r="AT2372" s="1"/>
      <c r="AU2372" s="1"/>
      <c r="AV2372" s="1"/>
      <c r="AW2372" s="1"/>
      <c r="AX2372" s="1"/>
      <c r="AY2372" s="1"/>
      <c r="AZ2372" s="1"/>
      <c r="BA2372" s="1"/>
      <c r="BB2372" s="1"/>
      <c r="BC2372" s="1"/>
      <c r="BD2372" s="1"/>
      <c r="BE2372" s="1"/>
      <c r="BF2372" s="1"/>
      <c r="BG2372" s="1"/>
      <c r="BH2372" s="1"/>
      <c r="BI2372" s="1"/>
      <c r="BJ2372" s="1"/>
      <c r="BK2372" s="1"/>
      <c r="BL2372" s="1"/>
      <c r="BM2372" s="1"/>
      <c r="BN2372" s="1"/>
      <c r="BO2372" s="1"/>
      <c r="BP2372" s="1"/>
      <c r="BQ2372" s="1"/>
      <c r="BR2372" s="1"/>
      <c r="BS2372" s="1"/>
      <c r="BT2372" s="1"/>
      <c r="BU2372" s="1"/>
      <c r="BV2372" s="1"/>
      <c r="BW2372" s="1"/>
      <c r="BX2372" s="1"/>
      <c r="BY2372" s="1"/>
      <c r="BZ2372" s="1"/>
      <c r="CA2372" s="1"/>
      <c r="CB2372" s="1"/>
      <c r="CC2372" s="1"/>
      <c r="CD2372" s="1"/>
      <c r="CE2372" s="1"/>
      <c r="CF2372" s="1"/>
      <c r="CG2372" s="1"/>
      <c r="CH2372" s="1"/>
      <c r="CI2372" s="1"/>
      <c r="CJ2372" s="1"/>
      <c r="CK2372" s="1"/>
      <c r="CL2372" s="1"/>
      <c r="CM2372" s="1"/>
      <c r="CN2372" s="1"/>
      <c r="CO2372" s="1"/>
      <c r="CP2372" s="1"/>
      <c r="CQ2372" s="1"/>
      <c r="CR2372" s="1"/>
      <c r="CS2372" s="1"/>
      <c r="CT2372" s="1"/>
      <c r="CU2372" s="1"/>
      <c r="CV2372" s="1"/>
      <c r="CW2372" s="1"/>
      <c r="CX2372" s="1"/>
      <c r="CY2372" s="1"/>
      <c r="CZ2372" s="1"/>
      <c r="DA2372" s="1"/>
      <c r="DB2372" s="1"/>
      <c r="DC2372" s="1"/>
    </row>
    <row r="2373" spans="1:107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  <c r="AC2373" s="1"/>
      <c r="AD2373" s="1"/>
      <c r="AE2373" s="1"/>
      <c r="AF2373" s="1"/>
      <c r="AG2373" s="1"/>
      <c r="AH2373" s="1"/>
      <c r="AI2373" s="1"/>
      <c r="AJ2373" s="1"/>
      <c r="AK2373" s="1"/>
      <c r="AL2373" s="1"/>
      <c r="AM2373" s="1"/>
      <c r="AN2373" s="1"/>
      <c r="AO2373" s="1"/>
      <c r="AP2373" s="1"/>
      <c r="AQ2373" s="1"/>
      <c r="AR2373" s="1"/>
      <c r="AS2373" s="1"/>
      <c r="AT2373" s="1"/>
      <c r="AU2373" s="1"/>
      <c r="AV2373" s="1"/>
      <c r="AW2373" s="1"/>
      <c r="AX2373" s="1"/>
      <c r="AY2373" s="1"/>
      <c r="AZ2373" s="1"/>
      <c r="BA2373" s="1"/>
      <c r="BB2373" s="1"/>
      <c r="BC2373" s="1"/>
      <c r="BD2373" s="1"/>
      <c r="BE2373" s="1"/>
      <c r="BF2373" s="1"/>
      <c r="BG2373" s="1"/>
      <c r="BH2373" s="1"/>
      <c r="BI2373" s="1"/>
      <c r="BJ2373" s="1"/>
      <c r="BK2373" s="1"/>
      <c r="BL2373" s="1"/>
      <c r="BM2373" s="1"/>
      <c r="BN2373" s="1"/>
      <c r="BO2373" s="1"/>
      <c r="BP2373" s="1"/>
      <c r="BQ2373" s="1"/>
      <c r="BR2373" s="1"/>
      <c r="BS2373" s="1"/>
      <c r="BT2373" s="1"/>
      <c r="BU2373" s="1"/>
      <c r="BV2373" s="1"/>
      <c r="BW2373" s="1"/>
      <c r="BX2373" s="1"/>
      <c r="BY2373" s="1"/>
      <c r="BZ2373" s="1"/>
      <c r="CA2373" s="1"/>
      <c r="CB2373" s="1"/>
      <c r="CC2373" s="1"/>
      <c r="CD2373" s="1"/>
      <c r="CE2373" s="1"/>
      <c r="CF2373" s="1"/>
      <c r="CG2373" s="1"/>
      <c r="CH2373" s="1"/>
      <c r="CI2373" s="1"/>
      <c r="CJ2373" s="1"/>
      <c r="CK2373" s="1"/>
      <c r="CL2373" s="1"/>
      <c r="CM2373" s="1"/>
      <c r="CN2373" s="1"/>
      <c r="CO2373" s="1"/>
      <c r="CP2373" s="1"/>
      <c r="CQ2373" s="1"/>
      <c r="CR2373" s="1"/>
      <c r="CS2373" s="1"/>
      <c r="CT2373" s="1"/>
      <c r="CU2373" s="1"/>
      <c r="CV2373" s="1"/>
      <c r="CW2373" s="1"/>
      <c r="CX2373" s="1"/>
      <c r="CY2373" s="1"/>
      <c r="CZ2373" s="1"/>
      <c r="DA2373" s="1"/>
      <c r="DB2373" s="1"/>
      <c r="DC2373" s="1"/>
    </row>
    <row r="2374" spans="1:107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1"/>
      <c r="AC2374" s="1"/>
      <c r="AD2374" s="1"/>
      <c r="AE2374" s="1"/>
      <c r="AF2374" s="1"/>
      <c r="AG2374" s="1"/>
      <c r="AH2374" s="1"/>
      <c r="AI2374" s="1"/>
      <c r="AJ2374" s="1"/>
      <c r="AK2374" s="1"/>
      <c r="AL2374" s="1"/>
      <c r="AM2374" s="1"/>
      <c r="AN2374" s="1"/>
      <c r="AO2374" s="1"/>
      <c r="AP2374" s="1"/>
      <c r="AQ2374" s="1"/>
      <c r="AR2374" s="1"/>
      <c r="AS2374" s="1"/>
      <c r="AT2374" s="1"/>
      <c r="AU2374" s="1"/>
      <c r="AV2374" s="1"/>
      <c r="AW2374" s="1"/>
      <c r="AX2374" s="1"/>
      <c r="AY2374" s="1"/>
      <c r="AZ2374" s="1"/>
      <c r="BA2374" s="1"/>
      <c r="BB2374" s="1"/>
      <c r="BC2374" s="1"/>
      <c r="BD2374" s="1"/>
      <c r="BE2374" s="1"/>
      <c r="BF2374" s="1"/>
      <c r="BG2374" s="1"/>
      <c r="BH2374" s="1"/>
      <c r="BI2374" s="1"/>
      <c r="BJ2374" s="1"/>
      <c r="BK2374" s="1"/>
      <c r="BL2374" s="1"/>
      <c r="BM2374" s="1"/>
      <c r="BN2374" s="1"/>
      <c r="BO2374" s="1"/>
      <c r="BP2374" s="1"/>
      <c r="BQ2374" s="1"/>
      <c r="BR2374" s="1"/>
      <c r="BS2374" s="1"/>
      <c r="BT2374" s="1"/>
      <c r="BU2374" s="1"/>
      <c r="BV2374" s="1"/>
      <c r="BW2374" s="1"/>
      <c r="BX2374" s="1"/>
      <c r="BY2374" s="1"/>
      <c r="BZ2374" s="1"/>
      <c r="CA2374" s="1"/>
      <c r="CB2374" s="1"/>
      <c r="CC2374" s="1"/>
      <c r="CD2374" s="1"/>
      <c r="CE2374" s="1"/>
      <c r="CF2374" s="1"/>
      <c r="CG2374" s="1"/>
      <c r="CH2374" s="1"/>
      <c r="CI2374" s="1"/>
      <c r="CJ2374" s="1"/>
      <c r="CK2374" s="1"/>
      <c r="CL2374" s="1"/>
      <c r="CM2374" s="1"/>
      <c r="CN2374" s="1"/>
      <c r="CO2374" s="1"/>
      <c r="CP2374" s="1"/>
      <c r="CQ2374" s="1"/>
      <c r="CR2374" s="1"/>
      <c r="CS2374" s="1"/>
      <c r="CT2374" s="1"/>
      <c r="CU2374" s="1"/>
      <c r="CV2374" s="1"/>
      <c r="CW2374" s="1"/>
      <c r="CX2374" s="1"/>
      <c r="CY2374" s="1"/>
      <c r="CZ2374" s="1"/>
      <c r="DA2374" s="1"/>
      <c r="DB2374" s="1"/>
      <c r="DC2374" s="1"/>
    </row>
    <row r="2375" spans="1:107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  <c r="AC2375" s="1"/>
      <c r="AD2375" s="1"/>
      <c r="AE2375" s="1"/>
      <c r="AF2375" s="1"/>
      <c r="AG2375" s="1"/>
      <c r="AH2375" s="1"/>
      <c r="AI2375" s="1"/>
      <c r="AJ2375" s="1"/>
      <c r="AK2375" s="1"/>
      <c r="AL2375" s="1"/>
      <c r="AM2375" s="1"/>
      <c r="AN2375" s="1"/>
      <c r="AO2375" s="1"/>
      <c r="AP2375" s="1"/>
      <c r="AQ2375" s="1"/>
      <c r="AR2375" s="1"/>
      <c r="AS2375" s="1"/>
      <c r="AT2375" s="1"/>
      <c r="AU2375" s="1"/>
      <c r="AV2375" s="1"/>
      <c r="AW2375" s="1"/>
      <c r="AX2375" s="1"/>
      <c r="AY2375" s="1"/>
      <c r="AZ2375" s="1"/>
      <c r="BA2375" s="1"/>
      <c r="BB2375" s="1"/>
      <c r="BC2375" s="1"/>
      <c r="BD2375" s="1"/>
      <c r="BE2375" s="1"/>
      <c r="BF2375" s="1"/>
      <c r="BG2375" s="1"/>
      <c r="BH2375" s="1"/>
      <c r="BI2375" s="1"/>
      <c r="BJ2375" s="1"/>
      <c r="BK2375" s="1"/>
      <c r="BL2375" s="1"/>
      <c r="BM2375" s="1"/>
      <c r="BN2375" s="1"/>
      <c r="BO2375" s="1"/>
      <c r="BP2375" s="1"/>
      <c r="BQ2375" s="1"/>
      <c r="BR2375" s="1"/>
      <c r="BS2375" s="1"/>
      <c r="BT2375" s="1"/>
      <c r="BU2375" s="1"/>
      <c r="BV2375" s="1"/>
      <c r="BW2375" s="1"/>
      <c r="BX2375" s="1"/>
      <c r="BY2375" s="1"/>
      <c r="BZ2375" s="1"/>
      <c r="CA2375" s="1"/>
      <c r="CB2375" s="1"/>
      <c r="CC2375" s="1"/>
      <c r="CD2375" s="1"/>
      <c r="CE2375" s="1"/>
      <c r="CF2375" s="1"/>
      <c r="CG2375" s="1"/>
      <c r="CH2375" s="1"/>
      <c r="CI2375" s="1"/>
      <c r="CJ2375" s="1"/>
      <c r="CK2375" s="1"/>
      <c r="CL2375" s="1"/>
      <c r="CM2375" s="1"/>
      <c r="CN2375" s="1"/>
      <c r="CO2375" s="1"/>
      <c r="CP2375" s="1"/>
      <c r="CQ2375" s="1"/>
      <c r="CR2375" s="1"/>
      <c r="CS2375" s="1"/>
      <c r="CT2375" s="1"/>
      <c r="CU2375" s="1"/>
      <c r="CV2375" s="1"/>
      <c r="CW2375" s="1"/>
      <c r="CX2375" s="1"/>
      <c r="CY2375" s="1"/>
      <c r="CZ2375" s="1"/>
      <c r="DA2375" s="1"/>
      <c r="DB2375" s="1"/>
      <c r="DC2375" s="1"/>
    </row>
    <row r="2376" spans="1:107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  <c r="AC2376" s="1"/>
      <c r="AD2376" s="1"/>
      <c r="AE2376" s="1"/>
      <c r="AF2376" s="1"/>
      <c r="AG2376" s="1"/>
      <c r="AH2376" s="1"/>
      <c r="AI2376" s="1"/>
      <c r="AJ2376" s="1"/>
      <c r="AK2376" s="1"/>
      <c r="AL2376" s="1"/>
      <c r="AM2376" s="1"/>
      <c r="AN2376" s="1"/>
      <c r="AO2376" s="1"/>
      <c r="AP2376" s="1"/>
      <c r="AQ2376" s="1"/>
      <c r="AR2376" s="1"/>
      <c r="AS2376" s="1"/>
      <c r="AT2376" s="1"/>
      <c r="AU2376" s="1"/>
      <c r="AV2376" s="1"/>
      <c r="AW2376" s="1"/>
      <c r="AX2376" s="1"/>
      <c r="AY2376" s="1"/>
      <c r="AZ2376" s="1"/>
      <c r="BA2376" s="1"/>
      <c r="BB2376" s="1"/>
      <c r="BC2376" s="1"/>
      <c r="BD2376" s="1"/>
      <c r="BE2376" s="1"/>
      <c r="BF2376" s="1"/>
      <c r="BG2376" s="1"/>
      <c r="BH2376" s="1"/>
      <c r="BI2376" s="1"/>
      <c r="BJ2376" s="1"/>
      <c r="BK2376" s="1"/>
      <c r="BL2376" s="1"/>
      <c r="BM2376" s="1"/>
      <c r="BN2376" s="1"/>
      <c r="BO2376" s="1"/>
      <c r="BP2376" s="1"/>
      <c r="BQ2376" s="1"/>
      <c r="BR2376" s="1"/>
      <c r="BS2376" s="1"/>
      <c r="BT2376" s="1"/>
      <c r="BU2376" s="1"/>
      <c r="BV2376" s="1"/>
      <c r="BW2376" s="1"/>
      <c r="BX2376" s="1"/>
      <c r="BY2376" s="1"/>
      <c r="BZ2376" s="1"/>
      <c r="CA2376" s="1"/>
      <c r="CB2376" s="1"/>
      <c r="CC2376" s="1"/>
      <c r="CD2376" s="1"/>
      <c r="CE2376" s="1"/>
      <c r="CF2376" s="1"/>
      <c r="CG2376" s="1"/>
      <c r="CH2376" s="1"/>
      <c r="CI2376" s="1"/>
      <c r="CJ2376" s="1"/>
      <c r="CK2376" s="1"/>
      <c r="CL2376" s="1"/>
      <c r="CM2376" s="1"/>
      <c r="CN2376" s="1"/>
      <c r="CO2376" s="1"/>
      <c r="CP2376" s="1"/>
      <c r="CQ2376" s="1"/>
      <c r="CR2376" s="1"/>
      <c r="CS2376" s="1"/>
      <c r="CT2376" s="1"/>
      <c r="CU2376" s="1"/>
      <c r="CV2376" s="1"/>
      <c r="CW2376" s="1"/>
      <c r="CX2376" s="1"/>
      <c r="CY2376" s="1"/>
      <c r="CZ2376" s="1"/>
      <c r="DA2376" s="1"/>
      <c r="DB2376" s="1"/>
      <c r="DC2376" s="1"/>
    </row>
    <row r="2377" spans="1:107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1"/>
      <c r="AD2377" s="1"/>
      <c r="AE2377" s="1"/>
      <c r="AF2377" s="1"/>
      <c r="AG2377" s="1"/>
      <c r="AH2377" s="1"/>
      <c r="AI2377" s="1"/>
      <c r="AJ2377" s="1"/>
      <c r="AK2377" s="1"/>
      <c r="AL2377" s="1"/>
      <c r="AM2377" s="1"/>
      <c r="AN2377" s="1"/>
      <c r="AO2377" s="1"/>
      <c r="AP2377" s="1"/>
      <c r="AQ2377" s="1"/>
      <c r="AR2377" s="1"/>
      <c r="AS2377" s="1"/>
      <c r="AT2377" s="1"/>
      <c r="AU2377" s="1"/>
      <c r="AV2377" s="1"/>
      <c r="AW2377" s="1"/>
      <c r="AX2377" s="1"/>
      <c r="AY2377" s="1"/>
      <c r="AZ2377" s="1"/>
      <c r="BA2377" s="1"/>
      <c r="BB2377" s="1"/>
      <c r="BC2377" s="1"/>
      <c r="BD2377" s="1"/>
      <c r="BE2377" s="1"/>
      <c r="BF2377" s="1"/>
      <c r="BG2377" s="1"/>
      <c r="BH2377" s="1"/>
      <c r="BI2377" s="1"/>
      <c r="BJ2377" s="1"/>
      <c r="BK2377" s="1"/>
      <c r="BL2377" s="1"/>
      <c r="BM2377" s="1"/>
      <c r="BN2377" s="1"/>
      <c r="BO2377" s="1"/>
      <c r="BP2377" s="1"/>
      <c r="BQ2377" s="1"/>
      <c r="BR2377" s="1"/>
      <c r="BS2377" s="1"/>
      <c r="BT2377" s="1"/>
      <c r="BU2377" s="1"/>
      <c r="BV2377" s="1"/>
      <c r="BW2377" s="1"/>
      <c r="BX2377" s="1"/>
      <c r="BY2377" s="1"/>
      <c r="BZ2377" s="1"/>
      <c r="CA2377" s="1"/>
      <c r="CB2377" s="1"/>
      <c r="CC2377" s="1"/>
      <c r="CD2377" s="1"/>
      <c r="CE2377" s="1"/>
      <c r="CF2377" s="1"/>
      <c r="CG2377" s="1"/>
      <c r="CH2377" s="1"/>
      <c r="CI2377" s="1"/>
      <c r="CJ2377" s="1"/>
      <c r="CK2377" s="1"/>
      <c r="CL2377" s="1"/>
      <c r="CM2377" s="1"/>
      <c r="CN2377" s="1"/>
      <c r="CO2377" s="1"/>
      <c r="CP2377" s="1"/>
      <c r="CQ2377" s="1"/>
      <c r="CR2377" s="1"/>
      <c r="CS2377" s="1"/>
      <c r="CT2377" s="1"/>
      <c r="CU2377" s="1"/>
      <c r="CV2377" s="1"/>
      <c r="CW2377" s="1"/>
      <c r="CX2377" s="1"/>
      <c r="CY2377" s="1"/>
      <c r="CZ2377" s="1"/>
      <c r="DA2377" s="1"/>
      <c r="DB2377" s="1"/>
      <c r="DC2377" s="1"/>
    </row>
    <row r="2378" spans="1:107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  <c r="AC2378" s="1"/>
      <c r="AD2378" s="1"/>
      <c r="AE2378" s="1"/>
      <c r="AF2378" s="1"/>
      <c r="AG2378" s="1"/>
      <c r="AH2378" s="1"/>
      <c r="AI2378" s="1"/>
      <c r="AJ2378" s="1"/>
      <c r="AK2378" s="1"/>
      <c r="AL2378" s="1"/>
      <c r="AM2378" s="1"/>
      <c r="AN2378" s="1"/>
      <c r="AO2378" s="1"/>
      <c r="AP2378" s="1"/>
      <c r="AQ2378" s="1"/>
      <c r="AR2378" s="1"/>
      <c r="AS2378" s="1"/>
      <c r="AT2378" s="1"/>
      <c r="AU2378" s="1"/>
      <c r="AV2378" s="1"/>
      <c r="AW2378" s="1"/>
      <c r="AX2378" s="1"/>
      <c r="AY2378" s="1"/>
      <c r="AZ2378" s="1"/>
      <c r="BA2378" s="1"/>
      <c r="BB2378" s="1"/>
      <c r="BC2378" s="1"/>
      <c r="BD2378" s="1"/>
      <c r="BE2378" s="1"/>
      <c r="BF2378" s="1"/>
      <c r="BG2378" s="1"/>
      <c r="BH2378" s="1"/>
      <c r="BI2378" s="1"/>
      <c r="BJ2378" s="1"/>
      <c r="BK2378" s="1"/>
      <c r="BL2378" s="1"/>
      <c r="BM2378" s="1"/>
      <c r="BN2378" s="1"/>
      <c r="BO2378" s="1"/>
      <c r="BP2378" s="1"/>
      <c r="BQ2378" s="1"/>
      <c r="BR2378" s="1"/>
      <c r="BS2378" s="1"/>
      <c r="BT2378" s="1"/>
      <c r="BU2378" s="1"/>
      <c r="BV2378" s="1"/>
      <c r="BW2378" s="1"/>
      <c r="BX2378" s="1"/>
      <c r="BY2378" s="1"/>
      <c r="BZ2378" s="1"/>
      <c r="CA2378" s="1"/>
      <c r="CB2378" s="1"/>
      <c r="CC2378" s="1"/>
      <c r="CD2378" s="1"/>
      <c r="CE2378" s="1"/>
      <c r="CF2378" s="1"/>
      <c r="CG2378" s="1"/>
      <c r="CH2378" s="1"/>
      <c r="CI2378" s="1"/>
      <c r="CJ2378" s="1"/>
      <c r="CK2378" s="1"/>
      <c r="CL2378" s="1"/>
      <c r="CM2378" s="1"/>
      <c r="CN2378" s="1"/>
      <c r="CO2378" s="1"/>
      <c r="CP2378" s="1"/>
      <c r="CQ2378" s="1"/>
      <c r="CR2378" s="1"/>
      <c r="CS2378" s="1"/>
      <c r="CT2378" s="1"/>
      <c r="CU2378" s="1"/>
      <c r="CV2378" s="1"/>
      <c r="CW2378" s="1"/>
      <c r="CX2378" s="1"/>
      <c r="CY2378" s="1"/>
      <c r="CZ2378" s="1"/>
      <c r="DA2378" s="1"/>
      <c r="DB2378" s="1"/>
      <c r="DC2378" s="1"/>
    </row>
    <row r="2379" spans="1:107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  <c r="AC2379" s="1"/>
      <c r="AD2379" s="1"/>
      <c r="AE2379" s="1"/>
      <c r="AF2379" s="1"/>
      <c r="AG2379" s="1"/>
      <c r="AH2379" s="1"/>
      <c r="AI2379" s="1"/>
      <c r="AJ2379" s="1"/>
      <c r="AK2379" s="1"/>
      <c r="AL2379" s="1"/>
      <c r="AM2379" s="1"/>
      <c r="AN2379" s="1"/>
      <c r="AO2379" s="1"/>
      <c r="AP2379" s="1"/>
      <c r="AQ2379" s="1"/>
      <c r="AR2379" s="1"/>
      <c r="AS2379" s="1"/>
      <c r="AT2379" s="1"/>
      <c r="AU2379" s="1"/>
      <c r="AV2379" s="1"/>
      <c r="AW2379" s="1"/>
      <c r="AX2379" s="1"/>
      <c r="AY2379" s="1"/>
      <c r="AZ2379" s="1"/>
      <c r="BA2379" s="1"/>
      <c r="BB2379" s="1"/>
      <c r="BC2379" s="1"/>
      <c r="BD2379" s="1"/>
      <c r="BE2379" s="1"/>
      <c r="BF2379" s="1"/>
      <c r="BG2379" s="1"/>
      <c r="BH2379" s="1"/>
      <c r="BI2379" s="1"/>
      <c r="BJ2379" s="1"/>
      <c r="BK2379" s="1"/>
      <c r="BL2379" s="1"/>
      <c r="BM2379" s="1"/>
      <c r="BN2379" s="1"/>
      <c r="BO2379" s="1"/>
      <c r="BP2379" s="1"/>
      <c r="BQ2379" s="1"/>
      <c r="BR2379" s="1"/>
      <c r="BS2379" s="1"/>
      <c r="BT2379" s="1"/>
      <c r="BU2379" s="1"/>
      <c r="BV2379" s="1"/>
      <c r="BW2379" s="1"/>
      <c r="BX2379" s="1"/>
      <c r="BY2379" s="1"/>
      <c r="BZ2379" s="1"/>
      <c r="CA2379" s="1"/>
      <c r="CB2379" s="1"/>
      <c r="CC2379" s="1"/>
      <c r="CD2379" s="1"/>
      <c r="CE2379" s="1"/>
      <c r="CF2379" s="1"/>
      <c r="CG2379" s="1"/>
      <c r="CH2379" s="1"/>
      <c r="CI2379" s="1"/>
      <c r="CJ2379" s="1"/>
      <c r="CK2379" s="1"/>
      <c r="CL2379" s="1"/>
      <c r="CM2379" s="1"/>
      <c r="CN2379" s="1"/>
      <c r="CO2379" s="1"/>
      <c r="CP2379" s="1"/>
      <c r="CQ2379" s="1"/>
      <c r="CR2379" s="1"/>
      <c r="CS2379" s="1"/>
      <c r="CT2379" s="1"/>
      <c r="CU2379" s="1"/>
      <c r="CV2379" s="1"/>
      <c r="CW2379" s="1"/>
      <c r="CX2379" s="1"/>
      <c r="CY2379" s="1"/>
      <c r="CZ2379" s="1"/>
      <c r="DA2379" s="1"/>
      <c r="DB2379" s="1"/>
      <c r="DC2379" s="1"/>
    </row>
    <row r="2380" spans="1:107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1"/>
      <c r="AD2380" s="1"/>
      <c r="AE2380" s="1"/>
      <c r="AF2380" s="1"/>
      <c r="AG2380" s="1"/>
      <c r="AH2380" s="1"/>
      <c r="AI2380" s="1"/>
      <c r="AJ2380" s="1"/>
      <c r="AK2380" s="1"/>
      <c r="AL2380" s="1"/>
      <c r="AM2380" s="1"/>
      <c r="AN2380" s="1"/>
      <c r="AO2380" s="1"/>
      <c r="AP2380" s="1"/>
      <c r="AQ2380" s="1"/>
      <c r="AR2380" s="1"/>
      <c r="AS2380" s="1"/>
      <c r="AT2380" s="1"/>
      <c r="AU2380" s="1"/>
      <c r="AV2380" s="1"/>
      <c r="AW2380" s="1"/>
      <c r="AX2380" s="1"/>
      <c r="AY2380" s="1"/>
      <c r="AZ2380" s="1"/>
      <c r="BA2380" s="1"/>
      <c r="BB2380" s="1"/>
      <c r="BC2380" s="1"/>
      <c r="BD2380" s="1"/>
      <c r="BE2380" s="1"/>
      <c r="BF2380" s="1"/>
      <c r="BG2380" s="1"/>
      <c r="BH2380" s="1"/>
      <c r="BI2380" s="1"/>
      <c r="BJ2380" s="1"/>
      <c r="BK2380" s="1"/>
      <c r="BL2380" s="1"/>
      <c r="BM2380" s="1"/>
      <c r="BN2380" s="1"/>
      <c r="BO2380" s="1"/>
      <c r="BP2380" s="1"/>
      <c r="BQ2380" s="1"/>
      <c r="BR2380" s="1"/>
      <c r="BS2380" s="1"/>
      <c r="BT2380" s="1"/>
      <c r="BU2380" s="1"/>
      <c r="BV2380" s="1"/>
      <c r="BW2380" s="1"/>
      <c r="BX2380" s="1"/>
      <c r="BY2380" s="1"/>
      <c r="BZ2380" s="1"/>
      <c r="CA2380" s="1"/>
      <c r="CB2380" s="1"/>
      <c r="CC2380" s="1"/>
      <c r="CD2380" s="1"/>
      <c r="CE2380" s="1"/>
      <c r="CF2380" s="1"/>
      <c r="CG2380" s="1"/>
      <c r="CH2380" s="1"/>
      <c r="CI2380" s="1"/>
      <c r="CJ2380" s="1"/>
      <c r="CK2380" s="1"/>
      <c r="CL2380" s="1"/>
      <c r="CM2380" s="1"/>
      <c r="CN2380" s="1"/>
      <c r="CO2380" s="1"/>
      <c r="CP2380" s="1"/>
      <c r="CQ2380" s="1"/>
      <c r="CR2380" s="1"/>
      <c r="CS2380" s="1"/>
      <c r="CT2380" s="1"/>
      <c r="CU2380" s="1"/>
      <c r="CV2380" s="1"/>
      <c r="CW2380" s="1"/>
      <c r="CX2380" s="1"/>
      <c r="CY2380" s="1"/>
      <c r="CZ2380" s="1"/>
      <c r="DA2380" s="1"/>
      <c r="DB2380" s="1"/>
      <c r="DC2380" s="1"/>
    </row>
    <row r="2381" spans="1:107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1"/>
      <c r="AD2381" s="1"/>
      <c r="AE2381" s="1"/>
      <c r="AF2381" s="1"/>
      <c r="AG2381" s="1"/>
      <c r="AH2381" s="1"/>
      <c r="AI2381" s="1"/>
      <c r="AJ2381" s="1"/>
      <c r="AK2381" s="1"/>
      <c r="AL2381" s="1"/>
      <c r="AM2381" s="1"/>
      <c r="AN2381" s="1"/>
      <c r="AO2381" s="1"/>
      <c r="AP2381" s="1"/>
      <c r="AQ2381" s="1"/>
      <c r="AR2381" s="1"/>
      <c r="AS2381" s="1"/>
      <c r="AT2381" s="1"/>
      <c r="AU2381" s="1"/>
      <c r="AV2381" s="1"/>
      <c r="AW2381" s="1"/>
      <c r="AX2381" s="1"/>
      <c r="AY2381" s="1"/>
      <c r="AZ2381" s="1"/>
      <c r="BA2381" s="1"/>
      <c r="BB2381" s="1"/>
      <c r="BC2381" s="1"/>
      <c r="BD2381" s="1"/>
      <c r="BE2381" s="1"/>
      <c r="BF2381" s="1"/>
      <c r="BG2381" s="1"/>
      <c r="BH2381" s="1"/>
      <c r="BI2381" s="1"/>
      <c r="BJ2381" s="1"/>
      <c r="BK2381" s="1"/>
      <c r="BL2381" s="1"/>
      <c r="BM2381" s="1"/>
      <c r="BN2381" s="1"/>
      <c r="BO2381" s="1"/>
      <c r="BP2381" s="1"/>
      <c r="BQ2381" s="1"/>
      <c r="BR2381" s="1"/>
      <c r="BS2381" s="1"/>
      <c r="BT2381" s="1"/>
      <c r="BU2381" s="1"/>
      <c r="BV2381" s="1"/>
      <c r="BW2381" s="1"/>
      <c r="BX2381" s="1"/>
      <c r="BY2381" s="1"/>
      <c r="BZ2381" s="1"/>
      <c r="CA2381" s="1"/>
      <c r="CB2381" s="1"/>
      <c r="CC2381" s="1"/>
      <c r="CD2381" s="1"/>
      <c r="CE2381" s="1"/>
      <c r="CF2381" s="1"/>
      <c r="CG2381" s="1"/>
      <c r="CH2381" s="1"/>
      <c r="CI2381" s="1"/>
      <c r="CJ2381" s="1"/>
      <c r="CK2381" s="1"/>
      <c r="CL2381" s="1"/>
      <c r="CM2381" s="1"/>
      <c r="CN2381" s="1"/>
      <c r="CO2381" s="1"/>
      <c r="CP2381" s="1"/>
      <c r="CQ2381" s="1"/>
      <c r="CR2381" s="1"/>
      <c r="CS2381" s="1"/>
      <c r="CT2381" s="1"/>
      <c r="CU2381" s="1"/>
      <c r="CV2381" s="1"/>
      <c r="CW2381" s="1"/>
      <c r="CX2381" s="1"/>
      <c r="CY2381" s="1"/>
      <c r="CZ2381" s="1"/>
      <c r="DA2381" s="1"/>
      <c r="DB2381" s="1"/>
      <c r="DC2381" s="1"/>
    </row>
    <row r="2382" spans="1:107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  <c r="AC2382" s="1"/>
      <c r="AD2382" s="1"/>
      <c r="AE2382" s="1"/>
      <c r="AF2382" s="1"/>
      <c r="AG2382" s="1"/>
      <c r="AH2382" s="1"/>
      <c r="AI2382" s="1"/>
      <c r="AJ2382" s="1"/>
      <c r="AK2382" s="1"/>
      <c r="AL2382" s="1"/>
      <c r="AM2382" s="1"/>
      <c r="AN2382" s="1"/>
      <c r="AO2382" s="1"/>
      <c r="AP2382" s="1"/>
      <c r="AQ2382" s="1"/>
      <c r="AR2382" s="1"/>
      <c r="AS2382" s="1"/>
      <c r="AT2382" s="1"/>
      <c r="AU2382" s="1"/>
      <c r="AV2382" s="1"/>
      <c r="AW2382" s="1"/>
      <c r="AX2382" s="1"/>
      <c r="AY2382" s="1"/>
      <c r="AZ2382" s="1"/>
      <c r="BA2382" s="1"/>
      <c r="BB2382" s="1"/>
      <c r="BC2382" s="1"/>
      <c r="BD2382" s="1"/>
      <c r="BE2382" s="1"/>
      <c r="BF2382" s="1"/>
      <c r="BG2382" s="1"/>
      <c r="BH2382" s="1"/>
      <c r="BI2382" s="1"/>
      <c r="BJ2382" s="1"/>
      <c r="BK2382" s="1"/>
      <c r="BL2382" s="1"/>
      <c r="BM2382" s="1"/>
      <c r="BN2382" s="1"/>
      <c r="BO2382" s="1"/>
      <c r="BP2382" s="1"/>
      <c r="BQ2382" s="1"/>
      <c r="BR2382" s="1"/>
      <c r="BS2382" s="1"/>
      <c r="BT2382" s="1"/>
      <c r="BU2382" s="1"/>
      <c r="BV2382" s="1"/>
      <c r="BW2382" s="1"/>
      <c r="BX2382" s="1"/>
      <c r="BY2382" s="1"/>
      <c r="BZ2382" s="1"/>
      <c r="CA2382" s="1"/>
      <c r="CB2382" s="1"/>
      <c r="CC2382" s="1"/>
      <c r="CD2382" s="1"/>
      <c r="CE2382" s="1"/>
      <c r="CF2382" s="1"/>
      <c r="CG2382" s="1"/>
      <c r="CH2382" s="1"/>
      <c r="CI2382" s="1"/>
      <c r="CJ2382" s="1"/>
      <c r="CK2382" s="1"/>
      <c r="CL2382" s="1"/>
      <c r="CM2382" s="1"/>
      <c r="CN2382" s="1"/>
      <c r="CO2382" s="1"/>
      <c r="CP2382" s="1"/>
      <c r="CQ2382" s="1"/>
      <c r="CR2382" s="1"/>
      <c r="CS2382" s="1"/>
      <c r="CT2382" s="1"/>
      <c r="CU2382" s="1"/>
      <c r="CV2382" s="1"/>
      <c r="CW2382" s="1"/>
      <c r="CX2382" s="1"/>
      <c r="CY2382" s="1"/>
      <c r="CZ2382" s="1"/>
      <c r="DA2382" s="1"/>
      <c r="DB2382" s="1"/>
      <c r="DC2382" s="1"/>
    </row>
    <row r="2383" spans="1:107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  <c r="AC2383" s="1"/>
      <c r="AD2383" s="1"/>
      <c r="AE2383" s="1"/>
      <c r="AF2383" s="1"/>
      <c r="AG2383" s="1"/>
      <c r="AH2383" s="1"/>
      <c r="AI2383" s="1"/>
      <c r="AJ2383" s="1"/>
      <c r="AK2383" s="1"/>
      <c r="AL2383" s="1"/>
      <c r="AM2383" s="1"/>
      <c r="AN2383" s="1"/>
      <c r="AO2383" s="1"/>
      <c r="AP2383" s="1"/>
      <c r="AQ2383" s="1"/>
      <c r="AR2383" s="1"/>
      <c r="AS2383" s="1"/>
      <c r="AT2383" s="1"/>
      <c r="AU2383" s="1"/>
      <c r="AV2383" s="1"/>
      <c r="AW2383" s="1"/>
      <c r="AX2383" s="1"/>
      <c r="AY2383" s="1"/>
      <c r="AZ2383" s="1"/>
      <c r="BA2383" s="1"/>
      <c r="BB2383" s="1"/>
      <c r="BC2383" s="1"/>
      <c r="BD2383" s="1"/>
      <c r="BE2383" s="1"/>
      <c r="BF2383" s="1"/>
      <c r="BG2383" s="1"/>
      <c r="BH2383" s="1"/>
      <c r="BI2383" s="1"/>
      <c r="BJ2383" s="1"/>
      <c r="BK2383" s="1"/>
      <c r="BL2383" s="1"/>
      <c r="BM2383" s="1"/>
      <c r="BN2383" s="1"/>
      <c r="BO2383" s="1"/>
      <c r="BP2383" s="1"/>
      <c r="BQ2383" s="1"/>
      <c r="BR2383" s="1"/>
      <c r="BS2383" s="1"/>
      <c r="BT2383" s="1"/>
      <c r="BU2383" s="1"/>
      <c r="BV2383" s="1"/>
      <c r="BW2383" s="1"/>
      <c r="BX2383" s="1"/>
      <c r="BY2383" s="1"/>
      <c r="BZ2383" s="1"/>
      <c r="CA2383" s="1"/>
      <c r="CB2383" s="1"/>
      <c r="CC2383" s="1"/>
      <c r="CD2383" s="1"/>
      <c r="CE2383" s="1"/>
      <c r="CF2383" s="1"/>
      <c r="CG2383" s="1"/>
      <c r="CH2383" s="1"/>
      <c r="CI2383" s="1"/>
      <c r="CJ2383" s="1"/>
      <c r="CK2383" s="1"/>
      <c r="CL2383" s="1"/>
      <c r="CM2383" s="1"/>
      <c r="CN2383" s="1"/>
      <c r="CO2383" s="1"/>
      <c r="CP2383" s="1"/>
      <c r="CQ2383" s="1"/>
      <c r="CR2383" s="1"/>
      <c r="CS2383" s="1"/>
      <c r="CT2383" s="1"/>
      <c r="CU2383" s="1"/>
      <c r="CV2383" s="1"/>
      <c r="CW2383" s="1"/>
      <c r="CX2383" s="1"/>
      <c r="CY2383" s="1"/>
      <c r="CZ2383" s="1"/>
      <c r="DA2383" s="1"/>
      <c r="DB2383" s="1"/>
      <c r="DC2383" s="1"/>
    </row>
    <row r="2384" spans="1:107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  <c r="AC2384" s="1"/>
      <c r="AD2384" s="1"/>
      <c r="AE2384" s="1"/>
      <c r="AF2384" s="1"/>
      <c r="AG2384" s="1"/>
      <c r="AH2384" s="1"/>
      <c r="AI2384" s="1"/>
      <c r="AJ2384" s="1"/>
      <c r="AK2384" s="1"/>
      <c r="AL2384" s="1"/>
      <c r="AM2384" s="1"/>
      <c r="AN2384" s="1"/>
      <c r="AO2384" s="1"/>
      <c r="AP2384" s="1"/>
      <c r="AQ2384" s="1"/>
      <c r="AR2384" s="1"/>
      <c r="AS2384" s="1"/>
      <c r="AT2384" s="1"/>
      <c r="AU2384" s="1"/>
      <c r="AV2384" s="1"/>
      <c r="AW2384" s="1"/>
      <c r="AX2384" s="1"/>
      <c r="AY2384" s="1"/>
      <c r="AZ2384" s="1"/>
      <c r="BA2384" s="1"/>
      <c r="BB2384" s="1"/>
      <c r="BC2384" s="1"/>
      <c r="BD2384" s="1"/>
      <c r="BE2384" s="1"/>
      <c r="BF2384" s="1"/>
      <c r="BG2384" s="1"/>
      <c r="BH2384" s="1"/>
      <c r="BI2384" s="1"/>
      <c r="BJ2384" s="1"/>
      <c r="BK2384" s="1"/>
      <c r="BL2384" s="1"/>
      <c r="BM2384" s="1"/>
      <c r="BN2384" s="1"/>
      <c r="BO2384" s="1"/>
      <c r="BP2384" s="1"/>
      <c r="BQ2384" s="1"/>
      <c r="BR2384" s="1"/>
      <c r="BS2384" s="1"/>
      <c r="BT2384" s="1"/>
      <c r="BU2384" s="1"/>
      <c r="BV2384" s="1"/>
      <c r="BW2384" s="1"/>
      <c r="BX2384" s="1"/>
      <c r="BY2384" s="1"/>
      <c r="BZ2384" s="1"/>
      <c r="CA2384" s="1"/>
      <c r="CB2384" s="1"/>
      <c r="CC2384" s="1"/>
      <c r="CD2384" s="1"/>
      <c r="CE2384" s="1"/>
      <c r="CF2384" s="1"/>
      <c r="CG2384" s="1"/>
      <c r="CH2384" s="1"/>
      <c r="CI2384" s="1"/>
      <c r="CJ2384" s="1"/>
      <c r="CK2384" s="1"/>
      <c r="CL2384" s="1"/>
      <c r="CM2384" s="1"/>
      <c r="CN2384" s="1"/>
      <c r="CO2384" s="1"/>
      <c r="CP2384" s="1"/>
      <c r="CQ2384" s="1"/>
      <c r="CR2384" s="1"/>
      <c r="CS2384" s="1"/>
      <c r="CT2384" s="1"/>
      <c r="CU2384" s="1"/>
      <c r="CV2384" s="1"/>
      <c r="CW2384" s="1"/>
      <c r="CX2384" s="1"/>
      <c r="CY2384" s="1"/>
      <c r="CZ2384" s="1"/>
      <c r="DA2384" s="1"/>
      <c r="DB2384" s="1"/>
      <c r="DC2384" s="1"/>
    </row>
    <row r="2385" spans="1:107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  <c r="AC2385" s="1"/>
      <c r="AD2385" s="1"/>
      <c r="AE2385" s="1"/>
      <c r="AF2385" s="1"/>
      <c r="AG2385" s="1"/>
      <c r="AH2385" s="1"/>
      <c r="AI2385" s="1"/>
      <c r="AJ2385" s="1"/>
      <c r="AK2385" s="1"/>
      <c r="AL2385" s="1"/>
      <c r="AM2385" s="1"/>
      <c r="AN2385" s="1"/>
      <c r="AO2385" s="1"/>
      <c r="AP2385" s="1"/>
      <c r="AQ2385" s="1"/>
      <c r="AR2385" s="1"/>
      <c r="AS2385" s="1"/>
      <c r="AT2385" s="1"/>
      <c r="AU2385" s="1"/>
      <c r="AV2385" s="1"/>
      <c r="AW2385" s="1"/>
      <c r="AX2385" s="1"/>
      <c r="AY2385" s="1"/>
      <c r="AZ2385" s="1"/>
      <c r="BA2385" s="1"/>
      <c r="BB2385" s="1"/>
      <c r="BC2385" s="1"/>
      <c r="BD2385" s="1"/>
      <c r="BE2385" s="1"/>
      <c r="BF2385" s="1"/>
      <c r="BG2385" s="1"/>
      <c r="BH2385" s="1"/>
      <c r="BI2385" s="1"/>
      <c r="BJ2385" s="1"/>
      <c r="BK2385" s="1"/>
      <c r="BL2385" s="1"/>
      <c r="BM2385" s="1"/>
      <c r="BN2385" s="1"/>
      <c r="BO2385" s="1"/>
      <c r="BP2385" s="1"/>
      <c r="BQ2385" s="1"/>
      <c r="BR2385" s="1"/>
      <c r="BS2385" s="1"/>
      <c r="BT2385" s="1"/>
      <c r="BU2385" s="1"/>
      <c r="BV2385" s="1"/>
      <c r="BW2385" s="1"/>
      <c r="BX2385" s="1"/>
      <c r="BY2385" s="1"/>
      <c r="BZ2385" s="1"/>
      <c r="CA2385" s="1"/>
      <c r="CB2385" s="1"/>
      <c r="CC2385" s="1"/>
      <c r="CD2385" s="1"/>
      <c r="CE2385" s="1"/>
      <c r="CF2385" s="1"/>
      <c r="CG2385" s="1"/>
      <c r="CH2385" s="1"/>
      <c r="CI2385" s="1"/>
      <c r="CJ2385" s="1"/>
      <c r="CK2385" s="1"/>
      <c r="CL2385" s="1"/>
      <c r="CM2385" s="1"/>
      <c r="CN2385" s="1"/>
      <c r="CO2385" s="1"/>
      <c r="CP2385" s="1"/>
      <c r="CQ2385" s="1"/>
      <c r="CR2385" s="1"/>
      <c r="CS2385" s="1"/>
      <c r="CT2385" s="1"/>
      <c r="CU2385" s="1"/>
      <c r="CV2385" s="1"/>
      <c r="CW2385" s="1"/>
      <c r="CX2385" s="1"/>
      <c r="CY2385" s="1"/>
      <c r="CZ2385" s="1"/>
      <c r="DA2385" s="1"/>
      <c r="DB2385" s="1"/>
      <c r="DC2385" s="1"/>
    </row>
    <row r="2386" spans="1:107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  <c r="AC2386" s="1"/>
      <c r="AD2386" s="1"/>
      <c r="AE2386" s="1"/>
      <c r="AF2386" s="1"/>
      <c r="AG2386" s="1"/>
      <c r="AH2386" s="1"/>
      <c r="AI2386" s="1"/>
      <c r="AJ2386" s="1"/>
      <c r="AK2386" s="1"/>
      <c r="AL2386" s="1"/>
      <c r="AM2386" s="1"/>
      <c r="AN2386" s="1"/>
      <c r="AO2386" s="1"/>
      <c r="AP2386" s="1"/>
      <c r="AQ2386" s="1"/>
      <c r="AR2386" s="1"/>
      <c r="AS2386" s="1"/>
      <c r="AT2386" s="1"/>
      <c r="AU2386" s="1"/>
      <c r="AV2386" s="1"/>
      <c r="AW2386" s="1"/>
      <c r="AX2386" s="1"/>
      <c r="AY2386" s="1"/>
      <c r="AZ2386" s="1"/>
      <c r="BA2386" s="1"/>
      <c r="BB2386" s="1"/>
      <c r="BC2386" s="1"/>
      <c r="BD2386" s="1"/>
      <c r="BE2386" s="1"/>
      <c r="BF2386" s="1"/>
      <c r="BG2386" s="1"/>
      <c r="BH2386" s="1"/>
      <c r="BI2386" s="1"/>
      <c r="BJ2386" s="1"/>
      <c r="BK2386" s="1"/>
      <c r="BL2386" s="1"/>
      <c r="BM2386" s="1"/>
      <c r="BN2386" s="1"/>
      <c r="BO2386" s="1"/>
      <c r="BP2386" s="1"/>
      <c r="BQ2386" s="1"/>
      <c r="BR2386" s="1"/>
      <c r="BS2386" s="1"/>
      <c r="BT2386" s="1"/>
      <c r="BU2386" s="1"/>
      <c r="BV2386" s="1"/>
      <c r="BW2386" s="1"/>
      <c r="BX2386" s="1"/>
      <c r="BY2386" s="1"/>
      <c r="BZ2386" s="1"/>
      <c r="CA2386" s="1"/>
      <c r="CB2386" s="1"/>
      <c r="CC2386" s="1"/>
      <c r="CD2386" s="1"/>
      <c r="CE2386" s="1"/>
      <c r="CF2386" s="1"/>
      <c r="CG2386" s="1"/>
      <c r="CH2386" s="1"/>
      <c r="CI2386" s="1"/>
      <c r="CJ2386" s="1"/>
      <c r="CK2386" s="1"/>
      <c r="CL2386" s="1"/>
      <c r="CM2386" s="1"/>
      <c r="CN2386" s="1"/>
      <c r="CO2386" s="1"/>
      <c r="CP2386" s="1"/>
      <c r="CQ2386" s="1"/>
      <c r="CR2386" s="1"/>
      <c r="CS2386" s="1"/>
      <c r="CT2386" s="1"/>
      <c r="CU2386" s="1"/>
      <c r="CV2386" s="1"/>
      <c r="CW2386" s="1"/>
      <c r="CX2386" s="1"/>
      <c r="CY2386" s="1"/>
      <c r="CZ2386" s="1"/>
      <c r="DA2386" s="1"/>
      <c r="DB2386" s="1"/>
      <c r="DC2386" s="1"/>
    </row>
    <row r="2387" spans="1:107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  <c r="AC2387" s="1"/>
      <c r="AD2387" s="1"/>
      <c r="AE2387" s="1"/>
      <c r="AF2387" s="1"/>
      <c r="AG2387" s="1"/>
      <c r="AH2387" s="1"/>
      <c r="AI2387" s="1"/>
      <c r="AJ2387" s="1"/>
      <c r="AK2387" s="1"/>
      <c r="AL2387" s="1"/>
      <c r="AM2387" s="1"/>
      <c r="AN2387" s="1"/>
      <c r="AO2387" s="1"/>
      <c r="AP2387" s="1"/>
      <c r="AQ2387" s="1"/>
      <c r="AR2387" s="1"/>
      <c r="AS2387" s="1"/>
      <c r="AT2387" s="1"/>
      <c r="AU2387" s="1"/>
      <c r="AV2387" s="1"/>
      <c r="AW2387" s="1"/>
      <c r="AX2387" s="1"/>
      <c r="AY2387" s="1"/>
      <c r="AZ2387" s="1"/>
      <c r="BA2387" s="1"/>
      <c r="BB2387" s="1"/>
      <c r="BC2387" s="1"/>
      <c r="BD2387" s="1"/>
      <c r="BE2387" s="1"/>
      <c r="BF2387" s="1"/>
      <c r="BG2387" s="1"/>
      <c r="BH2387" s="1"/>
      <c r="BI2387" s="1"/>
      <c r="BJ2387" s="1"/>
      <c r="BK2387" s="1"/>
      <c r="BL2387" s="1"/>
      <c r="BM2387" s="1"/>
      <c r="BN2387" s="1"/>
      <c r="BO2387" s="1"/>
      <c r="BP2387" s="1"/>
      <c r="BQ2387" s="1"/>
      <c r="BR2387" s="1"/>
      <c r="BS2387" s="1"/>
      <c r="BT2387" s="1"/>
      <c r="BU2387" s="1"/>
      <c r="BV2387" s="1"/>
      <c r="BW2387" s="1"/>
      <c r="BX2387" s="1"/>
      <c r="BY2387" s="1"/>
      <c r="BZ2387" s="1"/>
      <c r="CA2387" s="1"/>
      <c r="CB2387" s="1"/>
      <c r="CC2387" s="1"/>
      <c r="CD2387" s="1"/>
      <c r="CE2387" s="1"/>
      <c r="CF2387" s="1"/>
      <c r="CG2387" s="1"/>
      <c r="CH2387" s="1"/>
      <c r="CI2387" s="1"/>
      <c r="CJ2387" s="1"/>
      <c r="CK2387" s="1"/>
      <c r="CL2387" s="1"/>
      <c r="CM2387" s="1"/>
      <c r="CN2387" s="1"/>
      <c r="CO2387" s="1"/>
      <c r="CP2387" s="1"/>
      <c r="CQ2387" s="1"/>
      <c r="CR2387" s="1"/>
      <c r="CS2387" s="1"/>
      <c r="CT2387" s="1"/>
      <c r="CU2387" s="1"/>
      <c r="CV2387" s="1"/>
      <c r="CW2387" s="1"/>
      <c r="CX2387" s="1"/>
      <c r="CY2387" s="1"/>
      <c r="CZ2387" s="1"/>
      <c r="DA2387" s="1"/>
      <c r="DB2387" s="1"/>
      <c r="DC2387" s="1"/>
    </row>
    <row r="2388" spans="1:107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  <c r="AC2388" s="1"/>
      <c r="AD2388" s="1"/>
      <c r="AE2388" s="1"/>
      <c r="AF2388" s="1"/>
      <c r="AG2388" s="1"/>
      <c r="AH2388" s="1"/>
      <c r="AI2388" s="1"/>
      <c r="AJ2388" s="1"/>
      <c r="AK2388" s="1"/>
      <c r="AL2388" s="1"/>
      <c r="AM2388" s="1"/>
      <c r="AN2388" s="1"/>
      <c r="AO2388" s="1"/>
      <c r="AP2388" s="1"/>
      <c r="AQ2388" s="1"/>
      <c r="AR2388" s="1"/>
      <c r="AS2388" s="1"/>
      <c r="AT2388" s="1"/>
      <c r="AU2388" s="1"/>
      <c r="AV2388" s="1"/>
      <c r="AW2388" s="1"/>
      <c r="AX2388" s="1"/>
      <c r="AY2388" s="1"/>
      <c r="AZ2388" s="1"/>
      <c r="BA2388" s="1"/>
      <c r="BB2388" s="1"/>
      <c r="BC2388" s="1"/>
      <c r="BD2388" s="1"/>
      <c r="BE2388" s="1"/>
      <c r="BF2388" s="1"/>
      <c r="BG2388" s="1"/>
      <c r="BH2388" s="1"/>
      <c r="BI2388" s="1"/>
      <c r="BJ2388" s="1"/>
      <c r="BK2388" s="1"/>
      <c r="BL2388" s="1"/>
      <c r="BM2388" s="1"/>
      <c r="BN2388" s="1"/>
      <c r="BO2388" s="1"/>
      <c r="BP2388" s="1"/>
      <c r="BQ2388" s="1"/>
      <c r="BR2388" s="1"/>
      <c r="BS2388" s="1"/>
      <c r="BT2388" s="1"/>
      <c r="BU2388" s="1"/>
      <c r="BV2388" s="1"/>
      <c r="BW2388" s="1"/>
      <c r="BX2388" s="1"/>
      <c r="BY2388" s="1"/>
      <c r="BZ2388" s="1"/>
      <c r="CA2388" s="1"/>
      <c r="CB2388" s="1"/>
      <c r="CC2388" s="1"/>
      <c r="CD2388" s="1"/>
      <c r="CE2388" s="1"/>
      <c r="CF2388" s="1"/>
      <c r="CG2388" s="1"/>
      <c r="CH2388" s="1"/>
      <c r="CI2388" s="1"/>
      <c r="CJ2388" s="1"/>
      <c r="CK2388" s="1"/>
      <c r="CL2388" s="1"/>
      <c r="CM2388" s="1"/>
      <c r="CN2388" s="1"/>
      <c r="CO2388" s="1"/>
      <c r="CP2388" s="1"/>
      <c r="CQ2388" s="1"/>
      <c r="CR2388" s="1"/>
      <c r="CS2388" s="1"/>
      <c r="CT2388" s="1"/>
      <c r="CU2388" s="1"/>
      <c r="CV2388" s="1"/>
      <c r="CW2388" s="1"/>
      <c r="CX2388" s="1"/>
      <c r="CY2388" s="1"/>
      <c r="CZ2388" s="1"/>
      <c r="DA2388" s="1"/>
      <c r="DB2388" s="1"/>
      <c r="DC2388" s="1"/>
    </row>
    <row r="2389" spans="1:107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  <c r="AC2389" s="1"/>
      <c r="AD2389" s="1"/>
      <c r="AE2389" s="1"/>
      <c r="AF2389" s="1"/>
      <c r="AG2389" s="1"/>
      <c r="AH2389" s="1"/>
      <c r="AI2389" s="1"/>
      <c r="AJ2389" s="1"/>
      <c r="AK2389" s="1"/>
      <c r="AL2389" s="1"/>
      <c r="AM2389" s="1"/>
      <c r="AN2389" s="1"/>
      <c r="AO2389" s="1"/>
      <c r="AP2389" s="1"/>
      <c r="AQ2389" s="1"/>
      <c r="AR2389" s="1"/>
      <c r="AS2389" s="1"/>
      <c r="AT2389" s="1"/>
      <c r="AU2389" s="1"/>
      <c r="AV2389" s="1"/>
      <c r="AW2389" s="1"/>
      <c r="AX2389" s="1"/>
      <c r="AY2389" s="1"/>
      <c r="AZ2389" s="1"/>
      <c r="BA2389" s="1"/>
      <c r="BB2389" s="1"/>
      <c r="BC2389" s="1"/>
      <c r="BD2389" s="1"/>
      <c r="BE2389" s="1"/>
      <c r="BF2389" s="1"/>
      <c r="BG2389" s="1"/>
      <c r="BH2389" s="1"/>
      <c r="BI2389" s="1"/>
      <c r="BJ2389" s="1"/>
      <c r="BK2389" s="1"/>
      <c r="BL2389" s="1"/>
      <c r="BM2389" s="1"/>
      <c r="BN2389" s="1"/>
      <c r="BO2389" s="1"/>
      <c r="BP2389" s="1"/>
      <c r="BQ2389" s="1"/>
      <c r="BR2389" s="1"/>
      <c r="BS2389" s="1"/>
      <c r="BT2389" s="1"/>
      <c r="BU2389" s="1"/>
      <c r="BV2389" s="1"/>
      <c r="BW2389" s="1"/>
      <c r="BX2389" s="1"/>
      <c r="BY2389" s="1"/>
      <c r="BZ2389" s="1"/>
      <c r="CA2389" s="1"/>
      <c r="CB2389" s="1"/>
      <c r="CC2389" s="1"/>
      <c r="CD2389" s="1"/>
      <c r="CE2389" s="1"/>
      <c r="CF2389" s="1"/>
      <c r="CG2389" s="1"/>
      <c r="CH2389" s="1"/>
      <c r="CI2389" s="1"/>
      <c r="CJ2389" s="1"/>
      <c r="CK2389" s="1"/>
      <c r="CL2389" s="1"/>
      <c r="CM2389" s="1"/>
      <c r="CN2389" s="1"/>
      <c r="CO2389" s="1"/>
      <c r="CP2389" s="1"/>
      <c r="CQ2389" s="1"/>
      <c r="CR2389" s="1"/>
      <c r="CS2389" s="1"/>
      <c r="CT2389" s="1"/>
      <c r="CU2389" s="1"/>
      <c r="CV2389" s="1"/>
      <c r="CW2389" s="1"/>
      <c r="CX2389" s="1"/>
      <c r="CY2389" s="1"/>
      <c r="CZ2389" s="1"/>
      <c r="DA2389" s="1"/>
      <c r="DB2389" s="1"/>
      <c r="DC2389" s="1"/>
    </row>
    <row r="2390" spans="1:107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  <c r="AC2390" s="1"/>
      <c r="AD2390" s="1"/>
      <c r="AE2390" s="1"/>
      <c r="AF2390" s="1"/>
      <c r="AG2390" s="1"/>
      <c r="AH2390" s="1"/>
      <c r="AI2390" s="1"/>
      <c r="AJ2390" s="1"/>
      <c r="AK2390" s="1"/>
      <c r="AL2390" s="1"/>
      <c r="AM2390" s="1"/>
      <c r="AN2390" s="1"/>
      <c r="AO2390" s="1"/>
      <c r="AP2390" s="1"/>
      <c r="AQ2390" s="1"/>
      <c r="AR2390" s="1"/>
      <c r="AS2390" s="1"/>
      <c r="AT2390" s="1"/>
      <c r="AU2390" s="1"/>
      <c r="AV2390" s="1"/>
      <c r="AW2390" s="1"/>
      <c r="AX2390" s="1"/>
      <c r="AY2390" s="1"/>
      <c r="AZ2390" s="1"/>
      <c r="BA2390" s="1"/>
      <c r="BB2390" s="1"/>
      <c r="BC2390" s="1"/>
      <c r="BD2390" s="1"/>
      <c r="BE2390" s="1"/>
      <c r="BF2390" s="1"/>
      <c r="BG2390" s="1"/>
      <c r="BH2390" s="1"/>
      <c r="BI2390" s="1"/>
      <c r="BJ2390" s="1"/>
      <c r="BK2390" s="1"/>
      <c r="BL2390" s="1"/>
      <c r="BM2390" s="1"/>
      <c r="BN2390" s="1"/>
      <c r="BO2390" s="1"/>
      <c r="BP2390" s="1"/>
      <c r="BQ2390" s="1"/>
      <c r="BR2390" s="1"/>
      <c r="BS2390" s="1"/>
      <c r="BT2390" s="1"/>
      <c r="BU2390" s="1"/>
      <c r="BV2390" s="1"/>
      <c r="BW2390" s="1"/>
      <c r="BX2390" s="1"/>
      <c r="BY2390" s="1"/>
      <c r="BZ2390" s="1"/>
      <c r="CA2390" s="1"/>
      <c r="CB2390" s="1"/>
      <c r="CC2390" s="1"/>
      <c r="CD2390" s="1"/>
      <c r="CE2390" s="1"/>
      <c r="CF2390" s="1"/>
      <c r="CG2390" s="1"/>
      <c r="CH2390" s="1"/>
      <c r="CI2390" s="1"/>
      <c r="CJ2390" s="1"/>
      <c r="CK2390" s="1"/>
      <c r="CL2390" s="1"/>
      <c r="CM2390" s="1"/>
      <c r="CN2390" s="1"/>
      <c r="CO2390" s="1"/>
      <c r="CP2390" s="1"/>
      <c r="CQ2390" s="1"/>
      <c r="CR2390" s="1"/>
      <c r="CS2390" s="1"/>
      <c r="CT2390" s="1"/>
      <c r="CU2390" s="1"/>
      <c r="CV2390" s="1"/>
      <c r="CW2390" s="1"/>
      <c r="CX2390" s="1"/>
      <c r="CY2390" s="1"/>
      <c r="CZ2390" s="1"/>
      <c r="DA2390" s="1"/>
      <c r="DB2390" s="1"/>
      <c r="DC2390" s="1"/>
    </row>
    <row r="2391" spans="1:107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1"/>
      <c r="AD2391" s="1"/>
      <c r="AE2391" s="1"/>
      <c r="AF2391" s="1"/>
      <c r="AG2391" s="1"/>
      <c r="AH2391" s="1"/>
      <c r="AI2391" s="1"/>
      <c r="AJ2391" s="1"/>
      <c r="AK2391" s="1"/>
      <c r="AL2391" s="1"/>
      <c r="AM2391" s="1"/>
      <c r="AN2391" s="1"/>
      <c r="AO2391" s="1"/>
      <c r="AP2391" s="1"/>
      <c r="AQ2391" s="1"/>
      <c r="AR2391" s="1"/>
      <c r="AS2391" s="1"/>
      <c r="AT2391" s="1"/>
      <c r="AU2391" s="1"/>
      <c r="AV2391" s="1"/>
      <c r="AW2391" s="1"/>
      <c r="AX2391" s="1"/>
      <c r="AY2391" s="1"/>
      <c r="AZ2391" s="1"/>
      <c r="BA2391" s="1"/>
      <c r="BB2391" s="1"/>
      <c r="BC2391" s="1"/>
      <c r="BD2391" s="1"/>
      <c r="BE2391" s="1"/>
      <c r="BF2391" s="1"/>
      <c r="BG2391" s="1"/>
      <c r="BH2391" s="1"/>
      <c r="BI2391" s="1"/>
      <c r="BJ2391" s="1"/>
      <c r="BK2391" s="1"/>
      <c r="BL2391" s="1"/>
      <c r="BM2391" s="1"/>
      <c r="BN2391" s="1"/>
      <c r="BO2391" s="1"/>
      <c r="BP2391" s="1"/>
      <c r="BQ2391" s="1"/>
      <c r="BR2391" s="1"/>
      <c r="BS2391" s="1"/>
      <c r="BT2391" s="1"/>
      <c r="BU2391" s="1"/>
      <c r="BV2391" s="1"/>
      <c r="BW2391" s="1"/>
      <c r="BX2391" s="1"/>
      <c r="BY2391" s="1"/>
      <c r="BZ2391" s="1"/>
      <c r="CA2391" s="1"/>
      <c r="CB2391" s="1"/>
      <c r="CC2391" s="1"/>
      <c r="CD2391" s="1"/>
      <c r="CE2391" s="1"/>
      <c r="CF2391" s="1"/>
      <c r="CG2391" s="1"/>
      <c r="CH2391" s="1"/>
      <c r="CI2391" s="1"/>
      <c r="CJ2391" s="1"/>
      <c r="CK2391" s="1"/>
      <c r="CL2391" s="1"/>
      <c r="CM2391" s="1"/>
      <c r="CN2391" s="1"/>
      <c r="CO2391" s="1"/>
      <c r="CP2391" s="1"/>
      <c r="CQ2391" s="1"/>
      <c r="CR2391" s="1"/>
      <c r="CS2391" s="1"/>
      <c r="CT2391" s="1"/>
      <c r="CU2391" s="1"/>
      <c r="CV2391" s="1"/>
      <c r="CW2391" s="1"/>
      <c r="CX2391" s="1"/>
      <c r="CY2391" s="1"/>
      <c r="CZ2391" s="1"/>
      <c r="DA2391" s="1"/>
      <c r="DB2391" s="1"/>
      <c r="DC2391" s="1"/>
    </row>
    <row r="2392" spans="1:107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1"/>
      <c r="AD2392" s="1"/>
      <c r="AE2392" s="1"/>
      <c r="AF2392" s="1"/>
      <c r="AG2392" s="1"/>
      <c r="AH2392" s="1"/>
      <c r="AI2392" s="1"/>
      <c r="AJ2392" s="1"/>
      <c r="AK2392" s="1"/>
      <c r="AL2392" s="1"/>
      <c r="AM2392" s="1"/>
      <c r="AN2392" s="1"/>
      <c r="AO2392" s="1"/>
      <c r="AP2392" s="1"/>
      <c r="AQ2392" s="1"/>
      <c r="AR2392" s="1"/>
      <c r="AS2392" s="1"/>
      <c r="AT2392" s="1"/>
      <c r="AU2392" s="1"/>
      <c r="AV2392" s="1"/>
      <c r="AW2392" s="1"/>
      <c r="AX2392" s="1"/>
      <c r="AY2392" s="1"/>
      <c r="AZ2392" s="1"/>
      <c r="BA2392" s="1"/>
      <c r="BB2392" s="1"/>
      <c r="BC2392" s="1"/>
      <c r="BD2392" s="1"/>
      <c r="BE2392" s="1"/>
      <c r="BF2392" s="1"/>
      <c r="BG2392" s="1"/>
      <c r="BH2392" s="1"/>
      <c r="BI2392" s="1"/>
      <c r="BJ2392" s="1"/>
      <c r="BK2392" s="1"/>
      <c r="BL2392" s="1"/>
      <c r="BM2392" s="1"/>
      <c r="BN2392" s="1"/>
      <c r="BO2392" s="1"/>
      <c r="BP2392" s="1"/>
      <c r="BQ2392" s="1"/>
      <c r="BR2392" s="1"/>
      <c r="BS2392" s="1"/>
      <c r="BT2392" s="1"/>
      <c r="BU2392" s="1"/>
      <c r="BV2392" s="1"/>
      <c r="BW2392" s="1"/>
      <c r="BX2392" s="1"/>
      <c r="BY2392" s="1"/>
      <c r="BZ2392" s="1"/>
      <c r="CA2392" s="1"/>
      <c r="CB2392" s="1"/>
      <c r="CC2392" s="1"/>
      <c r="CD2392" s="1"/>
      <c r="CE2392" s="1"/>
      <c r="CF2392" s="1"/>
      <c r="CG2392" s="1"/>
      <c r="CH2392" s="1"/>
      <c r="CI2392" s="1"/>
      <c r="CJ2392" s="1"/>
      <c r="CK2392" s="1"/>
      <c r="CL2392" s="1"/>
      <c r="CM2392" s="1"/>
      <c r="CN2392" s="1"/>
      <c r="CO2392" s="1"/>
      <c r="CP2392" s="1"/>
      <c r="CQ2392" s="1"/>
      <c r="CR2392" s="1"/>
      <c r="CS2392" s="1"/>
      <c r="CT2392" s="1"/>
      <c r="CU2392" s="1"/>
      <c r="CV2392" s="1"/>
      <c r="CW2392" s="1"/>
      <c r="CX2392" s="1"/>
      <c r="CY2392" s="1"/>
      <c r="CZ2392" s="1"/>
      <c r="DA2392" s="1"/>
      <c r="DB2392" s="1"/>
      <c r="DC2392" s="1"/>
    </row>
    <row r="2393" spans="1:107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  <c r="AC2393" s="1"/>
      <c r="AD2393" s="1"/>
      <c r="AE2393" s="1"/>
      <c r="AF2393" s="1"/>
      <c r="AG2393" s="1"/>
      <c r="AH2393" s="1"/>
      <c r="AI2393" s="1"/>
      <c r="AJ2393" s="1"/>
      <c r="AK2393" s="1"/>
      <c r="AL2393" s="1"/>
      <c r="AM2393" s="1"/>
      <c r="AN2393" s="1"/>
      <c r="AO2393" s="1"/>
      <c r="AP2393" s="1"/>
      <c r="AQ2393" s="1"/>
      <c r="AR2393" s="1"/>
      <c r="AS2393" s="1"/>
      <c r="AT2393" s="1"/>
      <c r="AU2393" s="1"/>
      <c r="AV2393" s="1"/>
      <c r="AW2393" s="1"/>
      <c r="AX2393" s="1"/>
      <c r="AY2393" s="1"/>
      <c r="AZ2393" s="1"/>
      <c r="BA2393" s="1"/>
      <c r="BB2393" s="1"/>
      <c r="BC2393" s="1"/>
      <c r="BD2393" s="1"/>
      <c r="BE2393" s="1"/>
      <c r="BF2393" s="1"/>
      <c r="BG2393" s="1"/>
      <c r="BH2393" s="1"/>
      <c r="BI2393" s="1"/>
      <c r="BJ2393" s="1"/>
      <c r="BK2393" s="1"/>
      <c r="BL2393" s="1"/>
      <c r="BM2393" s="1"/>
      <c r="BN2393" s="1"/>
      <c r="BO2393" s="1"/>
      <c r="BP2393" s="1"/>
      <c r="BQ2393" s="1"/>
      <c r="BR2393" s="1"/>
      <c r="BS2393" s="1"/>
      <c r="BT2393" s="1"/>
      <c r="BU2393" s="1"/>
      <c r="BV2393" s="1"/>
      <c r="BW2393" s="1"/>
      <c r="BX2393" s="1"/>
      <c r="BY2393" s="1"/>
      <c r="BZ2393" s="1"/>
      <c r="CA2393" s="1"/>
      <c r="CB2393" s="1"/>
      <c r="CC2393" s="1"/>
      <c r="CD2393" s="1"/>
      <c r="CE2393" s="1"/>
      <c r="CF2393" s="1"/>
      <c r="CG2393" s="1"/>
      <c r="CH2393" s="1"/>
      <c r="CI2393" s="1"/>
      <c r="CJ2393" s="1"/>
      <c r="CK2393" s="1"/>
      <c r="CL2393" s="1"/>
      <c r="CM2393" s="1"/>
      <c r="CN2393" s="1"/>
      <c r="CO2393" s="1"/>
      <c r="CP2393" s="1"/>
      <c r="CQ2393" s="1"/>
      <c r="CR2393" s="1"/>
      <c r="CS2393" s="1"/>
      <c r="CT2393" s="1"/>
      <c r="CU2393" s="1"/>
      <c r="CV2393" s="1"/>
      <c r="CW2393" s="1"/>
      <c r="CX2393" s="1"/>
      <c r="CY2393" s="1"/>
      <c r="CZ2393" s="1"/>
      <c r="DA2393" s="1"/>
      <c r="DB2393" s="1"/>
      <c r="DC2393" s="1"/>
    </row>
    <row r="2394" spans="1:107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1"/>
      <c r="AC2394" s="1"/>
      <c r="AD2394" s="1"/>
      <c r="AE2394" s="1"/>
      <c r="AF2394" s="1"/>
      <c r="AG2394" s="1"/>
      <c r="AH2394" s="1"/>
      <c r="AI2394" s="1"/>
      <c r="AJ2394" s="1"/>
      <c r="AK2394" s="1"/>
      <c r="AL2394" s="1"/>
      <c r="AM2394" s="1"/>
      <c r="AN2394" s="1"/>
      <c r="AO2394" s="1"/>
      <c r="AP2394" s="1"/>
      <c r="AQ2394" s="1"/>
      <c r="AR2394" s="1"/>
      <c r="AS2394" s="1"/>
      <c r="AT2394" s="1"/>
      <c r="AU2394" s="1"/>
      <c r="AV2394" s="1"/>
      <c r="AW2394" s="1"/>
      <c r="AX2394" s="1"/>
      <c r="AY2394" s="1"/>
      <c r="AZ2394" s="1"/>
      <c r="BA2394" s="1"/>
      <c r="BB2394" s="1"/>
      <c r="BC2394" s="1"/>
      <c r="BD2394" s="1"/>
      <c r="BE2394" s="1"/>
      <c r="BF2394" s="1"/>
      <c r="BG2394" s="1"/>
      <c r="BH2394" s="1"/>
      <c r="BI2394" s="1"/>
      <c r="BJ2394" s="1"/>
      <c r="BK2394" s="1"/>
      <c r="BL2394" s="1"/>
      <c r="BM2394" s="1"/>
      <c r="BN2394" s="1"/>
      <c r="BO2394" s="1"/>
      <c r="BP2394" s="1"/>
      <c r="BQ2394" s="1"/>
      <c r="BR2394" s="1"/>
      <c r="BS2394" s="1"/>
      <c r="BT2394" s="1"/>
      <c r="BU2394" s="1"/>
      <c r="BV2394" s="1"/>
      <c r="BW2394" s="1"/>
      <c r="BX2394" s="1"/>
      <c r="BY2394" s="1"/>
      <c r="BZ2394" s="1"/>
      <c r="CA2394" s="1"/>
      <c r="CB2394" s="1"/>
      <c r="CC2394" s="1"/>
      <c r="CD2394" s="1"/>
      <c r="CE2394" s="1"/>
      <c r="CF2394" s="1"/>
      <c r="CG2394" s="1"/>
      <c r="CH2394" s="1"/>
      <c r="CI2394" s="1"/>
      <c r="CJ2394" s="1"/>
      <c r="CK2394" s="1"/>
      <c r="CL2394" s="1"/>
      <c r="CM2394" s="1"/>
      <c r="CN2394" s="1"/>
      <c r="CO2394" s="1"/>
      <c r="CP2394" s="1"/>
      <c r="CQ2394" s="1"/>
      <c r="CR2394" s="1"/>
      <c r="CS2394" s="1"/>
      <c r="CT2394" s="1"/>
      <c r="CU2394" s="1"/>
      <c r="CV2394" s="1"/>
      <c r="CW2394" s="1"/>
      <c r="CX2394" s="1"/>
      <c r="CY2394" s="1"/>
      <c r="CZ2394" s="1"/>
      <c r="DA2394" s="1"/>
      <c r="DB2394" s="1"/>
      <c r="DC2394" s="1"/>
    </row>
    <row r="2395" spans="1:107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1"/>
      <c r="AD2395" s="1"/>
      <c r="AE2395" s="1"/>
      <c r="AF2395" s="1"/>
      <c r="AG2395" s="1"/>
      <c r="AH2395" s="1"/>
      <c r="AI2395" s="1"/>
      <c r="AJ2395" s="1"/>
      <c r="AK2395" s="1"/>
      <c r="AL2395" s="1"/>
      <c r="AM2395" s="1"/>
      <c r="AN2395" s="1"/>
      <c r="AO2395" s="1"/>
      <c r="AP2395" s="1"/>
      <c r="AQ2395" s="1"/>
      <c r="AR2395" s="1"/>
      <c r="AS2395" s="1"/>
      <c r="AT2395" s="1"/>
      <c r="AU2395" s="1"/>
      <c r="AV2395" s="1"/>
      <c r="AW2395" s="1"/>
      <c r="AX2395" s="1"/>
      <c r="AY2395" s="1"/>
      <c r="AZ2395" s="1"/>
      <c r="BA2395" s="1"/>
      <c r="BB2395" s="1"/>
      <c r="BC2395" s="1"/>
      <c r="BD2395" s="1"/>
      <c r="BE2395" s="1"/>
      <c r="BF2395" s="1"/>
      <c r="BG2395" s="1"/>
      <c r="BH2395" s="1"/>
      <c r="BI2395" s="1"/>
      <c r="BJ2395" s="1"/>
      <c r="BK2395" s="1"/>
      <c r="BL2395" s="1"/>
      <c r="BM2395" s="1"/>
      <c r="BN2395" s="1"/>
      <c r="BO2395" s="1"/>
      <c r="BP2395" s="1"/>
      <c r="BQ2395" s="1"/>
      <c r="BR2395" s="1"/>
      <c r="BS2395" s="1"/>
      <c r="BT2395" s="1"/>
      <c r="BU2395" s="1"/>
      <c r="BV2395" s="1"/>
      <c r="BW2395" s="1"/>
      <c r="BX2395" s="1"/>
      <c r="BY2395" s="1"/>
      <c r="BZ2395" s="1"/>
      <c r="CA2395" s="1"/>
      <c r="CB2395" s="1"/>
      <c r="CC2395" s="1"/>
      <c r="CD2395" s="1"/>
      <c r="CE2395" s="1"/>
      <c r="CF2395" s="1"/>
      <c r="CG2395" s="1"/>
      <c r="CH2395" s="1"/>
      <c r="CI2395" s="1"/>
      <c r="CJ2395" s="1"/>
      <c r="CK2395" s="1"/>
      <c r="CL2395" s="1"/>
      <c r="CM2395" s="1"/>
      <c r="CN2395" s="1"/>
      <c r="CO2395" s="1"/>
      <c r="CP2395" s="1"/>
      <c r="CQ2395" s="1"/>
      <c r="CR2395" s="1"/>
      <c r="CS2395" s="1"/>
      <c r="CT2395" s="1"/>
      <c r="CU2395" s="1"/>
      <c r="CV2395" s="1"/>
      <c r="CW2395" s="1"/>
      <c r="CX2395" s="1"/>
      <c r="CY2395" s="1"/>
      <c r="CZ2395" s="1"/>
      <c r="DA2395" s="1"/>
      <c r="DB2395" s="1"/>
      <c r="DC2395" s="1"/>
    </row>
    <row r="2396" spans="1:107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  <c r="AC2396" s="1"/>
      <c r="AD2396" s="1"/>
      <c r="AE2396" s="1"/>
      <c r="AF2396" s="1"/>
      <c r="AG2396" s="1"/>
      <c r="AH2396" s="1"/>
      <c r="AI2396" s="1"/>
      <c r="AJ2396" s="1"/>
      <c r="AK2396" s="1"/>
      <c r="AL2396" s="1"/>
      <c r="AM2396" s="1"/>
      <c r="AN2396" s="1"/>
      <c r="AO2396" s="1"/>
      <c r="AP2396" s="1"/>
      <c r="AQ2396" s="1"/>
      <c r="AR2396" s="1"/>
      <c r="AS2396" s="1"/>
      <c r="AT2396" s="1"/>
      <c r="AU2396" s="1"/>
      <c r="AV2396" s="1"/>
      <c r="AW2396" s="1"/>
      <c r="AX2396" s="1"/>
      <c r="AY2396" s="1"/>
      <c r="AZ2396" s="1"/>
      <c r="BA2396" s="1"/>
      <c r="BB2396" s="1"/>
      <c r="BC2396" s="1"/>
      <c r="BD2396" s="1"/>
      <c r="BE2396" s="1"/>
      <c r="BF2396" s="1"/>
      <c r="BG2396" s="1"/>
      <c r="BH2396" s="1"/>
      <c r="BI2396" s="1"/>
      <c r="BJ2396" s="1"/>
      <c r="BK2396" s="1"/>
      <c r="BL2396" s="1"/>
      <c r="BM2396" s="1"/>
      <c r="BN2396" s="1"/>
      <c r="BO2396" s="1"/>
      <c r="BP2396" s="1"/>
      <c r="BQ2396" s="1"/>
      <c r="BR2396" s="1"/>
      <c r="BS2396" s="1"/>
      <c r="BT2396" s="1"/>
      <c r="BU2396" s="1"/>
      <c r="BV2396" s="1"/>
      <c r="BW2396" s="1"/>
      <c r="BX2396" s="1"/>
      <c r="BY2396" s="1"/>
      <c r="BZ2396" s="1"/>
      <c r="CA2396" s="1"/>
      <c r="CB2396" s="1"/>
      <c r="CC2396" s="1"/>
      <c r="CD2396" s="1"/>
      <c r="CE2396" s="1"/>
      <c r="CF2396" s="1"/>
      <c r="CG2396" s="1"/>
      <c r="CH2396" s="1"/>
      <c r="CI2396" s="1"/>
      <c r="CJ2396" s="1"/>
      <c r="CK2396" s="1"/>
      <c r="CL2396" s="1"/>
      <c r="CM2396" s="1"/>
      <c r="CN2396" s="1"/>
      <c r="CO2396" s="1"/>
      <c r="CP2396" s="1"/>
      <c r="CQ2396" s="1"/>
      <c r="CR2396" s="1"/>
      <c r="CS2396" s="1"/>
      <c r="CT2396" s="1"/>
      <c r="CU2396" s="1"/>
      <c r="CV2396" s="1"/>
      <c r="CW2396" s="1"/>
      <c r="CX2396" s="1"/>
      <c r="CY2396" s="1"/>
      <c r="CZ2396" s="1"/>
      <c r="DA2396" s="1"/>
      <c r="DB2396" s="1"/>
      <c r="DC2396" s="1"/>
    </row>
    <row r="2397" spans="1:107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  <c r="AC2397" s="1"/>
      <c r="AD2397" s="1"/>
      <c r="AE2397" s="1"/>
      <c r="AF2397" s="1"/>
      <c r="AG2397" s="1"/>
      <c r="AH2397" s="1"/>
      <c r="AI2397" s="1"/>
      <c r="AJ2397" s="1"/>
      <c r="AK2397" s="1"/>
      <c r="AL2397" s="1"/>
      <c r="AM2397" s="1"/>
      <c r="AN2397" s="1"/>
      <c r="AO2397" s="1"/>
      <c r="AP2397" s="1"/>
      <c r="AQ2397" s="1"/>
      <c r="AR2397" s="1"/>
      <c r="AS2397" s="1"/>
      <c r="AT2397" s="1"/>
      <c r="AU2397" s="1"/>
      <c r="AV2397" s="1"/>
      <c r="AW2397" s="1"/>
      <c r="AX2397" s="1"/>
      <c r="AY2397" s="1"/>
      <c r="AZ2397" s="1"/>
      <c r="BA2397" s="1"/>
      <c r="BB2397" s="1"/>
      <c r="BC2397" s="1"/>
      <c r="BD2397" s="1"/>
      <c r="BE2397" s="1"/>
      <c r="BF2397" s="1"/>
      <c r="BG2397" s="1"/>
      <c r="BH2397" s="1"/>
      <c r="BI2397" s="1"/>
      <c r="BJ2397" s="1"/>
      <c r="BK2397" s="1"/>
      <c r="BL2397" s="1"/>
      <c r="BM2397" s="1"/>
      <c r="BN2397" s="1"/>
      <c r="BO2397" s="1"/>
      <c r="BP2397" s="1"/>
      <c r="BQ2397" s="1"/>
      <c r="BR2397" s="1"/>
      <c r="BS2397" s="1"/>
      <c r="BT2397" s="1"/>
      <c r="BU2397" s="1"/>
      <c r="BV2397" s="1"/>
      <c r="BW2397" s="1"/>
      <c r="BX2397" s="1"/>
      <c r="BY2397" s="1"/>
      <c r="BZ2397" s="1"/>
      <c r="CA2397" s="1"/>
      <c r="CB2397" s="1"/>
      <c r="CC2397" s="1"/>
      <c r="CD2397" s="1"/>
      <c r="CE2397" s="1"/>
      <c r="CF2397" s="1"/>
      <c r="CG2397" s="1"/>
      <c r="CH2397" s="1"/>
      <c r="CI2397" s="1"/>
      <c r="CJ2397" s="1"/>
      <c r="CK2397" s="1"/>
      <c r="CL2397" s="1"/>
      <c r="CM2397" s="1"/>
      <c r="CN2397" s="1"/>
      <c r="CO2397" s="1"/>
      <c r="CP2397" s="1"/>
      <c r="CQ2397" s="1"/>
      <c r="CR2397" s="1"/>
      <c r="CS2397" s="1"/>
      <c r="CT2397" s="1"/>
      <c r="CU2397" s="1"/>
      <c r="CV2397" s="1"/>
      <c r="CW2397" s="1"/>
      <c r="CX2397" s="1"/>
      <c r="CY2397" s="1"/>
      <c r="CZ2397" s="1"/>
      <c r="DA2397" s="1"/>
      <c r="DB2397" s="1"/>
      <c r="DC2397" s="1"/>
    </row>
    <row r="2398" spans="1:107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1"/>
      <c r="AC2398" s="1"/>
      <c r="AD2398" s="1"/>
      <c r="AE2398" s="1"/>
      <c r="AF2398" s="1"/>
      <c r="AG2398" s="1"/>
      <c r="AH2398" s="1"/>
      <c r="AI2398" s="1"/>
      <c r="AJ2398" s="1"/>
      <c r="AK2398" s="1"/>
      <c r="AL2398" s="1"/>
      <c r="AM2398" s="1"/>
      <c r="AN2398" s="1"/>
      <c r="AO2398" s="1"/>
      <c r="AP2398" s="1"/>
      <c r="AQ2398" s="1"/>
      <c r="AR2398" s="1"/>
      <c r="AS2398" s="1"/>
      <c r="AT2398" s="1"/>
      <c r="AU2398" s="1"/>
      <c r="AV2398" s="1"/>
      <c r="AW2398" s="1"/>
      <c r="AX2398" s="1"/>
      <c r="AY2398" s="1"/>
      <c r="AZ2398" s="1"/>
      <c r="BA2398" s="1"/>
      <c r="BB2398" s="1"/>
      <c r="BC2398" s="1"/>
      <c r="BD2398" s="1"/>
      <c r="BE2398" s="1"/>
      <c r="BF2398" s="1"/>
      <c r="BG2398" s="1"/>
      <c r="BH2398" s="1"/>
      <c r="BI2398" s="1"/>
      <c r="BJ2398" s="1"/>
      <c r="BK2398" s="1"/>
      <c r="BL2398" s="1"/>
      <c r="BM2398" s="1"/>
      <c r="BN2398" s="1"/>
      <c r="BO2398" s="1"/>
      <c r="BP2398" s="1"/>
      <c r="BQ2398" s="1"/>
      <c r="BR2398" s="1"/>
      <c r="BS2398" s="1"/>
      <c r="BT2398" s="1"/>
      <c r="BU2398" s="1"/>
      <c r="BV2398" s="1"/>
      <c r="BW2398" s="1"/>
      <c r="BX2398" s="1"/>
      <c r="BY2398" s="1"/>
      <c r="BZ2398" s="1"/>
      <c r="CA2398" s="1"/>
      <c r="CB2398" s="1"/>
      <c r="CC2398" s="1"/>
      <c r="CD2398" s="1"/>
      <c r="CE2398" s="1"/>
      <c r="CF2398" s="1"/>
      <c r="CG2398" s="1"/>
      <c r="CH2398" s="1"/>
      <c r="CI2398" s="1"/>
      <c r="CJ2398" s="1"/>
      <c r="CK2398" s="1"/>
      <c r="CL2398" s="1"/>
      <c r="CM2398" s="1"/>
      <c r="CN2398" s="1"/>
      <c r="CO2398" s="1"/>
      <c r="CP2398" s="1"/>
      <c r="CQ2398" s="1"/>
      <c r="CR2398" s="1"/>
      <c r="CS2398" s="1"/>
      <c r="CT2398" s="1"/>
      <c r="CU2398" s="1"/>
      <c r="CV2398" s="1"/>
      <c r="CW2398" s="1"/>
      <c r="CX2398" s="1"/>
      <c r="CY2398" s="1"/>
      <c r="CZ2398" s="1"/>
      <c r="DA2398" s="1"/>
      <c r="DB2398" s="1"/>
      <c r="DC2398" s="1"/>
    </row>
    <row r="2399" spans="1:107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  <c r="AC2399" s="1"/>
      <c r="AD2399" s="1"/>
      <c r="AE2399" s="1"/>
      <c r="AF2399" s="1"/>
      <c r="AG2399" s="1"/>
      <c r="AH2399" s="1"/>
      <c r="AI2399" s="1"/>
      <c r="AJ2399" s="1"/>
      <c r="AK2399" s="1"/>
      <c r="AL2399" s="1"/>
      <c r="AM2399" s="1"/>
      <c r="AN2399" s="1"/>
      <c r="AO2399" s="1"/>
      <c r="AP2399" s="1"/>
      <c r="AQ2399" s="1"/>
      <c r="AR2399" s="1"/>
      <c r="AS2399" s="1"/>
      <c r="AT2399" s="1"/>
      <c r="AU2399" s="1"/>
      <c r="AV2399" s="1"/>
      <c r="AW2399" s="1"/>
      <c r="AX2399" s="1"/>
      <c r="AY2399" s="1"/>
      <c r="AZ2399" s="1"/>
      <c r="BA2399" s="1"/>
      <c r="BB2399" s="1"/>
      <c r="BC2399" s="1"/>
      <c r="BD2399" s="1"/>
      <c r="BE2399" s="1"/>
      <c r="BF2399" s="1"/>
      <c r="BG2399" s="1"/>
      <c r="BH2399" s="1"/>
      <c r="BI2399" s="1"/>
      <c r="BJ2399" s="1"/>
      <c r="BK2399" s="1"/>
      <c r="BL2399" s="1"/>
      <c r="BM2399" s="1"/>
      <c r="BN2399" s="1"/>
      <c r="BO2399" s="1"/>
      <c r="BP2399" s="1"/>
      <c r="BQ2399" s="1"/>
      <c r="BR2399" s="1"/>
      <c r="BS2399" s="1"/>
      <c r="BT2399" s="1"/>
      <c r="BU2399" s="1"/>
      <c r="BV2399" s="1"/>
      <c r="BW2399" s="1"/>
      <c r="BX2399" s="1"/>
      <c r="BY2399" s="1"/>
      <c r="BZ2399" s="1"/>
      <c r="CA2399" s="1"/>
      <c r="CB2399" s="1"/>
      <c r="CC2399" s="1"/>
      <c r="CD2399" s="1"/>
      <c r="CE2399" s="1"/>
      <c r="CF2399" s="1"/>
      <c r="CG2399" s="1"/>
      <c r="CH2399" s="1"/>
      <c r="CI2399" s="1"/>
      <c r="CJ2399" s="1"/>
      <c r="CK2399" s="1"/>
      <c r="CL2399" s="1"/>
      <c r="CM2399" s="1"/>
      <c r="CN2399" s="1"/>
      <c r="CO2399" s="1"/>
      <c r="CP2399" s="1"/>
      <c r="CQ2399" s="1"/>
      <c r="CR2399" s="1"/>
      <c r="CS2399" s="1"/>
      <c r="CT2399" s="1"/>
      <c r="CU2399" s="1"/>
      <c r="CV2399" s="1"/>
      <c r="CW2399" s="1"/>
      <c r="CX2399" s="1"/>
      <c r="CY2399" s="1"/>
      <c r="CZ2399" s="1"/>
      <c r="DA2399" s="1"/>
      <c r="DB2399" s="1"/>
      <c r="DC2399" s="1"/>
    </row>
    <row r="2400" spans="1:107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  <c r="AC2400" s="1"/>
      <c r="AD2400" s="1"/>
      <c r="AE2400" s="1"/>
      <c r="AF2400" s="1"/>
      <c r="AG2400" s="1"/>
      <c r="AH2400" s="1"/>
      <c r="AI2400" s="1"/>
      <c r="AJ2400" s="1"/>
      <c r="AK2400" s="1"/>
      <c r="AL2400" s="1"/>
      <c r="AM2400" s="1"/>
      <c r="AN2400" s="1"/>
      <c r="AO2400" s="1"/>
      <c r="AP2400" s="1"/>
      <c r="AQ2400" s="1"/>
      <c r="AR2400" s="1"/>
      <c r="AS2400" s="1"/>
      <c r="AT2400" s="1"/>
      <c r="AU2400" s="1"/>
      <c r="AV2400" s="1"/>
      <c r="AW2400" s="1"/>
      <c r="AX2400" s="1"/>
      <c r="AY2400" s="1"/>
      <c r="AZ2400" s="1"/>
      <c r="BA2400" s="1"/>
      <c r="BB2400" s="1"/>
      <c r="BC2400" s="1"/>
      <c r="BD2400" s="1"/>
      <c r="BE2400" s="1"/>
      <c r="BF2400" s="1"/>
      <c r="BG2400" s="1"/>
      <c r="BH2400" s="1"/>
      <c r="BI2400" s="1"/>
      <c r="BJ2400" s="1"/>
      <c r="BK2400" s="1"/>
      <c r="BL2400" s="1"/>
      <c r="BM2400" s="1"/>
      <c r="BN2400" s="1"/>
      <c r="BO2400" s="1"/>
      <c r="BP2400" s="1"/>
      <c r="BQ2400" s="1"/>
      <c r="BR2400" s="1"/>
      <c r="BS2400" s="1"/>
      <c r="BT2400" s="1"/>
      <c r="BU2400" s="1"/>
      <c r="BV2400" s="1"/>
      <c r="BW2400" s="1"/>
      <c r="BX2400" s="1"/>
      <c r="BY2400" s="1"/>
      <c r="BZ2400" s="1"/>
      <c r="CA2400" s="1"/>
      <c r="CB2400" s="1"/>
      <c r="CC2400" s="1"/>
      <c r="CD2400" s="1"/>
      <c r="CE2400" s="1"/>
      <c r="CF2400" s="1"/>
      <c r="CG2400" s="1"/>
      <c r="CH2400" s="1"/>
      <c r="CI2400" s="1"/>
      <c r="CJ2400" s="1"/>
      <c r="CK2400" s="1"/>
      <c r="CL2400" s="1"/>
      <c r="CM2400" s="1"/>
      <c r="CN2400" s="1"/>
      <c r="CO2400" s="1"/>
      <c r="CP2400" s="1"/>
      <c r="CQ2400" s="1"/>
      <c r="CR2400" s="1"/>
      <c r="CS2400" s="1"/>
      <c r="CT2400" s="1"/>
      <c r="CU2400" s="1"/>
      <c r="CV2400" s="1"/>
      <c r="CW2400" s="1"/>
      <c r="CX2400" s="1"/>
      <c r="CY2400" s="1"/>
      <c r="CZ2400" s="1"/>
      <c r="DA2400" s="1"/>
      <c r="DB2400" s="1"/>
      <c r="DC2400" s="1"/>
    </row>
    <row r="2401" spans="1:107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1"/>
      <c r="AC2401" s="1"/>
      <c r="AD2401" s="1"/>
      <c r="AE2401" s="1"/>
      <c r="AF2401" s="1"/>
      <c r="AG2401" s="1"/>
      <c r="AH2401" s="1"/>
      <c r="AI2401" s="1"/>
      <c r="AJ2401" s="1"/>
      <c r="AK2401" s="1"/>
      <c r="AL2401" s="1"/>
      <c r="AM2401" s="1"/>
      <c r="AN2401" s="1"/>
      <c r="AO2401" s="1"/>
      <c r="AP2401" s="1"/>
      <c r="AQ2401" s="1"/>
      <c r="AR2401" s="1"/>
      <c r="AS2401" s="1"/>
      <c r="AT2401" s="1"/>
      <c r="AU2401" s="1"/>
      <c r="AV2401" s="1"/>
      <c r="AW2401" s="1"/>
      <c r="AX2401" s="1"/>
      <c r="AY2401" s="1"/>
      <c r="AZ2401" s="1"/>
      <c r="BA2401" s="1"/>
      <c r="BB2401" s="1"/>
      <c r="BC2401" s="1"/>
      <c r="BD2401" s="1"/>
      <c r="BE2401" s="1"/>
      <c r="BF2401" s="1"/>
      <c r="BG2401" s="1"/>
      <c r="BH2401" s="1"/>
      <c r="BI2401" s="1"/>
      <c r="BJ2401" s="1"/>
      <c r="BK2401" s="1"/>
      <c r="BL2401" s="1"/>
      <c r="BM2401" s="1"/>
      <c r="BN2401" s="1"/>
      <c r="BO2401" s="1"/>
      <c r="BP2401" s="1"/>
      <c r="BQ2401" s="1"/>
      <c r="BR2401" s="1"/>
      <c r="BS2401" s="1"/>
      <c r="BT2401" s="1"/>
      <c r="BU2401" s="1"/>
      <c r="BV2401" s="1"/>
      <c r="BW2401" s="1"/>
      <c r="BX2401" s="1"/>
      <c r="BY2401" s="1"/>
      <c r="BZ2401" s="1"/>
      <c r="CA2401" s="1"/>
      <c r="CB2401" s="1"/>
      <c r="CC2401" s="1"/>
      <c r="CD2401" s="1"/>
      <c r="CE2401" s="1"/>
      <c r="CF2401" s="1"/>
      <c r="CG2401" s="1"/>
      <c r="CH2401" s="1"/>
      <c r="CI2401" s="1"/>
      <c r="CJ2401" s="1"/>
      <c r="CK2401" s="1"/>
      <c r="CL2401" s="1"/>
      <c r="CM2401" s="1"/>
      <c r="CN2401" s="1"/>
      <c r="CO2401" s="1"/>
      <c r="CP2401" s="1"/>
      <c r="CQ2401" s="1"/>
      <c r="CR2401" s="1"/>
      <c r="CS2401" s="1"/>
      <c r="CT2401" s="1"/>
      <c r="CU2401" s="1"/>
      <c r="CV2401" s="1"/>
      <c r="CW2401" s="1"/>
      <c r="CX2401" s="1"/>
      <c r="CY2401" s="1"/>
      <c r="CZ2401" s="1"/>
      <c r="DA2401" s="1"/>
      <c r="DB2401" s="1"/>
      <c r="DC2401" s="1"/>
    </row>
    <row r="2402" spans="1:107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  <c r="AC2402" s="1"/>
      <c r="AD2402" s="1"/>
      <c r="AE2402" s="1"/>
      <c r="AF2402" s="1"/>
      <c r="AG2402" s="1"/>
      <c r="AH2402" s="1"/>
      <c r="AI2402" s="1"/>
      <c r="AJ2402" s="1"/>
      <c r="AK2402" s="1"/>
      <c r="AL2402" s="1"/>
      <c r="AM2402" s="1"/>
      <c r="AN2402" s="1"/>
      <c r="AO2402" s="1"/>
      <c r="AP2402" s="1"/>
      <c r="AQ2402" s="1"/>
      <c r="AR2402" s="1"/>
      <c r="AS2402" s="1"/>
      <c r="AT2402" s="1"/>
      <c r="AU2402" s="1"/>
      <c r="AV2402" s="1"/>
      <c r="AW2402" s="1"/>
      <c r="AX2402" s="1"/>
      <c r="AY2402" s="1"/>
      <c r="AZ2402" s="1"/>
      <c r="BA2402" s="1"/>
      <c r="BB2402" s="1"/>
      <c r="BC2402" s="1"/>
      <c r="BD2402" s="1"/>
      <c r="BE2402" s="1"/>
      <c r="BF2402" s="1"/>
      <c r="BG2402" s="1"/>
      <c r="BH2402" s="1"/>
      <c r="BI2402" s="1"/>
      <c r="BJ2402" s="1"/>
      <c r="BK2402" s="1"/>
      <c r="BL2402" s="1"/>
      <c r="BM2402" s="1"/>
      <c r="BN2402" s="1"/>
      <c r="BO2402" s="1"/>
      <c r="BP2402" s="1"/>
      <c r="BQ2402" s="1"/>
      <c r="BR2402" s="1"/>
      <c r="BS2402" s="1"/>
      <c r="BT2402" s="1"/>
      <c r="BU2402" s="1"/>
      <c r="BV2402" s="1"/>
      <c r="BW2402" s="1"/>
      <c r="BX2402" s="1"/>
      <c r="BY2402" s="1"/>
      <c r="BZ2402" s="1"/>
      <c r="CA2402" s="1"/>
      <c r="CB2402" s="1"/>
      <c r="CC2402" s="1"/>
      <c r="CD2402" s="1"/>
      <c r="CE2402" s="1"/>
      <c r="CF2402" s="1"/>
      <c r="CG2402" s="1"/>
      <c r="CH2402" s="1"/>
      <c r="CI2402" s="1"/>
      <c r="CJ2402" s="1"/>
      <c r="CK2402" s="1"/>
      <c r="CL2402" s="1"/>
      <c r="CM2402" s="1"/>
      <c r="CN2402" s="1"/>
      <c r="CO2402" s="1"/>
      <c r="CP2402" s="1"/>
      <c r="CQ2402" s="1"/>
      <c r="CR2402" s="1"/>
      <c r="CS2402" s="1"/>
      <c r="CT2402" s="1"/>
      <c r="CU2402" s="1"/>
      <c r="CV2402" s="1"/>
      <c r="CW2402" s="1"/>
      <c r="CX2402" s="1"/>
      <c r="CY2402" s="1"/>
      <c r="CZ2402" s="1"/>
      <c r="DA2402" s="1"/>
      <c r="DB2402" s="1"/>
      <c r="DC2402" s="1"/>
    </row>
    <row r="2403" spans="1:107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  <c r="AC2403" s="1"/>
      <c r="AD2403" s="1"/>
      <c r="AE2403" s="1"/>
      <c r="AF2403" s="1"/>
      <c r="AG2403" s="1"/>
      <c r="AH2403" s="1"/>
      <c r="AI2403" s="1"/>
      <c r="AJ2403" s="1"/>
      <c r="AK2403" s="1"/>
      <c r="AL2403" s="1"/>
      <c r="AM2403" s="1"/>
      <c r="AN2403" s="1"/>
      <c r="AO2403" s="1"/>
      <c r="AP2403" s="1"/>
      <c r="AQ2403" s="1"/>
      <c r="AR2403" s="1"/>
      <c r="AS2403" s="1"/>
      <c r="AT2403" s="1"/>
      <c r="AU2403" s="1"/>
      <c r="AV2403" s="1"/>
      <c r="AW2403" s="1"/>
      <c r="AX2403" s="1"/>
      <c r="AY2403" s="1"/>
      <c r="AZ2403" s="1"/>
      <c r="BA2403" s="1"/>
      <c r="BB2403" s="1"/>
      <c r="BC2403" s="1"/>
      <c r="BD2403" s="1"/>
      <c r="BE2403" s="1"/>
      <c r="BF2403" s="1"/>
      <c r="BG2403" s="1"/>
      <c r="BH2403" s="1"/>
      <c r="BI2403" s="1"/>
      <c r="BJ2403" s="1"/>
      <c r="BK2403" s="1"/>
      <c r="BL2403" s="1"/>
      <c r="BM2403" s="1"/>
      <c r="BN2403" s="1"/>
      <c r="BO2403" s="1"/>
      <c r="BP2403" s="1"/>
      <c r="BQ2403" s="1"/>
      <c r="BR2403" s="1"/>
      <c r="BS2403" s="1"/>
      <c r="BT2403" s="1"/>
      <c r="BU2403" s="1"/>
      <c r="BV2403" s="1"/>
      <c r="BW2403" s="1"/>
      <c r="BX2403" s="1"/>
      <c r="BY2403" s="1"/>
      <c r="BZ2403" s="1"/>
      <c r="CA2403" s="1"/>
      <c r="CB2403" s="1"/>
      <c r="CC2403" s="1"/>
      <c r="CD2403" s="1"/>
      <c r="CE2403" s="1"/>
      <c r="CF2403" s="1"/>
      <c r="CG2403" s="1"/>
      <c r="CH2403" s="1"/>
      <c r="CI2403" s="1"/>
      <c r="CJ2403" s="1"/>
      <c r="CK2403" s="1"/>
      <c r="CL2403" s="1"/>
      <c r="CM2403" s="1"/>
      <c r="CN2403" s="1"/>
      <c r="CO2403" s="1"/>
      <c r="CP2403" s="1"/>
      <c r="CQ2403" s="1"/>
      <c r="CR2403" s="1"/>
      <c r="CS2403" s="1"/>
      <c r="CT2403" s="1"/>
      <c r="CU2403" s="1"/>
      <c r="CV2403" s="1"/>
      <c r="CW2403" s="1"/>
      <c r="CX2403" s="1"/>
      <c r="CY2403" s="1"/>
      <c r="CZ2403" s="1"/>
      <c r="DA2403" s="1"/>
      <c r="DB2403" s="1"/>
      <c r="DC2403" s="1"/>
    </row>
    <row r="2404" spans="1:107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1"/>
      <c r="AC2404" s="1"/>
      <c r="AD2404" s="1"/>
      <c r="AE2404" s="1"/>
      <c r="AF2404" s="1"/>
      <c r="AG2404" s="1"/>
      <c r="AH2404" s="1"/>
      <c r="AI2404" s="1"/>
      <c r="AJ2404" s="1"/>
      <c r="AK2404" s="1"/>
      <c r="AL2404" s="1"/>
      <c r="AM2404" s="1"/>
      <c r="AN2404" s="1"/>
      <c r="AO2404" s="1"/>
      <c r="AP2404" s="1"/>
      <c r="AQ2404" s="1"/>
      <c r="AR2404" s="1"/>
      <c r="AS2404" s="1"/>
      <c r="AT2404" s="1"/>
      <c r="AU2404" s="1"/>
      <c r="AV2404" s="1"/>
      <c r="AW2404" s="1"/>
      <c r="AX2404" s="1"/>
      <c r="AY2404" s="1"/>
      <c r="AZ2404" s="1"/>
      <c r="BA2404" s="1"/>
      <c r="BB2404" s="1"/>
      <c r="BC2404" s="1"/>
      <c r="BD2404" s="1"/>
      <c r="BE2404" s="1"/>
      <c r="BF2404" s="1"/>
      <c r="BG2404" s="1"/>
      <c r="BH2404" s="1"/>
      <c r="BI2404" s="1"/>
      <c r="BJ2404" s="1"/>
      <c r="BK2404" s="1"/>
      <c r="BL2404" s="1"/>
      <c r="BM2404" s="1"/>
      <c r="BN2404" s="1"/>
      <c r="BO2404" s="1"/>
      <c r="BP2404" s="1"/>
      <c r="BQ2404" s="1"/>
      <c r="BR2404" s="1"/>
      <c r="BS2404" s="1"/>
      <c r="BT2404" s="1"/>
      <c r="BU2404" s="1"/>
      <c r="BV2404" s="1"/>
      <c r="BW2404" s="1"/>
      <c r="BX2404" s="1"/>
      <c r="BY2404" s="1"/>
      <c r="BZ2404" s="1"/>
      <c r="CA2404" s="1"/>
      <c r="CB2404" s="1"/>
      <c r="CC2404" s="1"/>
      <c r="CD2404" s="1"/>
      <c r="CE2404" s="1"/>
      <c r="CF2404" s="1"/>
      <c r="CG2404" s="1"/>
      <c r="CH2404" s="1"/>
      <c r="CI2404" s="1"/>
      <c r="CJ2404" s="1"/>
      <c r="CK2404" s="1"/>
      <c r="CL2404" s="1"/>
      <c r="CM2404" s="1"/>
      <c r="CN2404" s="1"/>
      <c r="CO2404" s="1"/>
      <c r="CP2404" s="1"/>
      <c r="CQ2404" s="1"/>
      <c r="CR2404" s="1"/>
      <c r="CS2404" s="1"/>
      <c r="CT2404" s="1"/>
      <c r="CU2404" s="1"/>
      <c r="CV2404" s="1"/>
      <c r="CW2404" s="1"/>
      <c r="CX2404" s="1"/>
      <c r="CY2404" s="1"/>
      <c r="CZ2404" s="1"/>
      <c r="DA2404" s="1"/>
      <c r="DB2404" s="1"/>
      <c r="DC2404" s="1"/>
    </row>
    <row r="2405" spans="1:107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  <c r="AC2405" s="1"/>
      <c r="AD2405" s="1"/>
      <c r="AE2405" s="1"/>
      <c r="AF2405" s="1"/>
      <c r="AG2405" s="1"/>
      <c r="AH2405" s="1"/>
      <c r="AI2405" s="1"/>
      <c r="AJ2405" s="1"/>
      <c r="AK2405" s="1"/>
      <c r="AL2405" s="1"/>
      <c r="AM2405" s="1"/>
      <c r="AN2405" s="1"/>
      <c r="AO2405" s="1"/>
      <c r="AP2405" s="1"/>
      <c r="AQ2405" s="1"/>
      <c r="AR2405" s="1"/>
      <c r="AS2405" s="1"/>
      <c r="AT2405" s="1"/>
      <c r="AU2405" s="1"/>
      <c r="AV2405" s="1"/>
      <c r="AW2405" s="1"/>
      <c r="AX2405" s="1"/>
      <c r="AY2405" s="1"/>
      <c r="AZ2405" s="1"/>
      <c r="BA2405" s="1"/>
      <c r="BB2405" s="1"/>
      <c r="BC2405" s="1"/>
      <c r="BD2405" s="1"/>
      <c r="BE2405" s="1"/>
      <c r="BF2405" s="1"/>
      <c r="BG2405" s="1"/>
      <c r="BH2405" s="1"/>
      <c r="BI2405" s="1"/>
      <c r="BJ2405" s="1"/>
      <c r="BK2405" s="1"/>
      <c r="BL2405" s="1"/>
      <c r="BM2405" s="1"/>
      <c r="BN2405" s="1"/>
      <c r="BO2405" s="1"/>
      <c r="BP2405" s="1"/>
      <c r="BQ2405" s="1"/>
      <c r="BR2405" s="1"/>
      <c r="BS2405" s="1"/>
      <c r="BT2405" s="1"/>
      <c r="BU2405" s="1"/>
      <c r="BV2405" s="1"/>
      <c r="BW2405" s="1"/>
      <c r="BX2405" s="1"/>
      <c r="BY2405" s="1"/>
      <c r="BZ2405" s="1"/>
      <c r="CA2405" s="1"/>
      <c r="CB2405" s="1"/>
      <c r="CC2405" s="1"/>
      <c r="CD2405" s="1"/>
      <c r="CE2405" s="1"/>
      <c r="CF2405" s="1"/>
      <c r="CG2405" s="1"/>
      <c r="CH2405" s="1"/>
      <c r="CI2405" s="1"/>
      <c r="CJ2405" s="1"/>
      <c r="CK2405" s="1"/>
      <c r="CL2405" s="1"/>
      <c r="CM2405" s="1"/>
      <c r="CN2405" s="1"/>
      <c r="CO2405" s="1"/>
      <c r="CP2405" s="1"/>
      <c r="CQ2405" s="1"/>
      <c r="CR2405" s="1"/>
      <c r="CS2405" s="1"/>
      <c r="CT2405" s="1"/>
      <c r="CU2405" s="1"/>
      <c r="CV2405" s="1"/>
      <c r="CW2405" s="1"/>
      <c r="CX2405" s="1"/>
      <c r="CY2405" s="1"/>
      <c r="CZ2405" s="1"/>
      <c r="DA2405" s="1"/>
      <c r="DB2405" s="1"/>
      <c r="DC2405" s="1"/>
    </row>
    <row r="2406" spans="1:107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  <c r="AC2406" s="1"/>
      <c r="AD2406" s="1"/>
      <c r="AE2406" s="1"/>
      <c r="AF2406" s="1"/>
      <c r="AG2406" s="1"/>
      <c r="AH2406" s="1"/>
      <c r="AI2406" s="1"/>
      <c r="AJ2406" s="1"/>
      <c r="AK2406" s="1"/>
      <c r="AL2406" s="1"/>
      <c r="AM2406" s="1"/>
      <c r="AN2406" s="1"/>
      <c r="AO2406" s="1"/>
      <c r="AP2406" s="1"/>
      <c r="AQ2406" s="1"/>
      <c r="AR2406" s="1"/>
      <c r="AS2406" s="1"/>
      <c r="AT2406" s="1"/>
      <c r="AU2406" s="1"/>
      <c r="AV2406" s="1"/>
      <c r="AW2406" s="1"/>
      <c r="AX2406" s="1"/>
      <c r="AY2406" s="1"/>
      <c r="AZ2406" s="1"/>
      <c r="BA2406" s="1"/>
      <c r="BB2406" s="1"/>
      <c r="BC2406" s="1"/>
      <c r="BD2406" s="1"/>
      <c r="BE2406" s="1"/>
      <c r="BF2406" s="1"/>
      <c r="BG2406" s="1"/>
      <c r="BH2406" s="1"/>
      <c r="BI2406" s="1"/>
      <c r="BJ2406" s="1"/>
      <c r="BK2406" s="1"/>
      <c r="BL2406" s="1"/>
      <c r="BM2406" s="1"/>
      <c r="BN2406" s="1"/>
      <c r="BO2406" s="1"/>
      <c r="BP2406" s="1"/>
      <c r="BQ2406" s="1"/>
      <c r="BR2406" s="1"/>
      <c r="BS2406" s="1"/>
      <c r="BT2406" s="1"/>
      <c r="BU2406" s="1"/>
      <c r="BV2406" s="1"/>
      <c r="BW2406" s="1"/>
      <c r="BX2406" s="1"/>
      <c r="BY2406" s="1"/>
      <c r="BZ2406" s="1"/>
      <c r="CA2406" s="1"/>
      <c r="CB2406" s="1"/>
      <c r="CC2406" s="1"/>
      <c r="CD2406" s="1"/>
      <c r="CE2406" s="1"/>
      <c r="CF2406" s="1"/>
      <c r="CG2406" s="1"/>
      <c r="CH2406" s="1"/>
      <c r="CI2406" s="1"/>
      <c r="CJ2406" s="1"/>
      <c r="CK2406" s="1"/>
      <c r="CL2406" s="1"/>
      <c r="CM2406" s="1"/>
      <c r="CN2406" s="1"/>
      <c r="CO2406" s="1"/>
      <c r="CP2406" s="1"/>
      <c r="CQ2406" s="1"/>
      <c r="CR2406" s="1"/>
      <c r="CS2406" s="1"/>
      <c r="CT2406" s="1"/>
      <c r="CU2406" s="1"/>
      <c r="CV2406" s="1"/>
      <c r="CW2406" s="1"/>
      <c r="CX2406" s="1"/>
      <c r="CY2406" s="1"/>
      <c r="CZ2406" s="1"/>
      <c r="DA2406" s="1"/>
      <c r="DB2406" s="1"/>
      <c r="DC2406" s="1"/>
    </row>
    <row r="2407" spans="1:107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  <c r="AC2407" s="1"/>
      <c r="AD2407" s="1"/>
      <c r="AE2407" s="1"/>
      <c r="AF2407" s="1"/>
      <c r="AG2407" s="1"/>
      <c r="AH2407" s="1"/>
      <c r="AI2407" s="1"/>
      <c r="AJ2407" s="1"/>
      <c r="AK2407" s="1"/>
      <c r="AL2407" s="1"/>
      <c r="AM2407" s="1"/>
      <c r="AN2407" s="1"/>
      <c r="AO2407" s="1"/>
      <c r="AP2407" s="1"/>
      <c r="AQ2407" s="1"/>
      <c r="AR2407" s="1"/>
      <c r="AS2407" s="1"/>
      <c r="AT2407" s="1"/>
      <c r="AU2407" s="1"/>
      <c r="AV2407" s="1"/>
      <c r="AW2407" s="1"/>
      <c r="AX2407" s="1"/>
      <c r="AY2407" s="1"/>
      <c r="AZ2407" s="1"/>
      <c r="BA2407" s="1"/>
      <c r="BB2407" s="1"/>
      <c r="BC2407" s="1"/>
      <c r="BD2407" s="1"/>
      <c r="BE2407" s="1"/>
      <c r="BF2407" s="1"/>
      <c r="BG2407" s="1"/>
      <c r="BH2407" s="1"/>
      <c r="BI2407" s="1"/>
      <c r="BJ2407" s="1"/>
      <c r="BK2407" s="1"/>
      <c r="BL2407" s="1"/>
      <c r="BM2407" s="1"/>
      <c r="BN2407" s="1"/>
      <c r="BO2407" s="1"/>
      <c r="BP2407" s="1"/>
      <c r="BQ2407" s="1"/>
      <c r="BR2407" s="1"/>
      <c r="BS2407" s="1"/>
      <c r="BT2407" s="1"/>
      <c r="BU2407" s="1"/>
      <c r="BV2407" s="1"/>
      <c r="BW2407" s="1"/>
      <c r="BX2407" s="1"/>
      <c r="BY2407" s="1"/>
      <c r="BZ2407" s="1"/>
      <c r="CA2407" s="1"/>
      <c r="CB2407" s="1"/>
      <c r="CC2407" s="1"/>
      <c r="CD2407" s="1"/>
      <c r="CE2407" s="1"/>
      <c r="CF2407" s="1"/>
      <c r="CG2407" s="1"/>
      <c r="CH2407" s="1"/>
      <c r="CI2407" s="1"/>
      <c r="CJ2407" s="1"/>
      <c r="CK2407" s="1"/>
      <c r="CL2407" s="1"/>
      <c r="CM2407" s="1"/>
      <c r="CN2407" s="1"/>
      <c r="CO2407" s="1"/>
      <c r="CP2407" s="1"/>
      <c r="CQ2407" s="1"/>
      <c r="CR2407" s="1"/>
      <c r="CS2407" s="1"/>
      <c r="CT2407" s="1"/>
      <c r="CU2407" s="1"/>
      <c r="CV2407" s="1"/>
      <c r="CW2407" s="1"/>
      <c r="CX2407" s="1"/>
      <c r="CY2407" s="1"/>
      <c r="CZ2407" s="1"/>
      <c r="DA2407" s="1"/>
      <c r="DB2407" s="1"/>
      <c r="DC2407" s="1"/>
    </row>
    <row r="2408" spans="1:107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1"/>
      <c r="AD2408" s="1"/>
      <c r="AE2408" s="1"/>
      <c r="AF2408" s="1"/>
      <c r="AG2408" s="1"/>
      <c r="AH2408" s="1"/>
      <c r="AI2408" s="1"/>
      <c r="AJ2408" s="1"/>
      <c r="AK2408" s="1"/>
      <c r="AL2408" s="1"/>
      <c r="AM2408" s="1"/>
      <c r="AN2408" s="1"/>
      <c r="AO2408" s="1"/>
      <c r="AP2408" s="1"/>
      <c r="AQ2408" s="1"/>
      <c r="AR2408" s="1"/>
      <c r="AS2408" s="1"/>
      <c r="AT2408" s="1"/>
      <c r="AU2408" s="1"/>
      <c r="AV2408" s="1"/>
      <c r="AW2408" s="1"/>
      <c r="AX2408" s="1"/>
      <c r="AY2408" s="1"/>
      <c r="AZ2408" s="1"/>
      <c r="BA2408" s="1"/>
      <c r="BB2408" s="1"/>
      <c r="BC2408" s="1"/>
      <c r="BD2408" s="1"/>
      <c r="BE2408" s="1"/>
      <c r="BF2408" s="1"/>
      <c r="BG2408" s="1"/>
      <c r="BH2408" s="1"/>
      <c r="BI2408" s="1"/>
      <c r="BJ2408" s="1"/>
      <c r="BK2408" s="1"/>
      <c r="BL2408" s="1"/>
      <c r="BM2408" s="1"/>
      <c r="BN2408" s="1"/>
      <c r="BO2408" s="1"/>
      <c r="BP2408" s="1"/>
      <c r="BQ2408" s="1"/>
      <c r="BR2408" s="1"/>
      <c r="BS2408" s="1"/>
      <c r="BT2408" s="1"/>
      <c r="BU2408" s="1"/>
      <c r="BV2408" s="1"/>
      <c r="BW2408" s="1"/>
      <c r="BX2408" s="1"/>
      <c r="BY2408" s="1"/>
      <c r="BZ2408" s="1"/>
      <c r="CA2408" s="1"/>
      <c r="CB2408" s="1"/>
      <c r="CC2408" s="1"/>
      <c r="CD2408" s="1"/>
      <c r="CE2408" s="1"/>
      <c r="CF2408" s="1"/>
      <c r="CG2408" s="1"/>
      <c r="CH2408" s="1"/>
      <c r="CI2408" s="1"/>
      <c r="CJ2408" s="1"/>
      <c r="CK2408" s="1"/>
      <c r="CL2408" s="1"/>
      <c r="CM2408" s="1"/>
      <c r="CN2408" s="1"/>
      <c r="CO2408" s="1"/>
      <c r="CP2408" s="1"/>
      <c r="CQ2408" s="1"/>
      <c r="CR2408" s="1"/>
      <c r="CS2408" s="1"/>
      <c r="CT2408" s="1"/>
      <c r="CU2408" s="1"/>
      <c r="CV2408" s="1"/>
      <c r="CW2408" s="1"/>
      <c r="CX2408" s="1"/>
      <c r="CY2408" s="1"/>
      <c r="CZ2408" s="1"/>
      <c r="DA2408" s="1"/>
      <c r="DB2408" s="1"/>
      <c r="DC2408" s="1"/>
    </row>
    <row r="2409" spans="1:107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  <c r="AC2409" s="1"/>
      <c r="AD2409" s="1"/>
      <c r="AE2409" s="1"/>
      <c r="AF2409" s="1"/>
      <c r="AG2409" s="1"/>
      <c r="AH2409" s="1"/>
      <c r="AI2409" s="1"/>
      <c r="AJ2409" s="1"/>
      <c r="AK2409" s="1"/>
      <c r="AL2409" s="1"/>
      <c r="AM2409" s="1"/>
      <c r="AN2409" s="1"/>
      <c r="AO2409" s="1"/>
      <c r="AP2409" s="1"/>
      <c r="AQ2409" s="1"/>
      <c r="AR2409" s="1"/>
      <c r="AS2409" s="1"/>
      <c r="AT2409" s="1"/>
      <c r="AU2409" s="1"/>
      <c r="AV2409" s="1"/>
      <c r="AW2409" s="1"/>
      <c r="AX2409" s="1"/>
      <c r="AY2409" s="1"/>
      <c r="AZ2409" s="1"/>
      <c r="BA2409" s="1"/>
      <c r="BB2409" s="1"/>
      <c r="BC2409" s="1"/>
      <c r="BD2409" s="1"/>
      <c r="BE2409" s="1"/>
      <c r="BF2409" s="1"/>
      <c r="BG2409" s="1"/>
      <c r="BH2409" s="1"/>
      <c r="BI2409" s="1"/>
      <c r="BJ2409" s="1"/>
      <c r="BK2409" s="1"/>
      <c r="BL2409" s="1"/>
      <c r="BM2409" s="1"/>
      <c r="BN2409" s="1"/>
      <c r="BO2409" s="1"/>
      <c r="BP2409" s="1"/>
      <c r="BQ2409" s="1"/>
      <c r="BR2409" s="1"/>
      <c r="BS2409" s="1"/>
      <c r="BT2409" s="1"/>
      <c r="BU2409" s="1"/>
      <c r="BV2409" s="1"/>
      <c r="BW2409" s="1"/>
      <c r="BX2409" s="1"/>
      <c r="BY2409" s="1"/>
      <c r="BZ2409" s="1"/>
      <c r="CA2409" s="1"/>
      <c r="CB2409" s="1"/>
      <c r="CC2409" s="1"/>
      <c r="CD2409" s="1"/>
      <c r="CE2409" s="1"/>
      <c r="CF2409" s="1"/>
      <c r="CG2409" s="1"/>
      <c r="CH2409" s="1"/>
      <c r="CI2409" s="1"/>
      <c r="CJ2409" s="1"/>
      <c r="CK2409" s="1"/>
      <c r="CL2409" s="1"/>
      <c r="CM2409" s="1"/>
      <c r="CN2409" s="1"/>
      <c r="CO2409" s="1"/>
      <c r="CP2409" s="1"/>
      <c r="CQ2409" s="1"/>
      <c r="CR2409" s="1"/>
      <c r="CS2409" s="1"/>
      <c r="CT2409" s="1"/>
      <c r="CU2409" s="1"/>
      <c r="CV2409" s="1"/>
      <c r="CW2409" s="1"/>
      <c r="CX2409" s="1"/>
      <c r="CY2409" s="1"/>
      <c r="CZ2409" s="1"/>
      <c r="DA2409" s="1"/>
      <c r="DB2409" s="1"/>
      <c r="DC2409" s="1"/>
    </row>
    <row r="2410" spans="1:107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1"/>
      <c r="AC2410" s="1"/>
      <c r="AD2410" s="1"/>
      <c r="AE2410" s="1"/>
      <c r="AF2410" s="1"/>
      <c r="AG2410" s="1"/>
      <c r="AH2410" s="1"/>
      <c r="AI2410" s="1"/>
      <c r="AJ2410" s="1"/>
      <c r="AK2410" s="1"/>
      <c r="AL2410" s="1"/>
      <c r="AM2410" s="1"/>
      <c r="AN2410" s="1"/>
      <c r="AO2410" s="1"/>
      <c r="AP2410" s="1"/>
      <c r="AQ2410" s="1"/>
      <c r="AR2410" s="1"/>
      <c r="AS2410" s="1"/>
      <c r="AT2410" s="1"/>
      <c r="AU2410" s="1"/>
      <c r="AV2410" s="1"/>
      <c r="AW2410" s="1"/>
      <c r="AX2410" s="1"/>
      <c r="AY2410" s="1"/>
      <c r="AZ2410" s="1"/>
      <c r="BA2410" s="1"/>
      <c r="BB2410" s="1"/>
      <c r="BC2410" s="1"/>
      <c r="BD2410" s="1"/>
      <c r="BE2410" s="1"/>
      <c r="BF2410" s="1"/>
      <c r="BG2410" s="1"/>
      <c r="BH2410" s="1"/>
      <c r="BI2410" s="1"/>
      <c r="BJ2410" s="1"/>
      <c r="BK2410" s="1"/>
      <c r="BL2410" s="1"/>
      <c r="BM2410" s="1"/>
      <c r="BN2410" s="1"/>
      <c r="BO2410" s="1"/>
      <c r="BP2410" s="1"/>
      <c r="BQ2410" s="1"/>
      <c r="BR2410" s="1"/>
      <c r="BS2410" s="1"/>
      <c r="BT2410" s="1"/>
      <c r="BU2410" s="1"/>
      <c r="BV2410" s="1"/>
      <c r="BW2410" s="1"/>
      <c r="BX2410" s="1"/>
      <c r="BY2410" s="1"/>
      <c r="BZ2410" s="1"/>
      <c r="CA2410" s="1"/>
      <c r="CB2410" s="1"/>
      <c r="CC2410" s="1"/>
      <c r="CD2410" s="1"/>
      <c r="CE2410" s="1"/>
      <c r="CF2410" s="1"/>
      <c r="CG2410" s="1"/>
      <c r="CH2410" s="1"/>
      <c r="CI2410" s="1"/>
      <c r="CJ2410" s="1"/>
      <c r="CK2410" s="1"/>
      <c r="CL2410" s="1"/>
      <c r="CM2410" s="1"/>
      <c r="CN2410" s="1"/>
      <c r="CO2410" s="1"/>
      <c r="CP2410" s="1"/>
      <c r="CQ2410" s="1"/>
      <c r="CR2410" s="1"/>
      <c r="CS2410" s="1"/>
      <c r="CT2410" s="1"/>
      <c r="CU2410" s="1"/>
      <c r="CV2410" s="1"/>
      <c r="CW2410" s="1"/>
      <c r="CX2410" s="1"/>
      <c r="CY2410" s="1"/>
      <c r="CZ2410" s="1"/>
      <c r="DA2410" s="1"/>
      <c r="DB2410" s="1"/>
      <c r="DC2410" s="1"/>
    </row>
    <row r="2411" spans="1:107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  <c r="AC2411" s="1"/>
      <c r="AD2411" s="1"/>
      <c r="AE2411" s="1"/>
      <c r="AF2411" s="1"/>
      <c r="AG2411" s="1"/>
      <c r="AH2411" s="1"/>
      <c r="AI2411" s="1"/>
      <c r="AJ2411" s="1"/>
      <c r="AK2411" s="1"/>
      <c r="AL2411" s="1"/>
      <c r="AM2411" s="1"/>
      <c r="AN2411" s="1"/>
      <c r="AO2411" s="1"/>
      <c r="AP2411" s="1"/>
      <c r="AQ2411" s="1"/>
      <c r="AR2411" s="1"/>
      <c r="AS2411" s="1"/>
      <c r="AT2411" s="1"/>
      <c r="AU2411" s="1"/>
      <c r="AV2411" s="1"/>
      <c r="AW2411" s="1"/>
      <c r="AX2411" s="1"/>
      <c r="AY2411" s="1"/>
      <c r="AZ2411" s="1"/>
      <c r="BA2411" s="1"/>
      <c r="BB2411" s="1"/>
      <c r="BC2411" s="1"/>
      <c r="BD2411" s="1"/>
      <c r="BE2411" s="1"/>
      <c r="BF2411" s="1"/>
      <c r="BG2411" s="1"/>
      <c r="BH2411" s="1"/>
      <c r="BI2411" s="1"/>
      <c r="BJ2411" s="1"/>
      <c r="BK2411" s="1"/>
      <c r="BL2411" s="1"/>
      <c r="BM2411" s="1"/>
      <c r="BN2411" s="1"/>
      <c r="BO2411" s="1"/>
      <c r="BP2411" s="1"/>
      <c r="BQ2411" s="1"/>
      <c r="BR2411" s="1"/>
      <c r="BS2411" s="1"/>
      <c r="BT2411" s="1"/>
      <c r="BU2411" s="1"/>
      <c r="BV2411" s="1"/>
      <c r="BW2411" s="1"/>
      <c r="BX2411" s="1"/>
      <c r="BY2411" s="1"/>
      <c r="BZ2411" s="1"/>
      <c r="CA2411" s="1"/>
      <c r="CB2411" s="1"/>
      <c r="CC2411" s="1"/>
      <c r="CD2411" s="1"/>
      <c r="CE2411" s="1"/>
      <c r="CF2411" s="1"/>
      <c r="CG2411" s="1"/>
      <c r="CH2411" s="1"/>
      <c r="CI2411" s="1"/>
      <c r="CJ2411" s="1"/>
      <c r="CK2411" s="1"/>
      <c r="CL2411" s="1"/>
      <c r="CM2411" s="1"/>
      <c r="CN2411" s="1"/>
      <c r="CO2411" s="1"/>
      <c r="CP2411" s="1"/>
      <c r="CQ2411" s="1"/>
      <c r="CR2411" s="1"/>
      <c r="CS2411" s="1"/>
      <c r="CT2411" s="1"/>
      <c r="CU2411" s="1"/>
      <c r="CV2411" s="1"/>
      <c r="CW2411" s="1"/>
      <c r="CX2411" s="1"/>
      <c r="CY2411" s="1"/>
      <c r="CZ2411" s="1"/>
      <c r="DA2411" s="1"/>
      <c r="DB2411" s="1"/>
      <c r="DC2411" s="1"/>
    </row>
    <row r="2412" spans="1:107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  <c r="AC2412" s="1"/>
      <c r="AD2412" s="1"/>
      <c r="AE2412" s="1"/>
      <c r="AF2412" s="1"/>
      <c r="AG2412" s="1"/>
      <c r="AH2412" s="1"/>
      <c r="AI2412" s="1"/>
      <c r="AJ2412" s="1"/>
      <c r="AK2412" s="1"/>
      <c r="AL2412" s="1"/>
      <c r="AM2412" s="1"/>
      <c r="AN2412" s="1"/>
      <c r="AO2412" s="1"/>
      <c r="AP2412" s="1"/>
      <c r="AQ2412" s="1"/>
      <c r="AR2412" s="1"/>
      <c r="AS2412" s="1"/>
      <c r="AT2412" s="1"/>
      <c r="AU2412" s="1"/>
      <c r="AV2412" s="1"/>
      <c r="AW2412" s="1"/>
      <c r="AX2412" s="1"/>
      <c r="AY2412" s="1"/>
      <c r="AZ2412" s="1"/>
      <c r="BA2412" s="1"/>
      <c r="BB2412" s="1"/>
      <c r="BC2412" s="1"/>
      <c r="BD2412" s="1"/>
      <c r="BE2412" s="1"/>
      <c r="BF2412" s="1"/>
      <c r="BG2412" s="1"/>
      <c r="BH2412" s="1"/>
      <c r="BI2412" s="1"/>
      <c r="BJ2412" s="1"/>
      <c r="BK2412" s="1"/>
      <c r="BL2412" s="1"/>
      <c r="BM2412" s="1"/>
      <c r="BN2412" s="1"/>
      <c r="BO2412" s="1"/>
      <c r="BP2412" s="1"/>
      <c r="BQ2412" s="1"/>
      <c r="BR2412" s="1"/>
      <c r="BS2412" s="1"/>
      <c r="BT2412" s="1"/>
      <c r="BU2412" s="1"/>
      <c r="BV2412" s="1"/>
      <c r="BW2412" s="1"/>
      <c r="BX2412" s="1"/>
      <c r="BY2412" s="1"/>
      <c r="BZ2412" s="1"/>
      <c r="CA2412" s="1"/>
      <c r="CB2412" s="1"/>
      <c r="CC2412" s="1"/>
      <c r="CD2412" s="1"/>
      <c r="CE2412" s="1"/>
      <c r="CF2412" s="1"/>
      <c r="CG2412" s="1"/>
      <c r="CH2412" s="1"/>
      <c r="CI2412" s="1"/>
      <c r="CJ2412" s="1"/>
      <c r="CK2412" s="1"/>
      <c r="CL2412" s="1"/>
      <c r="CM2412" s="1"/>
      <c r="CN2412" s="1"/>
      <c r="CO2412" s="1"/>
      <c r="CP2412" s="1"/>
      <c r="CQ2412" s="1"/>
      <c r="CR2412" s="1"/>
      <c r="CS2412" s="1"/>
      <c r="CT2412" s="1"/>
      <c r="CU2412" s="1"/>
      <c r="CV2412" s="1"/>
      <c r="CW2412" s="1"/>
      <c r="CX2412" s="1"/>
      <c r="CY2412" s="1"/>
      <c r="CZ2412" s="1"/>
      <c r="DA2412" s="1"/>
      <c r="DB2412" s="1"/>
      <c r="DC2412" s="1"/>
    </row>
    <row r="2413" spans="1:107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  <c r="AC2413" s="1"/>
      <c r="AD2413" s="1"/>
      <c r="AE2413" s="1"/>
      <c r="AF2413" s="1"/>
      <c r="AG2413" s="1"/>
      <c r="AH2413" s="1"/>
      <c r="AI2413" s="1"/>
      <c r="AJ2413" s="1"/>
      <c r="AK2413" s="1"/>
      <c r="AL2413" s="1"/>
      <c r="AM2413" s="1"/>
      <c r="AN2413" s="1"/>
      <c r="AO2413" s="1"/>
      <c r="AP2413" s="1"/>
      <c r="AQ2413" s="1"/>
      <c r="AR2413" s="1"/>
      <c r="AS2413" s="1"/>
      <c r="AT2413" s="1"/>
      <c r="AU2413" s="1"/>
      <c r="AV2413" s="1"/>
      <c r="AW2413" s="1"/>
      <c r="AX2413" s="1"/>
      <c r="AY2413" s="1"/>
      <c r="AZ2413" s="1"/>
      <c r="BA2413" s="1"/>
      <c r="BB2413" s="1"/>
      <c r="BC2413" s="1"/>
      <c r="BD2413" s="1"/>
      <c r="BE2413" s="1"/>
      <c r="BF2413" s="1"/>
      <c r="BG2413" s="1"/>
      <c r="BH2413" s="1"/>
      <c r="BI2413" s="1"/>
      <c r="BJ2413" s="1"/>
      <c r="BK2413" s="1"/>
      <c r="BL2413" s="1"/>
      <c r="BM2413" s="1"/>
      <c r="BN2413" s="1"/>
      <c r="BO2413" s="1"/>
      <c r="BP2413" s="1"/>
      <c r="BQ2413" s="1"/>
      <c r="BR2413" s="1"/>
      <c r="BS2413" s="1"/>
      <c r="BT2413" s="1"/>
      <c r="BU2413" s="1"/>
      <c r="BV2413" s="1"/>
      <c r="BW2413" s="1"/>
      <c r="BX2413" s="1"/>
      <c r="BY2413" s="1"/>
      <c r="BZ2413" s="1"/>
      <c r="CA2413" s="1"/>
      <c r="CB2413" s="1"/>
      <c r="CC2413" s="1"/>
      <c r="CD2413" s="1"/>
      <c r="CE2413" s="1"/>
      <c r="CF2413" s="1"/>
      <c r="CG2413" s="1"/>
      <c r="CH2413" s="1"/>
      <c r="CI2413" s="1"/>
      <c r="CJ2413" s="1"/>
      <c r="CK2413" s="1"/>
      <c r="CL2413" s="1"/>
      <c r="CM2413" s="1"/>
      <c r="CN2413" s="1"/>
      <c r="CO2413" s="1"/>
      <c r="CP2413" s="1"/>
      <c r="CQ2413" s="1"/>
      <c r="CR2413" s="1"/>
      <c r="CS2413" s="1"/>
      <c r="CT2413" s="1"/>
      <c r="CU2413" s="1"/>
      <c r="CV2413" s="1"/>
      <c r="CW2413" s="1"/>
      <c r="CX2413" s="1"/>
      <c r="CY2413" s="1"/>
      <c r="CZ2413" s="1"/>
      <c r="DA2413" s="1"/>
      <c r="DB2413" s="1"/>
      <c r="DC2413" s="1"/>
    </row>
    <row r="2414" spans="1:107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  <c r="AC2414" s="1"/>
      <c r="AD2414" s="1"/>
      <c r="AE2414" s="1"/>
      <c r="AF2414" s="1"/>
      <c r="AG2414" s="1"/>
      <c r="AH2414" s="1"/>
      <c r="AI2414" s="1"/>
      <c r="AJ2414" s="1"/>
      <c r="AK2414" s="1"/>
      <c r="AL2414" s="1"/>
      <c r="AM2414" s="1"/>
      <c r="AN2414" s="1"/>
      <c r="AO2414" s="1"/>
      <c r="AP2414" s="1"/>
      <c r="AQ2414" s="1"/>
      <c r="AR2414" s="1"/>
      <c r="AS2414" s="1"/>
      <c r="AT2414" s="1"/>
      <c r="AU2414" s="1"/>
      <c r="AV2414" s="1"/>
      <c r="AW2414" s="1"/>
      <c r="AX2414" s="1"/>
      <c r="AY2414" s="1"/>
      <c r="AZ2414" s="1"/>
      <c r="BA2414" s="1"/>
      <c r="BB2414" s="1"/>
      <c r="BC2414" s="1"/>
      <c r="BD2414" s="1"/>
      <c r="BE2414" s="1"/>
      <c r="BF2414" s="1"/>
      <c r="BG2414" s="1"/>
      <c r="BH2414" s="1"/>
      <c r="BI2414" s="1"/>
      <c r="BJ2414" s="1"/>
      <c r="BK2414" s="1"/>
      <c r="BL2414" s="1"/>
      <c r="BM2414" s="1"/>
      <c r="BN2414" s="1"/>
      <c r="BO2414" s="1"/>
      <c r="BP2414" s="1"/>
      <c r="BQ2414" s="1"/>
      <c r="BR2414" s="1"/>
      <c r="BS2414" s="1"/>
      <c r="BT2414" s="1"/>
      <c r="BU2414" s="1"/>
      <c r="BV2414" s="1"/>
      <c r="BW2414" s="1"/>
      <c r="BX2414" s="1"/>
      <c r="BY2414" s="1"/>
      <c r="BZ2414" s="1"/>
      <c r="CA2414" s="1"/>
      <c r="CB2414" s="1"/>
      <c r="CC2414" s="1"/>
      <c r="CD2414" s="1"/>
      <c r="CE2414" s="1"/>
      <c r="CF2414" s="1"/>
      <c r="CG2414" s="1"/>
      <c r="CH2414" s="1"/>
      <c r="CI2414" s="1"/>
      <c r="CJ2414" s="1"/>
      <c r="CK2414" s="1"/>
      <c r="CL2414" s="1"/>
      <c r="CM2414" s="1"/>
      <c r="CN2414" s="1"/>
      <c r="CO2414" s="1"/>
      <c r="CP2414" s="1"/>
      <c r="CQ2414" s="1"/>
      <c r="CR2414" s="1"/>
      <c r="CS2414" s="1"/>
      <c r="CT2414" s="1"/>
      <c r="CU2414" s="1"/>
      <c r="CV2414" s="1"/>
      <c r="CW2414" s="1"/>
      <c r="CX2414" s="1"/>
      <c r="CY2414" s="1"/>
      <c r="CZ2414" s="1"/>
      <c r="DA2414" s="1"/>
      <c r="DB2414" s="1"/>
      <c r="DC2414" s="1"/>
    </row>
    <row r="2415" spans="1:107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1"/>
      <c r="AD2415" s="1"/>
      <c r="AE2415" s="1"/>
      <c r="AF2415" s="1"/>
      <c r="AG2415" s="1"/>
      <c r="AH2415" s="1"/>
      <c r="AI2415" s="1"/>
      <c r="AJ2415" s="1"/>
      <c r="AK2415" s="1"/>
      <c r="AL2415" s="1"/>
      <c r="AM2415" s="1"/>
      <c r="AN2415" s="1"/>
      <c r="AO2415" s="1"/>
      <c r="AP2415" s="1"/>
      <c r="AQ2415" s="1"/>
      <c r="AR2415" s="1"/>
      <c r="AS2415" s="1"/>
      <c r="AT2415" s="1"/>
      <c r="AU2415" s="1"/>
      <c r="AV2415" s="1"/>
      <c r="AW2415" s="1"/>
      <c r="AX2415" s="1"/>
      <c r="AY2415" s="1"/>
      <c r="AZ2415" s="1"/>
      <c r="BA2415" s="1"/>
      <c r="BB2415" s="1"/>
      <c r="BC2415" s="1"/>
      <c r="BD2415" s="1"/>
      <c r="BE2415" s="1"/>
      <c r="BF2415" s="1"/>
      <c r="BG2415" s="1"/>
      <c r="BH2415" s="1"/>
      <c r="BI2415" s="1"/>
      <c r="BJ2415" s="1"/>
      <c r="BK2415" s="1"/>
      <c r="BL2415" s="1"/>
      <c r="BM2415" s="1"/>
      <c r="BN2415" s="1"/>
      <c r="BO2415" s="1"/>
      <c r="BP2415" s="1"/>
      <c r="BQ2415" s="1"/>
      <c r="BR2415" s="1"/>
      <c r="BS2415" s="1"/>
      <c r="BT2415" s="1"/>
      <c r="BU2415" s="1"/>
      <c r="BV2415" s="1"/>
      <c r="BW2415" s="1"/>
      <c r="BX2415" s="1"/>
      <c r="BY2415" s="1"/>
      <c r="BZ2415" s="1"/>
      <c r="CA2415" s="1"/>
      <c r="CB2415" s="1"/>
      <c r="CC2415" s="1"/>
      <c r="CD2415" s="1"/>
      <c r="CE2415" s="1"/>
      <c r="CF2415" s="1"/>
      <c r="CG2415" s="1"/>
      <c r="CH2415" s="1"/>
      <c r="CI2415" s="1"/>
      <c r="CJ2415" s="1"/>
      <c r="CK2415" s="1"/>
      <c r="CL2415" s="1"/>
      <c r="CM2415" s="1"/>
      <c r="CN2415" s="1"/>
      <c r="CO2415" s="1"/>
      <c r="CP2415" s="1"/>
      <c r="CQ2415" s="1"/>
      <c r="CR2415" s="1"/>
      <c r="CS2415" s="1"/>
      <c r="CT2415" s="1"/>
      <c r="CU2415" s="1"/>
      <c r="CV2415" s="1"/>
      <c r="CW2415" s="1"/>
      <c r="CX2415" s="1"/>
      <c r="CY2415" s="1"/>
      <c r="CZ2415" s="1"/>
      <c r="DA2415" s="1"/>
      <c r="DB2415" s="1"/>
      <c r="DC2415" s="1"/>
    </row>
    <row r="2416" spans="1:107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  <c r="AC2416" s="1"/>
      <c r="AD2416" s="1"/>
      <c r="AE2416" s="1"/>
      <c r="AF2416" s="1"/>
      <c r="AG2416" s="1"/>
      <c r="AH2416" s="1"/>
      <c r="AI2416" s="1"/>
      <c r="AJ2416" s="1"/>
      <c r="AK2416" s="1"/>
      <c r="AL2416" s="1"/>
      <c r="AM2416" s="1"/>
      <c r="AN2416" s="1"/>
      <c r="AO2416" s="1"/>
      <c r="AP2416" s="1"/>
      <c r="AQ2416" s="1"/>
      <c r="AR2416" s="1"/>
      <c r="AS2416" s="1"/>
      <c r="AT2416" s="1"/>
      <c r="AU2416" s="1"/>
      <c r="AV2416" s="1"/>
      <c r="AW2416" s="1"/>
      <c r="AX2416" s="1"/>
      <c r="AY2416" s="1"/>
      <c r="AZ2416" s="1"/>
      <c r="BA2416" s="1"/>
      <c r="BB2416" s="1"/>
      <c r="BC2416" s="1"/>
      <c r="BD2416" s="1"/>
      <c r="BE2416" s="1"/>
      <c r="BF2416" s="1"/>
      <c r="BG2416" s="1"/>
      <c r="BH2416" s="1"/>
      <c r="BI2416" s="1"/>
      <c r="BJ2416" s="1"/>
      <c r="BK2416" s="1"/>
      <c r="BL2416" s="1"/>
      <c r="BM2416" s="1"/>
      <c r="BN2416" s="1"/>
      <c r="BO2416" s="1"/>
      <c r="BP2416" s="1"/>
      <c r="BQ2416" s="1"/>
      <c r="BR2416" s="1"/>
      <c r="BS2416" s="1"/>
      <c r="BT2416" s="1"/>
      <c r="BU2416" s="1"/>
      <c r="BV2416" s="1"/>
      <c r="BW2416" s="1"/>
      <c r="BX2416" s="1"/>
      <c r="BY2416" s="1"/>
      <c r="BZ2416" s="1"/>
      <c r="CA2416" s="1"/>
      <c r="CB2416" s="1"/>
      <c r="CC2416" s="1"/>
      <c r="CD2416" s="1"/>
      <c r="CE2416" s="1"/>
      <c r="CF2416" s="1"/>
      <c r="CG2416" s="1"/>
      <c r="CH2416" s="1"/>
      <c r="CI2416" s="1"/>
      <c r="CJ2416" s="1"/>
      <c r="CK2416" s="1"/>
      <c r="CL2416" s="1"/>
      <c r="CM2416" s="1"/>
      <c r="CN2416" s="1"/>
      <c r="CO2416" s="1"/>
      <c r="CP2416" s="1"/>
      <c r="CQ2416" s="1"/>
      <c r="CR2416" s="1"/>
      <c r="CS2416" s="1"/>
      <c r="CT2416" s="1"/>
      <c r="CU2416" s="1"/>
      <c r="CV2416" s="1"/>
      <c r="CW2416" s="1"/>
      <c r="CX2416" s="1"/>
      <c r="CY2416" s="1"/>
      <c r="CZ2416" s="1"/>
      <c r="DA2416" s="1"/>
      <c r="DB2416" s="1"/>
      <c r="DC2416" s="1"/>
    </row>
    <row r="2417" spans="1:107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  <c r="AC2417" s="1"/>
      <c r="AD2417" s="1"/>
      <c r="AE2417" s="1"/>
      <c r="AF2417" s="1"/>
      <c r="AG2417" s="1"/>
      <c r="AH2417" s="1"/>
      <c r="AI2417" s="1"/>
      <c r="AJ2417" s="1"/>
      <c r="AK2417" s="1"/>
      <c r="AL2417" s="1"/>
      <c r="AM2417" s="1"/>
      <c r="AN2417" s="1"/>
      <c r="AO2417" s="1"/>
      <c r="AP2417" s="1"/>
      <c r="AQ2417" s="1"/>
      <c r="AR2417" s="1"/>
      <c r="AS2417" s="1"/>
      <c r="AT2417" s="1"/>
      <c r="AU2417" s="1"/>
      <c r="AV2417" s="1"/>
      <c r="AW2417" s="1"/>
      <c r="AX2417" s="1"/>
      <c r="AY2417" s="1"/>
      <c r="AZ2417" s="1"/>
      <c r="BA2417" s="1"/>
      <c r="BB2417" s="1"/>
      <c r="BC2417" s="1"/>
      <c r="BD2417" s="1"/>
      <c r="BE2417" s="1"/>
      <c r="BF2417" s="1"/>
      <c r="BG2417" s="1"/>
      <c r="BH2417" s="1"/>
      <c r="BI2417" s="1"/>
      <c r="BJ2417" s="1"/>
      <c r="BK2417" s="1"/>
      <c r="BL2417" s="1"/>
      <c r="BM2417" s="1"/>
      <c r="BN2417" s="1"/>
      <c r="BO2417" s="1"/>
      <c r="BP2417" s="1"/>
      <c r="BQ2417" s="1"/>
      <c r="BR2417" s="1"/>
      <c r="BS2417" s="1"/>
      <c r="BT2417" s="1"/>
      <c r="BU2417" s="1"/>
      <c r="BV2417" s="1"/>
      <c r="BW2417" s="1"/>
      <c r="BX2417" s="1"/>
      <c r="BY2417" s="1"/>
      <c r="BZ2417" s="1"/>
      <c r="CA2417" s="1"/>
      <c r="CB2417" s="1"/>
      <c r="CC2417" s="1"/>
      <c r="CD2417" s="1"/>
      <c r="CE2417" s="1"/>
      <c r="CF2417" s="1"/>
      <c r="CG2417" s="1"/>
      <c r="CH2417" s="1"/>
      <c r="CI2417" s="1"/>
      <c r="CJ2417" s="1"/>
      <c r="CK2417" s="1"/>
      <c r="CL2417" s="1"/>
      <c r="CM2417" s="1"/>
      <c r="CN2417" s="1"/>
      <c r="CO2417" s="1"/>
      <c r="CP2417" s="1"/>
      <c r="CQ2417" s="1"/>
      <c r="CR2417" s="1"/>
      <c r="CS2417" s="1"/>
      <c r="CT2417" s="1"/>
      <c r="CU2417" s="1"/>
      <c r="CV2417" s="1"/>
      <c r="CW2417" s="1"/>
      <c r="CX2417" s="1"/>
      <c r="CY2417" s="1"/>
      <c r="CZ2417" s="1"/>
      <c r="DA2417" s="1"/>
      <c r="DB2417" s="1"/>
      <c r="DC2417" s="1"/>
    </row>
    <row r="2418" spans="1:107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  <c r="AC2418" s="1"/>
      <c r="AD2418" s="1"/>
      <c r="AE2418" s="1"/>
      <c r="AF2418" s="1"/>
      <c r="AG2418" s="1"/>
      <c r="AH2418" s="1"/>
      <c r="AI2418" s="1"/>
      <c r="AJ2418" s="1"/>
      <c r="AK2418" s="1"/>
      <c r="AL2418" s="1"/>
      <c r="AM2418" s="1"/>
      <c r="AN2418" s="1"/>
      <c r="AO2418" s="1"/>
      <c r="AP2418" s="1"/>
      <c r="AQ2418" s="1"/>
      <c r="AR2418" s="1"/>
      <c r="AS2418" s="1"/>
      <c r="AT2418" s="1"/>
      <c r="AU2418" s="1"/>
      <c r="AV2418" s="1"/>
      <c r="AW2418" s="1"/>
      <c r="AX2418" s="1"/>
      <c r="AY2418" s="1"/>
      <c r="AZ2418" s="1"/>
      <c r="BA2418" s="1"/>
      <c r="BB2418" s="1"/>
      <c r="BC2418" s="1"/>
      <c r="BD2418" s="1"/>
      <c r="BE2418" s="1"/>
      <c r="BF2418" s="1"/>
      <c r="BG2418" s="1"/>
      <c r="BH2418" s="1"/>
      <c r="BI2418" s="1"/>
      <c r="BJ2418" s="1"/>
      <c r="BK2418" s="1"/>
      <c r="BL2418" s="1"/>
      <c r="BM2418" s="1"/>
      <c r="BN2418" s="1"/>
      <c r="BO2418" s="1"/>
      <c r="BP2418" s="1"/>
      <c r="BQ2418" s="1"/>
      <c r="BR2418" s="1"/>
      <c r="BS2418" s="1"/>
      <c r="BT2418" s="1"/>
      <c r="BU2418" s="1"/>
      <c r="BV2418" s="1"/>
      <c r="BW2418" s="1"/>
      <c r="BX2418" s="1"/>
      <c r="BY2418" s="1"/>
      <c r="BZ2418" s="1"/>
      <c r="CA2418" s="1"/>
      <c r="CB2418" s="1"/>
      <c r="CC2418" s="1"/>
      <c r="CD2418" s="1"/>
      <c r="CE2418" s="1"/>
      <c r="CF2418" s="1"/>
      <c r="CG2418" s="1"/>
      <c r="CH2418" s="1"/>
      <c r="CI2418" s="1"/>
      <c r="CJ2418" s="1"/>
      <c r="CK2418" s="1"/>
      <c r="CL2418" s="1"/>
      <c r="CM2418" s="1"/>
      <c r="CN2418" s="1"/>
      <c r="CO2418" s="1"/>
      <c r="CP2418" s="1"/>
      <c r="CQ2418" s="1"/>
      <c r="CR2418" s="1"/>
      <c r="CS2418" s="1"/>
      <c r="CT2418" s="1"/>
      <c r="CU2418" s="1"/>
      <c r="CV2418" s="1"/>
      <c r="CW2418" s="1"/>
      <c r="CX2418" s="1"/>
      <c r="CY2418" s="1"/>
      <c r="CZ2418" s="1"/>
      <c r="DA2418" s="1"/>
      <c r="DB2418" s="1"/>
      <c r="DC2418" s="1"/>
    </row>
    <row r="2419" spans="1:107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  <c r="AC2419" s="1"/>
      <c r="AD2419" s="1"/>
      <c r="AE2419" s="1"/>
      <c r="AF2419" s="1"/>
      <c r="AG2419" s="1"/>
      <c r="AH2419" s="1"/>
      <c r="AI2419" s="1"/>
      <c r="AJ2419" s="1"/>
      <c r="AK2419" s="1"/>
      <c r="AL2419" s="1"/>
      <c r="AM2419" s="1"/>
      <c r="AN2419" s="1"/>
      <c r="AO2419" s="1"/>
      <c r="AP2419" s="1"/>
      <c r="AQ2419" s="1"/>
      <c r="AR2419" s="1"/>
      <c r="AS2419" s="1"/>
      <c r="AT2419" s="1"/>
      <c r="AU2419" s="1"/>
      <c r="AV2419" s="1"/>
      <c r="AW2419" s="1"/>
      <c r="AX2419" s="1"/>
      <c r="AY2419" s="1"/>
      <c r="AZ2419" s="1"/>
      <c r="BA2419" s="1"/>
      <c r="BB2419" s="1"/>
      <c r="BC2419" s="1"/>
      <c r="BD2419" s="1"/>
      <c r="BE2419" s="1"/>
      <c r="BF2419" s="1"/>
      <c r="BG2419" s="1"/>
      <c r="BH2419" s="1"/>
      <c r="BI2419" s="1"/>
      <c r="BJ2419" s="1"/>
      <c r="BK2419" s="1"/>
      <c r="BL2419" s="1"/>
      <c r="BM2419" s="1"/>
      <c r="BN2419" s="1"/>
      <c r="BO2419" s="1"/>
      <c r="BP2419" s="1"/>
      <c r="BQ2419" s="1"/>
      <c r="BR2419" s="1"/>
      <c r="BS2419" s="1"/>
      <c r="BT2419" s="1"/>
      <c r="BU2419" s="1"/>
      <c r="BV2419" s="1"/>
      <c r="BW2419" s="1"/>
      <c r="BX2419" s="1"/>
      <c r="BY2419" s="1"/>
      <c r="BZ2419" s="1"/>
      <c r="CA2419" s="1"/>
      <c r="CB2419" s="1"/>
      <c r="CC2419" s="1"/>
      <c r="CD2419" s="1"/>
      <c r="CE2419" s="1"/>
      <c r="CF2419" s="1"/>
      <c r="CG2419" s="1"/>
      <c r="CH2419" s="1"/>
      <c r="CI2419" s="1"/>
      <c r="CJ2419" s="1"/>
      <c r="CK2419" s="1"/>
      <c r="CL2419" s="1"/>
      <c r="CM2419" s="1"/>
      <c r="CN2419" s="1"/>
      <c r="CO2419" s="1"/>
      <c r="CP2419" s="1"/>
      <c r="CQ2419" s="1"/>
      <c r="CR2419" s="1"/>
      <c r="CS2419" s="1"/>
      <c r="CT2419" s="1"/>
      <c r="CU2419" s="1"/>
      <c r="CV2419" s="1"/>
      <c r="CW2419" s="1"/>
      <c r="CX2419" s="1"/>
      <c r="CY2419" s="1"/>
      <c r="CZ2419" s="1"/>
      <c r="DA2419" s="1"/>
      <c r="DB2419" s="1"/>
      <c r="DC2419" s="1"/>
    </row>
    <row r="2420" spans="1:107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/>
      <c r="AC2420" s="1"/>
      <c r="AD2420" s="1"/>
      <c r="AE2420" s="1"/>
      <c r="AF2420" s="1"/>
      <c r="AG2420" s="1"/>
      <c r="AH2420" s="1"/>
      <c r="AI2420" s="1"/>
      <c r="AJ2420" s="1"/>
      <c r="AK2420" s="1"/>
      <c r="AL2420" s="1"/>
      <c r="AM2420" s="1"/>
      <c r="AN2420" s="1"/>
      <c r="AO2420" s="1"/>
      <c r="AP2420" s="1"/>
      <c r="AQ2420" s="1"/>
      <c r="AR2420" s="1"/>
      <c r="AS2420" s="1"/>
      <c r="AT2420" s="1"/>
      <c r="AU2420" s="1"/>
      <c r="AV2420" s="1"/>
      <c r="AW2420" s="1"/>
      <c r="AX2420" s="1"/>
      <c r="AY2420" s="1"/>
      <c r="AZ2420" s="1"/>
      <c r="BA2420" s="1"/>
      <c r="BB2420" s="1"/>
      <c r="BC2420" s="1"/>
      <c r="BD2420" s="1"/>
      <c r="BE2420" s="1"/>
      <c r="BF2420" s="1"/>
      <c r="BG2420" s="1"/>
      <c r="BH2420" s="1"/>
      <c r="BI2420" s="1"/>
      <c r="BJ2420" s="1"/>
      <c r="BK2420" s="1"/>
      <c r="BL2420" s="1"/>
      <c r="BM2420" s="1"/>
      <c r="BN2420" s="1"/>
      <c r="BO2420" s="1"/>
      <c r="BP2420" s="1"/>
      <c r="BQ2420" s="1"/>
      <c r="BR2420" s="1"/>
      <c r="BS2420" s="1"/>
      <c r="BT2420" s="1"/>
      <c r="BU2420" s="1"/>
      <c r="BV2420" s="1"/>
      <c r="BW2420" s="1"/>
      <c r="BX2420" s="1"/>
      <c r="BY2420" s="1"/>
      <c r="BZ2420" s="1"/>
      <c r="CA2420" s="1"/>
      <c r="CB2420" s="1"/>
      <c r="CC2420" s="1"/>
      <c r="CD2420" s="1"/>
      <c r="CE2420" s="1"/>
      <c r="CF2420" s="1"/>
      <c r="CG2420" s="1"/>
      <c r="CH2420" s="1"/>
      <c r="CI2420" s="1"/>
      <c r="CJ2420" s="1"/>
      <c r="CK2420" s="1"/>
      <c r="CL2420" s="1"/>
      <c r="CM2420" s="1"/>
      <c r="CN2420" s="1"/>
      <c r="CO2420" s="1"/>
      <c r="CP2420" s="1"/>
      <c r="CQ2420" s="1"/>
      <c r="CR2420" s="1"/>
      <c r="CS2420" s="1"/>
      <c r="CT2420" s="1"/>
      <c r="CU2420" s="1"/>
      <c r="CV2420" s="1"/>
      <c r="CW2420" s="1"/>
      <c r="CX2420" s="1"/>
      <c r="CY2420" s="1"/>
      <c r="CZ2420" s="1"/>
      <c r="DA2420" s="1"/>
      <c r="DB2420" s="1"/>
      <c r="DC2420" s="1"/>
    </row>
    <row r="2421" spans="1:107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  <c r="AC2421" s="1"/>
      <c r="AD2421" s="1"/>
      <c r="AE2421" s="1"/>
      <c r="AF2421" s="1"/>
      <c r="AG2421" s="1"/>
      <c r="AH2421" s="1"/>
      <c r="AI2421" s="1"/>
      <c r="AJ2421" s="1"/>
      <c r="AK2421" s="1"/>
      <c r="AL2421" s="1"/>
      <c r="AM2421" s="1"/>
      <c r="AN2421" s="1"/>
      <c r="AO2421" s="1"/>
      <c r="AP2421" s="1"/>
      <c r="AQ2421" s="1"/>
      <c r="AR2421" s="1"/>
      <c r="AS2421" s="1"/>
      <c r="AT2421" s="1"/>
      <c r="AU2421" s="1"/>
      <c r="AV2421" s="1"/>
      <c r="AW2421" s="1"/>
      <c r="AX2421" s="1"/>
      <c r="AY2421" s="1"/>
      <c r="AZ2421" s="1"/>
      <c r="BA2421" s="1"/>
      <c r="BB2421" s="1"/>
      <c r="BC2421" s="1"/>
      <c r="BD2421" s="1"/>
      <c r="BE2421" s="1"/>
      <c r="BF2421" s="1"/>
      <c r="BG2421" s="1"/>
      <c r="BH2421" s="1"/>
      <c r="BI2421" s="1"/>
      <c r="BJ2421" s="1"/>
      <c r="BK2421" s="1"/>
      <c r="BL2421" s="1"/>
      <c r="BM2421" s="1"/>
      <c r="BN2421" s="1"/>
      <c r="BO2421" s="1"/>
      <c r="BP2421" s="1"/>
      <c r="BQ2421" s="1"/>
      <c r="BR2421" s="1"/>
      <c r="BS2421" s="1"/>
      <c r="BT2421" s="1"/>
      <c r="BU2421" s="1"/>
      <c r="BV2421" s="1"/>
      <c r="BW2421" s="1"/>
      <c r="BX2421" s="1"/>
      <c r="BY2421" s="1"/>
      <c r="BZ2421" s="1"/>
      <c r="CA2421" s="1"/>
      <c r="CB2421" s="1"/>
      <c r="CC2421" s="1"/>
      <c r="CD2421" s="1"/>
      <c r="CE2421" s="1"/>
      <c r="CF2421" s="1"/>
      <c r="CG2421" s="1"/>
      <c r="CH2421" s="1"/>
      <c r="CI2421" s="1"/>
      <c r="CJ2421" s="1"/>
      <c r="CK2421" s="1"/>
      <c r="CL2421" s="1"/>
      <c r="CM2421" s="1"/>
      <c r="CN2421" s="1"/>
      <c r="CO2421" s="1"/>
      <c r="CP2421" s="1"/>
      <c r="CQ2421" s="1"/>
      <c r="CR2421" s="1"/>
      <c r="CS2421" s="1"/>
      <c r="CT2421" s="1"/>
      <c r="CU2421" s="1"/>
      <c r="CV2421" s="1"/>
      <c r="CW2421" s="1"/>
      <c r="CX2421" s="1"/>
      <c r="CY2421" s="1"/>
      <c r="CZ2421" s="1"/>
      <c r="DA2421" s="1"/>
      <c r="DB2421" s="1"/>
      <c r="DC2421" s="1"/>
    </row>
    <row r="2422" spans="1:107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  <c r="AC2422" s="1"/>
      <c r="AD2422" s="1"/>
      <c r="AE2422" s="1"/>
      <c r="AF2422" s="1"/>
      <c r="AG2422" s="1"/>
      <c r="AH2422" s="1"/>
      <c r="AI2422" s="1"/>
      <c r="AJ2422" s="1"/>
      <c r="AK2422" s="1"/>
      <c r="AL2422" s="1"/>
      <c r="AM2422" s="1"/>
      <c r="AN2422" s="1"/>
      <c r="AO2422" s="1"/>
      <c r="AP2422" s="1"/>
      <c r="AQ2422" s="1"/>
      <c r="AR2422" s="1"/>
      <c r="AS2422" s="1"/>
      <c r="AT2422" s="1"/>
      <c r="AU2422" s="1"/>
      <c r="AV2422" s="1"/>
      <c r="AW2422" s="1"/>
      <c r="AX2422" s="1"/>
      <c r="AY2422" s="1"/>
      <c r="AZ2422" s="1"/>
      <c r="BA2422" s="1"/>
      <c r="BB2422" s="1"/>
      <c r="BC2422" s="1"/>
      <c r="BD2422" s="1"/>
      <c r="BE2422" s="1"/>
      <c r="BF2422" s="1"/>
      <c r="BG2422" s="1"/>
      <c r="BH2422" s="1"/>
      <c r="BI2422" s="1"/>
      <c r="BJ2422" s="1"/>
      <c r="BK2422" s="1"/>
      <c r="BL2422" s="1"/>
      <c r="BM2422" s="1"/>
      <c r="BN2422" s="1"/>
      <c r="BO2422" s="1"/>
      <c r="BP2422" s="1"/>
      <c r="BQ2422" s="1"/>
      <c r="BR2422" s="1"/>
      <c r="BS2422" s="1"/>
      <c r="BT2422" s="1"/>
      <c r="BU2422" s="1"/>
      <c r="BV2422" s="1"/>
      <c r="BW2422" s="1"/>
      <c r="BX2422" s="1"/>
      <c r="BY2422" s="1"/>
      <c r="BZ2422" s="1"/>
      <c r="CA2422" s="1"/>
      <c r="CB2422" s="1"/>
      <c r="CC2422" s="1"/>
      <c r="CD2422" s="1"/>
      <c r="CE2422" s="1"/>
      <c r="CF2422" s="1"/>
      <c r="CG2422" s="1"/>
      <c r="CH2422" s="1"/>
      <c r="CI2422" s="1"/>
      <c r="CJ2422" s="1"/>
      <c r="CK2422" s="1"/>
      <c r="CL2422" s="1"/>
      <c r="CM2422" s="1"/>
      <c r="CN2422" s="1"/>
      <c r="CO2422" s="1"/>
      <c r="CP2422" s="1"/>
      <c r="CQ2422" s="1"/>
      <c r="CR2422" s="1"/>
      <c r="CS2422" s="1"/>
      <c r="CT2422" s="1"/>
      <c r="CU2422" s="1"/>
      <c r="CV2422" s="1"/>
      <c r="CW2422" s="1"/>
      <c r="CX2422" s="1"/>
      <c r="CY2422" s="1"/>
      <c r="CZ2422" s="1"/>
      <c r="DA2422" s="1"/>
      <c r="DB2422" s="1"/>
      <c r="DC2422" s="1"/>
    </row>
    <row r="2423" spans="1:107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1"/>
      <c r="AD2423" s="1"/>
      <c r="AE2423" s="1"/>
      <c r="AF2423" s="1"/>
      <c r="AG2423" s="1"/>
      <c r="AH2423" s="1"/>
      <c r="AI2423" s="1"/>
      <c r="AJ2423" s="1"/>
      <c r="AK2423" s="1"/>
      <c r="AL2423" s="1"/>
      <c r="AM2423" s="1"/>
      <c r="AN2423" s="1"/>
      <c r="AO2423" s="1"/>
      <c r="AP2423" s="1"/>
      <c r="AQ2423" s="1"/>
      <c r="AR2423" s="1"/>
      <c r="AS2423" s="1"/>
      <c r="AT2423" s="1"/>
      <c r="AU2423" s="1"/>
      <c r="AV2423" s="1"/>
      <c r="AW2423" s="1"/>
      <c r="AX2423" s="1"/>
      <c r="AY2423" s="1"/>
      <c r="AZ2423" s="1"/>
      <c r="BA2423" s="1"/>
      <c r="BB2423" s="1"/>
      <c r="BC2423" s="1"/>
      <c r="BD2423" s="1"/>
      <c r="BE2423" s="1"/>
      <c r="BF2423" s="1"/>
      <c r="BG2423" s="1"/>
      <c r="BH2423" s="1"/>
      <c r="BI2423" s="1"/>
      <c r="BJ2423" s="1"/>
      <c r="BK2423" s="1"/>
      <c r="BL2423" s="1"/>
      <c r="BM2423" s="1"/>
      <c r="BN2423" s="1"/>
      <c r="BO2423" s="1"/>
      <c r="BP2423" s="1"/>
      <c r="BQ2423" s="1"/>
      <c r="BR2423" s="1"/>
      <c r="BS2423" s="1"/>
      <c r="BT2423" s="1"/>
      <c r="BU2423" s="1"/>
      <c r="BV2423" s="1"/>
      <c r="BW2423" s="1"/>
      <c r="BX2423" s="1"/>
      <c r="BY2423" s="1"/>
      <c r="BZ2423" s="1"/>
      <c r="CA2423" s="1"/>
      <c r="CB2423" s="1"/>
      <c r="CC2423" s="1"/>
      <c r="CD2423" s="1"/>
      <c r="CE2423" s="1"/>
      <c r="CF2423" s="1"/>
      <c r="CG2423" s="1"/>
      <c r="CH2423" s="1"/>
      <c r="CI2423" s="1"/>
      <c r="CJ2423" s="1"/>
      <c r="CK2423" s="1"/>
      <c r="CL2423" s="1"/>
      <c r="CM2423" s="1"/>
      <c r="CN2423" s="1"/>
      <c r="CO2423" s="1"/>
      <c r="CP2423" s="1"/>
      <c r="CQ2423" s="1"/>
      <c r="CR2423" s="1"/>
      <c r="CS2423" s="1"/>
      <c r="CT2423" s="1"/>
      <c r="CU2423" s="1"/>
      <c r="CV2423" s="1"/>
      <c r="CW2423" s="1"/>
      <c r="CX2423" s="1"/>
      <c r="CY2423" s="1"/>
      <c r="CZ2423" s="1"/>
      <c r="DA2423" s="1"/>
      <c r="DB2423" s="1"/>
      <c r="DC2423" s="1"/>
    </row>
    <row r="2424" spans="1:107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  <c r="AB2424" s="1"/>
      <c r="AC2424" s="1"/>
      <c r="AD2424" s="1"/>
      <c r="AE2424" s="1"/>
      <c r="AF2424" s="1"/>
      <c r="AG2424" s="1"/>
      <c r="AH2424" s="1"/>
      <c r="AI2424" s="1"/>
      <c r="AJ2424" s="1"/>
      <c r="AK2424" s="1"/>
      <c r="AL2424" s="1"/>
      <c r="AM2424" s="1"/>
      <c r="AN2424" s="1"/>
      <c r="AO2424" s="1"/>
      <c r="AP2424" s="1"/>
      <c r="AQ2424" s="1"/>
      <c r="AR2424" s="1"/>
      <c r="AS2424" s="1"/>
      <c r="AT2424" s="1"/>
      <c r="AU2424" s="1"/>
      <c r="AV2424" s="1"/>
      <c r="AW2424" s="1"/>
      <c r="AX2424" s="1"/>
      <c r="AY2424" s="1"/>
      <c r="AZ2424" s="1"/>
      <c r="BA2424" s="1"/>
      <c r="BB2424" s="1"/>
      <c r="BC2424" s="1"/>
      <c r="BD2424" s="1"/>
      <c r="BE2424" s="1"/>
      <c r="BF2424" s="1"/>
      <c r="BG2424" s="1"/>
      <c r="BH2424" s="1"/>
      <c r="BI2424" s="1"/>
      <c r="BJ2424" s="1"/>
      <c r="BK2424" s="1"/>
      <c r="BL2424" s="1"/>
      <c r="BM2424" s="1"/>
      <c r="BN2424" s="1"/>
      <c r="BO2424" s="1"/>
      <c r="BP2424" s="1"/>
      <c r="BQ2424" s="1"/>
      <c r="BR2424" s="1"/>
      <c r="BS2424" s="1"/>
      <c r="BT2424" s="1"/>
      <c r="BU2424" s="1"/>
      <c r="BV2424" s="1"/>
      <c r="BW2424" s="1"/>
      <c r="BX2424" s="1"/>
      <c r="BY2424" s="1"/>
      <c r="BZ2424" s="1"/>
      <c r="CA2424" s="1"/>
      <c r="CB2424" s="1"/>
      <c r="CC2424" s="1"/>
      <c r="CD2424" s="1"/>
      <c r="CE2424" s="1"/>
      <c r="CF2424" s="1"/>
      <c r="CG2424" s="1"/>
      <c r="CH2424" s="1"/>
      <c r="CI2424" s="1"/>
      <c r="CJ2424" s="1"/>
      <c r="CK2424" s="1"/>
      <c r="CL2424" s="1"/>
      <c r="CM2424" s="1"/>
      <c r="CN2424" s="1"/>
      <c r="CO2424" s="1"/>
      <c r="CP2424" s="1"/>
      <c r="CQ2424" s="1"/>
      <c r="CR2424" s="1"/>
      <c r="CS2424" s="1"/>
      <c r="CT2424" s="1"/>
      <c r="CU2424" s="1"/>
      <c r="CV2424" s="1"/>
      <c r="CW2424" s="1"/>
      <c r="CX2424" s="1"/>
      <c r="CY2424" s="1"/>
      <c r="CZ2424" s="1"/>
      <c r="DA2424" s="1"/>
      <c r="DB2424" s="1"/>
      <c r="DC2424" s="1"/>
    </row>
    <row r="2425" spans="1:107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  <c r="AC2425" s="1"/>
      <c r="AD2425" s="1"/>
      <c r="AE2425" s="1"/>
      <c r="AF2425" s="1"/>
      <c r="AG2425" s="1"/>
      <c r="AH2425" s="1"/>
      <c r="AI2425" s="1"/>
      <c r="AJ2425" s="1"/>
      <c r="AK2425" s="1"/>
      <c r="AL2425" s="1"/>
      <c r="AM2425" s="1"/>
      <c r="AN2425" s="1"/>
      <c r="AO2425" s="1"/>
      <c r="AP2425" s="1"/>
      <c r="AQ2425" s="1"/>
      <c r="AR2425" s="1"/>
      <c r="AS2425" s="1"/>
      <c r="AT2425" s="1"/>
      <c r="AU2425" s="1"/>
      <c r="AV2425" s="1"/>
      <c r="AW2425" s="1"/>
      <c r="AX2425" s="1"/>
      <c r="AY2425" s="1"/>
      <c r="AZ2425" s="1"/>
      <c r="BA2425" s="1"/>
      <c r="BB2425" s="1"/>
      <c r="BC2425" s="1"/>
      <c r="BD2425" s="1"/>
      <c r="BE2425" s="1"/>
      <c r="BF2425" s="1"/>
      <c r="BG2425" s="1"/>
      <c r="BH2425" s="1"/>
      <c r="BI2425" s="1"/>
      <c r="BJ2425" s="1"/>
      <c r="BK2425" s="1"/>
      <c r="BL2425" s="1"/>
      <c r="BM2425" s="1"/>
      <c r="BN2425" s="1"/>
      <c r="BO2425" s="1"/>
      <c r="BP2425" s="1"/>
      <c r="BQ2425" s="1"/>
      <c r="BR2425" s="1"/>
      <c r="BS2425" s="1"/>
      <c r="BT2425" s="1"/>
      <c r="BU2425" s="1"/>
      <c r="BV2425" s="1"/>
      <c r="BW2425" s="1"/>
      <c r="BX2425" s="1"/>
      <c r="BY2425" s="1"/>
      <c r="BZ2425" s="1"/>
      <c r="CA2425" s="1"/>
      <c r="CB2425" s="1"/>
      <c r="CC2425" s="1"/>
      <c r="CD2425" s="1"/>
      <c r="CE2425" s="1"/>
      <c r="CF2425" s="1"/>
      <c r="CG2425" s="1"/>
      <c r="CH2425" s="1"/>
      <c r="CI2425" s="1"/>
      <c r="CJ2425" s="1"/>
      <c r="CK2425" s="1"/>
      <c r="CL2425" s="1"/>
      <c r="CM2425" s="1"/>
      <c r="CN2425" s="1"/>
      <c r="CO2425" s="1"/>
      <c r="CP2425" s="1"/>
      <c r="CQ2425" s="1"/>
      <c r="CR2425" s="1"/>
      <c r="CS2425" s="1"/>
      <c r="CT2425" s="1"/>
      <c r="CU2425" s="1"/>
      <c r="CV2425" s="1"/>
      <c r="CW2425" s="1"/>
      <c r="CX2425" s="1"/>
      <c r="CY2425" s="1"/>
      <c r="CZ2425" s="1"/>
      <c r="DA2425" s="1"/>
      <c r="DB2425" s="1"/>
      <c r="DC2425" s="1"/>
    </row>
    <row r="2426" spans="1:107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  <c r="AC2426" s="1"/>
      <c r="AD2426" s="1"/>
      <c r="AE2426" s="1"/>
      <c r="AF2426" s="1"/>
      <c r="AG2426" s="1"/>
      <c r="AH2426" s="1"/>
      <c r="AI2426" s="1"/>
      <c r="AJ2426" s="1"/>
      <c r="AK2426" s="1"/>
      <c r="AL2426" s="1"/>
      <c r="AM2426" s="1"/>
      <c r="AN2426" s="1"/>
      <c r="AO2426" s="1"/>
      <c r="AP2426" s="1"/>
      <c r="AQ2426" s="1"/>
      <c r="AR2426" s="1"/>
      <c r="AS2426" s="1"/>
      <c r="AT2426" s="1"/>
      <c r="AU2426" s="1"/>
      <c r="AV2426" s="1"/>
      <c r="AW2426" s="1"/>
      <c r="AX2426" s="1"/>
      <c r="AY2426" s="1"/>
      <c r="AZ2426" s="1"/>
      <c r="BA2426" s="1"/>
      <c r="BB2426" s="1"/>
      <c r="BC2426" s="1"/>
      <c r="BD2426" s="1"/>
      <c r="BE2426" s="1"/>
      <c r="BF2426" s="1"/>
      <c r="BG2426" s="1"/>
      <c r="BH2426" s="1"/>
      <c r="BI2426" s="1"/>
      <c r="BJ2426" s="1"/>
      <c r="BK2426" s="1"/>
      <c r="BL2426" s="1"/>
      <c r="BM2426" s="1"/>
      <c r="BN2426" s="1"/>
      <c r="BO2426" s="1"/>
      <c r="BP2426" s="1"/>
      <c r="BQ2426" s="1"/>
      <c r="BR2426" s="1"/>
      <c r="BS2426" s="1"/>
      <c r="BT2426" s="1"/>
      <c r="BU2426" s="1"/>
      <c r="BV2426" s="1"/>
      <c r="BW2426" s="1"/>
      <c r="BX2426" s="1"/>
      <c r="BY2426" s="1"/>
      <c r="BZ2426" s="1"/>
      <c r="CA2426" s="1"/>
      <c r="CB2426" s="1"/>
      <c r="CC2426" s="1"/>
      <c r="CD2426" s="1"/>
      <c r="CE2426" s="1"/>
      <c r="CF2426" s="1"/>
      <c r="CG2426" s="1"/>
      <c r="CH2426" s="1"/>
      <c r="CI2426" s="1"/>
      <c r="CJ2426" s="1"/>
      <c r="CK2426" s="1"/>
      <c r="CL2426" s="1"/>
      <c r="CM2426" s="1"/>
      <c r="CN2426" s="1"/>
      <c r="CO2426" s="1"/>
      <c r="CP2426" s="1"/>
      <c r="CQ2426" s="1"/>
      <c r="CR2426" s="1"/>
      <c r="CS2426" s="1"/>
      <c r="CT2426" s="1"/>
      <c r="CU2426" s="1"/>
      <c r="CV2426" s="1"/>
      <c r="CW2426" s="1"/>
      <c r="CX2426" s="1"/>
      <c r="CY2426" s="1"/>
      <c r="CZ2426" s="1"/>
      <c r="DA2426" s="1"/>
      <c r="DB2426" s="1"/>
      <c r="DC2426" s="1"/>
    </row>
    <row r="2427" spans="1:107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  <c r="AC2427" s="1"/>
      <c r="AD2427" s="1"/>
      <c r="AE2427" s="1"/>
      <c r="AF2427" s="1"/>
      <c r="AG2427" s="1"/>
      <c r="AH2427" s="1"/>
      <c r="AI2427" s="1"/>
      <c r="AJ2427" s="1"/>
      <c r="AK2427" s="1"/>
      <c r="AL2427" s="1"/>
      <c r="AM2427" s="1"/>
      <c r="AN2427" s="1"/>
      <c r="AO2427" s="1"/>
      <c r="AP2427" s="1"/>
      <c r="AQ2427" s="1"/>
      <c r="AR2427" s="1"/>
      <c r="AS2427" s="1"/>
      <c r="AT2427" s="1"/>
      <c r="AU2427" s="1"/>
      <c r="AV2427" s="1"/>
      <c r="AW2427" s="1"/>
      <c r="AX2427" s="1"/>
      <c r="AY2427" s="1"/>
      <c r="AZ2427" s="1"/>
      <c r="BA2427" s="1"/>
      <c r="BB2427" s="1"/>
      <c r="BC2427" s="1"/>
      <c r="BD2427" s="1"/>
      <c r="BE2427" s="1"/>
      <c r="BF2427" s="1"/>
      <c r="BG2427" s="1"/>
      <c r="BH2427" s="1"/>
      <c r="BI2427" s="1"/>
      <c r="BJ2427" s="1"/>
      <c r="BK2427" s="1"/>
      <c r="BL2427" s="1"/>
      <c r="BM2427" s="1"/>
      <c r="BN2427" s="1"/>
      <c r="BO2427" s="1"/>
      <c r="BP2427" s="1"/>
      <c r="BQ2427" s="1"/>
      <c r="BR2427" s="1"/>
      <c r="BS2427" s="1"/>
      <c r="BT2427" s="1"/>
      <c r="BU2427" s="1"/>
      <c r="BV2427" s="1"/>
      <c r="BW2427" s="1"/>
      <c r="BX2427" s="1"/>
      <c r="BY2427" s="1"/>
      <c r="BZ2427" s="1"/>
      <c r="CA2427" s="1"/>
      <c r="CB2427" s="1"/>
      <c r="CC2427" s="1"/>
      <c r="CD2427" s="1"/>
      <c r="CE2427" s="1"/>
      <c r="CF2427" s="1"/>
      <c r="CG2427" s="1"/>
      <c r="CH2427" s="1"/>
      <c r="CI2427" s="1"/>
      <c r="CJ2427" s="1"/>
      <c r="CK2427" s="1"/>
      <c r="CL2427" s="1"/>
      <c r="CM2427" s="1"/>
      <c r="CN2427" s="1"/>
      <c r="CO2427" s="1"/>
      <c r="CP2427" s="1"/>
      <c r="CQ2427" s="1"/>
      <c r="CR2427" s="1"/>
      <c r="CS2427" s="1"/>
      <c r="CT2427" s="1"/>
      <c r="CU2427" s="1"/>
      <c r="CV2427" s="1"/>
      <c r="CW2427" s="1"/>
      <c r="CX2427" s="1"/>
      <c r="CY2427" s="1"/>
      <c r="CZ2427" s="1"/>
      <c r="DA2427" s="1"/>
      <c r="DB2427" s="1"/>
      <c r="DC2427" s="1"/>
    </row>
    <row r="2428" spans="1:107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s="1"/>
      <c r="AD2428" s="1"/>
      <c r="AE2428" s="1"/>
      <c r="AF2428" s="1"/>
      <c r="AG2428" s="1"/>
      <c r="AH2428" s="1"/>
      <c r="AI2428" s="1"/>
      <c r="AJ2428" s="1"/>
      <c r="AK2428" s="1"/>
      <c r="AL2428" s="1"/>
      <c r="AM2428" s="1"/>
      <c r="AN2428" s="1"/>
      <c r="AO2428" s="1"/>
      <c r="AP2428" s="1"/>
      <c r="AQ2428" s="1"/>
      <c r="AR2428" s="1"/>
      <c r="AS2428" s="1"/>
      <c r="AT2428" s="1"/>
      <c r="AU2428" s="1"/>
      <c r="AV2428" s="1"/>
      <c r="AW2428" s="1"/>
      <c r="AX2428" s="1"/>
      <c r="AY2428" s="1"/>
      <c r="AZ2428" s="1"/>
      <c r="BA2428" s="1"/>
      <c r="BB2428" s="1"/>
      <c r="BC2428" s="1"/>
      <c r="BD2428" s="1"/>
      <c r="BE2428" s="1"/>
      <c r="BF2428" s="1"/>
      <c r="BG2428" s="1"/>
      <c r="BH2428" s="1"/>
      <c r="BI2428" s="1"/>
      <c r="BJ2428" s="1"/>
      <c r="BK2428" s="1"/>
      <c r="BL2428" s="1"/>
      <c r="BM2428" s="1"/>
      <c r="BN2428" s="1"/>
      <c r="BO2428" s="1"/>
      <c r="BP2428" s="1"/>
      <c r="BQ2428" s="1"/>
      <c r="BR2428" s="1"/>
      <c r="BS2428" s="1"/>
      <c r="BT2428" s="1"/>
      <c r="BU2428" s="1"/>
      <c r="BV2428" s="1"/>
      <c r="BW2428" s="1"/>
      <c r="BX2428" s="1"/>
      <c r="BY2428" s="1"/>
      <c r="BZ2428" s="1"/>
      <c r="CA2428" s="1"/>
      <c r="CB2428" s="1"/>
      <c r="CC2428" s="1"/>
      <c r="CD2428" s="1"/>
      <c r="CE2428" s="1"/>
      <c r="CF2428" s="1"/>
      <c r="CG2428" s="1"/>
      <c r="CH2428" s="1"/>
      <c r="CI2428" s="1"/>
      <c r="CJ2428" s="1"/>
      <c r="CK2428" s="1"/>
      <c r="CL2428" s="1"/>
      <c r="CM2428" s="1"/>
      <c r="CN2428" s="1"/>
      <c r="CO2428" s="1"/>
      <c r="CP2428" s="1"/>
      <c r="CQ2428" s="1"/>
      <c r="CR2428" s="1"/>
      <c r="CS2428" s="1"/>
      <c r="CT2428" s="1"/>
      <c r="CU2428" s="1"/>
      <c r="CV2428" s="1"/>
      <c r="CW2428" s="1"/>
      <c r="CX2428" s="1"/>
      <c r="CY2428" s="1"/>
      <c r="CZ2428" s="1"/>
      <c r="DA2428" s="1"/>
      <c r="DB2428" s="1"/>
      <c r="DC2428" s="1"/>
    </row>
    <row r="2429" spans="1:107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  <c r="AC2429" s="1"/>
      <c r="AD2429" s="1"/>
      <c r="AE2429" s="1"/>
      <c r="AF2429" s="1"/>
      <c r="AG2429" s="1"/>
      <c r="AH2429" s="1"/>
      <c r="AI2429" s="1"/>
      <c r="AJ2429" s="1"/>
      <c r="AK2429" s="1"/>
      <c r="AL2429" s="1"/>
      <c r="AM2429" s="1"/>
      <c r="AN2429" s="1"/>
      <c r="AO2429" s="1"/>
      <c r="AP2429" s="1"/>
      <c r="AQ2429" s="1"/>
      <c r="AR2429" s="1"/>
      <c r="AS2429" s="1"/>
      <c r="AT2429" s="1"/>
      <c r="AU2429" s="1"/>
      <c r="AV2429" s="1"/>
      <c r="AW2429" s="1"/>
      <c r="AX2429" s="1"/>
      <c r="AY2429" s="1"/>
      <c r="AZ2429" s="1"/>
      <c r="BA2429" s="1"/>
      <c r="BB2429" s="1"/>
      <c r="BC2429" s="1"/>
      <c r="BD2429" s="1"/>
      <c r="BE2429" s="1"/>
      <c r="BF2429" s="1"/>
      <c r="BG2429" s="1"/>
      <c r="BH2429" s="1"/>
      <c r="BI2429" s="1"/>
      <c r="BJ2429" s="1"/>
      <c r="BK2429" s="1"/>
      <c r="BL2429" s="1"/>
      <c r="BM2429" s="1"/>
      <c r="BN2429" s="1"/>
      <c r="BO2429" s="1"/>
      <c r="BP2429" s="1"/>
      <c r="BQ2429" s="1"/>
      <c r="BR2429" s="1"/>
      <c r="BS2429" s="1"/>
      <c r="BT2429" s="1"/>
      <c r="BU2429" s="1"/>
      <c r="BV2429" s="1"/>
      <c r="BW2429" s="1"/>
      <c r="BX2429" s="1"/>
      <c r="BY2429" s="1"/>
      <c r="BZ2429" s="1"/>
      <c r="CA2429" s="1"/>
      <c r="CB2429" s="1"/>
      <c r="CC2429" s="1"/>
      <c r="CD2429" s="1"/>
      <c r="CE2429" s="1"/>
      <c r="CF2429" s="1"/>
      <c r="CG2429" s="1"/>
      <c r="CH2429" s="1"/>
      <c r="CI2429" s="1"/>
      <c r="CJ2429" s="1"/>
      <c r="CK2429" s="1"/>
      <c r="CL2429" s="1"/>
      <c r="CM2429" s="1"/>
      <c r="CN2429" s="1"/>
      <c r="CO2429" s="1"/>
      <c r="CP2429" s="1"/>
      <c r="CQ2429" s="1"/>
      <c r="CR2429" s="1"/>
      <c r="CS2429" s="1"/>
      <c r="CT2429" s="1"/>
      <c r="CU2429" s="1"/>
      <c r="CV2429" s="1"/>
      <c r="CW2429" s="1"/>
      <c r="CX2429" s="1"/>
      <c r="CY2429" s="1"/>
      <c r="CZ2429" s="1"/>
      <c r="DA2429" s="1"/>
      <c r="DB2429" s="1"/>
      <c r="DC2429" s="1"/>
    </row>
    <row r="2430" spans="1:107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  <c r="AC2430" s="1"/>
      <c r="AD2430" s="1"/>
      <c r="AE2430" s="1"/>
      <c r="AF2430" s="1"/>
      <c r="AG2430" s="1"/>
      <c r="AH2430" s="1"/>
      <c r="AI2430" s="1"/>
      <c r="AJ2430" s="1"/>
      <c r="AK2430" s="1"/>
      <c r="AL2430" s="1"/>
      <c r="AM2430" s="1"/>
      <c r="AN2430" s="1"/>
      <c r="AO2430" s="1"/>
      <c r="AP2430" s="1"/>
      <c r="AQ2430" s="1"/>
      <c r="AR2430" s="1"/>
      <c r="AS2430" s="1"/>
      <c r="AT2430" s="1"/>
      <c r="AU2430" s="1"/>
      <c r="AV2430" s="1"/>
      <c r="AW2430" s="1"/>
      <c r="AX2430" s="1"/>
      <c r="AY2430" s="1"/>
      <c r="AZ2430" s="1"/>
      <c r="BA2430" s="1"/>
      <c r="BB2430" s="1"/>
      <c r="BC2430" s="1"/>
      <c r="BD2430" s="1"/>
      <c r="BE2430" s="1"/>
      <c r="BF2430" s="1"/>
      <c r="BG2430" s="1"/>
      <c r="BH2430" s="1"/>
      <c r="BI2430" s="1"/>
      <c r="BJ2430" s="1"/>
      <c r="BK2430" s="1"/>
      <c r="BL2430" s="1"/>
      <c r="BM2430" s="1"/>
      <c r="BN2430" s="1"/>
      <c r="BO2430" s="1"/>
      <c r="BP2430" s="1"/>
      <c r="BQ2430" s="1"/>
      <c r="BR2430" s="1"/>
      <c r="BS2430" s="1"/>
      <c r="BT2430" s="1"/>
      <c r="BU2430" s="1"/>
      <c r="BV2430" s="1"/>
      <c r="BW2430" s="1"/>
      <c r="BX2430" s="1"/>
      <c r="BY2430" s="1"/>
      <c r="BZ2430" s="1"/>
      <c r="CA2430" s="1"/>
      <c r="CB2430" s="1"/>
      <c r="CC2430" s="1"/>
      <c r="CD2430" s="1"/>
      <c r="CE2430" s="1"/>
      <c r="CF2430" s="1"/>
      <c r="CG2430" s="1"/>
      <c r="CH2430" s="1"/>
      <c r="CI2430" s="1"/>
      <c r="CJ2430" s="1"/>
      <c r="CK2430" s="1"/>
      <c r="CL2430" s="1"/>
      <c r="CM2430" s="1"/>
      <c r="CN2430" s="1"/>
      <c r="CO2430" s="1"/>
      <c r="CP2430" s="1"/>
      <c r="CQ2430" s="1"/>
      <c r="CR2430" s="1"/>
      <c r="CS2430" s="1"/>
      <c r="CT2430" s="1"/>
      <c r="CU2430" s="1"/>
      <c r="CV2430" s="1"/>
      <c r="CW2430" s="1"/>
      <c r="CX2430" s="1"/>
      <c r="CY2430" s="1"/>
      <c r="CZ2430" s="1"/>
      <c r="DA2430" s="1"/>
      <c r="DB2430" s="1"/>
      <c r="DC2430" s="1"/>
    </row>
    <row r="2431" spans="1:107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1"/>
      <c r="AC2431" s="1"/>
      <c r="AD2431" s="1"/>
      <c r="AE2431" s="1"/>
      <c r="AF2431" s="1"/>
      <c r="AG2431" s="1"/>
      <c r="AH2431" s="1"/>
      <c r="AI2431" s="1"/>
      <c r="AJ2431" s="1"/>
      <c r="AK2431" s="1"/>
      <c r="AL2431" s="1"/>
      <c r="AM2431" s="1"/>
      <c r="AN2431" s="1"/>
      <c r="AO2431" s="1"/>
      <c r="AP2431" s="1"/>
      <c r="AQ2431" s="1"/>
      <c r="AR2431" s="1"/>
      <c r="AS2431" s="1"/>
      <c r="AT2431" s="1"/>
      <c r="AU2431" s="1"/>
      <c r="AV2431" s="1"/>
      <c r="AW2431" s="1"/>
      <c r="AX2431" s="1"/>
      <c r="AY2431" s="1"/>
      <c r="AZ2431" s="1"/>
      <c r="BA2431" s="1"/>
      <c r="BB2431" s="1"/>
      <c r="BC2431" s="1"/>
      <c r="BD2431" s="1"/>
      <c r="BE2431" s="1"/>
      <c r="BF2431" s="1"/>
      <c r="BG2431" s="1"/>
      <c r="BH2431" s="1"/>
      <c r="BI2431" s="1"/>
      <c r="BJ2431" s="1"/>
      <c r="BK2431" s="1"/>
      <c r="BL2431" s="1"/>
      <c r="BM2431" s="1"/>
      <c r="BN2431" s="1"/>
      <c r="BO2431" s="1"/>
      <c r="BP2431" s="1"/>
      <c r="BQ2431" s="1"/>
      <c r="BR2431" s="1"/>
      <c r="BS2431" s="1"/>
      <c r="BT2431" s="1"/>
      <c r="BU2431" s="1"/>
      <c r="BV2431" s="1"/>
      <c r="BW2431" s="1"/>
      <c r="BX2431" s="1"/>
      <c r="BY2431" s="1"/>
      <c r="BZ2431" s="1"/>
      <c r="CA2431" s="1"/>
      <c r="CB2431" s="1"/>
      <c r="CC2431" s="1"/>
      <c r="CD2431" s="1"/>
      <c r="CE2431" s="1"/>
      <c r="CF2431" s="1"/>
      <c r="CG2431" s="1"/>
      <c r="CH2431" s="1"/>
      <c r="CI2431" s="1"/>
      <c r="CJ2431" s="1"/>
      <c r="CK2431" s="1"/>
      <c r="CL2431" s="1"/>
      <c r="CM2431" s="1"/>
      <c r="CN2431" s="1"/>
      <c r="CO2431" s="1"/>
      <c r="CP2431" s="1"/>
      <c r="CQ2431" s="1"/>
      <c r="CR2431" s="1"/>
      <c r="CS2431" s="1"/>
      <c r="CT2431" s="1"/>
      <c r="CU2431" s="1"/>
      <c r="CV2431" s="1"/>
      <c r="CW2431" s="1"/>
      <c r="CX2431" s="1"/>
      <c r="CY2431" s="1"/>
      <c r="CZ2431" s="1"/>
      <c r="DA2431" s="1"/>
      <c r="DB2431" s="1"/>
      <c r="DC2431" s="1"/>
    </row>
    <row r="2432" spans="1:107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  <c r="AD2432" s="1"/>
      <c r="AE2432" s="1"/>
      <c r="AF2432" s="1"/>
      <c r="AG2432" s="1"/>
      <c r="AH2432" s="1"/>
      <c r="AI2432" s="1"/>
      <c r="AJ2432" s="1"/>
      <c r="AK2432" s="1"/>
      <c r="AL2432" s="1"/>
      <c r="AM2432" s="1"/>
      <c r="AN2432" s="1"/>
      <c r="AO2432" s="1"/>
      <c r="AP2432" s="1"/>
      <c r="AQ2432" s="1"/>
      <c r="AR2432" s="1"/>
      <c r="AS2432" s="1"/>
      <c r="AT2432" s="1"/>
      <c r="AU2432" s="1"/>
      <c r="AV2432" s="1"/>
      <c r="AW2432" s="1"/>
      <c r="AX2432" s="1"/>
      <c r="AY2432" s="1"/>
      <c r="AZ2432" s="1"/>
      <c r="BA2432" s="1"/>
      <c r="BB2432" s="1"/>
      <c r="BC2432" s="1"/>
      <c r="BD2432" s="1"/>
      <c r="BE2432" s="1"/>
      <c r="BF2432" s="1"/>
      <c r="BG2432" s="1"/>
      <c r="BH2432" s="1"/>
      <c r="BI2432" s="1"/>
      <c r="BJ2432" s="1"/>
      <c r="BK2432" s="1"/>
      <c r="BL2432" s="1"/>
      <c r="BM2432" s="1"/>
      <c r="BN2432" s="1"/>
      <c r="BO2432" s="1"/>
      <c r="BP2432" s="1"/>
      <c r="BQ2432" s="1"/>
      <c r="BR2432" s="1"/>
      <c r="BS2432" s="1"/>
      <c r="BT2432" s="1"/>
      <c r="BU2432" s="1"/>
      <c r="BV2432" s="1"/>
      <c r="BW2432" s="1"/>
      <c r="BX2432" s="1"/>
      <c r="BY2432" s="1"/>
      <c r="BZ2432" s="1"/>
      <c r="CA2432" s="1"/>
      <c r="CB2432" s="1"/>
      <c r="CC2432" s="1"/>
      <c r="CD2432" s="1"/>
      <c r="CE2432" s="1"/>
      <c r="CF2432" s="1"/>
      <c r="CG2432" s="1"/>
      <c r="CH2432" s="1"/>
      <c r="CI2432" s="1"/>
      <c r="CJ2432" s="1"/>
      <c r="CK2432" s="1"/>
      <c r="CL2432" s="1"/>
      <c r="CM2432" s="1"/>
      <c r="CN2432" s="1"/>
      <c r="CO2432" s="1"/>
      <c r="CP2432" s="1"/>
      <c r="CQ2432" s="1"/>
      <c r="CR2432" s="1"/>
      <c r="CS2432" s="1"/>
      <c r="CT2432" s="1"/>
      <c r="CU2432" s="1"/>
      <c r="CV2432" s="1"/>
      <c r="CW2432" s="1"/>
      <c r="CX2432" s="1"/>
      <c r="CY2432" s="1"/>
      <c r="CZ2432" s="1"/>
      <c r="DA2432" s="1"/>
      <c r="DB2432" s="1"/>
      <c r="DC2432" s="1"/>
    </row>
    <row r="2433" spans="1:107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  <c r="AD2433" s="1"/>
      <c r="AE2433" s="1"/>
      <c r="AF2433" s="1"/>
      <c r="AG2433" s="1"/>
      <c r="AH2433" s="1"/>
      <c r="AI2433" s="1"/>
      <c r="AJ2433" s="1"/>
      <c r="AK2433" s="1"/>
      <c r="AL2433" s="1"/>
      <c r="AM2433" s="1"/>
      <c r="AN2433" s="1"/>
      <c r="AO2433" s="1"/>
      <c r="AP2433" s="1"/>
      <c r="AQ2433" s="1"/>
      <c r="AR2433" s="1"/>
      <c r="AS2433" s="1"/>
      <c r="AT2433" s="1"/>
      <c r="AU2433" s="1"/>
      <c r="AV2433" s="1"/>
      <c r="AW2433" s="1"/>
      <c r="AX2433" s="1"/>
      <c r="AY2433" s="1"/>
      <c r="AZ2433" s="1"/>
      <c r="BA2433" s="1"/>
      <c r="BB2433" s="1"/>
      <c r="BC2433" s="1"/>
      <c r="BD2433" s="1"/>
      <c r="BE2433" s="1"/>
      <c r="BF2433" s="1"/>
      <c r="BG2433" s="1"/>
      <c r="BH2433" s="1"/>
      <c r="BI2433" s="1"/>
      <c r="BJ2433" s="1"/>
      <c r="BK2433" s="1"/>
      <c r="BL2433" s="1"/>
      <c r="BM2433" s="1"/>
      <c r="BN2433" s="1"/>
      <c r="BO2433" s="1"/>
      <c r="BP2433" s="1"/>
      <c r="BQ2433" s="1"/>
      <c r="BR2433" s="1"/>
      <c r="BS2433" s="1"/>
      <c r="BT2433" s="1"/>
      <c r="BU2433" s="1"/>
      <c r="BV2433" s="1"/>
      <c r="BW2433" s="1"/>
      <c r="BX2433" s="1"/>
      <c r="BY2433" s="1"/>
      <c r="BZ2433" s="1"/>
      <c r="CA2433" s="1"/>
      <c r="CB2433" s="1"/>
      <c r="CC2433" s="1"/>
      <c r="CD2433" s="1"/>
      <c r="CE2433" s="1"/>
      <c r="CF2433" s="1"/>
      <c r="CG2433" s="1"/>
      <c r="CH2433" s="1"/>
      <c r="CI2433" s="1"/>
      <c r="CJ2433" s="1"/>
      <c r="CK2433" s="1"/>
      <c r="CL2433" s="1"/>
      <c r="CM2433" s="1"/>
      <c r="CN2433" s="1"/>
      <c r="CO2433" s="1"/>
      <c r="CP2433" s="1"/>
      <c r="CQ2433" s="1"/>
      <c r="CR2433" s="1"/>
      <c r="CS2433" s="1"/>
      <c r="CT2433" s="1"/>
      <c r="CU2433" s="1"/>
      <c r="CV2433" s="1"/>
      <c r="CW2433" s="1"/>
      <c r="CX2433" s="1"/>
      <c r="CY2433" s="1"/>
      <c r="CZ2433" s="1"/>
      <c r="DA2433" s="1"/>
      <c r="DB2433" s="1"/>
      <c r="DC2433" s="1"/>
    </row>
    <row r="2434" spans="1:107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  <c r="AC2434" s="1"/>
      <c r="AD2434" s="1"/>
      <c r="AE2434" s="1"/>
      <c r="AF2434" s="1"/>
      <c r="AG2434" s="1"/>
      <c r="AH2434" s="1"/>
      <c r="AI2434" s="1"/>
      <c r="AJ2434" s="1"/>
      <c r="AK2434" s="1"/>
      <c r="AL2434" s="1"/>
      <c r="AM2434" s="1"/>
      <c r="AN2434" s="1"/>
      <c r="AO2434" s="1"/>
      <c r="AP2434" s="1"/>
      <c r="AQ2434" s="1"/>
      <c r="AR2434" s="1"/>
      <c r="AS2434" s="1"/>
      <c r="AT2434" s="1"/>
      <c r="AU2434" s="1"/>
      <c r="AV2434" s="1"/>
      <c r="AW2434" s="1"/>
      <c r="AX2434" s="1"/>
      <c r="AY2434" s="1"/>
      <c r="AZ2434" s="1"/>
      <c r="BA2434" s="1"/>
      <c r="BB2434" s="1"/>
      <c r="BC2434" s="1"/>
      <c r="BD2434" s="1"/>
      <c r="BE2434" s="1"/>
      <c r="BF2434" s="1"/>
      <c r="BG2434" s="1"/>
      <c r="BH2434" s="1"/>
      <c r="BI2434" s="1"/>
      <c r="BJ2434" s="1"/>
      <c r="BK2434" s="1"/>
      <c r="BL2434" s="1"/>
      <c r="BM2434" s="1"/>
      <c r="BN2434" s="1"/>
      <c r="BO2434" s="1"/>
      <c r="BP2434" s="1"/>
      <c r="BQ2434" s="1"/>
      <c r="BR2434" s="1"/>
      <c r="BS2434" s="1"/>
      <c r="BT2434" s="1"/>
      <c r="BU2434" s="1"/>
      <c r="BV2434" s="1"/>
      <c r="BW2434" s="1"/>
      <c r="BX2434" s="1"/>
      <c r="BY2434" s="1"/>
      <c r="BZ2434" s="1"/>
      <c r="CA2434" s="1"/>
      <c r="CB2434" s="1"/>
      <c r="CC2434" s="1"/>
      <c r="CD2434" s="1"/>
      <c r="CE2434" s="1"/>
      <c r="CF2434" s="1"/>
      <c r="CG2434" s="1"/>
      <c r="CH2434" s="1"/>
      <c r="CI2434" s="1"/>
      <c r="CJ2434" s="1"/>
      <c r="CK2434" s="1"/>
      <c r="CL2434" s="1"/>
      <c r="CM2434" s="1"/>
      <c r="CN2434" s="1"/>
      <c r="CO2434" s="1"/>
      <c r="CP2434" s="1"/>
      <c r="CQ2434" s="1"/>
      <c r="CR2434" s="1"/>
      <c r="CS2434" s="1"/>
      <c r="CT2434" s="1"/>
      <c r="CU2434" s="1"/>
      <c r="CV2434" s="1"/>
      <c r="CW2434" s="1"/>
      <c r="CX2434" s="1"/>
      <c r="CY2434" s="1"/>
      <c r="CZ2434" s="1"/>
      <c r="DA2434" s="1"/>
      <c r="DB2434" s="1"/>
      <c r="DC2434" s="1"/>
    </row>
    <row r="2435" spans="1:107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1"/>
      <c r="AD2435" s="1"/>
      <c r="AE2435" s="1"/>
      <c r="AF2435" s="1"/>
      <c r="AG2435" s="1"/>
      <c r="AH2435" s="1"/>
      <c r="AI2435" s="1"/>
      <c r="AJ2435" s="1"/>
      <c r="AK2435" s="1"/>
      <c r="AL2435" s="1"/>
      <c r="AM2435" s="1"/>
      <c r="AN2435" s="1"/>
      <c r="AO2435" s="1"/>
      <c r="AP2435" s="1"/>
      <c r="AQ2435" s="1"/>
      <c r="AR2435" s="1"/>
      <c r="AS2435" s="1"/>
      <c r="AT2435" s="1"/>
      <c r="AU2435" s="1"/>
      <c r="AV2435" s="1"/>
      <c r="AW2435" s="1"/>
      <c r="AX2435" s="1"/>
      <c r="AY2435" s="1"/>
      <c r="AZ2435" s="1"/>
      <c r="BA2435" s="1"/>
      <c r="BB2435" s="1"/>
      <c r="BC2435" s="1"/>
      <c r="BD2435" s="1"/>
      <c r="BE2435" s="1"/>
      <c r="BF2435" s="1"/>
      <c r="BG2435" s="1"/>
      <c r="BH2435" s="1"/>
      <c r="BI2435" s="1"/>
      <c r="BJ2435" s="1"/>
      <c r="BK2435" s="1"/>
      <c r="BL2435" s="1"/>
      <c r="BM2435" s="1"/>
      <c r="BN2435" s="1"/>
      <c r="BO2435" s="1"/>
      <c r="BP2435" s="1"/>
      <c r="BQ2435" s="1"/>
      <c r="BR2435" s="1"/>
      <c r="BS2435" s="1"/>
      <c r="BT2435" s="1"/>
      <c r="BU2435" s="1"/>
      <c r="BV2435" s="1"/>
      <c r="BW2435" s="1"/>
      <c r="BX2435" s="1"/>
      <c r="BY2435" s="1"/>
      <c r="BZ2435" s="1"/>
      <c r="CA2435" s="1"/>
      <c r="CB2435" s="1"/>
      <c r="CC2435" s="1"/>
      <c r="CD2435" s="1"/>
      <c r="CE2435" s="1"/>
      <c r="CF2435" s="1"/>
      <c r="CG2435" s="1"/>
      <c r="CH2435" s="1"/>
      <c r="CI2435" s="1"/>
      <c r="CJ2435" s="1"/>
      <c r="CK2435" s="1"/>
      <c r="CL2435" s="1"/>
      <c r="CM2435" s="1"/>
      <c r="CN2435" s="1"/>
      <c r="CO2435" s="1"/>
      <c r="CP2435" s="1"/>
      <c r="CQ2435" s="1"/>
      <c r="CR2435" s="1"/>
      <c r="CS2435" s="1"/>
      <c r="CT2435" s="1"/>
      <c r="CU2435" s="1"/>
      <c r="CV2435" s="1"/>
      <c r="CW2435" s="1"/>
      <c r="CX2435" s="1"/>
      <c r="CY2435" s="1"/>
      <c r="CZ2435" s="1"/>
      <c r="DA2435" s="1"/>
      <c r="DB2435" s="1"/>
      <c r="DC2435" s="1"/>
    </row>
    <row r="2436" spans="1:107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  <c r="AC2436" s="1"/>
      <c r="AD2436" s="1"/>
      <c r="AE2436" s="1"/>
      <c r="AF2436" s="1"/>
      <c r="AG2436" s="1"/>
      <c r="AH2436" s="1"/>
      <c r="AI2436" s="1"/>
      <c r="AJ2436" s="1"/>
      <c r="AK2436" s="1"/>
      <c r="AL2436" s="1"/>
      <c r="AM2436" s="1"/>
      <c r="AN2436" s="1"/>
      <c r="AO2436" s="1"/>
      <c r="AP2436" s="1"/>
      <c r="AQ2436" s="1"/>
      <c r="AR2436" s="1"/>
      <c r="AS2436" s="1"/>
      <c r="AT2436" s="1"/>
      <c r="AU2436" s="1"/>
      <c r="AV2436" s="1"/>
      <c r="AW2436" s="1"/>
      <c r="AX2436" s="1"/>
      <c r="AY2436" s="1"/>
      <c r="AZ2436" s="1"/>
      <c r="BA2436" s="1"/>
      <c r="BB2436" s="1"/>
      <c r="BC2436" s="1"/>
      <c r="BD2436" s="1"/>
      <c r="BE2436" s="1"/>
      <c r="BF2436" s="1"/>
      <c r="BG2436" s="1"/>
      <c r="BH2436" s="1"/>
      <c r="BI2436" s="1"/>
      <c r="BJ2436" s="1"/>
      <c r="BK2436" s="1"/>
      <c r="BL2436" s="1"/>
      <c r="BM2436" s="1"/>
      <c r="BN2436" s="1"/>
      <c r="BO2436" s="1"/>
      <c r="BP2436" s="1"/>
      <c r="BQ2436" s="1"/>
      <c r="BR2436" s="1"/>
      <c r="BS2436" s="1"/>
      <c r="BT2436" s="1"/>
      <c r="BU2436" s="1"/>
      <c r="BV2436" s="1"/>
      <c r="BW2436" s="1"/>
      <c r="BX2436" s="1"/>
      <c r="BY2436" s="1"/>
      <c r="BZ2436" s="1"/>
      <c r="CA2436" s="1"/>
      <c r="CB2436" s="1"/>
      <c r="CC2436" s="1"/>
      <c r="CD2436" s="1"/>
      <c r="CE2436" s="1"/>
      <c r="CF2436" s="1"/>
      <c r="CG2436" s="1"/>
      <c r="CH2436" s="1"/>
      <c r="CI2436" s="1"/>
      <c r="CJ2436" s="1"/>
      <c r="CK2436" s="1"/>
      <c r="CL2436" s="1"/>
      <c r="CM2436" s="1"/>
      <c r="CN2436" s="1"/>
      <c r="CO2436" s="1"/>
      <c r="CP2436" s="1"/>
      <c r="CQ2436" s="1"/>
      <c r="CR2436" s="1"/>
      <c r="CS2436" s="1"/>
      <c r="CT2436" s="1"/>
      <c r="CU2436" s="1"/>
      <c r="CV2436" s="1"/>
      <c r="CW2436" s="1"/>
      <c r="CX2436" s="1"/>
      <c r="CY2436" s="1"/>
      <c r="CZ2436" s="1"/>
      <c r="DA2436" s="1"/>
      <c r="DB2436" s="1"/>
      <c r="DC2436" s="1"/>
    </row>
    <row r="2437" spans="1:107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  <c r="AC2437" s="1"/>
      <c r="AD2437" s="1"/>
      <c r="AE2437" s="1"/>
      <c r="AF2437" s="1"/>
      <c r="AG2437" s="1"/>
      <c r="AH2437" s="1"/>
      <c r="AI2437" s="1"/>
      <c r="AJ2437" s="1"/>
      <c r="AK2437" s="1"/>
      <c r="AL2437" s="1"/>
      <c r="AM2437" s="1"/>
      <c r="AN2437" s="1"/>
      <c r="AO2437" s="1"/>
      <c r="AP2437" s="1"/>
      <c r="AQ2437" s="1"/>
      <c r="AR2437" s="1"/>
      <c r="AS2437" s="1"/>
      <c r="AT2437" s="1"/>
      <c r="AU2437" s="1"/>
      <c r="AV2437" s="1"/>
      <c r="AW2437" s="1"/>
      <c r="AX2437" s="1"/>
      <c r="AY2437" s="1"/>
      <c r="AZ2437" s="1"/>
      <c r="BA2437" s="1"/>
      <c r="BB2437" s="1"/>
      <c r="BC2437" s="1"/>
      <c r="BD2437" s="1"/>
      <c r="BE2437" s="1"/>
      <c r="BF2437" s="1"/>
      <c r="BG2437" s="1"/>
      <c r="BH2437" s="1"/>
      <c r="BI2437" s="1"/>
      <c r="BJ2437" s="1"/>
      <c r="BK2437" s="1"/>
      <c r="BL2437" s="1"/>
      <c r="BM2437" s="1"/>
      <c r="BN2437" s="1"/>
      <c r="BO2437" s="1"/>
      <c r="BP2437" s="1"/>
      <c r="BQ2437" s="1"/>
      <c r="BR2437" s="1"/>
      <c r="BS2437" s="1"/>
      <c r="BT2437" s="1"/>
      <c r="BU2437" s="1"/>
      <c r="BV2437" s="1"/>
      <c r="BW2437" s="1"/>
      <c r="BX2437" s="1"/>
      <c r="BY2437" s="1"/>
      <c r="BZ2437" s="1"/>
      <c r="CA2437" s="1"/>
      <c r="CB2437" s="1"/>
      <c r="CC2437" s="1"/>
      <c r="CD2437" s="1"/>
      <c r="CE2437" s="1"/>
      <c r="CF2437" s="1"/>
      <c r="CG2437" s="1"/>
      <c r="CH2437" s="1"/>
      <c r="CI2437" s="1"/>
      <c r="CJ2437" s="1"/>
      <c r="CK2437" s="1"/>
      <c r="CL2437" s="1"/>
      <c r="CM2437" s="1"/>
      <c r="CN2437" s="1"/>
      <c r="CO2437" s="1"/>
      <c r="CP2437" s="1"/>
      <c r="CQ2437" s="1"/>
      <c r="CR2437" s="1"/>
      <c r="CS2437" s="1"/>
      <c r="CT2437" s="1"/>
      <c r="CU2437" s="1"/>
      <c r="CV2437" s="1"/>
      <c r="CW2437" s="1"/>
      <c r="CX2437" s="1"/>
      <c r="CY2437" s="1"/>
      <c r="CZ2437" s="1"/>
      <c r="DA2437" s="1"/>
      <c r="DB2437" s="1"/>
      <c r="DC2437" s="1"/>
    </row>
    <row r="2438" spans="1:107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1"/>
      <c r="AD2438" s="1"/>
      <c r="AE2438" s="1"/>
      <c r="AF2438" s="1"/>
      <c r="AG2438" s="1"/>
      <c r="AH2438" s="1"/>
      <c r="AI2438" s="1"/>
      <c r="AJ2438" s="1"/>
      <c r="AK2438" s="1"/>
      <c r="AL2438" s="1"/>
      <c r="AM2438" s="1"/>
      <c r="AN2438" s="1"/>
      <c r="AO2438" s="1"/>
      <c r="AP2438" s="1"/>
      <c r="AQ2438" s="1"/>
      <c r="AR2438" s="1"/>
      <c r="AS2438" s="1"/>
      <c r="AT2438" s="1"/>
      <c r="AU2438" s="1"/>
      <c r="AV2438" s="1"/>
      <c r="AW2438" s="1"/>
      <c r="AX2438" s="1"/>
      <c r="AY2438" s="1"/>
      <c r="AZ2438" s="1"/>
      <c r="BA2438" s="1"/>
      <c r="BB2438" s="1"/>
      <c r="BC2438" s="1"/>
      <c r="BD2438" s="1"/>
      <c r="BE2438" s="1"/>
      <c r="BF2438" s="1"/>
      <c r="BG2438" s="1"/>
      <c r="BH2438" s="1"/>
      <c r="BI2438" s="1"/>
      <c r="BJ2438" s="1"/>
      <c r="BK2438" s="1"/>
      <c r="BL2438" s="1"/>
      <c r="BM2438" s="1"/>
      <c r="BN2438" s="1"/>
      <c r="BO2438" s="1"/>
      <c r="BP2438" s="1"/>
      <c r="BQ2438" s="1"/>
      <c r="BR2438" s="1"/>
      <c r="BS2438" s="1"/>
      <c r="BT2438" s="1"/>
      <c r="BU2438" s="1"/>
      <c r="BV2438" s="1"/>
      <c r="BW2438" s="1"/>
      <c r="BX2438" s="1"/>
      <c r="BY2438" s="1"/>
      <c r="BZ2438" s="1"/>
      <c r="CA2438" s="1"/>
      <c r="CB2438" s="1"/>
      <c r="CC2438" s="1"/>
      <c r="CD2438" s="1"/>
      <c r="CE2438" s="1"/>
      <c r="CF2438" s="1"/>
      <c r="CG2438" s="1"/>
      <c r="CH2438" s="1"/>
      <c r="CI2438" s="1"/>
      <c r="CJ2438" s="1"/>
      <c r="CK2438" s="1"/>
      <c r="CL2438" s="1"/>
      <c r="CM2438" s="1"/>
      <c r="CN2438" s="1"/>
      <c r="CO2438" s="1"/>
      <c r="CP2438" s="1"/>
      <c r="CQ2438" s="1"/>
      <c r="CR2438" s="1"/>
      <c r="CS2438" s="1"/>
      <c r="CT2438" s="1"/>
      <c r="CU2438" s="1"/>
      <c r="CV2438" s="1"/>
      <c r="CW2438" s="1"/>
      <c r="CX2438" s="1"/>
      <c r="CY2438" s="1"/>
      <c r="CZ2438" s="1"/>
      <c r="DA2438" s="1"/>
      <c r="DB2438" s="1"/>
      <c r="DC2438" s="1"/>
    </row>
    <row r="2439" spans="1:107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1"/>
      <c r="AD2439" s="1"/>
      <c r="AE2439" s="1"/>
      <c r="AF2439" s="1"/>
      <c r="AG2439" s="1"/>
      <c r="AH2439" s="1"/>
      <c r="AI2439" s="1"/>
      <c r="AJ2439" s="1"/>
      <c r="AK2439" s="1"/>
      <c r="AL2439" s="1"/>
      <c r="AM2439" s="1"/>
      <c r="AN2439" s="1"/>
      <c r="AO2439" s="1"/>
      <c r="AP2439" s="1"/>
      <c r="AQ2439" s="1"/>
      <c r="AR2439" s="1"/>
      <c r="AS2439" s="1"/>
      <c r="AT2439" s="1"/>
      <c r="AU2439" s="1"/>
      <c r="AV2439" s="1"/>
      <c r="AW2439" s="1"/>
      <c r="AX2439" s="1"/>
      <c r="AY2439" s="1"/>
      <c r="AZ2439" s="1"/>
      <c r="BA2439" s="1"/>
      <c r="BB2439" s="1"/>
      <c r="BC2439" s="1"/>
      <c r="BD2439" s="1"/>
      <c r="BE2439" s="1"/>
      <c r="BF2439" s="1"/>
      <c r="BG2439" s="1"/>
      <c r="BH2439" s="1"/>
      <c r="BI2439" s="1"/>
      <c r="BJ2439" s="1"/>
      <c r="BK2439" s="1"/>
      <c r="BL2439" s="1"/>
      <c r="BM2439" s="1"/>
      <c r="BN2439" s="1"/>
      <c r="BO2439" s="1"/>
      <c r="BP2439" s="1"/>
      <c r="BQ2439" s="1"/>
      <c r="BR2439" s="1"/>
      <c r="BS2439" s="1"/>
      <c r="BT2439" s="1"/>
      <c r="BU2439" s="1"/>
      <c r="BV2439" s="1"/>
      <c r="BW2439" s="1"/>
      <c r="BX2439" s="1"/>
      <c r="BY2439" s="1"/>
      <c r="BZ2439" s="1"/>
      <c r="CA2439" s="1"/>
      <c r="CB2439" s="1"/>
      <c r="CC2439" s="1"/>
      <c r="CD2439" s="1"/>
      <c r="CE2439" s="1"/>
      <c r="CF2439" s="1"/>
      <c r="CG2439" s="1"/>
      <c r="CH2439" s="1"/>
      <c r="CI2439" s="1"/>
      <c r="CJ2439" s="1"/>
      <c r="CK2439" s="1"/>
      <c r="CL2439" s="1"/>
      <c r="CM2439" s="1"/>
      <c r="CN2439" s="1"/>
      <c r="CO2439" s="1"/>
      <c r="CP2439" s="1"/>
      <c r="CQ2439" s="1"/>
      <c r="CR2439" s="1"/>
      <c r="CS2439" s="1"/>
      <c r="CT2439" s="1"/>
      <c r="CU2439" s="1"/>
      <c r="CV2439" s="1"/>
      <c r="CW2439" s="1"/>
      <c r="CX2439" s="1"/>
      <c r="CY2439" s="1"/>
      <c r="CZ2439" s="1"/>
      <c r="DA2439" s="1"/>
      <c r="DB2439" s="1"/>
      <c r="DC2439" s="1"/>
    </row>
    <row r="2440" spans="1:107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1"/>
      <c r="AD2440" s="1"/>
      <c r="AE2440" s="1"/>
      <c r="AF2440" s="1"/>
      <c r="AG2440" s="1"/>
      <c r="AH2440" s="1"/>
      <c r="AI2440" s="1"/>
      <c r="AJ2440" s="1"/>
      <c r="AK2440" s="1"/>
      <c r="AL2440" s="1"/>
      <c r="AM2440" s="1"/>
      <c r="AN2440" s="1"/>
      <c r="AO2440" s="1"/>
      <c r="AP2440" s="1"/>
      <c r="AQ2440" s="1"/>
      <c r="AR2440" s="1"/>
      <c r="AS2440" s="1"/>
      <c r="AT2440" s="1"/>
      <c r="AU2440" s="1"/>
      <c r="AV2440" s="1"/>
      <c r="AW2440" s="1"/>
      <c r="AX2440" s="1"/>
      <c r="AY2440" s="1"/>
      <c r="AZ2440" s="1"/>
      <c r="BA2440" s="1"/>
      <c r="BB2440" s="1"/>
      <c r="BC2440" s="1"/>
      <c r="BD2440" s="1"/>
      <c r="BE2440" s="1"/>
      <c r="BF2440" s="1"/>
      <c r="BG2440" s="1"/>
      <c r="BH2440" s="1"/>
      <c r="BI2440" s="1"/>
      <c r="BJ2440" s="1"/>
      <c r="BK2440" s="1"/>
      <c r="BL2440" s="1"/>
      <c r="BM2440" s="1"/>
      <c r="BN2440" s="1"/>
      <c r="BO2440" s="1"/>
      <c r="BP2440" s="1"/>
      <c r="BQ2440" s="1"/>
      <c r="BR2440" s="1"/>
      <c r="BS2440" s="1"/>
      <c r="BT2440" s="1"/>
      <c r="BU2440" s="1"/>
      <c r="BV2440" s="1"/>
      <c r="BW2440" s="1"/>
      <c r="BX2440" s="1"/>
      <c r="BY2440" s="1"/>
      <c r="BZ2440" s="1"/>
      <c r="CA2440" s="1"/>
      <c r="CB2440" s="1"/>
      <c r="CC2440" s="1"/>
      <c r="CD2440" s="1"/>
      <c r="CE2440" s="1"/>
      <c r="CF2440" s="1"/>
      <c r="CG2440" s="1"/>
      <c r="CH2440" s="1"/>
      <c r="CI2440" s="1"/>
      <c r="CJ2440" s="1"/>
      <c r="CK2440" s="1"/>
      <c r="CL2440" s="1"/>
      <c r="CM2440" s="1"/>
      <c r="CN2440" s="1"/>
      <c r="CO2440" s="1"/>
      <c r="CP2440" s="1"/>
      <c r="CQ2440" s="1"/>
      <c r="CR2440" s="1"/>
      <c r="CS2440" s="1"/>
      <c r="CT2440" s="1"/>
      <c r="CU2440" s="1"/>
      <c r="CV2440" s="1"/>
      <c r="CW2440" s="1"/>
      <c r="CX2440" s="1"/>
      <c r="CY2440" s="1"/>
      <c r="CZ2440" s="1"/>
      <c r="DA2440" s="1"/>
      <c r="DB2440" s="1"/>
      <c r="DC2440" s="1"/>
    </row>
    <row r="2441" spans="1:107" ht="15"/>
  </sheetData>
  <mergeCells count="12">
    <mergeCell ref="A95:M95"/>
    <mergeCell ref="A96:M96"/>
    <mergeCell ref="A49:M49"/>
    <mergeCell ref="A50:M50"/>
    <mergeCell ref="A51:M51"/>
    <mergeCell ref="A52:M52"/>
    <mergeCell ref="A93:M93"/>
    <mergeCell ref="A1:N1"/>
    <mergeCell ref="A2:N2"/>
    <mergeCell ref="A3:N3"/>
    <mergeCell ref="A4:N4"/>
    <mergeCell ref="A94:M94"/>
  </mergeCells>
  <pageMargins left="0.57999999999999996" right="0.5" top="0.37" bottom="0.33" header="0.3" footer="0.3"/>
  <pageSetup scale="78" orientation="landscape" r:id="rId1"/>
  <rowBreaks count="2" manualBreakCount="2">
    <brk id="47" max="16383" man="1"/>
    <brk id="91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4477D-5243-4EAF-8332-BCC9218A3B6B}">
  <dimension ref="B2:G12"/>
  <sheetViews>
    <sheetView workbookViewId="0">
      <selection activeCell="I6" sqref="I6"/>
    </sheetView>
  </sheetViews>
  <sheetFormatPr defaultRowHeight="15"/>
  <cols>
    <col min="2" max="2" width="22" customWidth="1"/>
    <col min="3" max="3" width="20.140625" customWidth="1"/>
    <col min="6" max="6" width="13.28515625" customWidth="1"/>
    <col min="7" max="7" width="15.140625" customWidth="1"/>
  </cols>
  <sheetData>
    <row r="2" spans="2:7">
      <c r="B2" t="s">
        <v>87</v>
      </c>
      <c r="C2" s="37">
        <f>DCF!D47*DCF!D42-DCF!D38-DCF!D39</f>
        <v>159202.88</v>
      </c>
      <c r="F2" t="s">
        <v>88</v>
      </c>
      <c r="G2">
        <f>C2/C3</f>
        <v>12.898012753570589</v>
      </c>
    </row>
    <row r="3" spans="2:7">
      <c r="B3" t="s">
        <v>89</v>
      </c>
      <c r="C3" s="37">
        <v>12343.21</v>
      </c>
    </row>
    <row r="4" spans="2:7">
      <c r="B4" t="s">
        <v>90</v>
      </c>
      <c r="C4" s="37">
        <f>DCF!D47</f>
        <v>220.91</v>
      </c>
      <c r="F4" t="s">
        <v>91</v>
      </c>
      <c r="G4">
        <f>C4/C5</f>
        <v>17.960162601626013</v>
      </c>
    </row>
    <row r="5" spans="2:7">
      <c r="B5" t="s">
        <v>92</v>
      </c>
      <c r="C5" s="37">
        <v>12.3</v>
      </c>
    </row>
    <row r="7" spans="2:7">
      <c r="B7" t="s">
        <v>93</v>
      </c>
      <c r="C7" s="38">
        <v>26931</v>
      </c>
      <c r="F7" t="s">
        <v>94</v>
      </c>
      <c r="G7" s="40">
        <f>C11/C12</f>
        <v>9.3083045573345347E-2</v>
      </c>
    </row>
    <row r="8" spans="2:7">
      <c r="B8" t="s">
        <v>95</v>
      </c>
      <c r="C8" s="38">
        <f>C7-DCF!D29-DCF!D30-DCF!D28</f>
        <v>27689.658327142857</v>
      </c>
      <c r="F8" t="s">
        <v>96</v>
      </c>
      <c r="G8" s="40">
        <f>C12/C9</f>
        <v>3.0944606889882085</v>
      </c>
    </row>
    <row r="9" spans="2:7">
      <c r="B9" t="s">
        <v>97</v>
      </c>
      <c r="C9" s="38">
        <f>AVERAGE(C7:C8)</f>
        <v>27310.329163571427</v>
      </c>
    </row>
    <row r="10" spans="2:7">
      <c r="C10" s="38"/>
      <c r="F10" t="s">
        <v>98</v>
      </c>
      <c r="G10" s="39">
        <f>G8*G7</f>
        <v>0.28804182533801503</v>
      </c>
    </row>
    <row r="11" spans="2:7">
      <c r="B11" t="s">
        <v>99</v>
      </c>
      <c r="C11" s="38">
        <f>DCF!D26</f>
        <v>7866.5170628571404</v>
      </c>
    </row>
    <row r="12" spans="2:7">
      <c r="B12" t="s">
        <v>30</v>
      </c>
      <c r="C12" s="37">
        <f>DCF!D8</f>
        <v>84510.74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e81bc5b-f67a-486f-9089-d5de9a01d01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777A6D35106D44AB98F176B8951452" ma:contentTypeVersion="6" ma:contentTypeDescription="Create a new document." ma:contentTypeScope="" ma:versionID="1aa1baf4e5bbd94cc1941707dce568fd">
  <xsd:schema xmlns:xsd="http://www.w3.org/2001/XMLSchema" xmlns:xs="http://www.w3.org/2001/XMLSchema" xmlns:p="http://schemas.microsoft.com/office/2006/metadata/properties" xmlns:ns3="be81bc5b-f67a-486f-9089-d5de9a01d01f" targetNamespace="http://schemas.microsoft.com/office/2006/metadata/properties" ma:root="true" ma:fieldsID="5c16504c5175c129ee9b66249064bb3d" ns3:_="">
    <xsd:import namespace="be81bc5b-f67a-486f-9089-d5de9a01d01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81bc5b-f67a-486f-9089-d5de9a01d01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F8D0FF-3393-40ED-AEB7-53F798225BD0}"/>
</file>

<file path=customXml/itemProps2.xml><?xml version="1.0" encoding="utf-8"?>
<ds:datastoreItem xmlns:ds="http://schemas.openxmlformats.org/officeDocument/2006/customXml" ds:itemID="{827306CD-CDC1-4355-A199-F4BF0E528A05}"/>
</file>

<file path=customXml/itemProps3.xml><?xml version="1.0" encoding="utf-8"?>
<ds:datastoreItem xmlns:ds="http://schemas.openxmlformats.org/officeDocument/2006/customXml" ds:itemID="{67DE8C79-B1E8-409B-AF16-896EA155F7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A. Vitek</dc:creator>
  <cp:keywords/>
  <dc:description/>
  <cp:lastModifiedBy/>
  <cp:revision/>
  <dcterms:created xsi:type="dcterms:W3CDTF">2013-08-15T15:13:53Z</dcterms:created>
  <dcterms:modified xsi:type="dcterms:W3CDTF">2025-05-07T00:00:40Z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0x010100DC777A6D35106D44AB98F176B8951452</vt:lpwstr>
  </property>
</Properties>
</file>