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llinoisedu-my.sharepoint.com/personal/smantri3_illinois_edu/Documents/"/>
    </mc:Choice>
  </mc:AlternateContent>
  <xr:revisionPtr revIDLastSave="0" documentId="8_{CFC0E5C0-3103-4744-AD0A-5041721B72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ssumption" sheetId="3" r:id="rId1"/>
    <sheet name="DCF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" i="1" l="1"/>
  <c r="B84" i="1"/>
  <c r="E24" i="3" a="1"/>
  <c r="E24" i="3"/>
  <c r="E23" i="3" s="1"/>
  <c r="F24" i="3" a="1"/>
  <c r="F24" i="3"/>
  <c r="F23" i="3" s="1"/>
  <c r="G24" i="3" a="1"/>
  <c r="G24" i="3"/>
  <c r="G23" i="3" s="1"/>
  <c r="H24" i="3" a="1"/>
  <c r="H24" i="3"/>
  <c r="H23" i="3" s="1"/>
  <c r="I24" i="3" a="1"/>
  <c r="I24" i="3"/>
  <c r="I23" i="3" s="1"/>
  <c r="J24" i="3" a="1"/>
  <c r="J24" i="3"/>
  <c r="J23" i="3" s="1"/>
  <c r="K24" i="3" a="1"/>
  <c r="K24" i="3"/>
  <c r="K23" i="3" s="1"/>
  <c r="L24" i="3" a="1"/>
  <c r="L24" i="3"/>
  <c r="L23" i="3" s="1"/>
  <c r="M24" i="3" a="1"/>
  <c r="M24" i="3"/>
  <c r="M23" i="3" s="1"/>
  <c r="D24" i="3" a="1"/>
  <c r="D24" i="3"/>
  <c r="D23" i="3" s="1"/>
  <c r="M119" i="1"/>
  <c r="L119" i="1"/>
  <c r="K119" i="1"/>
  <c r="J119" i="1"/>
  <c r="I119" i="1"/>
  <c r="B92" i="1"/>
  <c r="B96" i="1"/>
  <c r="E106" i="1"/>
  <c r="F106" i="1"/>
  <c r="G106" i="1"/>
  <c r="H106" i="1"/>
  <c r="I106" i="1"/>
  <c r="J106" i="1"/>
  <c r="K106" i="1"/>
  <c r="L106" i="1"/>
  <c r="M106" i="1"/>
  <c r="D106" i="1"/>
  <c r="E17" i="3" a="1"/>
  <c r="E17" i="3"/>
  <c r="F17" i="3" a="1"/>
  <c r="F17" i="3"/>
  <c r="G17" i="3" a="1"/>
  <c r="G17" i="3"/>
  <c r="H17" i="3" a="1"/>
  <c r="H17" i="3"/>
  <c r="I17" i="3" a="1"/>
  <c r="I17" i="3"/>
  <c r="J17" i="3" a="1"/>
  <c r="J17" i="3"/>
  <c r="K17" i="3" a="1"/>
  <c r="K17" i="3"/>
  <c r="L17" i="3" a="1"/>
  <c r="L17" i="3"/>
  <c r="M17" i="3" a="1"/>
  <c r="M17" i="3"/>
  <c r="D17" i="3" a="1"/>
  <c r="D17" i="3" s="1"/>
  <c r="E11" i="3" a="1"/>
  <c r="E11" i="3"/>
  <c r="F11" i="3" a="1"/>
  <c r="F11" i="3"/>
  <c r="G11" i="3" a="1"/>
  <c r="G11" i="3"/>
  <c r="H11" i="3" a="1"/>
  <c r="H11" i="3"/>
  <c r="I11" i="3" a="1"/>
  <c r="I11" i="3"/>
  <c r="J11" i="3" a="1"/>
  <c r="J11" i="3"/>
  <c r="K11" i="3" a="1"/>
  <c r="K11" i="3"/>
  <c r="L11" i="3" a="1"/>
  <c r="L11" i="3"/>
  <c r="M11" i="3" a="1"/>
  <c r="M11" i="3"/>
  <c r="D11" i="3" a="1"/>
  <c r="D11" i="3"/>
  <c r="H119" i="1"/>
  <c r="G119" i="1"/>
  <c r="F119" i="1"/>
  <c r="E119" i="1"/>
  <c r="D119" i="1"/>
  <c r="C121" i="1"/>
  <c r="C119" i="1"/>
  <c r="B121" i="1"/>
  <c r="B119" i="1"/>
  <c r="C31" i="1"/>
  <c r="B31" i="1"/>
  <c r="B57" i="1"/>
  <c r="B6" i="1"/>
  <c r="B104" i="1"/>
  <c r="E75" i="1"/>
  <c r="F48" i="3" a="1"/>
  <c r="F48" i="3" s="1"/>
  <c r="F75" i="1" s="1"/>
  <c r="G48" i="3" a="1"/>
  <c r="G48" i="3" s="1"/>
  <c r="G75" i="1" s="1"/>
  <c r="H48" i="3" a="1"/>
  <c r="H48" i="3" s="1"/>
  <c r="H75" i="1" s="1"/>
  <c r="I48" i="3" a="1"/>
  <c r="I48" i="3" s="1"/>
  <c r="I75" i="1" s="1"/>
  <c r="J48" i="3" a="1"/>
  <c r="J48" i="3" s="1"/>
  <c r="J75" i="1" s="1"/>
  <c r="K48" i="3" a="1"/>
  <c r="K48" i="3" s="1"/>
  <c r="K75" i="1" s="1"/>
  <c r="L48" i="3" a="1"/>
  <c r="L48" i="3" s="1"/>
  <c r="L75" i="1" s="1"/>
  <c r="M48" i="3" a="1"/>
  <c r="M48" i="3" s="1"/>
  <c r="M75" i="1" s="1"/>
  <c r="D48" i="3" a="1"/>
  <c r="D48" i="3" s="1"/>
  <c r="D75" i="1" s="1"/>
  <c r="E36" i="1" l="1"/>
  <c r="F36" i="1"/>
  <c r="G36" i="1"/>
  <c r="H36" i="1"/>
  <c r="I36" i="1"/>
  <c r="J36" i="1"/>
  <c r="K36" i="1"/>
  <c r="L36" i="1"/>
  <c r="M36" i="1"/>
  <c r="N36" i="1"/>
  <c r="D36" i="1"/>
  <c r="E5" i="3"/>
  <c r="F5" i="3" s="1"/>
  <c r="G5" i="3" s="1"/>
  <c r="H5" i="3" s="1"/>
  <c r="I5" i="3" s="1"/>
  <c r="J5" i="3" s="1"/>
  <c r="K5" i="3" s="1"/>
  <c r="L5" i="3" s="1"/>
  <c r="M5" i="3" s="1"/>
  <c r="C59" i="1"/>
  <c r="C118" i="1"/>
  <c r="C68" i="1"/>
  <c r="C67" i="1"/>
  <c r="C62" i="1"/>
  <c r="B118" i="1"/>
  <c r="B68" i="1"/>
  <c r="B67" i="1"/>
  <c r="B62" i="1"/>
  <c r="F97" i="1"/>
  <c r="G97" i="1" s="1"/>
  <c r="H97" i="1" s="1"/>
  <c r="I97" i="1" s="1"/>
  <c r="J97" i="1" s="1"/>
  <c r="K97" i="1" s="1"/>
  <c r="L97" i="1" s="1"/>
  <c r="M97" i="1" s="1"/>
  <c r="N97" i="1" s="1"/>
  <c r="C57" i="1"/>
  <c r="D57" i="1" s="1"/>
  <c r="E57" i="1" s="1"/>
  <c r="F57" i="1" s="1"/>
  <c r="G57" i="1" s="1"/>
  <c r="H57" i="1" s="1"/>
  <c r="I57" i="1" s="1"/>
  <c r="J57" i="1" s="1"/>
  <c r="K57" i="1" s="1"/>
  <c r="L57" i="1" s="1"/>
  <c r="M57" i="1" s="1"/>
  <c r="C6" i="1"/>
  <c r="D6" i="1" s="1"/>
  <c r="E6" i="1" s="1"/>
  <c r="F6" i="1" s="1"/>
  <c r="G6" i="1" s="1"/>
  <c r="H6" i="1" s="1"/>
  <c r="I6" i="1" s="1"/>
  <c r="J6" i="1" s="1"/>
  <c r="K6" i="1" s="1"/>
  <c r="L6" i="1" s="1"/>
  <c r="M6" i="1" s="1"/>
  <c r="B24" i="1" l="1"/>
  <c r="B13" i="1"/>
  <c r="B64" i="1" s="1"/>
  <c r="B85" i="1" l="1"/>
  <c r="C24" i="1"/>
  <c r="C13" i="1"/>
  <c r="C64" i="1" s="1"/>
  <c r="C104" i="1"/>
  <c r="B69" i="1" l="1"/>
  <c r="C85" i="1"/>
  <c r="C20" i="1"/>
  <c r="B20" i="1"/>
  <c r="B83" i="1"/>
  <c r="D104" i="1"/>
  <c r="C22" i="1" l="1"/>
  <c r="C71" i="1"/>
  <c r="C69" i="1"/>
  <c r="C83" i="1"/>
  <c r="B22" i="1"/>
  <c r="B71" i="1"/>
  <c r="E104" i="1"/>
  <c r="B26" i="1" l="1"/>
  <c r="B73" i="1"/>
  <c r="C26" i="1"/>
  <c r="C73" i="1"/>
  <c r="F104" i="1"/>
  <c r="C27" i="1" l="1"/>
  <c r="C29" i="1" s="1"/>
  <c r="C35" i="1" s="1"/>
  <c r="C77" i="1"/>
  <c r="B77" i="1"/>
  <c r="B27" i="1"/>
  <c r="B29" i="1" s="1"/>
  <c r="B35" i="1" s="1"/>
  <c r="G104" i="1"/>
  <c r="B80" i="1" l="1"/>
  <c r="C80" i="1"/>
  <c r="H104" i="1"/>
  <c r="I104" i="1" l="1"/>
  <c r="J104" i="1" l="1"/>
  <c r="K104" i="1" l="1"/>
  <c r="L104" i="1" l="1"/>
  <c r="M104" i="1" l="1"/>
  <c r="D62" i="1" l="1"/>
  <c r="D64" i="1"/>
  <c r="M64" i="1"/>
  <c r="J64" i="1"/>
  <c r="L62" i="1"/>
  <c r="E62" i="1"/>
  <c r="L64" i="1"/>
  <c r="E64" i="1"/>
  <c r="H62" i="1"/>
  <c r="F64" i="1"/>
  <c r="H64" i="1"/>
  <c r="F62" i="1"/>
  <c r="M62" i="1"/>
  <c r="K62" i="1"/>
  <c r="I62" i="1"/>
  <c r="J62" i="1"/>
  <c r="I64" i="1"/>
  <c r="K64" i="1"/>
  <c r="G62" i="1"/>
  <c r="G64" i="1"/>
  <c r="D60" i="1"/>
  <c r="D9" i="1"/>
  <c r="E60" i="1"/>
  <c r="E9" i="1"/>
  <c r="M60" i="1"/>
  <c r="L60" i="1"/>
  <c r="K60" i="1"/>
  <c r="J60" i="1"/>
  <c r="I60" i="1"/>
  <c r="H60" i="1"/>
  <c r="G60" i="1"/>
  <c r="F60" i="1"/>
  <c r="F9" i="1" l="1"/>
  <c r="G9" i="1" l="1"/>
  <c r="H9" i="1" l="1"/>
  <c r="I9" i="1" l="1"/>
  <c r="J9" i="1" l="1"/>
  <c r="K9" i="1" l="1"/>
  <c r="L9" i="1" l="1"/>
  <c r="M9" i="1" l="1"/>
  <c r="D61" i="1"/>
  <c r="D10" i="1"/>
  <c r="D8" i="1"/>
  <c r="D59" i="1"/>
  <c r="D8" i="3"/>
  <c r="D69" i="1" l="1"/>
  <c r="D24" i="1"/>
  <c r="D33" i="1"/>
  <c r="D11" i="1"/>
  <c r="D13" i="1" s="1"/>
  <c r="E61" i="1"/>
  <c r="E10" i="1"/>
  <c r="E8" i="1"/>
  <c r="J61" i="1"/>
  <c r="L61" i="1"/>
  <c r="H61" i="1"/>
  <c r="K61" i="1"/>
  <c r="F61" i="1"/>
  <c r="G61" i="1"/>
  <c r="I61" i="1"/>
  <c r="M61" i="1"/>
  <c r="E59" i="1" l="1"/>
  <c r="E8" i="3" s="1"/>
  <c r="E33" i="1"/>
  <c r="E69" i="1"/>
  <c r="E24" i="1"/>
  <c r="E11" i="1"/>
  <c r="E13" i="1" s="1"/>
  <c r="F10" i="1"/>
  <c r="F8" i="1" l="1"/>
  <c r="G10" i="1"/>
  <c r="G8" i="1" l="1"/>
  <c r="H10" i="1"/>
  <c r="F59" i="1"/>
  <c r="F8" i="3" s="1"/>
  <c r="F69" i="1"/>
  <c r="F24" i="1"/>
  <c r="G33" i="1"/>
  <c r="F11" i="1"/>
  <c r="F13" i="1"/>
  <c r="F33" i="1"/>
  <c r="H8" i="1" l="1"/>
  <c r="I10" i="1"/>
  <c r="G59" i="1"/>
  <c r="G8" i="3" s="1"/>
  <c r="G69" i="1"/>
  <c r="G24" i="1"/>
  <c r="H33" i="1"/>
  <c r="G11" i="1"/>
  <c r="G13" i="1"/>
  <c r="I8" i="1" l="1"/>
  <c r="J10" i="1"/>
  <c r="H59" i="1"/>
  <c r="H8" i="3" s="1"/>
  <c r="H69" i="1"/>
  <c r="H24" i="1"/>
  <c r="I33" i="1"/>
  <c r="H11" i="1"/>
  <c r="H13" i="1"/>
  <c r="J8" i="1" l="1"/>
  <c r="K10" i="1"/>
  <c r="I59" i="1"/>
  <c r="I8" i="3" s="1"/>
  <c r="I69" i="1"/>
  <c r="I24" i="1"/>
  <c r="J33" i="1"/>
  <c r="I11" i="1"/>
  <c r="I13" i="1" s="1"/>
  <c r="K8" i="1" l="1"/>
  <c r="L10" i="1"/>
  <c r="J59" i="1"/>
  <c r="J8" i="3" s="1"/>
  <c r="J69" i="1"/>
  <c r="J24" i="1"/>
  <c r="K33" i="1"/>
  <c r="J11" i="1"/>
  <c r="J13" i="1" s="1"/>
  <c r="L8" i="1" l="1"/>
  <c r="M10" i="1"/>
  <c r="M8" i="1" s="1"/>
  <c r="K59" i="1"/>
  <c r="K8" i="3" s="1"/>
  <c r="K69" i="1"/>
  <c r="K24" i="1"/>
  <c r="L33" i="1"/>
  <c r="K11" i="1"/>
  <c r="K13" i="1"/>
  <c r="M59" i="1" l="1"/>
  <c r="M8" i="3" s="1"/>
  <c r="M69" i="1"/>
  <c r="M24" i="1"/>
  <c r="M11" i="1"/>
  <c r="M13" i="1"/>
  <c r="L59" i="1"/>
  <c r="L8" i="3" s="1"/>
  <c r="L69" i="1"/>
  <c r="L24" i="1"/>
  <c r="M33" i="1"/>
  <c r="L11" i="1"/>
  <c r="L13" i="1"/>
  <c r="D32" i="3" a="1"/>
  <c r="D32" i="3" s="1"/>
  <c r="D67" i="1"/>
  <c r="D16" i="1"/>
  <c r="E32" i="3" a="1"/>
  <c r="E32" i="3" s="1"/>
  <c r="E67" i="1"/>
  <c r="E16" i="1" s="1"/>
  <c r="F32" i="3" a="1"/>
  <c r="F32" i="3" s="1"/>
  <c r="F67" i="1"/>
  <c r="F16" i="1"/>
  <c r="G32" i="3" a="1"/>
  <c r="G32" i="3" s="1"/>
  <c r="G67" i="1"/>
  <c r="G16" i="1"/>
  <c r="H32" i="3" a="1"/>
  <c r="H32" i="3" s="1"/>
  <c r="H67" i="1"/>
  <c r="H16" i="1" s="1"/>
  <c r="I32" i="3" a="1"/>
  <c r="I32" i="3" s="1"/>
  <c r="I67" i="1"/>
  <c r="I16" i="1" s="1"/>
  <c r="J32" i="3" a="1"/>
  <c r="J32" i="3" s="1"/>
  <c r="J67" i="1"/>
  <c r="J16" i="1"/>
  <c r="K32" i="3" a="1"/>
  <c r="K32" i="3" s="1"/>
  <c r="K67" i="1"/>
  <c r="K16" i="1"/>
  <c r="L32" i="3" a="1"/>
  <c r="L32" i="3" s="1"/>
  <c r="L67" i="1"/>
  <c r="L16" i="1" s="1"/>
  <c r="M32" i="3" a="1"/>
  <c r="M32" i="3" s="1"/>
  <c r="M67" i="1"/>
  <c r="M16" i="1"/>
  <c r="D37" i="3" a="1"/>
  <c r="D37" i="3" s="1"/>
  <c r="D68" i="1"/>
  <c r="D17" i="1"/>
  <c r="D20" i="1"/>
  <c r="D71" i="1" s="1"/>
  <c r="D22" i="1"/>
  <c r="D73" i="1" s="1"/>
  <c r="D26" i="1"/>
  <c r="D27" i="1" l="1"/>
  <c r="D29" i="1" s="1"/>
  <c r="D77" i="1"/>
  <c r="D80" i="1" l="1"/>
  <c r="E37" i="3" a="1"/>
  <c r="E37" i="3" s="1"/>
  <c r="E68" i="1"/>
  <c r="E17" i="1"/>
  <c r="E20" i="1"/>
  <c r="E71" i="1" s="1"/>
  <c r="E22" i="1"/>
  <c r="E73" i="1" s="1"/>
  <c r="E26" i="1"/>
  <c r="E27" i="1" l="1"/>
  <c r="E29" i="1" s="1"/>
  <c r="E77" i="1"/>
  <c r="E80" i="1" l="1"/>
  <c r="F37" i="3" a="1"/>
  <c r="F37" i="3" s="1"/>
  <c r="F68" i="1"/>
  <c r="F17" i="1"/>
  <c r="F20" i="1"/>
  <c r="F71" i="1" s="1"/>
  <c r="F22" i="1"/>
  <c r="F73" i="1" s="1"/>
  <c r="F26" i="1"/>
  <c r="F77" i="1" l="1"/>
  <c r="F27" i="1"/>
  <c r="F29" i="1" s="1"/>
  <c r="F80" i="1" l="1"/>
  <c r="G37" i="3" a="1"/>
  <c r="G37" i="3" s="1"/>
  <c r="G68" i="1"/>
  <c r="G17" i="1"/>
  <c r="G20" i="1"/>
  <c r="G71" i="1" s="1"/>
  <c r="G22" i="1"/>
  <c r="G73" i="1" s="1"/>
  <c r="G26" i="1"/>
  <c r="G77" i="1" l="1"/>
  <c r="G27" i="1"/>
  <c r="G29" i="1" s="1"/>
  <c r="G80" i="1" l="1"/>
  <c r="H37" i="3" a="1"/>
  <c r="H37" i="3" s="1"/>
  <c r="H68" i="1"/>
  <c r="H17" i="1" s="1"/>
  <c r="H20" i="1" s="1"/>
  <c r="H22" i="1" l="1"/>
  <c r="H71" i="1"/>
  <c r="H26" i="1"/>
  <c r="H73" i="1"/>
  <c r="H27" i="1" l="1"/>
  <c r="H29" i="1" s="1"/>
  <c r="H77" i="1"/>
  <c r="H80" i="1" l="1"/>
  <c r="I37" i="3" a="1"/>
  <c r="I37" i="3" s="1"/>
  <c r="I68" i="1"/>
  <c r="I17" i="1" s="1"/>
  <c r="I20" i="1" s="1"/>
  <c r="I22" i="1" l="1"/>
  <c r="I71" i="1"/>
  <c r="I26" i="1"/>
  <c r="I73" i="1"/>
  <c r="I27" i="1" l="1"/>
  <c r="I29" i="1" s="1"/>
  <c r="I77" i="1"/>
  <c r="I80" i="1" l="1"/>
  <c r="J37" i="3" a="1"/>
  <c r="J37" i="3" s="1"/>
  <c r="J68" i="1"/>
  <c r="J17" i="1"/>
  <c r="J20" i="1"/>
  <c r="J71" i="1" s="1"/>
  <c r="J22" i="1"/>
  <c r="J73" i="1" s="1"/>
  <c r="J26" i="1"/>
  <c r="J77" i="1" l="1"/>
  <c r="J27" i="1"/>
  <c r="J29" i="1" s="1"/>
  <c r="J80" i="1" l="1"/>
  <c r="K37" i="3" a="1"/>
  <c r="K37" i="3" s="1"/>
  <c r="K68" i="1"/>
  <c r="K17" i="1"/>
  <c r="K20" i="1"/>
  <c r="K71" i="1" s="1"/>
  <c r="K22" i="1"/>
  <c r="K73" i="1" s="1"/>
  <c r="K26" i="1"/>
  <c r="K27" i="1" l="1"/>
  <c r="K29" i="1" s="1"/>
  <c r="K77" i="1"/>
  <c r="K80" i="1" l="1"/>
  <c r="L37" i="3" a="1"/>
  <c r="L37" i="3" s="1"/>
  <c r="L68" i="1"/>
  <c r="L17" i="1" s="1"/>
  <c r="L20" i="1" s="1"/>
  <c r="L22" i="1" l="1"/>
  <c r="L71" i="1"/>
  <c r="L26" i="1"/>
  <c r="L73" i="1"/>
  <c r="L27" i="1" l="1"/>
  <c r="L29" i="1" s="1"/>
  <c r="L77" i="1"/>
  <c r="L80" i="1" l="1"/>
  <c r="M37" i="3" a="1"/>
  <c r="M37" i="3" s="1"/>
  <c r="M68" i="1"/>
  <c r="M17" i="1"/>
  <c r="M20" i="1"/>
  <c r="M71" i="1" s="1"/>
  <c r="M22" i="1"/>
  <c r="M73" i="1" s="1"/>
  <c r="M26" i="1"/>
  <c r="M77" i="1" l="1"/>
  <c r="M27" i="1"/>
  <c r="M29" i="1" s="1"/>
  <c r="N35" i="1" l="1"/>
  <c r="N38" i="1" s="1"/>
  <c r="M80" i="1"/>
  <c r="D43" i="3" a="1"/>
  <c r="D43" i="3" s="1"/>
  <c r="D84" i="1"/>
  <c r="D32" i="1" s="1"/>
  <c r="J107" i="1" l="1"/>
  <c r="L107" i="1"/>
  <c r="K107" i="1"/>
  <c r="G107" i="1"/>
  <c r="I107" i="1"/>
  <c r="H107" i="1"/>
  <c r="F107" i="1"/>
  <c r="M107" i="1"/>
  <c r="E107" i="1"/>
  <c r="D107" i="1"/>
  <c r="D118" i="1" s="1"/>
  <c r="D121" i="1" l="1"/>
  <c r="D31" i="1" s="1"/>
  <c r="D35" i="1" s="1"/>
  <c r="D85" i="1"/>
  <c r="D82" i="1"/>
  <c r="D38" i="1" l="1"/>
  <c r="D83" i="1"/>
  <c r="E43" i="3" a="1"/>
  <c r="E43" i="3" s="1"/>
  <c r="E84" i="1" s="1"/>
  <c r="E32" i="1" s="1"/>
  <c r="F108" i="1" l="1"/>
  <c r="G108" i="1"/>
  <c r="H108" i="1"/>
  <c r="I108" i="1"/>
  <c r="J108" i="1"/>
  <c r="K108" i="1"/>
  <c r="L108" i="1"/>
  <c r="M108" i="1"/>
  <c r="E108" i="1"/>
  <c r="E118" i="1"/>
  <c r="E82" i="1" l="1"/>
  <c r="E85" i="1"/>
  <c r="E121" i="1"/>
  <c r="E31" i="1" s="1"/>
  <c r="E35" i="1" s="1"/>
  <c r="E38" i="1" s="1"/>
  <c r="E83" i="1" l="1"/>
  <c r="F43" i="3" a="1"/>
  <c r="F43" i="3" s="1"/>
  <c r="F84" i="1" s="1"/>
  <c r="F32" i="1" s="1"/>
  <c r="G109" i="1" l="1"/>
  <c r="H109" i="1"/>
  <c r="I109" i="1"/>
  <c r="J109" i="1"/>
  <c r="K109" i="1"/>
  <c r="L109" i="1"/>
  <c r="M109" i="1"/>
  <c r="F109" i="1"/>
  <c r="F118" i="1"/>
  <c r="F121" i="1" l="1"/>
  <c r="F31" i="1" s="1"/>
  <c r="F35" i="1" s="1"/>
  <c r="F38" i="1" s="1"/>
  <c r="F85" i="1"/>
  <c r="F82" i="1"/>
  <c r="F83" i="1" l="1"/>
  <c r="G43" i="3" a="1"/>
  <c r="G43" i="3" s="1"/>
  <c r="G84" i="1" s="1"/>
  <c r="G32" i="1" s="1"/>
  <c r="H110" i="1" l="1"/>
  <c r="I110" i="1"/>
  <c r="J110" i="1"/>
  <c r="K110" i="1"/>
  <c r="L110" i="1"/>
  <c r="M110" i="1"/>
  <c r="G110" i="1"/>
  <c r="G118" i="1"/>
  <c r="G82" i="1" l="1"/>
  <c r="G121" i="1"/>
  <c r="G31" i="1" s="1"/>
  <c r="G35" i="1" s="1"/>
  <c r="G38" i="1" s="1"/>
  <c r="G85" i="1"/>
  <c r="G83" i="1" l="1"/>
  <c r="H43" i="3" a="1"/>
  <c r="H43" i="3" s="1"/>
  <c r="H84" i="1" s="1"/>
  <c r="H32" i="1" s="1"/>
  <c r="I111" i="1" l="1"/>
  <c r="J111" i="1"/>
  <c r="K111" i="1"/>
  <c r="L111" i="1"/>
  <c r="M111" i="1"/>
  <c r="H111" i="1"/>
  <c r="H118" i="1"/>
  <c r="H85" i="1" l="1"/>
  <c r="H121" i="1"/>
  <c r="H31" i="1" s="1"/>
  <c r="H35" i="1" s="1"/>
  <c r="H38" i="1" s="1"/>
  <c r="H82" i="1"/>
  <c r="H83" i="1" l="1"/>
  <c r="I43" i="3" a="1"/>
  <c r="I43" i="3" s="1"/>
  <c r="I84" i="1" s="1"/>
  <c r="I32" i="1" s="1"/>
  <c r="J112" i="1" l="1"/>
  <c r="K112" i="1"/>
  <c r="L112" i="1"/>
  <c r="M112" i="1"/>
  <c r="I112" i="1"/>
  <c r="I118" i="1"/>
  <c r="I82" i="1" l="1"/>
  <c r="I121" i="1"/>
  <c r="I31" i="1" s="1"/>
  <c r="I35" i="1" s="1"/>
  <c r="I38" i="1" s="1"/>
  <c r="I85" i="1"/>
  <c r="I83" i="1" l="1"/>
  <c r="J43" i="3" a="1"/>
  <c r="J43" i="3" s="1"/>
  <c r="J84" i="1" s="1"/>
  <c r="J32" i="1" s="1"/>
  <c r="K113" i="1" l="1"/>
  <c r="L113" i="1"/>
  <c r="M113" i="1"/>
  <c r="J113" i="1"/>
  <c r="J118" i="1"/>
  <c r="J85" i="1" l="1"/>
  <c r="J121" i="1"/>
  <c r="J31" i="1" s="1"/>
  <c r="J35" i="1" s="1"/>
  <c r="J38" i="1" s="1"/>
  <c r="J82" i="1"/>
  <c r="J83" i="1" l="1"/>
  <c r="K43" i="3" a="1"/>
  <c r="K43" i="3" s="1"/>
  <c r="K84" i="1" s="1"/>
  <c r="K32" i="1" s="1"/>
  <c r="L114" i="1" l="1"/>
  <c r="M114" i="1"/>
  <c r="K114" i="1"/>
  <c r="K118" i="1"/>
  <c r="K82" i="1" l="1"/>
  <c r="K121" i="1"/>
  <c r="K31" i="1" s="1"/>
  <c r="K35" i="1" s="1"/>
  <c r="K38" i="1" s="1"/>
  <c r="K85" i="1"/>
  <c r="K83" i="1" l="1"/>
  <c r="L43" i="3" a="1"/>
  <c r="L43" i="3" s="1"/>
  <c r="L84" i="1" s="1"/>
  <c r="L32" i="1" s="1"/>
  <c r="M115" i="1" l="1"/>
  <c r="L115" i="1"/>
  <c r="L118" i="1"/>
  <c r="L85" i="1" l="1"/>
  <c r="L121" i="1"/>
  <c r="L31" i="1" s="1"/>
  <c r="L35" i="1" s="1"/>
  <c r="L38" i="1" s="1"/>
  <c r="L82" i="1"/>
  <c r="L83" i="1" l="1"/>
  <c r="M43" i="3" a="1"/>
  <c r="M43" i="3" s="1"/>
  <c r="M84" i="1" s="1"/>
  <c r="M32" i="1" s="1"/>
  <c r="M116" i="1"/>
  <c r="M118" i="1"/>
  <c r="M121" i="1"/>
  <c r="M31" i="1"/>
  <c r="M35" i="1"/>
  <c r="M38" i="1"/>
  <c r="D40" i="1"/>
  <c r="D44" i="1"/>
  <c r="D47" i="1"/>
  <c r="M82" i="1" l="1"/>
  <c r="M83" i="1" s="1"/>
  <c r="M8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<sst xmlns="http://schemas.openxmlformats.org/spreadsheetml/2006/main" count="343" uniqueCount="81">
  <si>
    <t>Option Selection</t>
  </si>
  <si>
    <t>Operating Scenario</t>
  </si>
  <si>
    <t>Projected</t>
  </si>
  <si>
    <t>Total Revenue Growth</t>
  </si>
  <si>
    <t>Total Medicine Theraputic</t>
  </si>
  <si>
    <t xml:space="preserve">   Base</t>
  </si>
  <si>
    <t xml:space="preserve">   Bull</t>
  </si>
  <si>
    <t xml:space="preserve">   Bear</t>
  </si>
  <si>
    <t>Total MedTech Sales</t>
  </si>
  <si>
    <t>Gross Margin</t>
  </si>
  <si>
    <t>COGS</t>
  </si>
  <si>
    <t>Operating Expense</t>
  </si>
  <si>
    <t>SG&amp;A</t>
  </si>
  <si>
    <t>R&amp;D</t>
  </si>
  <si>
    <t>Capex</t>
  </si>
  <si>
    <t>Other Income</t>
  </si>
  <si>
    <t>Income Tax</t>
  </si>
  <si>
    <t>Johnsoon &amp; Johnson Services Inc.,</t>
  </si>
  <si>
    <t>Discounted Cash Flow Analysis</t>
  </si>
  <si>
    <t xml:space="preserve">For the Years Ended </t>
  </si>
  <si>
    <t>Millions of Dollars</t>
  </si>
  <si>
    <t>Terminal</t>
  </si>
  <si>
    <t>Value</t>
  </si>
  <si>
    <t>--------------</t>
  </si>
  <si>
    <t>Revenue</t>
  </si>
  <si>
    <t>Cost of Goods Sold</t>
  </si>
  <si>
    <t>Operating Expenses:</t>
  </si>
  <si>
    <t>Lease</t>
  </si>
  <si>
    <t>Total Operating Expenses</t>
  </si>
  <si>
    <t>Operating Income</t>
  </si>
  <si>
    <t>Other Income/(Expense)</t>
  </si>
  <si>
    <t>Pretax Income</t>
  </si>
  <si>
    <t>Income Taxes</t>
  </si>
  <si>
    <t>Net Income</t>
  </si>
  <si>
    <t>+  Depreciation &amp; Amortization</t>
  </si>
  <si>
    <t>-   Capital Expenditures</t>
  </si>
  <si>
    <t>-   Working Capital Additions</t>
  </si>
  <si>
    <t>Free Cash Flow</t>
  </si>
  <si>
    <t>Present Value Factor</t>
  </si>
  <si>
    <t>PV Free Cash Flow</t>
  </si>
  <si>
    <t>Value of Firm</t>
  </si>
  <si>
    <t>Less:  Debt Outstanding</t>
  </si>
  <si>
    <t>Plus:  Cash</t>
  </si>
  <si>
    <t>Equity Value</t>
  </si>
  <si>
    <t>Shares Outstanding</t>
  </si>
  <si>
    <t>Value Per Share</t>
  </si>
  <si>
    <t>========</t>
  </si>
  <si>
    <t>Share Price (2/12/25)</t>
  </si>
  <si>
    <t>Assumptions</t>
  </si>
  <si>
    <t>Revenue Growth</t>
  </si>
  <si>
    <t>Income Tax Rate</t>
  </si>
  <si>
    <t>Net PP&amp;E</t>
  </si>
  <si>
    <t>Revenue/Net PP&amp;E</t>
  </si>
  <si>
    <t>Capital Expenditure % of Rev</t>
  </si>
  <si>
    <t>Depreciation/Revenue</t>
  </si>
  <si>
    <t>Working Capital/Revenue</t>
  </si>
  <si>
    <t>Discount Rate:</t>
  </si>
  <si>
    <t>Risk-Free Rate</t>
  </si>
  <si>
    <t>Risk Premium</t>
  </si>
  <si>
    <t>Beta</t>
  </si>
  <si>
    <t>K(e)</t>
  </si>
  <si>
    <t>K(d)</t>
  </si>
  <si>
    <t>Tax Rate</t>
  </si>
  <si>
    <t>Debt/Capital</t>
  </si>
  <si>
    <t>WACC</t>
  </si>
  <si>
    <t>Depreciation Schedule</t>
  </si>
  <si>
    <t>2024 Net PP&amp;E</t>
  </si>
  <si>
    <t>2025 Capital Expenditures</t>
  </si>
  <si>
    <t>2026 Capital Expenditures</t>
  </si>
  <si>
    <t>2027 Capital Expenditures</t>
  </si>
  <si>
    <t>2028 Capital Expenditures</t>
  </si>
  <si>
    <t>2029 Capital Expenditures</t>
  </si>
  <si>
    <t>2030 Capital Expenditures</t>
  </si>
  <si>
    <t>2031 Capital Expenditures</t>
  </si>
  <si>
    <t>2032 Capital Expenditures</t>
  </si>
  <si>
    <t>2033 Capital Expenditures</t>
  </si>
  <si>
    <t>2034 Capital Expenditures</t>
  </si>
  <si>
    <t>Total Depreciation Schedule</t>
  </si>
  <si>
    <t>Intangible Amortization</t>
  </si>
  <si>
    <t>Total Depreciation &amp; Amortization</t>
  </si>
  <si>
    <t>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</si>
</sst>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0.0000"/>
    <numFmt numFmtId="167" formatCode="0.000%"/>
    <numFmt numFmtId="168" formatCode="_(* #,##0.000000_);_(* \(#,##0.000000\);_(* &quot;-&quot;??_);_(@_)"/>
    <numFmt numFmtId="169" formatCode="_(* #,##0.000_);_(* \(#,##0.00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0" borderId="0" xfId="0" quotePrefix="1" applyFont="1" applyAlignment="1">
      <alignment horizontal="right"/>
    </xf>
    <xf numFmtId="43" fontId="2" fillId="0" borderId="0" xfId="1" applyFont="1"/>
    <xf numFmtId="164" fontId="2" fillId="0" borderId="0" xfId="1" applyNumberFormat="1" applyFont="1"/>
    <xf numFmtId="165" fontId="2" fillId="0" borderId="0" xfId="3" applyNumberFormat="1" applyFont="1"/>
    <xf numFmtId="164" fontId="2" fillId="0" borderId="0" xfId="1" quotePrefix="1" applyNumberFormat="1" applyFont="1" applyAlignment="1">
      <alignment horizontal="right"/>
    </xf>
    <xf numFmtId="166" fontId="2" fillId="0" borderId="0" xfId="0" applyNumberFormat="1" applyFont="1"/>
    <xf numFmtId="44" fontId="2" fillId="0" borderId="0" xfId="2" applyFont="1"/>
    <xf numFmtId="0" fontId="6" fillId="2" borderId="0" xfId="0" applyFont="1" applyFill="1"/>
    <xf numFmtId="0" fontId="7" fillId="2" borderId="0" xfId="0" applyFont="1" applyFill="1"/>
    <xf numFmtId="0" fontId="0" fillId="2" borderId="0" xfId="0" applyFill="1"/>
    <xf numFmtId="0" fontId="4" fillId="2" borderId="0" xfId="0" applyFont="1" applyFill="1"/>
    <xf numFmtId="9" fontId="0" fillId="2" borderId="0" xfId="3" applyFont="1" applyFill="1"/>
    <xf numFmtId="0" fontId="5" fillId="2" borderId="0" xfId="0" applyFont="1" applyFill="1"/>
    <xf numFmtId="0" fontId="8" fillId="2" borderId="0" xfId="0" applyFont="1" applyFill="1"/>
    <xf numFmtId="0" fontId="9" fillId="2" borderId="0" xfId="0" applyFont="1" applyFill="1" applyAlignment="1">
      <alignment wrapText="1"/>
    </xf>
    <xf numFmtId="0" fontId="10" fillId="2" borderId="0" xfId="0" applyFont="1" applyFill="1"/>
    <xf numFmtId="10" fontId="2" fillId="0" borderId="0" xfId="3" applyNumberFormat="1" applyFont="1"/>
    <xf numFmtId="10" fontId="2" fillId="0" borderId="0" xfId="0" quotePrefix="1" applyNumberFormat="1" applyFont="1" applyAlignment="1">
      <alignment horizontal="right"/>
    </xf>
    <xf numFmtId="0" fontId="11" fillId="2" borderId="0" xfId="0" applyFont="1" applyFill="1"/>
    <xf numFmtId="10" fontId="0" fillId="2" borderId="0" xfId="3" applyNumberFormat="1" applyFont="1" applyFill="1"/>
    <xf numFmtId="167" fontId="0" fillId="2" borderId="0" xfId="3" applyNumberFormat="1" applyFont="1" applyFill="1"/>
    <xf numFmtId="10" fontId="0" fillId="2" borderId="0" xfId="0" applyNumberFormat="1" applyFill="1"/>
    <xf numFmtId="0" fontId="2" fillId="0" borderId="0" xfId="3" applyNumberFormat="1" applyFont="1"/>
    <xf numFmtId="9" fontId="0" fillId="0" borderId="0" xfId="0" applyNumberFormat="1"/>
    <xf numFmtId="10" fontId="0" fillId="0" borderId="0" xfId="0" applyNumberFormat="1"/>
    <xf numFmtId="167" fontId="0" fillId="0" borderId="0" xfId="0" applyNumberFormat="1"/>
    <xf numFmtId="10" fontId="2" fillId="0" borderId="0" xfId="0" applyNumberFormat="1" applyFont="1"/>
    <xf numFmtId="9" fontId="2" fillId="0" borderId="0" xfId="1" applyNumberFormat="1" applyFont="1"/>
    <xf numFmtId="1" fontId="1" fillId="0" borderId="0" xfId="1" applyNumberFormat="1" applyFont="1"/>
    <xf numFmtId="1" fontId="10" fillId="2" borderId="0" xfId="0" applyNumberFormat="1" applyFont="1" applyFill="1"/>
    <xf numFmtId="9" fontId="2" fillId="2" borderId="0" xfId="3" applyFont="1" applyFill="1"/>
    <xf numFmtId="10" fontId="2" fillId="2" borderId="0" xfId="3" applyNumberFormat="1" applyFont="1" applyFill="1"/>
    <xf numFmtId="168" fontId="2" fillId="0" borderId="0" xfId="1" applyNumberFormat="1" applyFont="1"/>
    <xf numFmtId="10" fontId="2" fillId="0" borderId="0" xfId="1" applyNumberFormat="1" applyFont="1"/>
    <xf numFmtId="169" fontId="2" fillId="0" borderId="0" xfId="1" applyNumberFormat="1" applyFont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83"/>
  <sheetViews>
    <sheetView zoomScale="85" workbookViewId="0">
      <selection activeCell="C4" sqref="C4"/>
    </sheetView>
  </sheetViews>
  <sheetFormatPr defaultColWidth="8.85546875" defaultRowHeight="14.45"/>
  <cols>
    <col min="1" max="1" width="38.42578125" style="13" bestFit="1" customWidth="1"/>
    <col min="2" max="16384" width="8.85546875" style="13"/>
  </cols>
  <sheetData>
    <row r="2" spans="1:13">
      <c r="A2" s="39" t="s">
        <v>0</v>
      </c>
      <c r="B2" s="39"/>
      <c r="C2" s="39"/>
      <c r="D2" s="39"/>
    </row>
    <row r="3" spans="1:13">
      <c r="A3" s="39" t="s">
        <v>1</v>
      </c>
      <c r="B3" s="39"/>
      <c r="C3" s="40">
        <v>1</v>
      </c>
      <c r="D3" s="40"/>
    </row>
    <row r="4" spans="1:13">
      <c r="D4" s="39" t="s">
        <v>2</v>
      </c>
      <c r="E4" s="39"/>
      <c r="F4" s="39"/>
      <c r="G4" s="39"/>
      <c r="H4" s="39"/>
      <c r="I4" s="39"/>
      <c r="J4" s="39"/>
      <c r="K4" s="39"/>
      <c r="L4" s="39"/>
      <c r="M4" s="39"/>
    </row>
    <row r="5" spans="1:13">
      <c r="D5" s="14">
        <v>2025</v>
      </c>
      <c r="E5" s="14">
        <f>D5+1</f>
        <v>2026</v>
      </c>
      <c r="F5" s="14">
        <f t="shared" ref="F5:M5" si="0">E5+1</f>
        <v>2027</v>
      </c>
      <c r="G5" s="14">
        <f t="shared" si="0"/>
        <v>2028</v>
      </c>
      <c r="H5" s="14">
        <f t="shared" si="0"/>
        <v>2029</v>
      </c>
      <c r="I5" s="14">
        <f t="shared" si="0"/>
        <v>2030</v>
      </c>
      <c r="J5" s="14">
        <f t="shared" si="0"/>
        <v>2031</v>
      </c>
      <c r="K5" s="14">
        <f t="shared" si="0"/>
        <v>2032</v>
      </c>
      <c r="L5" s="14">
        <f t="shared" si="0"/>
        <v>2033</v>
      </c>
      <c r="M5" s="14">
        <f t="shared" si="0"/>
        <v>2034</v>
      </c>
    </row>
    <row r="8" spans="1:13" ht="18">
      <c r="A8" s="18" t="s">
        <v>3</v>
      </c>
      <c r="D8" s="23">
        <f>DCF!D59</f>
        <v>4.0000000000000036E-2</v>
      </c>
      <c r="E8" s="23">
        <f>DCF!E59</f>
        <v>3.8717330361063285E-2</v>
      </c>
      <c r="F8" s="23">
        <f>DCF!F59</f>
        <v>3.8718216163050378E-2</v>
      </c>
      <c r="G8" s="23">
        <f>DCF!G59</f>
        <v>3.8719102445638809E-2</v>
      </c>
      <c r="H8" s="23">
        <f>DCF!H59</f>
        <v>3.5000000000000142E-2</v>
      </c>
      <c r="I8" s="23">
        <f>DCF!I59</f>
        <v>1.2599811132586014E-2</v>
      </c>
      <c r="J8" s="23">
        <f>DCF!J59</f>
        <v>2.8679582109580215E-2</v>
      </c>
      <c r="K8" s="23">
        <f>DCF!K59</f>
        <v>2.5553285322731822E-2</v>
      </c>
      <c r="L8" s="23">
        <f>DCF!L59</f>
        <v>2.5604438493138426E-2</v>
      </c>
      <c r="M8" s="23">
        <f>DCF!M59</f>
        <v>2.5655780750053037E-2</v>
      </c>
    </row>
    <row r="9" spans="1:13">
      <c r="A9" s="14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>
      <c r="A10" s="12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ht="18">
      <c r="A11" s="17" t="s">
        <v>4</v>
      </c>
      <c r="D11" s="23" cm="1">
        <f t="array" ref="D11">INDEX(D12:D14,$C$3)</f>
        <v>0.04</v>
      </c>
      <c r="E11" s="23" cm="1">
        <f t="array" ref="E11">INDEX(E12:E14,$C$3)</f>
        <v>3.7999999999999999E-2</v>
      </c>
      <c r="F11" s="23" cm="1">
        <f t="array" ref="F11">INDEX(F12:F14,$C$3)</f>
        <v>3.7999999999999999E-2</v>
      </c>
      <c r="G11" s="23" cm="1">
        <f t="array" ref="G11">INDEX(G12:G14,$C$3)</f>
        <v>3.7999999999999999E-2</v>
      </c>
      <c r="H11" s="23" cm="1">
        <f t="array" ref="H11">INDEX(H12:H14,$C$3)</f>
        <v>3.5000000000000003E-2</v>
      </c>
      <c r="I11" s="23" cm="1">
        <f t="array" ref="I11">INDEX(I12:I14,$C$3)</f>
        <v>0</v>
      </c>
      <c r="J11" s="23" cm="1">
        <f t="array" ref="J11">INDEX(J12:J14,$C$3)</f>
        <v>2.5000000000000001E-2</v>
      </c>
      <c r="K11" s="23" cm="1">
        <f t="array" ref="K11">INDEX(K12:K14,$C$3)</f>
        <v>0.02</v>
      </c>
      <c r="L11" s="23" cm="1">
        <f t="array" ref="L11">INDEX(L12:L14,$C$3)</f>
        <v>0.02</v>
      </c>
      <c r="M11" s="23" cm="1">
        <f t="array" ref="M11">INDEX(M12:M14,$C$3)</f>
        <v>0.02</v>
      </c>
    </row>
    <row r="12" spans="1:13" ht="15">
      <c r="A12" s="13" t="s">
        <v>5</v>
      </c>
      <c r="D12" s="23">
        <v>0.04</v>
      </c>
      <c r="E12" s="24">
        <v>3.7999999999999999E-2</v>
      </c>
      <c r="F12" s="24">
        <v>3.7999999999999999E-2</v>
      </c>
      <c r="G12" s="24">
        <v>3.7999999999999999E-2</v>
      </c>
      <c r="H12" s="24">
        <v>3.5000000000000003E-2</v>
      </c>
      <c r="I12" s="24">
        <v>0</v>
      </c>
      <c r="J12" s="24">
        <v>2.5000000000000001E-2</v>
      </c>
      <c r="K12" s="24">
        <v>0.02</v>
      </c>
      <c r="L12" s="24">
        <v>0.02</v>
      </c>
      <c r="M12" s="24">
        <v>0.02</v>
      </c>
    </row>
    <row r="13" spans="1:13" ht="15">
      <c r="A13" s="13" t="s">
        <v>6</v>
      </c>
      <c r="D13" s="23">
        <v>4.2999999999999997E-2</v>
      </c>
      <c r="E13" s="23">
        <v>4.2999999999999997E-2</v>
      </c>
      <c r="F13" s="23">
        <v>4.2999999999999997E-2</v>
      </c>
      <c r="G13" s="23">
        <v>4.2999999999999997E-2</v>
      </c>
      <c r="H13" s="23">
        <v>4.2999999999999997E-2</v>
      </c>
      <c r="I13" s="23">
        <v>0.03</v>
      </c>
      <c r="J13" s="23">
        <v>3.5000000000000003E-2</v>
      </c>
      <c r="K13" s="23">
        <v>3.5000000000000003E-2</v>
      </c>
      <c r="L13" s="23">
        <v>3.5000000000000003E-2</v>
      </c>
      <c r="M13" s="23">
        <v>3.5000000000000003E-2</v>
      </c>
    </row>
    <row r="14" spans="1:13" ht="15">
      <c r="A14" s="13" t="s">
        <v>7</v>
      </c>
      <c r="D14" s="23">
        <v>3.3000000000000002E-2</v>
      </c>
      <c r="E14" s="23">
        <v>0.02</v>
      </c>
      <c r="F14" s="23">
        <v>2.5000000000000001E-2</v>
      </c>
      <c r="G14" s="23">
        <v>2.5000000000000001E-2</v>
      </c>
      <c r="H14" s="23">
        <v>2.5000000000000001E-2</v>
      </c>
      <c r="I14" s="23">
        <v>2.5000000000000001E-2</v>
      </c>
      <c r="J14" s="23">
        <v>-0.01</v>
      </c>
      <c r="K14" s="23">
        <v>1.4999999999999999E-2</v>
      </c>
      <c r="L14" s="23">
        <v>1.4999999999999999E-2</v>
      </c>
      <c r="M14" s="23">
        <v>1.4999999999999999E-2</v>
      </c>
    </row>
    <row r="15" spans="1:13" ht="15.75">
      <c r="A15" s="11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3">
      <c r="A16" s="12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ht="18">
      <c r="A17" s="17" t="s">
        <v>8</v>
      </c>
      <c r="D17" s="23" cm="1">
        <f t="array" ref="D17">INDEX(D18:D20,$C$3)</f>
        <v>0.04</v>
      </c>
      <c r="E17" s="23" cm="1">
        <f t="array" ref="E17">INDEX(E18:E20,$C$3)</f>
        <v>0.04</v>
      </c>
      <c r="F17" s="23" cm="1">
        <f t="array" ref="F17">INDEX(F18:F20,$C$3)</f>
        <v>0.04</v>
      </c>
      <c r="G17" s="23" cm="1">
        <f t="array" ref="G17">INDEX(G18:G20,$C$3)</f>
        <v>0.04</v>
      </c>
      <c r="H17" s="23" cm="1">
        <f t="array" ref="H17">INDEX(H18:H20,$C$3)</f>
        <v>3.5000000000000003E-2</v>
      </c>
      <c r="I17" s="23" cm="1">
        <f t="array" ref="I17">INDEX(I18:I20,$C$3)</f>
        <v>3.5000000000000003E-2</v>
      </c>
      <c r="J17" s="23" cm="1">
        <f t="array" ref="J17">INDEX(J18:J20,$C$3)</f>
        <v>3.5000000000000003E-2</v>
      </c>
      <c r="K17" s="23" cm="1">
        <f t="array" ref="K17">INDEX(K18:K20,$C$3)</f>
        <v>3.5000000000000003E-2</v>
      </c>
      <c r="L17" s="23" cm="1">
        <f t="array" ref="L17">INDEX(L18:L20,$C$3)</f>
        <v>3.5000000000000003E-2</v>
      </c>
      <c r="M17" s="23" cm="1">
        <f t="array" ref="M17">INDEX(M18:M20,$C$3)</f>
        <v>3.5000000000000003E-2</v>
      </c>
    </row>
    <row r="18" spans="1:13" ht="15">
      <c r="A18" s="13" t="s">
        <v>5</v>
      </c>
      <c r="D18" s="23">
        <v>0.04</v>
      </c>
      <c r="E18" s="23">
        <v>0.04</v>
      </c>
      <c r="F18" s="23">
        <v>0.04</v>
      </c>
      <c r="G18" s="23">
        <v>0.04</v>
      </c>
      <c r="H18" s="23">
        <v>3.5000000000000003E-2</v>
      </c>
      <c r="I18" s="23">
        <v>3.5000000000000003E-2</v>
      </c>
      <c r="J18" s="23">
        <v>3.5000000000000003E-2</v>
      </c>
      <c r="K18" s="23">
        <v>3.5000000000000003E-2</v>
      </c>
      <c r="L18" s="23">
        <v>3.5000000000000003E-2</v>
      </c>
      <c r="M18" s="23">
        <v>3.5000000000000003E-2</v>
      </c>
    </row>
    <row r="19" spans="1:13" ht="15">
      <c r="A19" s="13" t="s">
        <v>6</v>
      </c>
      <c r="D19" s="23">
        <v>4.4999999999999998E-2</v>
      </c>
      <c r="E19" s="23">
        <v>4.4999999999999998E-2</v>
      </c>
      <c r="F19" s="23">
        <v>4.4999999999999998E-2</v>
      </c>
      <c r="G19" s="23">
        <v>4.4999999999999998E-2</v>
      </c>
      <c r="H19" s="23">
        <v>4.2999999999999997E-2</v>
      </c>
      <c r="I19" s="23">
        <v>4.2999999999999997E-2</v>
      </c>
      <c r="J19" s="23">
        <v>4.2999999999999997E-2</v>
      </c>
      <c r="K19" s="23">
        <v>4.2999999999999997E-2</v>
      </c>
      <c r="L19" s="23">
        <v>4.2999999999999997E-2</v>
      </c>
      <c r="M19" s="23">
        <v>4.2999999999999997E-2</v>
      </c>
    </row>
    <row r="20" spans="1:13" ht="15">
      <c r="A20" s="13" t="s">
        <v>7</v>
      </c>
      <c r="D20" s="23">
        <v>0.03</v>
      </c>
      <c r="E20" s="23">
        <v>3.5000000000000003E-2</v>
      </c>
      <c r="F20" s="23">
        <v>3.5000000000000003E-2</v>
      </c>
      <c r="G20" s="23">
        <v>3.5000000000000003E-2</v>
      </c>
      <c r="H20" s="23">
        <v>3.5000000000000003E-2</v>
      </c>
      <c r="I20" s="23">
        <v>0.03</v>
      </c>
      <c r="J20" s="23">
        <v>0.03</v>
      </c>
      <c r="K20" s="23">
        <v>0.03</v>
      </c>
      <c r="L20" s="23">
        <v>0.03</v>
      </c>
      <c r="M20" s="23">
        <v>0.03</v>
      </c>
    </row>
    <row r="21" spans="1:13">
      <c r="A21" s="14"/>
      <c r="D21" s="23"/>
      <c r="E21" s="15"/>
      <c r="F21" s="15"/>
      <c r="G21" s="15"/>
      <c r="H21" s="15"/>
      <c r="I21" s="15"/>
      <c r="J21" s="15"/>
      <c r="K21" s="15"/>
      <c r="L21" s="15"/>
      <c r="M21" s="15"/>
    </row>
    <row r="22" spans="1:13">
      <c r="A22" s="14"/>
      <c r="D22" s="25"/>
    </row>
    <row r="23" spans="1:13">
      <c r="A23" s="14" t="s">
        <v>9</v>
      </c>
      <c r="D23" s="23">
        <f>1-D24</f>
        <v>0.69300000000000006</v>
      </c>
      <c r="E23" s="23">
        <f t="shared" ref="E23:M23" si="1">1-E24</f>
        <v>0.69300000000000006</v>
      </c>
      <c r="F23" s="23">
        <f t="shared" si="1"/>
        <v>0.69300000000000006</v>
      </c>
      <c r="G23" s="23">
        <f t="shared" si="1"/>
        <v>0.69300000000000006</v>
      </c>
      <c r="H23" s="23">
        <f t="shared" si="1"/>
        <v>0.69399999999999995</v>
      </c>
      <c r="I23" s="23">
        <f t="shared" si="1"/>
        <v>0.69399999999999995</v>
      </c>
      <c r="J23" s="23">
        <f t="shared" si="1"/>
        <v>0.69500000000000006</v>
      </c>
      <c r="K23" s="23">
        <f t="shared" si="1"/>
        <v>0.69500000000000006</v>
      </c>
      <c r="L23" s="23">
        <f t="shared" si="1"/>
        <v>0.69500000000000006</v>
      </c>
      <c r="M23" s="23">
        <f t="shared" si="1"/>
        <v>0.69500000000000006</v>
      </c>
    </row>
    <row r="24" spans="1:13">
      <c r="A24" s="14" t="s">
        <v>10</v>
      </c>
      <c r="D24" s="25" cm="1">
        <f t="array" ref="D24">INDEX(D25:D27,$C$3)</f>
        <v>0.307</v>
      </c>
      <c r="E24" s="25" cm="1">
        <f t="array" ref="E24">INDEX(E25:E27,$C$3)</f>
        <v>0.307</v>
      </c>
      <c r="F24" s="25" cm="1">
        <f t="array" ref="F24">INDEX(F25:F27,$C$3)</f>
        <v>0.307</v>
      </c>
      <c r="G24" s="25" cm="1">
        <f t="array" ref="G24">INDEX(G25:G27,$C$3)</f>
        <v>0.307</v>
      </c>
      <c r="H24" s="25" cm="1">
        <f t="array" ref="H24">INDEX(H25:H27,$C$3)</f>
        <v>0.30599999999999999</v>
      </c>
      <c r="I24" s="25" cm="1">
        <f t="array" ref="I24">INDEX(I25:I27,$C$3)</f>
        <v>0.30599999999999999</v>
      </c>
      <c r="J24" s="25" cm="1">
        <f t="array" ref="J24">INDEX(J25:J27,$C$3)</f>
        <v>0.30499999999999999</v>
      </c>
      <c r="K24" s="25" cm="1">
        <f t="array" ref="K24">INDEX(K25:K27,$C$3)</f>
        <v>0.30499999999999999</v>
      </c>
      <c r="L24" s="25" cm="1">
        <f t="array" ref="L24">INDEX(L25:L27,$C$3)</f>
        <v>0.30499999999999999</v>
      </c>
      <c r="M24" s="25" cm="1">
        <f t="array" ref="M24">INDEX(M25:M27,$C$3)</f>
        <v>0.30499999999999999</v>
      </c>
    </row>
    <row r="25" spans="1:13">
      <c r="A25" s="13" t="s">
        <v>5</v>
      </c>
      <c r="D25" s="23">
        <v>0.307</v>
      </c>
      <c r="E25" s="23">
        <v>0.307</v>
      </c>
      <c r="F25" s="23">
        <v>0.307</v>
      </c>
      <c r="G25" s="23">
        <v>0.307</v>
      </c>
      <c r="H25" s="23">
        <v>0.30599999999999999</v>
      </c>
      <c r="I25" s="23">
        <v>0.30599999999999999</v>
      </c>
      <c r="J25" s="23">
        <v>0.30499999999999999</v>
      </c>
      <c r="K25" s="23">
        <v>0.30499999999999999</v>
      </c>
      <c r="L25" s="23">
        <v>0.30499999999999999</v>
      </c>
      <c r="M25" s="23">
        <v>0.30499999999999999</v>
      </c>
    </row>
    <row r="26" spans="1:13">
      <c r="A26" s="13" t="s">
        <v>6</v>
      </c>
      <c r="D26" s="23">
        <v>0.29499999999999998</v>
      </c>
      <c r="E26" s="23">
        <v>0.28999999999999998</v>
      </c>
      <c r="F26" s="23">
        <v>0.28999999999999998</v>
      </c>
      <c r="G26" s="23">
        <v>0.28749999999999998</v>
      </c>
      <c r="H26" s="23">
        <v>0.28499999999999998</v>
      </c>
      <c r="I26" s="23">
        <v>0.28249999999999997</v>
      </c>
      <c r="J26" s="23">
        <v>0.28249999999999997</v>
      </c>
      <c r="K26" s="23">
        <v>0.28249999999999997</v>
      </c>
      <c r="L26" s="23">
        <v>0.28249999999999997</v>
      </c>
      <c r="M26" s="23">
        <v>0.28249999999999997</v>
      </c>
    </row>
    <row r="27" spans="1:13">
      <c r="A27" s="13" t="s">
        <v>7</v>
      </c>
      <c r="D27" s="23">
        <v>0.315</v>
      </c>
      <c r="E27" s="23">
        <v>0.3175</v>
      </c>
      <c r="F27" s="23">
        <v>0.32</v>
      </c>
      <c r="G27" s="23">
        <v>0.32</v>
      </c>
      <c r="H27" s="23">
        <v>0.32</v>
      </c>
      <c r="I27" s="23">
        <v>0.32</v>
      </c>
      <c r="J27" s="23">
        <v>0.32</v>
      </c>
      <c r="K27" s="23">
        <v>0.32</v>
      </c>
      <c r="L27" s="23">
        <v>0.32</v>
      </c>
      <c r="M27" s="23">
        <v>0.32</v>
      </c>
    </row>
    <row r="28" spans="1:13">
      <c r="A28" s="14"/>
      <c r="D28" s="25"/>
    </row>
    <row r="29" spans="1:13">
      <c r="A29" s="14"/>
      <c r="D29" s="25"/>
    </row>
    <row r="30" spans="1:13">
      <c r="A30" s="14" t="s">
        <v>11</v>
      </c>
      <c r="D30" s="25"/>
    </row>
    <row r="31" spans="1:13">
      <c r="A31" s="14"/>
      <c r="D31" s="25"/>
    </row>
    <row r="32" spans="1:13">
      <c r="A32" s="14" t="s">
        <v>12</v>
      </c>
      <c r="D32" s="25" cm="1">
        <f t="array" ref="D32">INDEX(D33:D35,$C$3)</f>
        <v>0.255</v>
      </c>
      <c r="E32" s="25" cm="1">
        <f t="array" ref="E32">INDEX(E33:E35,$C$3)</f>
        <v>0.255</v>
      </c>
      <c r="F32" s="25" cm="1">
        <f t="array" ref="F32">INDEX(F33:F35,$C$3)</f>
        <v>0.255</v>
      </c>
      <c r="G32" s="25" cm="1">
        <f t="array" ref="G32">INDEX(G33:G35,$C$3)</f>
        <v>0.25</v>
      </c>
      <c r="H32" s="25" cm="1">
        <f t="array" ref="H32">INDEX(H33:H35,$C$3)</f>
        <v>0.25</v>
      </c>
      <c r="I32" s="25" cm="1">
        <f t="array" ref="I32">INDEX(I33:I35,$C$3)</f>
        <v>0.245</v>
      </c>
      <c r="J32" s="25" cm="1">
        <f t="array" ref="J32">INDEX(J33:J35,$C$3)</f>
        <v>0.245</v>
      </c>
      <c r="K32" s="25" cm="1">
        <f t="array" ref="K32">INDEX(K33:K35,$C$3)</f>
        <v>0.24</v>
      </c>
      <c r="L32" s="25" cm="1">
        <f t="array" ref="L32">INDEX(L33:L35,$C$3)</f>
        <v>0.24</v>
      </c>
      <c r="M32" s="25" cm="1">
        <f t="array" ref="M32">INDEX(M33:M35,$C$3)</f>
        <v>0.24</v>
      </c>
    </row>
    <row r="33" spans="1:13">
      <c r="A33" s="13" t="s">
        <v>5</v>
      </c>
      <c r="D33" s="23">
        <v>0.255</v>
      </c>
      <c r="E33" s="23">
        <v>0.255</v>
      </c>
      <c r="F33" s="23">
        <v>0.255</v>
      </c>
      <c r="G33" s="23">
        <v>0.25</v>
      </c>
      <c r="H33" s="23">
        <v>0.25</v>
      </c>
      <c r="I33" s="23">
        <v>0.245</v>
      </c>
      <c r="J33" s="23">
        <v>0.245</v>
      </c>
      <c r="K33" s="23">
        <v>0.24</v>
      </c>
      <c r="L33" s="23">
        <v>0.24</v>
      </c>
      <c r="M33" s="23">
        <v>0.24</v>
      </c>
    </row>
    <row r="34" spans="1:13">
      <c r="A34" s="13" t="s">
        <v>6</v>
      </c>
      <c r="D34" s="23">
        <v>0.2475</v>
      </c>
      <c r="E34" s="23">
        <v>0.245</v>
      </c>
      <c r="F34" s="23">
        <v>0.245</v>
      </c>
      <c r="G34" s="23">
        <v>0.24</v>
      </c>
      <c r="H34" s="23">
        <v>0.24</v>
      </c>
      <c r="I34" s="23">
        <v>0.24</v>
      </c>
      <c r="J34" s="23">
        <v>0.24</v>
      </c>
      <c r="K34" s="23">
        <v>0.23749999999999999</v>
      </c>
      <c r="L34" s="23">
        <v>0.23749999999999999</v>
      </c>
      <c r="M34" s="23">
        <v>0.23749999999999999</v>
      </c>
    </row>
    <row r="35" spans="1:13">
      <c r="A35" s="13" t="s">
        <v>7</v>
      </c>
      <c r="D35" s="23">
        <v>0.26250000000000001</v>
      </c>
      <c r="E35" s="23">
        <v>0.26500000000000001</v>
      </c>
      <c r="F35" s="23">
        <v>0.26750000000000002</v>
      </c>
      <c r="G35" s="23">
        <v>0.26750000000000002</v>
      </c>
      <c r="H35" s="23">
        <v>0.26750000000000002</v>
      </c>
      <c r="I35" s="23">
        <v>0.26750000000000002</v>
      </c>
      <c r="J35" s="23">
        <v>0.26750000000000002</v>
      </c>
      <c r="K35" s="23">
        <v>0.26750000000000002</v>
      </c>
      <c r="L35" s="23">
        <v>0.26750000000000002</v>
      </c>
      <c r="M35" s="23">
        <v>0.26750000000000002</v>
      </c>
    </row>
    <row r="36" spans="1:13">
      <c r="A36" s="14"/>
      <c r="D36" s="25"/>
    </row>
    <row r="37" spans="1:13">
      <c r="A37" s="16" t="s">
        <v>13</v>
      </c>
      <c r="D37" s="23" cm="1">
        <f t="array" ref="D37">INDEX(D38:D40,$C$3)</f>
        <v>0.2</v>
      </c>
      <c r="E37" s="23" cm="1">
        <f t="array" ref="E37">INDEX(E38:E40,$C$3)</f>
        <v>0.2</v>
      </c>
      <c r="F37" s="23" cm="1">
        <f t="array" ref="F37">INDEX(F38:F40,$C$3)</f>
        <v>0.2</v>
      </c>
      <c r="G37" s="23" cm="1">
        <f t="array" ref="G37">INDEX(G38:G40,$C$3)</f>
        <v>0.2</v>
      </c>
      <c r="H37" s="23" cm="1">
        <f t="array" ref="H37">INDEX(H38:H40,$C$3)</f>
        <v>0.2</v>
      </c>
      <c r="I37" s="23" cm="1">
        <f t="array" ref="I37">INDEX(I38:I40,$C$3)</f>
        <v>0.2</v>
      </c>
      <c r="J37" s="23" cm="1">
        <f t="array" ref="J37">INDEX(J38:J40,$C$3)</f>
        <v>0.2</v>
      </c>
      <c r="K37" s="23" cm="1">
        <f t="array" ref="K37">INDEX(K38:K40,$C$3)</f>
        <v>0.18</v>
      </c>
      <c r="L37" s="23" cm="1">
        <f t="array" ref="L37">INDEX(L38:L40,$C$3)</f>
        <v>0.18</v>
      </c>
      <c r="M37" s="23" cm="1">
        <f t="array" ref="M37">INDEX(M38:M40,$C$3)</f>
        <v>0.18</v>
      </c>
    </row>
    <row r="38" spans="1:13">
      <c r="A38" s="13" t="s">
        <v>5</v>
      </c>
      <c r="D38" s="23">
        <v>0.2</v>
      </c>
      <c r="E38" s="23">
        <v>0.2</v>
      </c>
      <c r="F38" s="23">
        <v>0.2</v>
      </c>
      <c r="G38" s="23">
        <v>0.2</v>
      </c>
      <c r="H38" s="23">
        <v>0.2</v>
      </c>
      <c r="I38" s="23">
        <v>0.2</v>
      </c>
      <c r="J38" s="23">
        <v>0.2</v>
      </c>
      <c r="K38" s="23">
        <v>0.18</v>
      </c>
      <c r="L38" s="23">
        <v>0.18</v>
      </c>
      <c r="M38" s="23">
        <v>0.18</v>
      </c>
    </row>
    <row r="39" spans="1:13">
      <c r="A39" s="13" t="s">
        <v>6</v>
      </c>
      <c r="D39" s="23">
        <v>0.18</v>
      </c>
      <c r="E39" s="23">
        <v>0.18</v>
      </c>
      <c r="F39" s="23">
        <v>0.18</v>
      </c>
      <c r="G39" s="23">
        <v>0.18</v>
      </c>
      <c r="H39" s="23">
        <v>0.18</v>
      </c>
      <c r="I39" s="23">
        <v>0.18</v>
      </c>
      <c r="J39" s="23">
        <v>0.18</v>
      </c>
      <c r="K39" s="23">
        <v>0.18</v>
      </c>
      <c r="L39" s="23">
        <v>0.18</v>
      </c>
      <c r="M39" s="23">
        <v>0.18</v>
      </c>
    </row>
    <row r="40" spans="1:13">
      <c r="A40" s="13" t="s">
        <v>7</v>
      </c>
      <c r="D40" s="23">
        <v>0.21</v>
      </c>
      <c r="E40" s="23">
        <v>0.21249999999999999</v>
      </c>
      <c r="F40" s="23">
        <v>0.215</v>
      </c>
      <c r="G40" s="23">
        <v>0.215</v>
      </c>
      <c r="H40" s="23">
        <v>0.215</v>
      </c>
      <c r="I40" s="23">
        <v>0.215</v>
      </c>
      <c r="J40" s="23">
        <v>0.215</v>
      </c>
      <c r="K40" s="23">
        <v>0.215</v>
      </c>
      <c r="L40" s="23">
        <v>0.215</v>
      </c>
      <c r="M40" s="23">
        <v>0.215</v>
      </c>
    </row>
    <row r="41" spans="1:13">
      <c r="A41" s="14"/>
      <c r="D41" s="25"/>
    </row>
    <row r="42" spans="1:13">
      <c r="D42" s="25"/>
    </row>
    <row r="43" spans="1:13">
      <c r="A43" s="16" t="s">
        <v>14</v>
      </c>
      <c r="D43" s="23" cm="1">
        <f t="array" ref="D43">INDEX(D44:D46,$C$3)</f>
        <v>3.5000000000000003E-2</v>
      </c>
      <c r="E43" s="23" cm="1">
        <f t="array" ref="E43">INDEX(E44:E46,$C$3)</f>
        <v>3.5000000000000003E-2</v>
      </c>
      <c r="F43" s="23" cm="1">
        <f t="array" ref="F43">INDEX(F44:F46,$C$3)</f>
        <v>3.5000000000000003E-2</v>
      </c>
      <c r="G43" s="23" cm="1">
        <f t="array" ref="G43">INDEX(G44:G46,$C$3)</f>
        <v>3.5000000000000003E-2</v>
      </c>
      <c r="H43" s="23" cm="1">
        <f t="array" ref="H43">INDEX(H44:H46,$C$3)</f>
        <v>3.5000000000000003E-2</v>
      </c>
      <c r="I43" s="23" cm="1">
        <f t="array" ref="I43">INDEX(I44:I46,$C$3)</f>
        <v>3.5000000000000003E-2</v>
      </c>
      <c r="J43" s="23" cm="1">
        <f t="array" ref="J43">INDEX(J44:J46,$C$3)</f>
        <v>3.5000000000000003E-2</v>
      </c>
      <c r="K43" s="23" cm="1">
        <f t="array" ref="K43">INDEX(K44:K46,$C$3)</f>
        <v>3.5000000000000003E-2</v>
      </c>
      <c r="L43" s="23" cm="1">
        <f t="array" ref="L43">INDEX(L44:L46,$C$3)</f>
        <v>3.5000000000000003E-2</v>
      </c>
      <c r="M43" s="23" cm="1">
        <f t="array" ref="M43">INDEX(M44:M46,$C$3)</f>
        <v>3.5000000000000003E-2</v>
      </c>
    </row>
    <row r="44" spans="1:13">
      <c r="A44" s="13" t="s">
        <v>5</v>
      </c>
      <c r="D44" s="23">
        <v>3.5000000000000003E-2</v>
      </c>
      <c r="E44" s="23">
        <v>3.5000000000000003E-2</v>
      </c>
      <c r="F44" s="23">
        <v>3.5000000000000003E-2</v>
      </c>
      <c r="G44" s="23">
        <v>3.5000000000000003E-2</v>
      </c>
      <c r="H44" s="23">
        <v>3.5000000000000003E-2</v>
      </c>
      <c r="I44" s="23">
        <v>3.5000000000000003E-2</v>
      </c>
      <c r="J44" s="23">
        <v>3.5000000000000003E-2</v>
      </c>
      <c r="K44" s="23">
        <v>3.5000000000000003E-2</v>
      </c>
      <c r="L44" s="23">
        <v>3.5000000000000003E-2</v>
      </c>
      <c r="M44" s="23">
        <v>3.5000000000000003E-2</v>
      </c>
    </row>
    <row r="45" spans="1:13">
      <c r="A45" s="13" t="s">
        <v>6</v>
      </c>
      <c r="D45" s="23">
        <v>2.75E-2</v>
      </c>
      <c r="E45" s="23">
        <v>2.75E-2</v>
      </c>
      <c r="F45" s="23">
        <v>2.75E-2</v>
      </c>
      <c r="G45" s="23">
        <v>2.75E-2</v>
      </c>
      <c r="H45" s="23">
        <v>2.75E-2</v>
      </c>
      <c r="I45" s="23">
        <v>2.75E-2</v>
      </c>
      <c r="J45" s="23">
        <v>2.75E-2</v>
      </c>
      <c r="K45" s="23">
        <v>2.75E-2</v>
      </c>
      <c r="L45" s="23">
        <v>2.75E-2</v>
      </c>
      <c r="M45" s="23">
        <v>2.75E-2</v>
      </c>
    </row>
    <row r="46" spans="1:13">
      <c r="A46" s="13" t="s">
        <v>7</v>
      </c>
      <c r="D46" s="25">
        <v>4.2500000000000003E-2</v>
      </c>
      <c r="E46" s="25">
        <v>4.2500000000000003E-2</v>
      </c>
      <c r="F46" s="25">
        <v>4.2500000000000003E-2</v>
      </c>
      <c r="G46" s="25">
        <v>4.2500000000000003E-2</v>
      </c>
      <c r="H46" s="25">
        <v>4.2500000000000003E-2</v>
      </c>
      <c r="I46" s="25">
        <v>4.2500000000000003E-2</v>
      </c>
      <c r="J46" s="25">
        <v>4.2500000000000003E-2</v>
      </c>
      <c r="K46" s="25">
        <v>4.2500000000000003E-2</v>
      </c>
      <c r="L46" s="25">
        <v>4.2500000000000003E-2</v>
      </c>
      <c r="M46" s="25">
        <v>4.2500000000000003E-2</v>
      </c>
    </row>
    <row r="47" spans="1:13">
      <c r="D47" s="25"/>
    </row>
    <row r="48" spans="1:13" ht="15">
      <c r="A48" s="16" t="s">
        <v>15</v>
      </c>
      <c r="D48" s="35" cm="1">
        <f t="array" ref="D48">INDEX(D49:D51,$C$3)</f>
        <v>0</v>
      </c>
      <c r="E48" s="34">
        <v>0</v>
      </c>
      <c r="F48" s="34" cm="1">
        <f t="array" ref="F48">INDEX(F49:F51,$C$3)</f>
        <v>0</v>
      </c>
      <c r="G48" s="34" cm="1">
        <f t="array" ref="G48">INDEX(G49:G51,$C$3)</f>
        <v>0</v>
      </c>
      <c r="H48" s="34" cm="1">
        <f t="array" ref="H48">INDEX(H49:H51,$C$3)</f>
        <v>0</v>
      </c>
      <c r="I48" s="34" cm="1">
        <f t="array" ref="I48">INDEX(I49:I51,$C$3)</f>
        <v>0</v>
      </c>
      <c r="J48" s="34" cm="1">
        <f t="array" ref="J48">INDEX(J49:J51,$C$3)</f>
        <v>0</v>
      </c>
      <c r="K48" s="34" cm="1">
        <f t="array" ref="K48">INDEX(K49:K51,$C$3)</f>
        <v>0</v>
      </c>
      <c r="L48" s="34" cm="1">
        <f t="array" ref="L48">INDEX(L49:L51,$C$3)</f>
        <v>0</v>
      </c>
      <c r="M48" s="34" cm="1">
        <f t="array" ref="M48">INDEX(M49:M51,$C$3)</f>
        <v>0</v>
      </c>
    </row>
    <row r="49" spans="1:13" ht="15">
      <c r="A49" s="13" t="s">
        <v>5</v>
      </c>
      <c r="D49" s="35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15">
      <c r="A50" s="13" t="s">
        <v>6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13" t="s">
        <v>7</v>
      </c>
      <c r="D51" s="23"/>
      <c r="E51" s="15"/>
      <c r="F51" s="15"/>
      <c r="G51" s="15"/>
      <c r="H51" s="15"/>
      <c r="I51" s="15"/>
      <c r="J51" s="15"/>
      <c r="K51" s="15"/>
      <c r="L51" s="15"/>
      <c r="M51" s="15"/>
    </row>
    <row r="53" spans="1:13">
      <c r="A53" s="16" t="s">
        <v>16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ht="15">
      <c r="A54" s="13" t="s">
        <v>5</v>
      </c>
    </row>
    <row r="55" spans="1:13" ht="15">
      <c r="A55" s="13" t="s">
        <v>6</v>
      </c>
    </row>
    <row r="56" spans="1:13" ht="15">
      <c r="A56" s="13" t="s">
        <v>7</v>
      </c>
    </row>
    <row r="57" spans="1:13" ht="15"/>
    <row r="61" spans="1:13" ht="15"/>
    <row r="62" spans="1:13" ht="15"/>
    <row r="66" ht="15"/>
    <row r="67" ht="15"/>
    <row r="72" ht="15"/>
    <row r="77" ht="15"/>
    <row r="82" ht="15"/>
    <row r="83" ht="15"/>
  </sheetData>
  <mergeCells count="4">
    <mergeCell ref="A3:B3"/>
    <mergeCell ref="A2:D2"/>
    <mergeCell ref="C3:D3"/>
    <mergeCell ref="D4:M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464"/>
  <sheetViews>
    <sheetView showGridLines="0" tabSelected="1" zoomScale="90" workbookViewId="0">
      <selection activeCell="A4" sqref="A4:N4"/>
    </sheetView>
  </sheetViews>
  <sheetFormatPr defaultRowHeight="14.45"/>
  <cols>
    <col min="1" max="1" width="34.28515625" customWidth="1"/>
    <col min="2" max="2" width="12.7109375" customWidth="1"/>
    <col min="3" max="101" width="10.7109375" customWidth="1"/>
  </cols>
  <sheetData>
    <row r="1" spans="1:107" ht="15.6">
      <c r="A1" s="41" t="s">
        <v>17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>
      <c r="A2" s="42" t="s">
        <v>18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>
      <c r="A3" s="42" t="s">
        <v>19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>
      <c r="A4" s="42" t="s">
        <v>20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>
      <c r="A5" s="1"/>
      <c r="B5" s="1"/>
      <c r="N5" s="2" t="s">
        <v>21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</row>
    <row r="6" spans="1:107">
      <c r="A6" s="1"/>
      <c r="B6" s="1">
        <f>2023</f>
        <v>2023</v>
      </c>
      <c r="C6" s="1">
        <f t="shared" ref="C6:M6" si="0">+B6+1</f>
        <v>2024</v>
      </c>
      <c r="D6" s="1">
        <f t="shared" si="0"/>
        <v>2025</v>
      </c>
      <c r="E6" s="1">
        <f t="shared" si="0"/>
        <v>2026</v>
      </c>
      <c r="F6" s="1">
        <f t="shared" si="0"/>
        <v>2027</v>
      </c>
      <c r="G6" s="1">
        <f t="shared" si="0"/>
        <v>2028</v>
      </c>
      <c r="H6" s="1">
        <f t="shared" si="0"/>
        <v>2029</v>
      </c>
      <c r="I6" s="1">
        <f t="shared" si="0"/>
        <v>2030</v>
      </c>
      <c r="J6" s="1">
        <f t="shared" si="0"/>
        <v>2031</v>
      </c>
      <c r="K6" s="1">
        <f t="shared" si="0"/>
        <v>2032</v>
      </c>
      <c r="L6" s="1">
        <f t="shared" si="0"/>
        <v>2033</v>
      </c>
      <c r="M6" s="1">
        <f t="shared" si="0"/>
        <v>2034</v>
      </c>
      <c r="N6" s="2" t="s">
        <v>22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</row>
    <row r="7" spans="1:107">
      <c r="A7" s="1"/>
      <c r="B7" s="4" t="s">
        <v>23</v>
      </c>
      <c r="C7" s="4" t="s">
        <v>23</v>
      </c>
      <c r="D7" s="4" t="s">
        <v>23</v>
      </c>
      <c r="E7" s="4" t="s">
        <v>23</v>
      </c>
      <c r="F7" s="4" t="s">
        <v>23</v>
      </c>
      <c r="G7" s="4" t="s">
        <v>23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 t="s">
        <v>23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</row>
    <row r="8" spans="1:107">
      <c r="A8" s="1" t="s">
        <v>24</v>
      </c>
      <c r="B8" s="6">
        <v>85159</v>
      </c>
      <c r="C8" s="6">
        <v>88821</v>
      </c>
      <c r="D8" s="32">
        <f>SUM(D9:D10)</f>
        <v>92373.84</v>
      </c>
      <c r="E8" s="32">
        <f t="shared" ref="E8:M8" si="1">SUM(E9:E10)</f>
        <v>95950.308480000007</v>
      </c>
      <c r="F8" s="32">
        <f t="shared" si="1"/>
        <v>99665.333264640009</v>
      </c>
      <c r="G8" s="32">
        <f t="shared" si="1"/>
        <v>103524.28551359233</v>
      </c>
      <c r="H8" s="32">
        <f t="shared" si="1"/>
        <v>107147.63550656807</v>
      </c>
      <c r="I8" s="32">
        <f t="shared" si="1"/>
        <v>108497.675477254</v>
      </c>
      <c r="J8" s="32">
        <f t="shared" si="1"/>
        <v>111609.34346980249</v>
      </c>
      <c r="K8" s="32">
        <f t="shared" si="1"/>
        <v>114461.32886816913</v>
      </c>
      <c r="L8" s="32">
        <f t="shared" si="1"/>
        <v>117392.04692301707</v>
      </c>
      <c r="M8" s="32">
        <f t="shared" si="1"/>
        <v>120403.83154067394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</row>
    <row r="9" spans="1:107" s="11" customFormat="1" ht="15.75">
      <c r="A9" s="19" t="s">
        <v>4</v>
      </c>
      <c r="B9" s="19">
        <v>54759</v>
      </c>
      <c r="C9" s="19">
        <v>56964</v>
      </c>
      <c r="D9" s="33">
        <f>C9*(1+D60)</f>
        <v>59242.560000000005</v>
      </c>
      <c r="E9" s="33">
        <f t="shared" ref="E9:M9" si="2">D9*(1+E60)</f>
        <v>61493.777280000009</v>
      </c>
      <c r="F9" s="33">
        <f t="shared" si="2"/>
        <v>63830.540816640008</v>
      </c>
      <c r="G9" s="33">
        <f t="shared" si="2"/>
        <v>66256.101367672338</v>
      </c>
      <c r="H9" s="33">
        <f t="shared" si="2"/>
        <v>68575.064915540861</v>
      </c>
      <c r="I9" s="33">
        <f t="shared" si="2"/>
        <v>68575.064915540861</v>
      </c>
      <c r="J9" s="33">
        <f t="shared" si="2"/>
        <v>70289.441538429382</v>
      </c>
      <c r="K9" s="33">
        <f t="shared" si="2"/>
        <v>71695.230369197976</v>
      </c>
      <c r="L9" s="33">
        <f t="shared" si="2"/>
        <v>73129.134976581932</v>
      </c>
      <c r="M9" s="33">
        <f t="shared" si="2"/>
        <v>74591.717676113578</v>
      </c>
    </row>
    <row r="10" spans="1:107" s="11" customFormat="1" ht="15.75">
      <c r="A10" s="19" t="s">
        <v>8</v>
      </c>
      <c r="B10" s="22">
        <v>30400</v>
      </c>
      <c r="C10" s="22">
        <v>31857</v>
      </c>
      <c r="D10" s="33">
        <f>C10*(1+D61)</f>
        <v>33131.279999999999</v>
      </c>
      <c r="E10" s="33">
        <f t="shared" ref="E10:M10" si="3">D10*(1+E61)</f>
        <v>34456.531199999998</v>
      </c>
      <c r="F10" s="33">
        <f t="shared" si="3"/>
        <v>35834.792448</v>
      </c>
      <c r="G10" s="33">
        <f t="shared" si="3"/>
        <v>37268.18414592</v>
      </c>
      <c r="H10" s="33">
        <f t="shared" si="3"/>
        <v>38572.570591027201</v>
      </c>
      <c r="I10" s="33">
        <f t="shared" si="3"/>
        <v>39922.610561713147</v>
      </c>
      <c r="J10" s="33">
        <f t="shared" si="3"/>
        <v>41319.901931373104</v>
      </c>
      <c r="K10" s="33">
        <f t="shared" si="3"/>
        <v>42766.098498971158</v>
      </c>
      <c r="L10" s="33">
        <f t="shared" si="3"/>
        <v>44262.911946435146</v>
      </c>
      <c r="M10" s="33">
        <f t="shared" si="3"/>
        <v>45812.113864560371</v>
      </c>
    </row>
    <row r="11" spans="1:107">
      <c r="A11" s="1" t="s">
        <v>25</v>
      </c>
      <c r="B11" s="6">
        <v>26553</v>
      </c>
      <c r="C11" s="6">
        <v>27471</v>
      </c>
      <c r="D11" s="6">
        <f>D8*D62</f>
        <v>28358.76888</v>
      </c>
      <c r="E11" s="6">
        <f>E8*E62</f>
        <v>29456.74470336</v>
      </c>
      <c r="F11" s="6">
        <f>F8*F62</f>
        <v>30597.257312244481</v>
      </c>
      <c r="G11" s="6">
        <f>G8*G62</f>
        <v>31781.955652672845</v>
      </c>
      <c r="H11" s="6">
        <f>H8*H62</f>
        <v>32787.176465009827</v>
      </c>
      <c r="I11" s="6">
        <f>I8*I62</f>
        <v>33200.288696039723</v>
      </c>
      <c r="J11" s="6">
        <f>J8*J62</f>
        <v>34040.849758289762</v>
      </c>
      <c r="K11" s="6">
        <f>K8*K62</f>
        <v>34910.705304791583</v>
      </c>
      <c r="L11" s="6">
        <f>L8*L62</f>
        <v>35804.574311520206</v>
      </c>
      <c r="M11" s="6">
        <f>M8*M62</f>
        <v>36723.168619905555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</row>
    <row r="12" spans="1:107">
      <c r="A12" s="1"/>
      <c r="B12" s="4" t="s">
        <v>23</v>
      </c>
      <c r="C12" s="4" t="s">
        <v>23</v>
      </c>
      <c r="D12" s="4" t="s">
        <v>23</v>
      </c>
      <c r="E12" s="4" t="s">
        <v>23</v>
      </c>
      <c r="F12" s="4" t="s">
        <v>23</v>
      </c>
      <c r="G12" s="4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 t="s">
        <v>23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</row>
    <row r="13" spans="1:107">
      <c r="A13" s="1" t="s">
        <v>9</v>
      </c>
      <c r="B13" s="6">
        <f>+B8-B11</f>
        <v>58606</v>
      </c>
      <c r="C13" s="6">
        <f>+C8-C11</f>
        <v>61350</v>
      </c>
      <c r="D13" s="6">
        <f>D8-D11</f>
        <v>64015.071119999993</v>
      </c>
      <c r="E13" s="6">
        <f>E8-E11</f>
        <v>66493.563776640003</v>
      </c>
      <c r="F13" s="6">
        <f>F8-F11</f>
        <v>69068.075952395535</v>
      </c>
      <c r="G13" s="6">
        <f>G8-G11</f>
        <v>71742.32986091949</v>
      </c>
      <c r="H13" s="6">
        <f>H8-H11</f>
        <v>74360.459041558235</v>
      </c>
      <c r="I13" s="6">
        <f>I8-I11</f>
        <v>75297.386781214271</v>
      </c>
      <c r="J13" s="6">
        <f>J8-J11</f>
        <v>77568.49371151274</v>
      </c>
      <c r="K13" s="6">
        <f>K8-K11</f>
        <v>79550.62356337755</v>
      </c>
      <c r="L13" s="6">
        <f>L8-L11</f>
        <v>81587.472611496865</v>
      </c>
      <c r="M13" s="6">
        <f>M8-M11</f>
        <v>83680.662920768387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</row>
    <row r="14" spans="1:107">
      <c r="A14" s="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</row>
    <row r="15" spans="1:107">
      <c r="A15" s="1" t="s">
        <v>26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</row>
    <row r="16" spans="1:107">
      <c r="A16" s="1" t="s">
        <v>12</v>
      </c>
      <c r="B16" s="6">
        <v>21512</v>
      </c>
      <c r="C16" s="6">
        <v>22869</v>
      </c>
      <c r="D16" s="6">
        <f>D8*D67</f>
        <v>23555.3292</v>
      </c>
      <c r="E16" s="6">
        <f>E8*E67</f>
        <v>24467.328662400003</v>
      </c>
      <c r="F16" s="6">
        <f>F8*F67</f>
        <v>25414.659982483201</v>
      </c>
      <c r="G16" s="6">
        <f>G8*G67</f>
        <v>25881.071378398083</v>
      </c>
      <c r="H16" s="6">
        <f>H8*H67</f>
        <v>26786.908876642017</v>
      </c>
      <c r="I16" s="6">
        <f>I8*I67</f>
        <v>26581.930491927229</v>
      </c>
      <c r="J16" s="6">
        <f>J8*J67</f>
        <v>27344.289150101609</v>
      </c>
      <c r="K16" s="6">
        <f>K8*K67</f>
        <v>27470.718928360591</v>
      </c>
      <c r="L16" s="6">
        <f>L8*L67</f>
        <v>28174.091261524096</v>
      </c>
      <c r="M16" s="6">
        <f>M8*M67</f>
        <v>28896.919569761743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</row>
    <row r="17" spans="1:107">
      <c r="A17" s="1" t="s">
        <v>13</v>
      </c>
      <c r="B17" s="6">
        <v>15085</v>
      </c>
      <c r="C17" s="6">
        <v>17232</v>
      </c>
      <c r="D17" s="6">
        <f>D8*D68</f>
        <v>18474.768</v>
      </c>
      <c r="E17" s="6">
        <f>E8*E68</f>
        <v>19190.061696000001</v>
      </c>
      <c r="F17" s="6">
        <f>F8*F68</f>
        <v>19933.066652928002</v>
      </c>
      <c r="G17" s="6">
        <f>G8*G68</f>
        <v>20704.857102718466</v>
      </c>
      <c r="H17" s="6">
        <f>H8*H68</f>
        <v>21429.527101313615</v>
      </c>
      <c r="I17" s="6">
        <f>I8*I68</f>
        <v>21699.535095450803</v>
      </c>
      <c r="J17" s="6">
        <f>J8*J68</f>
        <v>22321.8686939605</v>
      </c>
      <c r="K17" s="6">
        <f>K8*K68</f>
        <v>20603.039196270442</v>
      </c>
      <c r="L17" s="6">
        <f>L8*L68</f>
        <v>21130.568446143072</v>
      </c>
      <c r="M17" s="6">
        <f>M8*M68</f>
        <v>21672.689677321308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</row>
    <row r="18" spans="1:107">
      <c r="A18" s="1" t="s">
        <v>27</v>
      </c>
      <c r="B18" s="6">
        <v>200</v>
      </c>
      <c r="C18" s="6">
        <v>200</v>
      </c>
      <c r="D18" s="6">
        <v>200</v>
      </c>
      <c r="E18" s="6">
        <v>200</v>
      </c>
      <c r="F18" s="6">
        <v>200</v>
      </c>
      <c r="G18" s="6">
        <v>200</v>
      </c>
      <c r="H18" s="6">
        <v>200</v>
      </c>
      <c r="I18" s="6">
        <v>200</v>
      </c>
      <c r="J18" s="6">
        <v>200</v>
      </c>
      <c r="K18" s="6">
        <v>200</v>
      </c>
      <c r="L18" s="6">
        <v>200</v>
      </c>
      <c r="M18" s="6">
        <v>200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1:107">
      <c r="A19" s="1"/>
      <c r="B19" s="4" t="s">
        <v>23</v>
      </c>
      <c r="C19" s="4" t="s">
        <v>23</v>
      </c>
      <c r="D19" s="4" t="s">
        <v>23</v>
      </c>
      <c r="E19" s="4" t="s">
        <v>23</v>
      </c>
      <c r="F19" s="4" t="s">
        <v>23</v>
      </c>
      <c r="G19" s="4" t="s">
        <v>23</v>
      </c>
      <c r="H19" s="4" t="s">
        <v>23</v>
      </c>
      <c r="I19" s="4" t="s">
        <v>23</v>
      </c>
      <c r="J19" s="4" t="s">
        <v>23</v>
      </c>
      <c r="K19" s="4" t="s">
        <v>23</v>
      </c>
      <c r="L19" s="4" t="s">
        <v>23</v>
      </c>
      <c r="M19" s="4" t="s">
        <v>23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1:107">
      <c r="A20" s="1" t="s">
        <v>28</v>
      </c>
      <c r="B20" s="6">
        <f t="shared" ref="B20:C20" si="4">SUM(B16:B19)</f>
        <v>36797</v>
      </c>
      <c r="C20" s="6">
        <f t="shared" si="4"/>
        <v>40301</v>
      </c>
      <c r="D20" s="6">
        <f>SUM(D16:D18)</f>
        <v>42230.097200000004</v>
      </c>
      <c r="E20" s="6">
        <f t="shared" ref="E20:M20" si="5">SUM(E16:E18)</f>
        <v>43857.390358400007</v>
      </c>
      <c r="F20" s="6">
        <f t="shared" si="5"/>
        <v>45547.726635411207</v>
      </c>
      <c r="G20" s="6">
        <f t="shared" si="5"/>
        <v>46785.928481116549</v>
      </c>
      <c r="H20" s="6">
        <f t="shared" si="5"/>
        <v>48416.435977955633</v>
      </c>
      <c r="I20" s="6">
        <f t="shared" si="5"/>
        <v>48481.465587378028</v>
      </c>
      <c r="J20" s="6">
        <f t="shared" si="5"/>
        <v>49866.157844062109</v>
      </c>
      <c r="K20" s="6">
        <f t="shared" si="5"/>
        <v>48273.758124631029</v>
      </c>
      <c r="L20" s="6">
        <f t="shared" si="5"/>
        <v>49504.659707667168</v>
      </c>
      <c r="M20" s="6">
        <f t="shared" si="5"/>
        <v>50769.609247083048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</row>
    <row r="21" spans="1:107">
      <c r="A21" s="1"/>
      <c r="B21" s="4" t="s">
        <v>23</v>
      </c>
      <c r="C21" s="4" t="s">
        <v>23</v>
      </c>
      <c r="D21" s="4" t="s">
        <v>23</v>
      </c>
      <c r="E21" s="4" t="s">
        <v>23</v>
      </c>
      <c r="F21" s="4" t="s">
        <v>23</v>
      </c>
      <c r="G21" s="4" t="s">
        <v>23</v>
      </c>
      <c r="H21" s="4" t="s">
        <v>23</v>
      </c>
      <c r="I21" s="4" t="s">
        <v>23</v>
      </c>
      <c r="J21" s="4" t="s">
        <v>23</v>
      </c>
      <c r="K21" s="4" t="s">
        <v>23</v>
      </c>
      <c r="L21" s="4" t="s">
        <v>23</v>
      </c>
      <c r="M21" s="4" t="s">
        <v>23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</row>
    <row r="22" spans="1:107">
      <c r="A22" s="1" t="s">
        <v>29</v>
      </c>
      <c r="B22" s="6">
        <f t="shared" ref="B22:C22" si="6">+B13-B20</f>
        <v>21809</v>
      </c>
      <c r="C22" s="6">
        <f t="shared" si="6"/>
        <v>21049</v>
      </c>
      <c r="D22" s="6">
        <f>D13-D20</f>
        <v>21784.973919999989</v>
      </c>
      <c r="E22" s="6">
        <f t="shared" ref="E22:M22" si="7">E13-E20</f>
        <v>22636.173418239996</v>
      </c>
      <c r="F22" s="6">
        <f t="shared" si="7"/>
        <v>23520.349316984328</v>
      </c>
      <c r="G22" s="6">
        <f t="shared" si="7"/>
        <v>24956.401379802941</v>
      </c>
      <c r="H22" s="6">
        <f t="shared" si="7"/>
        <v>25944.023063602603</v>
      </c>
      <c r="I22" s="6">
        <f t="shared" si="7"/>
        <v>26815.921193836242</v>
      </c>
      <c r="J22" s="6">
        <f t="shared" si="7"/>
        <v>27702.335867450631</v>
      </c>
      <c r="K22" s="6">
        <f t="shared" si="7"/>
        <v>31276.865438746521</v>
      </c>
      <c r="L22" s="6">
        <f t="shared" si="7"/>
        <v>32082.812903829697</v>
      </c>
      <c r="M22" s="6">
        <f t="shared" si="7"/>
        <v>32911.053673685339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</row>
    <row r="23" spans="1:107">
      <c r="A23" s="1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</row>
    <row r="24" spans="1:107">
      <c r="A24" s="1" t="s">
        <v>30</v>
      </c>
      <c r="B24" s="6">
        <f>+B8*B75</f>
        <v>0</v>
      </c>
      <c r="C24" s="6">
        <f>+C8*C75</f>
        <v>0</v>
      </c>
      <c r="D24" s="6">
        <f>D75*D8</f>
        <v>0</v>
      </c>
      <c r="E24" s="6">
        <f>E75*E8</f>
        <v>0</v>
      </c>
      <c r="F24" s="6">
        <f>F75*F8</f>
        <v>0</v>
      </c>
      <c r="G24" s="6">
        <f>G75*G8</f>
        <v>0</v>
      </c>
      <c r="H24" s="6">
        <f>H75*H8</f>
        <v>0</v>
      </c>
      <c r="I24" s="6">
        <f>I75*I8</f>
        <v>0</v>
      </c>
      <c r="J24" s="6">
        <f>J75*J8</f>
        <v>0</v>
      </c>
      <c r="K24" s="6">
        <f>K75*K8</f>
        <v>0</v>
      </c>
      <c r="L24" s="6">
        <f>L75*L8</f>
        <v>0</v>
      </c>
      <c r="M24" s="6">
        <f>M75*M8</f>
        <v>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</row>
    <row r="25" spans="1:107">
      <c r="A25" s="1"/>
      <c r="B25" s="4" t="s">
        <v>23</v>
      </c>
      <c r="C25" s="4" t="s">
        <v>23</v>
      </c>
      <c r="D25" s="4" t="s">
        <v>23</v>
      </c>
      <c r="E25" s="4" t="s">
        <v>23</v>
      </c>
      <c r="F25" s="4" t="s">
        <v>23</v>
      </c>
      <c r="G25" s="4" t="s">
        <v>23</v>
      </c>
      <c r="H25" s="4" t="s">
        <v>23</v>
      </c>
      <c r="I25" s="4" t="s">
        <v>23</v>
      </c>
      <c r="J25" s="4" t="s">
        <v>23</v>
      </c>
      <c r="K25" s="4" t="s">
        <v>23</v>
      </c>
      <c r="L25" s="4" t="s">
        <v>23</v>
      </c>
      <c r="M25" s="4" t="s">
        <v>23</v>
      </c>
      <c r="N25" s="6"/>
      <c r="O25" s="6"/>
      <c r="P25" s="5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</row>
    <row r="26" spans="1:107">
      <c r="A26" s="1" t="s">
        <v>31</v>
      </c>
      <c r="B26" s="6">
        <f t="shared" ref="B26:C26" si="8">+B22+SUM(B24:B25)</f>
        <v>21809</v>
      </c>
      <c r="C26" s="6">
        <f t="shared" si="8"/>
        <v>21049</v>
      </c>
      <c r="D26" s="6">
        <f>SUM(D22:D24)</f>
        <v>21784.973919999989</v>
      </c>
      <c r="E26" s="6">
        <f t="shared" ref="E26:M26" si="9">SUM(E22:E24)</f>
        <v>22636.173418239996</v>
      </c>
      <c r="F26" s="6">
        <f t="shared" si="9"/>
        <v>23520.349316984328</v>
      </c>
      <c r="G26" s="6">
        <f t="shared" si="9"/>
        <v>24956.401379802941</v>
      </c>
      <c r="H26" s="6">
        <f t="shared" si="9"/>
        <v>25944.023063602603</v>
      </c>
      <c r="I26" s="6">
        <f t="shared" si="9"/>
        <v>26815.921193836242</v>
      </c>
      <c r="J26" s="6">
        <f t="shared" si="9"/>
        <v>27702.335867450631</v>
      </c>
      <c r="K26" s="6">
        <f t="shared" si="9"/>
        <v>31276.865438746521</v>
      </c>
      <c r="L26" s="6">
        <f t="shared" si="9"/>
        <v>32082.812903829697</v>
      </c>
      <c r="M26" s="6">
        <f t="shared" si="9"/>
        <v>32911.053673685339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7">
      <c r="A27" s="1" t="s">
        <v>32</v>
      </c>
      <c r="B27" s="6">
        <f>+B26*B78</f>
        <v>3009.6420000000003</v>
      </c>
      <c r="C27" s="6">
        <f>+C26*C78</f>
        <v>3304.6930000000002</v>
      </c>
      <c r="D27" s="6">
        <f>D26*D78</f>
        <v>3594.5206967999984</v>
      </c>
      <c r="E27" s="6">
        <f>E26*E78</f>
        <v>3734.9686140095996</v>
      </c>
      <c r="F27" s="6">
        <f>F26*F78</f>
        <v>3880.8576373024143</v>
      </c>
      <c r="G27" s="6">
        <f>G26*G78</f>
        <v>4117.8062276674855</v>
      </c>
      <c r="H27" s="6">
        <f>H26*H78</f>
        <v>4280.76380549443</v>
      </c>
      <c r="I27" s="6">
        <f>I26*I78</f>
        <v>4424.62699698298</v>
      </c>
      <c r="J27" s="6">
        <f>J26*J78</f>
        <v>4570.8854181293545</v>
      </c>
      <c r="K27" s="6">
        <f>K26*K78</f>
        <v>5160.6827973931759</v>
      </c>
      <c r="L27" s="6">
        <f>L26*L78</f>
        <v>5293.6641291319002</v>
      </c>
      <c r="M27" s="6">
        <f>M26*M78</f>
        <v>5430.3238561580811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</row>
    <row r="28" spans="1:107">
      <c r="A28" s="1"/>
      <c r="B28" s="4" t="s">
        <v>23</v>
      </c>
      <c r="C28" s="4" t="s">
        <v>23</v>
      </c>
      <c r="D28" s="4" t="s">
        <v>23</v>
      </c>
      <c r="E28" s="4" t="s">
        <v>23</v>
      </c>
      <c r="F28" s="4" t="s">
        <v>23</v>
      </c>
      <c r="G28" s="4" t="s">
        <v>23</v>
      </c>
      <c r="H28" s="4" t="s">
        <v>23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</row>
    <row r="29" spans="1:107">
      <c r="A29" s="1" t="s">
        <v>33</v>
      </c>
      <c r="B29" s="6">
        <f t="shared" ref="B29:C29" si="10">+B26-B27</f>
        <v>18799.358</v>
      </c>
      <c r="C29" s="6">
        <f t="shared" si="10"/>
        <v>17744.307000000001</v>
      </c>
      <c r="D29" s="6">
        <f>D26-D27</f>
        <v>18190.453223199991</v>
      </c>
      <c r="E29" s="6">
        <f t="shared" ref="E29:M29" si="11">E26-E27</f>
        <v>18901.204804230398</v>
      </c>
      <c r="F29" s="6">
        <f t="shared" si="11"/>
        <v>19639.491679681913</v>
      </c>
      <c r="G29" s="6">
        <f t="shared" si="11"/>
        <v>20838.595152135455</v>
      </c>
      <c r="H29" s="6">
        <f t="shared" si="11"/>
        <v>21663.259258108174</v>
      </c>
      <c r="I29" s="6">
        <f t="shared" si="11"/>
        <v>22391.294196853261</v>
      </c>
      <c r="J29" s="6">
        <f t="shared" si="11"/>
        <v>23131.450449321277</v>
      </c>
      <c r="K29" s="6">
        <f t="shared" si="11"/>
        <v>26116.182641353345</v>
      </c>
      <c r="L29" s="6">
        <f t="shared" si="11"/>
        <v>26789.148774697798</v>
      </c>
      <c r="M29" s="6">
        <f t="shared" si="11"/>
        <v>27480.729817527259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</row>
    <row r="30" spans="1:107">
      <c r="A30" s="1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>
      <c r="A31" s="3" t="s">
        <v>34</v>
      </c>
      <c r="B31" s="6">
        <f>B121</f>
        <v>7286</v>
      </c>
      <c r="C31" s="6">
        <f t="shared" ref="C31:M31" si="12">C121</f>
        <v>7139</v>
      </c>
      <c r="D31" s="6">
        <f t="shared" si="12"/>
        <v>5722.9752771241829</v>
      </c>
      <c r="E31" s="6">
        <f t="shared" si="12"/>
        <v>5175.4407462274512</v>
      </c>
      <c r="F31" s="6">
        <f t="shared" si="12"/>
        <v>4635.1298746341854</v>
      </c>
      <c r="G31" s="6">
        <f t="shared" si="12"/>
        <v>4102.3225213027727</v>
      </c>
      <c r="H31" s="6">
        <f t="shared" si="12"/>
        <v>4176.560570735478</v>
      </c>
      <c r="I31" s="6">
        <f t="shared" si="12"/>
        <v>4253.4236978889621</v>
      </c>
      <c r="J31" s="6">
        <f t="shared" si="12"/>
        <v>4336.3372905835131</v>
      </c>
      <c r="K31" s="6">
        <f t="shared" si="12"/>
        <v>4424.7964104415541</v>
      </c>
      <c r="L31" s="6">
        <f t="shared" si="12"/>
        <v>4518.9541487395782</v>
      </c>
      <c r="M31" s="6">
        <f t="shared" si="12"/>
        <v>4618.9681349052671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>
      <c r="A32" s="3" t="s">
        <v>35</v>
      </c>
      <c r="B32" s="6">
        <v>-4543</v>
      </c>
      <c r="C32" s="6">
        <v>-4424</v>
      </c>
      <c r="D32" s="6">
        <f>-D8*D84</f>
        <v>-3233.0844000000002</v>
      </c>
      <c r="E32" s="6">
        <f t="shared" ref="E32:M32" si="13">-E8*E84</f>
        <v>-3358.2607968000007</v>
      </c>
      <c r="F32" s="6">
        <f t="shared" si="13"/>
        <v>-3488.2866642624008</v>
      </c>
      <c r="G32" s="6">
        <f t="shared" si="13"/>
        <v>-3623.3499929757318</v>
      </c>
      <c r="H32" s="6">
        <f t="shared" si="13"/>
        <v>-3750.1672427298827</v>
      </c>
      <c r="I32" s="6">
        <f t="shared" si="13"/>
        <v>-3797.4186417038904</v>
      </c>
      <c r="J32" s="6">
        <f t="shared" si="13"/>
        <v>-3906.3270214430877</v>
      </c>
      <c r="K32" s="6">
        <f t="shared" si="13"/>
        <v>-4006.14651038592</v>
      </c>
      <c r="L32" s="6">
        <f t="shared" si="13"/>
        <v>-4108.7216423055979</v>
      </c>
      <c r="M32" s="6">
        <f t="shared" si="13"/>
        <v>-4214.1341039235886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>
      <c r="A33" s="3" t="s">
        <v>36</v>
      </c>
      <c r="B33" s="6">
        <v>-6000</v>
      </c>
      <c r="C33" s="6">
        <v>-3300</v>
      </c>
      <c r="D33" s="6">
        <f>(C8-D8)*$B$86</f>
        <v>-532.92599999999948</v>
      </c>
      <c r="E33" s="6">
        <f>(D8-E8)*$B$86</f>
        <v>-536.4702720000015</v>
      </c>
      <c r="F33" s="6">
        <f>(E8-F8)*$B$86</f>
        <v>-557.25371769600019</v>
      </c>
      <c r="G33" s="6">
        <f>(F8-G8)*$B$86</f>
        <v>-578.84283734284838</v>
      </c>
      <c r="H33" s="6">
        <f>(G8-H8)*$B$86</f>
        <v>-543.50249894636067</v>
      </c>
      <c r="I33" s="6">
        <f>(H8-I8)*$B$86</f>
        <v>-202.50599560288973</v>
      </c>
      <c r="J33" s="6">
        <f>(I8-J8)*$B$86</f>
        <v>-466.75019888227393</v>
      </c>
      <c r="K33" s="6">
        <f>(J8-K8)*$B$86</f>
        <v>-427.79780975499597</v>
      </c>
      <c r="L33" s="6">
        <f>(K8-L8)*$B$86</f>
        <v>-439.60770822719059</v>
      </c>
      <c r="M33" s="6">
        <f>(L8-M8)*$B$86</f>
        <v>-451.76769264853061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>
      <c r="A34" s="1"/>
      <c r="B34" s="4" t="s">
        <v>23</v>
      </c>
      <c r="C34" s="4" t="s">
        <v>23</v>
      </c>
      <c r="D34" s="4" t="s">
        <v>23</v>
      </c>
      <c r="E34" s="4" t="s">
        <v>23</v>
      </c>
      <c r="F34" s="4" t="s">
        <v>23</v>
      </c>
      <c r="G34" s="4" t="s">
        <v>23</v>
      </c>
      <c r="H34" s="4" t="s">
        <v>23</v>
      </c>
      <c r="I34" s="4" t="s">
        <v>23</v>
      </c>
      <c r="J34" s="4" t="s">
        <v>23</v>
      </c>
      <c r="K34" s="4" t="s">
        <v>23</v>
      </c>
      <c r="L34" s="4" t="s">
        <v>23</v>
      </c>
      <c r="M34" s="4" t="s">
        <v>23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  <row r="35" spans="1:107">
      <c r="A35" s="1" t="s">
        <v>37</v>
      </c>
      <c r="B35" s="6">
        <f>+B29+SUM(B31:B34)</f>
        <v>15542.358</v>
      </c>
      <c r="C35" s="6">
        <f>+C29+SUM(C31:C34)</f>
        <v>17159.307000000001</v>
      </c>
      <c r="D35" s="6">
        <f>(D29+SUM(D31:D33))*0.75</f>
        <v>15110.563575243132</v>
      </c>
      <c r="E35" s="6">
        <f t="shared" ref="E35:M35" si="14">E29+SUM(E31:E33)</f>
        <v>20181.914481657848</v>
      </c>
      <c r="F35" s="6">
        <f t="shared" si="14"/>
        <v>20229.081172357695</v>
      </c>
      <c r="G35" s="6">
        <f t="shared" si="14"/>
        <v>20738.724843119646</v>
      </c>
      <c r="H35" s="6">
        <f t="shared" si="14"/>
        <v>21546.150087167407</v>
      </c>
      <c r="I35" s="6">
        <f t="shared" si="14"/>
        <v>22644.793257435442</v>
      </c>
      <c r="J35" s="6">
        <f t="shared" si="14"/>
        <v>23094.710519579428</v>
      </c>
      <c r="K35" s="6">
        <f t="shared" si="14"/>
        <v>26107.034731653985</v>
      </c>
      <c r="L35" s="6">
        <f t="shared" si="14"/>
        <v>26759.773572904589</v>
      </c>
      <c r="M35" s="6">
        <f t="shared" si="14"/>
        <v>27433.796155860407</v>
      </c>
      <c r="N35" s="6">
        <f>M29*(1-0.01/0.1337)/(B96-0.01)</f>
        <v>487621.71087822714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</row>
    <row r="36" spans="1:107">
      <c r="A36" s="1" t="s">
        <v>38</v>
      </c>
      <c r="B36" s="9"/>
      <c r="C36" s="9"/>
      <c r="D36" s="9">
        <f>1/(1+$B$96)^(D97/12)</f>
        <v>0.99249242951810779</v>
      </c>
      <c r="E36" s="9">
        <f t="shared" ref="E36:N36" si="15">1/(1+$B$96)^(E97/12)</f>
        <v>0.95579161576051175</v>
      </c>
      <c r="F36" s="9">
        <f t="shared" si="15"/>
        <v>0.89987220700868165</v>
      </c>
      <c r="G36" s="9">
        <f t="shared" si="15"/>
        <v>0.84722441125658088</v>
      </c>
      <c r="H36" s="9">
        <f t="shared" si="15"/>
        <v>0.79765681997792259</v>
      </c>
      <c r="I36" s="9">
        <f t="shared" si="15"/>
        <v>0.75098922316652028</v>
      </c>
      <c r="J36" s="9">
        <f t="shared" si="15"/>
        <v>0.70705195415725708</v>
      </c>
      <c r="K36" s="9">
        <f t="shared" si="15"/>
        <v>0.66568527277886891</v>
      </c>
      <c r="L36" s="9">
        <f t="shared" si="15"/>
        <v>0.6267387845959026</v>
      </c>
      <c r="M36" s="9">
        <f t="shared" si="15"/>
        <v>0.59007089412842129</v>
      </c>
      <c r="N36" s="9">
        <f t="shared" si="15"/>
        <v>0.57254945310264738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</row>
    <row r="37" spans="1:107">
      <c r="A37" s="1"/>
      <c r="B37" s="4"/>
      <c r="C37" s="4"/>
      <c r="D37" s="4" t="s">
        <v>23</v>
      </c>
      <c r="E37" s="4" t="s">
        <v>23</v>
      </c>
      <c r="F37" s="4" t="s">
        <v>23</v>
      </c>
      <c r="G37" s="4" t="s">
        <v>23</v>
      </c>
      <c r="H37" s="4" t="s">
        <v>23</v>
      </c>
      <c r="I37" s="4" t="s">
        <v>23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</row>
    <row r="38" spans="1:107">
      <c r="A38" s="1" t="s">
        <v>39</v>
      </c>
      <c r="B38" s="6"/>
      <c r="C38" s="6"/>
      <c r="D38" s="6">
        <f>D35*D36</f>
        <v>14997.11995418088</v>
      </c>
      <c r="E38" s="6">
        <f>E35*E36</f>
        <v>19289.704651564225</v>
      </c>
      <c r="F38" s="6">
        <f t="shared" ref="F38:J38" si="16">+F35*F36</f>
        <v>18203.587920327289</v>
      </c>
      <c r="G38" s="6">
        <f t="shared" si="16"/>
        <v>17570.353945424271</v>
      </c>
      <c r="H38" s="6">
        <f t="shared" si="16"/>
        <v>17186.433561296995</v>
      </c>
      <c r="I38" s="6">
        <f t="shared" si="16"/>
        <v>17005.995697167898</v>
      </c>
      <c r="J38" s="6">
        <f t="shared" si="16"/>
        <v>16329.160203564797</v>
      </c>
      <c r="K38" s="6">
        <f t="shared" ref="K38:L38" si="17">+K35*K36</f>
        <v>17379.068536788487</v>
      </c>
      <c r="L38" s="6">
        <f t="shared" si="17"/>
        <v>16771.387965143775</v>
      </c>
      <c r="M38" s="6">
        <f t="shared" ref="M38" si="18">+M35*M36</f>
        <v>16187.884627025398</v>
      </c>
      <c r="N38" s="6">
        <f>+N35*N36</f>
        <v>279187.54388430621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</row>
    <row r="39" spans="1:107">
      <c r="A39" s="1"/>
      <c r="D39" s="4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</row>
    <row r="40" spans="1:107">
      <c r="A40" s="1" t="s">
        <v>40</v>
      </c>
      <c r="D40" s="6">
        <f>SUM(D38:N38)</f>
        <v>450108.2409467902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</row>
    <row r="41" spans="1:107">
      <c r="A41" s="1" t="s">
        <v>41</v>
      </c>
      <c r="D41" s="6">
        <v>-37834</v>
      </c>
      <c r="E41" s="6"/>
      <c r="F41" s="6"/>
      <c r="G41" s="6"/>
      <c r="H41" s="31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</row>
    <row r="42" spans="1:107">
      <c r="A42" s="1" t="s">
        <v>42</v>
      </c>
      <c r="D42" s="6">
        <v>24522</v>
      </c>
      <c r="E42" s="6"/>
      <c r="F42" s="6"/>
      <c r="G42" s="6"/>
      <c r="H42" s="6"/>
      <c r="I42" s="6"/>
      <c r="J42" s="6"/>
      <c r="K42" s="6"/>
      <c r="L42" s="6"/>
      <c r="M42" s="6"/>
      <c r="N42" s="38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spans="1:107">
      <c r="A43" s="1"/>
      <c r="D43" s="4" t="s">
        <v>23</v>
      </c>
      <c r="E43" s="6"/>
      <c r="F43" s="37"/>
      <c r="G43" s="37"/>
      <c r="H43" s="37"/>
      <c r="I43" s="37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</row>
    <row r="44" spans="1:107">
      <c r="A44" s="1" t="s">
        <v>43</v>
      </c>
      <c r="D44" s="6">
        <f>SUM(D40:D42)</f>
        <v>436796.2409467902</v>
      </c>
      <c r="E44" s="6"/>
      <c r="F44" s="37"/>
      <c r="G44" s="37"/>
      <c r="H44" s="37"/>
      <c r="I44" s="37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</row>
    <row r="45" spans="1:107">
      <c r="A45" s="1" t="s">
        <v>44</v>
      </c>
      <c r="D45" s="6">
        <v>2409.8000000000002</v>
      </c>
      <c r="E45" s="6"/>
      <c r="F45" s="37"/>
      <c r="G45" s="37"/>
      <c r="H45" s="37"/>
      <c r="I45" s="37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</row>
    <row r="46" spans="1:107">
      <c r="A46" s="1"/>
      <c r="D46" s="4" t="s">
        <v>23</v>
      </c>
      <c r="E46" s="6"/>
      <c r="F46" s="37"/>
      <c r="G46" s="37"/>
      <c r="H46" s="37"/>
      <c r="I46" s="37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</row>
    <row r="47" spans="1:107">
      <c r="A47" s="1" t="s">
        <v>45</v>
      </c>
      <c r="D47" s="10">
        <f>D44/D45</f>
        <v>181.25829568710688</v>
      </c>
      <c r="E47" s="6"/>
      <c r="F47" s="36"/>
      <c r="G47" s="36"/>
      <c r="H47" s="3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>
      <c r="A48" s="1"/>
      <c r="D48" s="8" t="s">
        <v>46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>
      <c r="A49" s="1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>
      <c r="A50" s="1" t="s">
        <v>47</v>
      </c>
      <c r="D50" s="10">
        <v>155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>
      <c r="A51" s="1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15.6">
      <c r="A52" s="41" t="s">
        <v>17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>
      <c r="A53" s="42" t="s">
        <v>18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>
      <c r="A54" s="42" t="s">
        <v>19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>
      <c r="A55" s="42" t="s">
        <v>48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>
      <c r="A57" s="1"/>
      <c r="B57" s="1">
        <f>2023</f>
        <v>2023</v>
      </c>
      <c r="C57" s="1">
        <f t="shared" ref="C57:M57" si="19">+B57+1</f>
        <v>2024</v>
      </c>
      <c r="D57" s="1">
        <f t="shared" si="19"/>
        <v>2025</v>
      </c>
      <c r="E57" s="1">
        <f t="shared" si="19"/>
        <v>2026</v>
      </c>
      <c r="F57" s="1">
        <f t="shared" si="19"/>
        <v>2027</v>
      </c>
      <c r="G57" s="1">
        <f t="shared" si="19"/>
        <v>2028</v>
      </c>
      <c r="H57" s="1">
        <f t="shared" si="19"/>
        <v>2029</v>
      </c>
      <c r="I57" s="1">
        <f t="shared" si="19"/>
        <v>2030</v>
      </c>
      <c r="J57" s="1">
        <f t="shared" si="19"/>
        <v>2031</v>
      </c>
      <c r="K57" s="1">
        <f t="shared" si="19"/>
        <v>2032</v>
      </c>
      <c r="L57" s="1">
        <f t="shared" si="19"/>
        <v>2033</v>
      </c>
      <c r="M57" s="1">
        <f t="shared" si="19"/>
        <v>2034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>
      <c r="A58" s="1"/>
      <c r="B58" s="4" t="s">
        <v>23</v>
      </c>
      <c r="C58" s="4" t="s">
        <v>23</v>
      </c>
      <c r="D58" s="4" t="s">
        <v>23</v>
      </c>
      <c r="E58" s="4" t="s">
        <v>23</v>
      </c>
      <c r="F58" s="4" t="s">
        <v>23</v>
      </c>
      <c r="G58" s="4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>
      <c r="A59" s="1" t="s">
        <v>49</v>
      </c>
      <c r="B59" s="20">
        <v>6.4600000000000005E-2</v>
      </c>
      <c r="C59" s="20">
        <f>+C8/B8-1</f>
        <v>4.3001914066628233E-2</v>
      </c>
      <c r="D59" s="20">
        <f>(D8/C8)-1</f>
        <v>4.0000000000000036E-2</v>
      </c>
      <c r="E59" s="20">
        <f t="shared" ref="E59:M59" si="20">(E8/D8)-1</f>
        <v>3.8717330361063285E-2</v>
      </c>
      <c r="F59" s="20">
        <f t="shared" si="20"/>
        <v>3.8718216163050378E-2</v>
      </c>
      <c r="G59" s="20">
        <f t="shared" si="20"/>
        <v>3.8719102445638809E-2</v>
      </c>
      <c r="H59" s="20">
        <f t="shared" si="20"/>
        <v>3.5000000000000142E-2</v>
      </c>
      <c r="I59" s="20">
        <f t="shared" si="20"/>
        <v>1.2599811132586014E-2</v>
      </c>
      <c r="J59" s="20">
        <f t="shared" si="20"/>
        <v>2.8679582109580215E-2</v>
      </c>
      <c r="K59" s="20">
        <f t="shared" si="20"/>
        <v>2.5553285322731822E-2</v>
      </c>
      <c r="L59" s="20">
        <f t="shared" si="20"/>
        <v>2.5604438493138426E-2</v>
      </c>
      <c r="M59" s="20">
        <f t="shared" si="20"/>
        <v>2.5655780750053037E-2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15.6">
      <c r="A60" s="11" t="s">
        <v>4</v>
      </c>
      <c r="B60" s="20"/>
      <c r="C60" s="20"/>
      <c r="D60" s="20">
        <f>Assumption!D11</f>
        <v>0.04</v>
      </c>
      <c r="E60" s="20">
        <f>Assumption!E11</f>
        <v>3.7999999999999999E-2</v>
      </c>
      <c r="F60" s="20">
        <f>Assumption!F11</f>
        <v>3.7999999999999999E-2</v>
      </c>
      <c r="G60" s="20">
        <f>Assumption!G11</f>
        <v>3.7999999999999999E-2</v>
      </c>
      <c r="H60" s="20">
        <f>Assumption!H11</f>
        <v>3.5000000000000003E-2</v>
      </c>
      <c r="I60" s="20">
        <f>Assumption!I11</f>
        <v>0</v>
      </c>
      <c r="J60" s="20">
        <f>Assumption!J11</f>
        <v>2.5000000000000001E-2</v>
      </c>
      <c r="K60" s="20">
        <f>Assumption!K11</f>
        <v>0.02</v>
      </c>
      <c r="L60" s="20">
        <f>Assumption!L11</f>
        <v>0.02</v>
      </c>
      <c r="M60" s="20">
        <f>Assumption!M11</f>
        <v>0.02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15.6">
      <c r="A61" s="11" t="s">
        <v>8</v>
      </c>
      <c r="B61" s="20"/>
      <c r="C61" s="20"/>
      <c r="D61" s="20">
        <f>Assumption!D17</f>
        <v>0.04</v>
      </c>
      <c r="E61" s="20">
        <f>Assumption!E17</f>
        <v>0.04</v>
      </c>
      <c r="F61" s="20">
        <f>Assumption!F17</f>
        <v>0.04</v>
      </c>
      <c r="G61" s="20">
        <f>Assumption!G17</f>
        <v>0.04</v>
      </c>
      <c r="H61" s="20">
        <f>Assumption!H17</f>
        <v>3.5000000000000003E-2</v>
      </c>
      <c r="I61" s="20">
        <f>Assumption!I17</f>
        <v>3.5000000000000003E-2</v>
      </c>
      <c r="J61" s="20">
        <f>Assumption!J17</f>
        <v>3.5000000000000003E-2</v>
      </c>
      <c r="K61" s="20">
        <f>Assumption!K17</f>
        <v>3.5000000000000003E-2</v>
      </c>
      <c r="L61" s="20">
        <f>Assumption!L17</f>
        <v>3.5000000000000003E-2</v>
      </c>
      <c r="M61" s="20">
        <f>Assumption!M17</f>
        <v>3.5000000000000003E-2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>
      <c r="A62" s="1" t="s">
        <v>25</v>
      </c>
      <c r="B62" s="20">
        <f>+B11/B8</f>
        <v>0.31180497657323358</v>
      </c>
      <c r="C62" s="20">
        <f>+C11/C8</f>
        <v>0.30928496639308273</v>
      </c>
      <c r="D62" s="20">
        <f>Assumption!D25</f>
        <v>0.307</v>
      </c>
      <c r="E62" s="20">
        <f>Assumption!E25</f>
        <v>0.307</v>
      </c>
      <c r="F62" s="20">
        <f>Assumption!F25</f>
        <v>0.307</v>
      </c>
      <c r="G62" s="20">
        <f>Assumption!G25</f>
        <v>0.307</v>
      </c>
      <c r="H62" s="20">
        <f>Assumption!H25</f>
        <v>0.30599999999999999</v>
      </c>
      <c r="I62" s="20">
        <f>Assumption!I25</f>
        <v>0.30599999999999999</v>
      </c>
      <c r="J62" s="20">
        <f>Assumption!J25</f>
        <v>0.30499999999999999</v>
      </c>
      <c r="K62" s="20">
        <f>Assumption!K25</f>
        <v>0.30499999999999999</v>
      </c>
      <c r="L62" s="20">
        <f>Assumption!L25</f>
        <v>0.30499999999999999</v>
      </c>
      <c r="M62" s="20">
        <f>Assumption!M25</f>
        <v>0.30499999999999999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>
      <c r="A63" s="1"/>
      <c r="B63" s="21" t="s">
        <v>23</v>
      </c>
      <c r="C63" s="21" t="s">
        <v>23</v>
      </c>
      <c r="D63" s="21" t="s">
        <v>23</v>
      </c>
      <c r="E63" s="21" t="s">
        <v>23</v>
      </c>
      <c r="F63" s="21" t="s">
        <v>23</v>
      </c>
      <c r="G63" s="21" t="s">
        <v>23</v>
      </c>
      <c r="H63" s="21" t="s">
        <v>23</v>
      </c>
      <c r="I63" s="21" t="s">
        <v>23</v>
      </c>
      <c r="J63" s="21" t="s">
        <v>23</v>
      </c>
      <c r="K63" s="21" t="s">
        <v>23</v>
      </c>
      <c r="L63" s="21" t="s">
        <v>23</v>
      </c>
      <c r="M63" s="21" t="s">
        <v>23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>
      <c r="A64" s="1" t="s">
        <v>9</v>
      </c>
      <c r="B64" s="20">
        <f>+B13/B8</f>
        <v>0.68819502342676642</v>
      </c>
      <c r="C64" s="20">
        <f>+C13/C8</f>
        <v>0.69071503360691733</v>
      </c>
      <c r="D64" s="20">
        <f>Assumption!D23</f>
        <v>0.69300000000000006</v>
      </c>
      <c r="E64" s="20">
        <f>Assumption!E23</f>
        <v>0.69300000000000006</v>
      </c>
      <c r="F64" s="20">
        <f>Assumption!F23</f>
        <v>0.69300000000000006</v>
      </c>
      <c r="G64" s="20">
        <f>Assumption!G23</f>
        <v>0.69300000000000006</v>
      </c>
      <c r="H64" s="20">
        <f>Assumption!H23</f>
        <v>0.69399999999999995</v>
      </c>
      <c r="I64" s="20">
        <f>Assumption!I23</f>
        <v>0.69399999999999995</v>
      </c>
      <c r="J64" s="20">
        <f>Assumption!J23</f>
        <v>0.69500000000000006</v>
      </c>
      <c r="K64" s="20">
        <f>Assumption!K23</f>
        <v>0.69500000000000006</v>
      </c>
      <c r="L64" s="20">
        <f>Assumption!L23</f>
        <v>0.69500000000000006</v>
      </c>
      <c r="M64" s="20">
        <f>Assumption!M23</f>
        <v>0.69500000000000006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>
      <c r="A65" s="1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>
      <c r="A66" s="1" t="s">
        <v>26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>
      <c r="A67" s="1" t="s">
        <v>12</v>
      </c>
      <c r="B67" s="20">
        <f>+B16/B8</f>
        <v>0.25260982397632664</v>
      </c>
      <c r="C67" s="20">
        <f>+C16/C8</f>
        <v>0.25747289492349784</v>
      </c>
      <c r="D67" s="20">
        <f>Assumption!D32</f>
        <v>0.255</v>
      </c>
      <c r="E67" s="20">
        <f>Assumption!E32</f>
        <v>0.255</v>
      </c>
      <c r="F67" s="20">
        <f>Assumption!F32</f>
        <v>0.255</v>
      </c>
      <c r="G67" s="20">
        <f>Assumption!G32</f>
        <v>0.25</v>
      </c>
      <c r="H67" s="20">
        <f>Assumption!H32</f>
        <v>0.25</v>
      </c>
      <c r="I67" s="20">
        <f>Assumption!I32</f>
        <v>0.245</v>
      </c>
      <c r="J67" s="20">
        <f>Assumption!J32</f>
        <v>0.245</v>
      </c>
      <c r="K67" s="20">
        <f>Assumption!K32</f>
        <v>0.24</v>
      </c>
      <c r="L67" s="20">
        <f>Assumption!L32</f>
        <v>0.24</v>
      </c>
      <c r="M67" s="20">
        <f>Assumption!M32</f>
        <v>0.24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>
      <c r="A68" s="1" t="s">
        <v>13</v>
      </c>
      <c r="B68" s="20">
        <f>+B17/B8</f>
        <v>0.17713923366878429</v>
      </c>
      <c r="C68" s="20">
        <f>+C17/C8</f>
        <v>0.19400817374269599</v>
      </c>
      <c r="D68" s="20">
        <f>Assumption!D37</f>
        <v>0.2</v>
      </c>
      <c r="E68" s="20">
        <f>Assumption!E37</f>
        <v>0.2</v>
      </c>
      <c r="F68" s="20">
        <f>Assumption!F37</f>
        <v>0.2</v>
      </c>
      <c r="G68" s="20">
        <f>Assumption!G37</f>
        <v>0.2</v>
      </c>
      <c r="H68" s="20">
        <f>Assumption!H37</f>
        <v>0.2</v>
      </c>
      <c r="I68" s="20">
        <f>Assumption!I37</f>
        <v>0.2</v>
      </c>
      <c r="J68" s="20">
        <f>Assumption!J37</f>
        <v>0.2</v>
      </c>
      <c r="K68" s="20">
        <f>Assumption!K37</f>
        <v>0.18</v>
      </c>
      <c r="L68" s="20">
        <f>Assumption!L37</f>
        <v>0.18</v>
      </c>
      <c r="M68" s="20">
        <f>Assumption!M37</f>
        <v>0.18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>
      <c r="A69" s="1" t="s">
        <v>27</v>
      </c>
      <c r="B69" s="20">
        <f>+B18/B8</f>
        <v>2.3485480101926985E-3</v>
      </c>
      <c r="C69" s="20">
        <f>+C18/C8</f>
        <v>2.2517197509597953E-3</v>
      </c>
      <c r="D69" s="20">
        <f>+D18/D8</f>
        <v>2.1651151451536495E-3</v>
      </c>
      <c r="E69" s="20">
        <f>+E18/E8</f>
        <v>2.0844122668108797E-3</v>
      </c>
      <c r="F69" s="20">
        <f>+F18/F8</f>
        <v>2.0067158102902512E-3</v>
      </c>
      <c r="G69" s="20">
        <f>+G18/G8</f>
        <v>1.9319138403881162E-3</v>
      </c>
      <c r="H69" s="20">
        <f>+H18/H8</f>
        <v>1.8665834206648467E-3</v>
      </c>
      <c r="I69" s="20">
        <f>+I18/I8</f>
        <v>1.84335746475904E-3</v>
      </c>
      <c r="J69" s="20">
        <f>+J18/J8</f>
        <v>1.7919646669556197E-3</v>
      </c>
      <c r="K69" s="20">
        <f>+K18/K8</f>
        <v>1.7473150275089857E-3</v>
      </c>
      <c r="L69" s="20">
        <f>+L18/L8</f>
        <v>1.7036929267546998E-3</v>
      </c>
      <c r="M69" s="20">
        <f>+M18/M8</f>
        <v>1.661076706952116E-3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>
      <c r="A70" s="1"/>
      <c r="B70" s="21" t="s">
        <v>23</v>
      </c>
      <c r="C70" s="21" t="s">
        <v>23</v>
      </c>
      <c r="D70" s="21" t="s">
        <v>23</v>
      </c>
      <c r="E70" s="21" t="s">
        <v>23</v>
      </c>
      <c r="F70" s="21" t="s">
        <v>23</v>
      </c>
      <c r="G70" s="21" t="s">
        <v>23</v>
      </c>
      <c r="H70" s="21" t="s">
        <v>23</v>
      </c>
      <c r="I70" s="21" t="s">
        <v>23</v>
      </c>
      <c r="J70" s="21" t="s">
        <v>23</v>
      </c>
      <c r="K70" s="21" t="s">
        <v>23</v>
      </c>
      <c r="L70" s="21" t="s">
        <v>23</v>
      </c>
      <c r="M70" s="21" t="s">
        <v>23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>
      <c r="A71" s="1" t="s">
        <v>28</v>
      </c>
      <c r="B71" s="20">
        <f>+B20/B8</f>
        <v>0.43209760565530358</v>
      </c>
      <c r="C71" s="20">
        <f>+C20/C8</f>
        <v>0.45373278841715359</v>
      </c>
      <c r="D71" s="20">
        <f t="shared" ref="D71:M71" si="21">+D20/D8</f>
        <v>0.45716511514515373</v>
      </c>
      <c r="E71" s="20">
        <f t="shared" si="21"/>
        <v>0.4570844122668109</v>
      </c>
      <c r="F71" s="20">
        <f t="shared" si="21"/>
        <v>0.45700671581029029</v>
      </c>
      <c r="G71" s="20">
        <f t="shared" si="21"/>
        <v>0.45193191384038811</v>
      </c>
      <c r="H71" s="20">
        <f t="shared" si="21"/>
        <v>0.45186658342066488</v>
      </c>
      <c r="I71" s="20">
        <f t="shared" si="21"/>
        <v>0.44684335746475901</v>
      </c>
      <c r="J71" s="20">
        <f t="shared" si="21"/>
        <v>0.44679196466695559</v>
      </c>
      <c r="K71" s="20">
        <f t="shared" si="21"/>
        <v>0.42174731502750895</v>
      </c>
      <c r="L71" s="20">
        <f t="shared" si="21"/>
        <v>0.42170369292675469</v>
      </c>
      <c r="M71" s="20">
        <f t="shared" si="21"/>
        <v>0.42166107670695208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>
      <c r="A72" s="1"/>
      <c r="B72" s="21" t="s">
        <v>23</v>
      </c>
      <c r="C72" s="21" t="s">
        <v>23</v>
      </c>
      <c r="D72" s="21" t="s">
        <v>23</v>
      </c>
      <c r="E72" s="21" t="s">
        <v>23</v>
      </c>
      <c r="F72" s="21" t="s">
        <v>23</v>
      </c>
      <c r="G72" s="21" t="s">
        <v>23</v>
      </c>
      <c r="H72" s="21" t="s">
        <v>23</v>
      </c>
      <c r="I72" s="21" t="s">
        <v>23</v>
      </c>
      <c r="J72" s="21" t="s">
        <v>23</v>
      </c>
      <c r="K72" s="21" t="s">
        <v>23</v>
      </c>
      <c r="L72" s="21" t="s">
        <v>23</v>
      </c>
      <c r="M72" s="21" t="s">
        <v>23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>
      <c r="A73" s="1" t="s">
        <v>29</v>
      </c>
      <c r="B73" s="20">
        <f>+B22/B8</f>
        <v>0.25609741777146278</v>
      </c>
      <c r="C73" s="20">
        <f>+C22/C8</f>
        <v>0.23698224518976369</v>
      </c>
      <c r="D73" s="20">
        <f t="shared" ref="D73:M73" si="22">D22/D13</f>
        <v>0.34031007915562234</v>
      </c>
      <c r="E73" s="20">
        <f t="shared" si="22"/>
        <v>0.34042653352552532</v>
      </c>
      <c r="F73" s="20">
        <f t="shared" si="22"/>
        <v>0.34053864962440084</v>
      </c>
      <c r="G73" s="20">
        <f t="shared" si="22"/>
        <v>0.34786159618991619</v>
      </c>
      <c r="H73" s="20">
        <f t="shared" si="22"/>
        <v>0.34889541293852322</v>
      </c>
      <c r="I73" s="20">
        <f t="shared" si="22"/>
        <v>0.35613349068478523</v>
      </c>
      <c r="J73" s="20">
        <f t="shared" si="22"/>
        <v>0.35713386378855311</v>
      </c>
      <c r="K73" s="20">
        <f t="shared" si="22"/>
        <v>0.39316933089567063</v>
      </c>
      <c r="L73" s="20">
        <f t="shared" si="22"/>
        <v>0.39323209650826663</v>
      </c>
      <c r="M73" s="20">
        <f t="shared" si="22"/>
        <v>0.39329341481014091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>
      <c r="A74" s="1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>
      <c r="A75" s="1" t="s">
        <v>30</v>
      </c>
      <c r="B75" s="20">
        <v>0</v>
      </c>
      <c r="C75" s="20">
        <v>0</v>
      </c>
      <c r="D75" s="20">
        <f>Assumption!D48</f>
        <v>0</v>
      </c>
      <c r="E75" s="20">
        <f>Assumption!E48</f>
        <v>0</v>
      </c>
      <c r="F75" s="20">
        <f>Assumption!F48</f>
        <v>0</v>
      </c>
      <c r="G75" s="20">
        <f>Assumption!G48</f>
        <v>0</v>
      </c>
      <c r="H75" s="20">
        <f>Assumption!H48</f>
        <v>0</v>
      </c>
      <c r="I75" s="20">
        <f>Assumption!I48</f>
        <v>0</v>
      </c>
      <c r="J75" s="20">
        <f>Assumption!J48</f>
        <v>0</v>
      </c>
      <c r="K75" s="20">
        <f>Assumption!K48</f>
        <v>0</v>
      </c>
      <c r="L75" s="20">
        <f>Assumption!L48</f>
        <v>0</v>
      </c>
      <c r="M75" s="20">
        <f>Assumption!M48</f>
        <v>0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>
      <c r="A76" s="1"/>
      <c r="B76" s="21" t="s">
        <v>23</v>
      </c>
      <c r="C76" s="21" t="s">
        <v>23</v>
      </c>
      <c r="D76" s="21" t="s">
        <v>23</v>
      </c>
      <c r="E76" s="21" t="s">
        <v>23</v>
      </c>
      <c r="F76" s="21" t="s">
        <v>23</v>
      </c>
      <c r="G76" s="21" t="s">
        <v>23</v>
      </c>
      <c r="H76" s="21" t="s">
        <v>23</v>
      </c>
      <c r="I76" s="21" t="s">
        <v>23</v>
      </c>
      <c r="J76" s="21" t="s">
        <v>23</v>
      </c>
      <c r="K76" s="21" t="s">
        <v>23</v>
      </c>
      <c r="L76" s="21" t="s">
        <v>23</v>
      </c>
      <c r="M76" s="21" t="s">
        <v>23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>
      <c r="A77" s="1" t="s">
        <v>31</v>
      </c>
      <c r="B77" s="20">
        <f>+B26/B8</f>
        <v>0.25609741777146278</v>
      </c>
      <c r="C77" s="20">
        <f>+C26/C8</f>
        <v>0.23698224518976369</v>
      </c>
      <c r="D77" s="20">
        <f>D26/D8</f>
        <v>0.23583488485484624</v>
      </c>
      <c r="E77" s="20">
        <f>E26/E8</f>
        <v>0.23591558773318905</v>
      </c>
      <c r="F77" s="20">
        <f>F26/F8</f>
        <v>0.2359932841897098</v>
      </c>
      <c r="G77" s="20">
        <f>G26/G8</f>
        <v>0.24106808615961192</v>
      </c>
      <c r="H77" s="20">
        <f>H26/H8</f>
        <v>0.2421334165793351</v>
      </c>
      <c r="I77" s="20">
        <f>I26/I8</f>
        <v>0.24715664253524092</v>
      </c>
      <c r="J77" s="20">
        <f>J26/J8</f>
        <v>0.24820803533304445</v>
      </c>
      <c r="K77" s="20">
        <f>K26/K8</f>
        <v>0.27325268497249111</v>
      </c>
      <c r="L77" s="20">
        <f>L26/L8</f>
        <v>0.27329630707324531</v>
      </c>
      <c r="M77" s="20">
        <f>M26/M8</f>
        <v>0.27333892329304793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>
      <c r="A78" s="1" t="s">
        <v>50</v>
      </c>
      <c r="B78" s="20">
        <v>0.13800000000000001</v>
      </c>
      <c r="C78" s="20">
        <v>0.157</v>
      </c>
      <c r="D78" s="20">
        <v>0.16500000000000001</v>
      </c>
      <c r="E78" s="20">
        <v>0.16500000000000001</v>
      </c>
      <c r="F78" s="20">
        <v>0.16500000000000001</v>
      </c>
      <c r="G78" s="20">
        <v>0.16500000000000001</v>
      </c>
      <c r="H78" s="20">
        <v>0.16500000000000001</v>
      </c>
      <c r="I78" s="20">
        <v>0.16500000000000001</v>
      </c>
      <c r="J78" s="20">
        <v>0.16500000000000001</v>
      </c>
      <c r="K78" s="20">
        <v>0.16500000000000001</v>
      </c>
      <c r="L78" s="20">
        <v>0.16500000000000001</v>
      </c>
      <c r="M78" s="20">
        <v>0.16500000000000001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>
      <c r="A79" s="1"/>
      <c r="B79" s="21" t="s">
        <v>23</v>
      </c>
      <c r="C79" s="21" t="s">
        <v>23</v>
      </c>
      <c r="D79" s="21" t="s">
        <v>23</v>
      </c>
      <c r="E79" s="21" t="s">
        <v>23</v>
      </c>
      <c r="F79" s="21" t="s">
        <v>23</v>
      </c>
      <c r="G79" s="21" t="s">
        <v>23</v>
      </c>
      <c r="H79" s="21" t="s">
        <v>23</v>
      </c>
      <c r="I79" s="21" t="s">
        <v>23</v>
      </c>
      <c r="J79" s="21" t="s">
        <v>23</v>
      </c>
      <c r="K79" s="21" t="s">
        <v>23</v>
      </c>
      <c r="L79" s="21" t="s">
        <v>23</v>
      </c>
      <c r="M79" s="21" t="s">
        <v>23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>
      <c r="A80" s="1" t="s">
        <v>33</v>
      </c>
      <c r="B80" s="20">
        <f>+B29/B8</f>
        <v>0.22075597411900094</v>
      </c>
      <c r="C80" s="20">
        <f>+C29/C8</f>
        <v>0.1997760326949708</v>
      </c>
      <c r="D80" s="20">
        <f>D29/D8</f>
        <v>0.19692212885379662</v>
      </c>
      <c r="E80" s="20">
        <f>E29/E8</f>
        <v>0.19698951575721288</v>
      </c>
      <c r="F80" s="20">
        <f>F29/F8</f>
        <v>0.19705439229840768</v>
      </c>
      <c r="G80" s="20">
        <f>G29/G8</f>
        <v>0.20129185194327595</v>
      </c>
      <c r="H80" s="20">
        <f>H29/H8</f>
        <v>0.20218140284374481</v>
      </c>
      <c r="I80" s="20">
        <f>I29/I8</f>
        <v>0.20637579651692617</v>
      </c>
      <c r="J80" s="20">
        <f>J29/J8</f>
        <v>0.2072537095030921</v>
      </c>
      <c r="K80" s="20">
        <f>K29/K8</f>
        <v>0.22816599195203008</v>
      </c>
      <c r="L80" s="20">
        <f>L29/L8</f>
        <v>0.22820241640615985</v>
      </c>
      <c r="M80" s="20">
        <f>M29/M8</f>
        <v>0.22823800094969501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>
      <c r="A82" s="1" t="s">
        <v>51</v>
      </c>
      <c r="B82" s="6">
        <v>19898</v>
      </c>
      <c r="C82" s="6">
        <v>20518</v>
      </c>
      <c r="D82" s="6">
        <f>C82-D118-D32</f>
        <v>21828.109122875816</v>
      </c>
      <c r="E82" s="6">
        <f>D82-E118-E32</f>
        <v>23210.929173448367</v>
      </c>
      <c r="F82" s="6">
        <f>E82-F118-F32</f>
        <v>24664.085963076581</v>
      </c>
      <c r="G82" s="6">
        <f>F82-G118-G32</f>
        <v>26185.113434749539</v>
      </c>
      <c r="H82" s="6">
        <f>G82-H118-H32</f>
        <v>27758.720106743946</v>
      </c>
      <c r="I82" s="6">
        <f>H82-I118-I32</f>
        <v>29302.715050558876</v>
      </c>
      <c r="J82" s="6">
        <f>I82-J118-J32</f>
        <v>30872.704781418452</v>
      </c>
      <c r="K82" s="6">
        <f>J82-K118-K32</f>
        <v>32454.054881362816</v>
      </c>
      <c r="L82" s="6">
        <f>K82-L118-L32</f>
        <v>34043.822374928837</v>
      </c>
      <c r="M82" s="6">
        <f>L82-M118-M32</f>
        <v>35638.98834394716</v>
      </c>
      <c r="N82" s="6"/>
      <c r="O82" s="6"/>
      <c r="P82" s="6"/>
      <c r="Q82" s="6"/>
      <c r="R82" s="6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>
      <c r="A83" s="1" t="s">
        <v>52</v>
      </c>
      <c r="B83" s="5">
        <f>+B8/B82</f>
        <v>4.2797768619961802</v>
      </c>
      <c r="C83" s="5">
        <f>+C8/C82</f>
        <v>4.3289306949995128</v>
      </c>
      <c r="D83" s="5">
        <f>D8/D82</f>
        <v>4.2318754904515474</v>
      </c>
      <c r="E83" s="5">
        <f>E8/E82</f>
        <v>4.1338417675135668</v>
      </c>
      <c r="F83" s="5">
        <f>F8/F82</f>
        <v>4.0409092562296527</v>
      </c>
      <c r="G83" s="5">
        <f>G8/G82</f>
        <v>3.9535549758668647</v>
      </c>
      <c r="H83" s="5">
        <f>H8/H82</f>
        <v>3.8599631068918301</v>
      </c>
      <c r="I83" s="5">
        <f>I8/I82</f>
        <v>3.7026492354053957</v>
      </c>
      <c r="J83" s="5">
        <f>J8/J82</f>
        <v>3.6151462678766491</v>
      </c>
      <c r="K83" s="5">
        <f>K8/K82</f>
        <v>3.5268729681572122</v>
      </c>
      <c r="L83" s="5">
        <f>L8/L82</f>
        <v>3.4482628193204601</v>
      </c>
      <c r="M83" s="5">
        <f>M8/M82</f>
        <v>3.3784301164408062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>
      <c r="A84" s="1" t="s">
        <v>53</v>
      </c>
      <c r="B84" s="20">
        <f>-B32/B8</f>
        <v>5.334726805152714E-2</v>
      </c>
      <c r="C84" s="20">
        <f>-C32/C8</f>
        <v>4.9808040891230677E-2</v>
      </c>
      <c r="D84" s="20">
        <f>Assumption!D43</f>
        <v>3.5000000000000003E-2</v>
      </c>
      <c r="E84" s="20">
        <f>Assumption!E43</f>
        <v>3.5000000000000003E-2</v>
      </c>
      <c r="F84" s="20">
        <f>Assumption!F43</f>
        <v>3.5000000000000003E-2</v>
      </c>
      <c r="G84" s="20">
        <f>Assumption!G43</f>
        <v>3.5000000000000003E-2</v>
      </c>
      <c r="H84" s="20">
        <f>Assumption!H43</f>
        <v>3.5000000000000003E-2</v>
      </c>
      <c r="I84" s="20">
        <f>Assumption!I43</f>
        <v>3.5000000000000003E-2</v>
      </c>
      <c r="J84" s="20">
        <f>Assumption!J43</f>
        <v>3.5000000000000003E-2</v>
      </c>
      <c r="K84" s="20">
        <f>Assumption!K43</f>
        <v>3.5000000000000003E-2</v>
      </c>
      <c r="L84" s="20">
        <f>Assumption!L43</f>
        <v>3.5000000000000003E-2</v>
      </c>
      <c r="M84" s="20">
        <f>Assumption!M43</f>
        <v>3.5000000000000003E-2</v>
      </c>
      <c r="N84" s="7"/>
      <c r="O84" s="7"/>
      <c r="P84" s="26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>
      <c r="A85" s="1" t="s">
        <v>54</v>
      </c>
      <c r="B85" s="7">
        <f>+B118/B8</f>
        <v>3.5063821792176986E-2</v>
      </c>
      <c r="C85" s="7">
        <f>+C118/C8</f>
        <v>3.1963161864874301E-2</v>
      </c>
      <c r="D85" s="7">
        <f>D118/D8</f>
        <v>2.0817314481288027E-2</v>
      </c>
      <c r="E85" s="7">
        <f>E118/E8</f>
        <v>2.0588164618972685E-2</v>
      </c>
      <c r="F85" s="7">
        <f>F118/F8</f>
        <v>2.0419636477112185E-2</v>
      </c>
      <c r="G85" s="7">
        <f>G118/G8</f>
        <v>2.0307529879322331E-2</v>
      </c>
      <c r="H85" s="7">
        <f>H118/H8</f>
        <v>2.0313659377038298E-2</v>
      </c>
      <c r="I85" s="7">
        <f>I118/I8</f>
        <v>2.0769326973842692E-2</v>
      </c>
      <c r="J85" s="7">
        <f>J118/J8</f>
        <v>2.0933169374082395E-2</v>
      </c>
      <c r="K85" s="7">
        <f>K118/K8</f>
        <v>2.1184416033071869E-2</v>
      </c>
      <c r="L85" s="7">
        <f>L118/L8</f>
        <v>2.1457621830135123E-2</v>
      </c>
      <c r="M85" s="7">
        <f>M118/M8</f>
        <v>2.175153482570483E-2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>
      <c r="A86" s="1" t="s">
        <v>55</v>
      </c>
      <c r="B86" s="27">
        <v>0.15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>
      <c r="A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>
      <c r="A88" s="1" t="s">
        <v>56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>
      <c r="A89" s="1" t="s">
        <v>57</v>
      </c>
      <c r="B89" s="28">
        <v>4.2000000000000003E-2</v>
      </c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>
      <c r="A90" s="1" t="s">
        <v>58</v>
      </c>
      <c r="B90" s="28">
        <v>4.4999999999999998E-2</v>
      </c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>
      <c r="A91" s="1" t="s">
        <v>59</v>
      </c>
      <c r="B91">
        <v>0.5</v>
      </c>
      <c r="C91" s="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>
      <c r="A92" s="1" t="s">
        <v>60</v>
      </c>
      <c r="B92" s="29">
        <f>B89+B91*B90</f>
        <v>6.4500000000000002E-2</v>
      </c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>
      <c r="A93" s="1" t="s">
        <v>61</v>
      </c>
      <c r="B93" s="28">
        <v>4.9000000000000002E-2</v>
      </c>
      <c r="C93" s="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>
      <c r="A94" s="1" t="s">
        <v>62</v>
      </c>
      <c r="B94" s="28">
        <v>0.16500000000000001</v>
      </c>
      <c r="C94" s="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>
      <c r="A95" s="1" t="s">
        <v>63</v>
      </c>
      <c r="B95" s="27">
        <v>0.1</v>
      </c>
      <c r="C95" s="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>
      <c r="A96" s="1" t="s">
        <v>64</v>
      </c>
      <c r="B96" s="30">
        <f>(B93*(1-B94)*B95+B92*(1-B95))</f>
        <v>6.2141500000000002E-2</v>
      </c>
      <c r="C96" s="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>
      <c r="A97" s="1"/>
      <c r="B97" s="1">
        <v>0</v>
      </c>
      <c r="C97" s="1">
        <v>0</v>
      </c>
      <c r="D97" s="1">
        <v>1.5</v>
      </c>
      <c r="E97" s="1">
        <v>9</v>
      </c>
      <c r="F97" s="1">
        <f t="shared" ref="F97:M97" si="23">+E97+12</f>
        <v>21</v>
      </c>
      <c r="G97" s="1">
        <f t="shared" si="23"/>
        <v>33</v>
      </c>
      <c r="H97" s="1">
        <f t="shared" si="23"/>
        <v>45</v>
      </c>
      <c r="I97" s="1">
        <f t="shared" si="23"/>
        <v>57</v>
      </c>
      <c r="J97" s="1">
        <f t="shared" si="23"/>
        <v>69</v>
      </c>
      <c r="K97" s="1">
        <f t="shared" si="23"/>
        <v>81</v>
      </c>
      <c r="L97" s="1">
        <f t="shared" si="23"/>
        <v>93</v>
      </c>
      <c r="M97" s="1">
        <f t="shared" si="23"/>
        <v>105</v>
      </c>
      <c r="N97" s="1">
        <f>+M97+6</f>
        <v>111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5.6">
      <c r="A99" s="41" t="s">
        <v>17</v>
      </c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>
      <c r="A100" s="42" t="s">
        <v>18</v>
      </c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>
      <c r="A101" s="42" t="s">
        <v>19</v>
      </c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>
      <c r="A102" s="42" t="s">
        <v>65</v>
      </c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>
      <c r="A104" s="1"/>
      <c r="B104" s="1">
        <f>2023</f>
        <v>2023</v>
      </c>
      <c r="C104" s="1">
        <f t="shared" ref="C104:M104" si="24">+B104+1</f>
        <v>2024</v>
      </c>
      <c r="D104" s="1">
        <f t="shared" si="24"/>
        <v>2025</v>
      </c>
      <c r="E104" s="1">
        <f t="shared" si="24"/>
        <v>2026</v>
      </c>
      <c r="F104" s="1">
        <f t="shared" si="24"/>
        <v>2027</v>
      </c>
      <c r="G104" s="1">
        <f t="shared" si="24"/>
        <v>2028</v>
      </c>
      <c r="H104" s="1">
        <f t="shared" si="24"/>
        <v>2029</v>
      </c>
      <c r="I104" s="1">
        <f t="shared" si="24"/>
        <v>2030</v>
      </c>
      <c r="J104" s="1">
        <f t="shared" si="24"/>
        <v>2031</v>
      </c>
      <c r="K104" s="1">
        <f t="shared" si="24"/>
        <v>2032</v>
      </c>
      <c r="L104" s="1">
        <f t="shared" si="24"/>
        <v>2033</v>
      </c>
      <c r="M104" s="1">
        <f t="shared" si="24"/>
        <v>2034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>
      <c r="A105" s="1"/>
      <c r="B105" s="4" t="s">
        <v>23</v>
      </c>
      <c r="C105" s="4" t="s">
        <v>23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>
      <c r="A106" s="3" t="s">
        <v>66</v>
      </c>
      <c r="B106" s="6"/>
      <c r="C106" s="6"/>
      <c r="D106" s="6">
        <f>$C$82*(2038-D104)/153</f>
        <v>1743.3594771241831</v>
      </c>
      <c r="E106" s="6">
        <f t="shared" ref="E106:M106" si="25">$C$82*(2038-E104)/153</f>
        <v>1609.2549019607843</v>
      </c>
      <c r="F106" s="6">
        <f t="shared" si="25"/>
        <v>1475.1503267973856</v>
      </c>
      <c r="G106" s="6">
        <f t="shared" si="25"/>
        <v>1341.045751633987</v>
      </c>
      <c r="H106" s="6">
        <f t="shared" si="25"/>
        <v>1206.9411764705883</v>
      </c>
      <c r="I106" s="6">
        <f t="shared" si="25"/>
        <v>1072.8366013071895</v>
      </c>
      <c r="J106" s="6">
        <f t="shared" si="25"/>
        <v>938.7320261437909</v>
      </c>
      <c r="K106" s="6">
        <f t="shared" si="25"/>
        <v>804.62745098039215</v>
      </c>
      <c r="L106" s="6">
        <f t="shared" si="25"/>
        <v>670.52287581699352</v>
      </c>
      <c r="M106" s="6">
        <f t="shared" si="25"/>
        <v>536.41830065359477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>
      <c r="A107" s="3" t="s">
        <v>67</v>
      </c>
      <c r="B107" s="6"/>
      <c r="C107" s="6"/>
      <c r="D107" s="6">
        <f>-$D$32/18</f>
        <v>179.61580000000001</v>
      </c>
      <c r="E107" s="6">
        <f t="shared" ref="E107:M107" si="26">-$D$32/18</f>
        <v>179.61580000000001</v>
      </c>
      <c r="F107" s="6">
        <f t="shared" si="26"/>
        <v>179.61580000000001</v>
      </c>
      <c r="G107" s="6">
        <f t="shared" si="26"/>
        <v>179.61580000000001</v>
      </c>
      <c r="H107" s="6">
        <f t="shared" si="26"/>
        <v>179.61580000000001</v>
      </c>
      <c r="I107" s="6">
        <f t="shared" si="26"/>
        <v>179.61580000000001</v>
      </c>
      <c r="J107" s="6">
        <f t="shared" si="26"/>
        <v>179.61580000000001</v>
      </c>
      <c r="K107" s="6">
        <f t="shared" si="26"/>
        <v>179.61580000000001</v>
      </c>
      <c r="L107" s="6">
        <f t="shared" si="26"/>
        <v>179.61580000000001</v>
      </c>
      <c r="M107" s="6">
        <f t="shared" si="26"/>
        <v>179.61580000000001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>
      <c r="A108" s="3" t="s">
        <v>68</v>
      </c>
      <c r="B108" s="6"/>
      <c r="C108" s="6"/>
      <c r="D108" s="6"/>
      <c r="E108" s="6">
        <f>-$E$32/18</f>
        <v>186.57004426666671</v>
      </c>
      <c r="F108" s="6">
        <f t="shared" ref="F108:M108" si="27">-$E$32/18</f>
        <v>186.57004426666671</v>
      </c>
      <c r="G108" s="6">
        <f t="shared" si="27"/>
        <v>186.57004426666671</v>
      </c>
      <c r="H108" s="6">
        <f t="shared" si="27"/>
        <v>186.57004426666671</v>
      </c>
      <c r="I108" s="6">
        <f t="shared" si="27"/>
        <v>186.57004426666671</v>
      </c>
      <c r="J108" s="6">
        <f t="shared" si="27"/>
        <v>186.57004426666671</v>
      </c>
      <c r="K108" s="6">
        <f t="shared" si="27"/>
        <v>186.57004426666671</v>
      </c>
      <c r="L108" s="6">
        <f t="shared" si="27"/>
        <v>186.57004426666671</v>
      </c>
      <c r="M108" s="6">
        <f t="shared" si="27"/>
        <v>186.57004426666671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>
      <c r="A109" s="3" t="s">
        <v>69</v>
      </c>
      <c r="B109" s="6"/>
      <c r="C109" s="6"/>
      <c r="D109" s="6"/>
      <c r="E109" s="6"/>
      <c r="F109" s="6">
        <f>-$F$32/18</f>
        <v>193.79370357013337</v>
      </c>
      <c r="G109" s="6">
        <f t="shared" ref="G109:M109" si="28">-$F$32/18</f>
        <v>193.79370357013337</v>
      </c>
      <c r="H109" s="6">
        <f t="shared" si="28"/>
        <v>193.79370357013337</v>
      </c>
      <c r="I109" s="6">
        <f t="shared" si="28"/>
        <v>193.79370357013337</v>
      </c>
      <c r="J109" s="6">
        <f t="shared" si="28"/>
        <v>193.79370357013337</v>
      </c>
      <c r="K109" s="6">
        <f t="shared" si="28"/>
        <v>193.79370357013337</v>
      </c>
      <c r="L109" s="6">
        <f t="shared" si="28"/>
        <v>193.79370357013337</v>
      </c>
      <c r="M109" s="6">
        <f t="shared" si="28"/>
        <v>193.79370357013337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>
      <c r="A110" s="3" t="s">
        <v>70</v>
      </c>
      <c r="B110" s="6"/>
      <c r="C110" s="6"/>
      <c r="D110" s="6"/>
      <c r="E110" s="6"/>
      <c r="F110" s="6"/>
      <c r="G110" s="6">
        <f>-$G$32/18</f>
        <v>201.2972218319851</v>
      </c>
      <c r="H110" s="6">
        <f t="shared" ref="H110:M110" si="29">-$G$32/18</f>
        <v>201.2972218319851</v>
      </c>
      <c r="I110" s="6">
        <f t="shared" si="29"/>
        <v>201.2972218319851</v>
      </c>
      <c r="J110" s="6">
        <f t="shared" si="29"/>
        <v>201.2972218319851</v>
      </c>
      <c r="K110" s="6">
        <f t="shared" si="29"/>
        <v>201.2972218319851</v>
      </c>
      <c r="L110" s="6">
        <f t="shared" si="29"/>
        <v>201.2972218319851</v>
      </c>
      <c r="M110" s="6">
        <f t="shared" si="29"/>
        <v>201.2972218319851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>
      <c r="A111" s="3" t="s">
        <v>71</v>
      </c>
      <c r="B111" s="6"/>
      <c r="C111" s="6"/>
      <c r="D111" s="6"/>
      <c r="E111" s="6"/>
      <c r="F111" s="6"/>
      <c r="G111" s="6"/>
      <c r="H111" s="6">
        <f>-$H$32/18</f>
        <v>208.3426245961046</v>
      </c>
      <c r="I111" s="6">
        <f t="shared" ref="I111:M111" si="30">-$H$32/18</f>
        <v>208.3426245961046</v>
      </c>
      <c r="J111" s="6">
        <f t="shared" si="30"/>
        <v>208.3426245961046</v>
      </c>
      <c r="K111" s="6">
        <f t="shared" si="30"/>
        <v>208.3426245961046</v>
      </c>
      <c r="L111" s="6">
        <f t="shared" si="30"/>
        <v>208.3426245961046</v>
      </c>
      <c r="M111" s="6">
        <f t="shared" si="30"/>
        <v>208.3426245961046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>
      <c r="A112" s="3" t="s">
        <v>72</v>
      </c>
      <c r="B112" s="6"/>
      <c r="C112" s="6"/>
      <c r="D112" s="6"/>
      <c r="E112" s="6"/>
      <c r="F112" s="6"/>
      <c r="G112" s="6"/>
      <c r="H112" s="6"/>
      <c r="I112" s="6">
        <f>-$I$32/18</f>
        <v>210.96770231688279</v>
      </c>
      <c r="J112" s="6">
        <f t="shared" ref="J112:M112" si="31">-$I$32/18</f>
        <v>210.96770231688279</v>
      </c>
      <c r="K112" s="6">
        <f t="shared" si="31"/>
        <v>210.96770231688279</v>
      </c>
      <c r="L112" s="6">
        <f t="shared" si="31"/>
        <v>210.96770231688279</v>
      </c>
      <c r="M112" s="6">
        <f t="shared" si="31"/>
        <v>210.96770231688279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>
      <c r="A113" s="3" t="s">
        <v>73</v>
      </c>
      <c r="B113" s="6"/>
      <c r="C113" s="6"/>
      <c r="D113" s="6"/>
      <c r="E113" s="6"/>
      <c r="F113" s="6"/>
      <c r="G113" s="6"/>
      <c r="H113" s="6"/>
      <c r="I113" s="6"/>
      <c r="J113" s="6">
        <f>-$J$32/18</f>
        <v>217.01816785794932</v>
      </c>
      <c r="K113" s="6">
        <f t="shared" ref="K113:M113" si="32">-$J$32/18</f>
        <v>217.01816785794932</v>
      </c>
      <c r="L113" s="6">
        <f t="shared" si="32"/>
        <v>217.01816785794932</v>
      </c>
      <c r="M113" s="6">
        <f t="shared" si="32"/>
        <v>217.01816785794932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>
      <c r="A114" s="3" t="s">
        <v>74</v>
      </c>
      <c r="B114" s="6"/>
      <c r="C114" s="6"/>
      <c r="D114" s="6"/>
      <c r="E114" s="6"/>
      <c r="F114" s="6"/>
      <c r="G114" s="6"/>
      <c r="H114" s="6"/>
      <c r="I114" s="6"/>
      <c r="J114" s="6"/>
      <c r="K114" s="6">
        <f>-$K$32/18</f>
        <v>222.56369502144</v>
      </c>
      <c r="L114" s="6">
        <f t="shared" ref="L114:M114" si="33">-$K$32/18</f>
        <v>222.56369502144</v>
      </c>
      <c r="M114" s="6">
        <f t="shared" si="33"/>
        <v>222.56369502144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>
      <c r="A115" s="3" t="s">
        <v>75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>
        <f>-$L$32/18</f>
        <v>228.26231346142211</v>
      </c>
      <c r="M115" s="6">
        <f>-$L$32/18</f>
        <v>228.26231346142211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>
      <c r="A116" s="3" t="s">
        <v>76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>
        <f>-$M$32/18</f>
        <v>234.11856132908827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>
      <c r="A117" s="1"/>
      <c r="B117" s="4" t="s">
        <v>23</v>
      </c>
      <c r="C117" s="4" t="s">
        <v>23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>
      <c r="A118" s="1" t="s">
        <v>77</v>
      </c>
      <c r="B118" s="6">
        <f>+B121-B119</f>
        <v>2986</v>
      </c>
      <c r="C118" s="6">
        <f>+C121-C119</f>
        <v>2839</v>
      </c>
      <c r="D118" s="6">
        <f>SUM(D106:D116)</f>
        <v>1922.9752771241831</v>
      </c>
      <c r="E118" s="6">
        <f t="shared" ref="E118:M118" si="34">SUM(E106:E116)</f>
        <v>1975.440746227451</v>
      </c>
      <c r="F118" s="6">
        <f t="shared" si="34"/>
        <v>2035.1298746341856</v>
      </c>
      <c r="G118" s="6">
        <f t="shared" si="34"/>
        <v>2102.3225213027722</v>
      </c>
      <c r="H118" s="6">
        <f t="shared" si="34"/>
        <v>2176.560570735478</v>
      </c>
      <c r="I118" s="6">
        <f t="shared" si="34"/>
        <v>2253.4236978889621</v>
      </c>
      <c r="J118" s="6">
        <f t="shared" si="34"/>
        <v>2336.3372905835126</v>
      </c>
      <c r="K118" s="6">
        <f t="shared" si="34"/>
        <v>2424.7964104415541</v>
      </c>
      <c r="L118" s="6">
        <f t="shared" si="34"/>
        <v>2518.9541487395777</v>
      </c>
      <c r="M118" s="6">
        <f t="shared" si="34"/>
        <v>2618.9681349052671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>
      <c r="A119" s="1" t="s">
        <v>78</v>
      </c>
      <c r="B119" s="6">
        <f>4500-200</f>
        <v>4300</v>
      </c>
      <c r="C119" s="6">
        <f>4500-200</f>
        <v>4300</v>
      </c>
      <c r="D119" s="6">
        <f>4000-200</f>
        <v>3800</v>
      </c>
      <c r="E119" s="6">
        <f>3400-200</f>
        <v>3200</v>
      </c>
      <c r="F119" s="6">
        <f>2800-200</f>
        <v>2600</v>
      </c>
      <c r="G119" s="6">
        <f>2200-200</f>
        <v>2000</v>
      </c>
      <c r="H119" s="6">
        <f>2200-200</f>
        <v>2000</v>
      </c>
      <c r="I119" s="6">
        <f t="shared" ref="I119:M119" si="35">2200-200</f>
        <v>2000</v>
      </c>
      <c r="J119" s="6">
        <f t="shared" si="35"/>
        <v>2000</v>
      </c>
      <c r="K119" s="6">
        <f t="shared" si="35"/>
        <v>2000</v>
      </c>
      <c r="L119" s="6">
        <f t="shared" si="35"/>
        <v>2000</v>
      </c>
      <c r="M119" s="6">
        <f t="shared" si="35"/>
        <v>2000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>
      <c r="A120" s="1"/>
      <c r="B120" s="4" t="s">
        <v>23</v>
      </c>
      <c r="C120" s="4" t="s">
        <v>23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>
      <c r="A121" s="1" t="s">
        <v>79</v>
      </c>
      <c r="B121" s="6">
        <f>7486-200</f>
        <v>7286</v>
      </c>
      <c r="C121" s="6">
        <f>7339-200</f>
        <v>7139</v>
      </c>
      <c r="D121" s="6">
        <f>SUM(D118:D119)</f>
        <v>5722.9752771241829</v>
      </c>
      <c r="E121" s="6">
        <f t="shared" ref="E121:M121" si="36">SUM(E118:E119)</f>
        <v>5175.4407462274512</v>
      </c>
      <c r="F121" s="6">
        <f t="shared" si="36"/>
        <v>4635.1298746341854</v>
      </c>
      <c r="G121" s="6">
        <f t="shared" si="36"/>
        <v>4102.3225213027727</v>
      </c>
      <c r="H121" s="6">
        <f t="shared" si="36"/>
        <v>4176.560570735478</v>
      </c>
      <c r="I121" s="6">
        <f t="shared" si="36"/>
        <v>4253.4236978889621</v>
      </c>
      <c r="J121" s="6">
        <f t="shared" si="36"/>
        <v>4336.3372905835131</v>
      </c>
      <c r="K121" s="6">
        <f t="shared" si="36"/>
        <v>4424.7964104415541</v>
      </c>
      <c r="L121" s="6">
        <f t="shared" si="36"/>
        <v>4518.9541487395782</v>
      </c>
      <c r="M121" s="6">
        <f t="shared" si="36"/>
        <v>4618.9681349052671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>
      <c r="A122" s="1"/>
      <c r="B122" s="8" t="s">
        <v>80</v>
      </c>
      <c r="C122" s="8" t="s">
        <v>80</v>
      </c>
      <c r="D122" s="8" t="s">
        <v>80</v>
      </c>
      <c r="E122" s="8" t="s">
        <v>80</v>
      </c>
      <c r="F122" s="8" t="s">
        <v>80</v>
      </c>
      <c r="G122" s="8" t="s">
        <v>80</v>
      </c>
      <c r="H122" s="8" t="s">
        <v>80</v>
      </c>
      <c r="I122" s="8" t="s">
        <v>80</v>
      </c>
      <c r="J122" s="8" t="s">
        <v>80</v>
      </c>
      <c r="K122" s="8" t="s">
        <v>80</v>
      </c>
      <c r="L122" s="8" t="s">
        <v>80</v>
      </c>
      <c r="M122" s="8" t="s">
        <v>80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  <row r="345" spans="1:10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</row>
    <row r="346" spans="1:10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</row>
    <row r="347" spans="1:10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</row>
    <row r="348" spans="1:10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</row>
    <row r="349" spans="1:10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</row>
    <row r="350" spans="1:10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</row>
    <row r="351" spans="1:10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</row>
    <row r="352" spans="1:10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</row>
    <row r="353" spans="1:10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</row>
    <row r="354" spans="1:10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</row>
    <row r="355" spans="1:10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</row>
    <row r="356" spans="1:10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</row>
    <row r="357" spans="1:10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</row>
    <row r="358" spans="1:10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</row>
    <row r="359" spans="1:10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</row>
    <row r="360" spans="1:10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</row>
    <row r="361" spans="1:10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</row>
    <row r="362" spans="1:10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</row>
    <row r="363" spans="1:10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</row>
    <row r="364" spans="1:10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</row>
    <row r="365" spans="1:10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</row>
    <row r="366" spans="1:10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</row>
    <row r="367" spans="1:10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</row>
    <row r="368" spans="1:10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</row>
    <row r="369" spans="1:10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</row>
    <row r="370" spans="1:10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</row>
    <row r="371" spans="1:10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</row>
    <row r="372" spans="1:10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</row>
    <row r="373" spans="1:10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</row>
    <row r="374" spans="1:10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</row>
    <row r="375" spans="1:10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</row>
    <row r="376" spans="1:10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</row>
    <row r="377" spans="1:10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</row>
    <row r="378" spans="1:10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</row>
    <row r="379" spans="1:10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</row>
    <row r="380" spans="1:10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</row>
    <row r="381" spans="1:10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</row>
    <row r="382" spans="1:10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</row>
    <row r="383" spans="1:10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</row>
    <row r="384" spans="1:10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</row>
    <row r="385" spans="1:10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</row>
    <row r="386" spans="1:10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</row>
    <row r="387" spans="1:10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</row>
    <row r="388" spans="1:10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</row>
    <row r="389" spans="1:10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</row>
    <row r="390" spans="1:10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</row>
    <row r="391" spans="1:10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</row>
    <row r="392" spans="1:10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</row>
    <row r="393" spans="1:10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</row>
    <row r="394" spans="1:10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</row>
    <row r="395" spans="1:10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</row>
    <row r="396" spans="1:10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</row>
    <row r="397" spans="1:10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</row>
    <row r="398" spans="1:10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</row>
    <row r="399" spans="1:10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</row>
    <row r="400" spans="1:10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</row>
    <row r="401" spans="1:10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</row>
    <row r="402" spans="1:10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</row>
    <row r="403" spans="1:10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</row>
    <row r="404" spans="1:10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</row>
    <row r="405" spans="1:10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</row>
    <row r="406" spans="1:10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</row>
    <row r="407" spans="1:1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</row>
    <row r="408" spans="1:10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</row>
    <row r="409" spans="1:10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</row>
    <row r="410" spans="1:10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</row>
    <row r="411" spans="1:10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</row>
    <row r="412" spans="1:10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</row>
    <row r="413" spans="1:10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</row>
    <row r="414" spans="1:10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</row>
    <row r="415" spans="1:10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</row>
    <row r="416" spans="1:10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</row>
    <row r="417" spans="1:10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</row>
    <row r="418" spans="1:10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</row>
    <row r="419" spans="1:10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</row>
    <row r="420" spans="1:10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</row>
    <row r="421" spans="1:10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</row>
    <row r="422" spans="1:10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</row>
    <row r="423" spans="1:10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</row>
    <row r="424" spans="1:10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</row>
    <row r="425" spans="1:10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</row>
    <row r="426" spans="1:10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</row>
    <row r="427" spans="1:10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</row>
    <row r="428" spans="1:10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</row>
    <row r="429" spans="1:10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</row>
    <row r="430" spans="1:10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</row>
    <row r="431" spans="1:10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</row>
    <row r="432" spans="1:10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</row>
    <row r="433" spans="1:10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</row>
    <row r="434" spans="1:10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</row>
    <row r="435" spans="1:10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</row>
    <row r="436" spans="1:10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</row>
    <row r="437" spans="1:10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</row>
    <row r="438" spans="1:10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</row>
    <row r="439" spans="1:10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</row>
    <row r="440" spans="1:10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</row>
    <row r="441" spans="1:10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</row>
    <row r="442" spans="1:10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</row>
    <row r="443" spans="1:10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</row>
    <row r="444" spans="1:10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</row>
    <row r="445" spans="1:10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</row>
    <row r="446" spans="1:10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</row>
    <row r="447" spans="1:10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</row>
    <row r="448" spans="1:10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</row>
    <row r="449" spans="1:10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</row>
    <row r="450" spans="1:10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</row>
    <row r="451" spans="1:10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</row>
    <row r="452" spans="1:10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</row>
    <row r="453" spans="1:10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</row>
    <row r="454" spans="1:10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</row>
    <row r="455" spans="1:10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</row>
    <row r="456" spans="1:10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</row>
    <row r="457" spans="1:10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</row>
    <row r="458" spans="1:10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</row>
    <row r="459" spans="1:10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</row>
    <row r="460" spans="1:10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</row>
    <row r="461" spans="1:10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</row>
    <row r="462" spans="1:10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</row>
    <row r="463" spans="1:10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</row>
    <row r="464" spans="1:10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</row>
    <row r="465" spans="1:10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</row>
    <row r="466" spans="1:10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</row>
    <row r="467" spans="1:10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</row>
    <row r="468" spans="1:10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</row>
    <row r="469" spans="1:10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</row>
    <row r="470" spans="1:10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</row>
    <row r="471" spans="1:10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</row>
    <row r="472" spans="1:10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</row>
    <row r="473" spans="1:10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</row>
    <row r="474" spans="1:10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</row>
    <row r="475" spans="1:10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</row>
    <row r="476" spans="1:10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</row>
    <row r="477" spans="1:10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</row>
    <row r="478" spans="1:10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</row>
    <row r="479" spans="1:10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</row>
    <row r="480" spans="1:10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</row>
    <row r="481" spans="1:10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</row>
    <row r="482" spans="1:10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</row>
    <row r="483" spans="1:10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</row>
    <row r="484" spans="1:10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</row>
    <row r="485" spans="1:10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</row>
    <row r="486" spans="1:10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</row>
    <row r="487" spans="1:10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</row>
    <row r="488" spans="1:10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</row>
    <row r="489" spans="1:10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</row>
    <row r="490" spans="1:10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</row>
    <row r="491" spans="1:10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</row>
    <row r="492" spans="1:10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</row>
    <row r="493" spans="1:10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</row>
    <row r="494" spans="1:10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</row>
    <row r="495" spans="1:10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</row>
    <row r="496" spans="1:10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</row>
    <row r="497" spans="1:10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</row>
    <row r="498" spans="1:10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</row>
    <row r="499" spans="1:10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</row>
    <row r="500" spans="1:10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</row>
    <row r="501" spans="1:10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</row>
    <row r="502" spans="1:10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</row>
    <row r="503" spans="1:10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</row>
    <row r="504" spans="1:10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</row>
    <row r="505" spans="1:10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</row>
    <row r="506" spans="1:10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</row>
    <row r="507" spans="1:1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</row>
    <row r="508" spans="1:10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</row>
    <row r="509" spans="1:10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</row>
    <row r="510" spans="1:10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</row>
    <row r="511" spans="1:10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</row>
    <row r="512" spans="1:10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</row>
    <row r="513" spans="1:10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</row>
    <row r="514" spans="1:10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</row>
    <row r="515" spans="1:10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</row>
    <row r="516" spans="1:10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</row>
    <row r="517" spans="1:10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</row>
    <row r="518" spans="1:10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</row>
    <row r="519" spans="1:10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</row>
    <row r="520" spans="1:10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</row>
    <row r="521" spans="1:10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</row>
    <row r="522" spans="1:10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</row>
    <row r="523" spans="1:10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</row>
    <row r="524" spans="1:10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</row>
    <row r="525" spans="1:10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</row>
    <row r="526" spans="1:10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</row>
    <row r="527" spans="1:10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</row>
    <row r="528" spans="1:10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</row>
    <row r="529" spans="1:10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</row>
    <row r="530" spans="1:10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</row>
    <row r="531" spans="1:10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</row>
    <row r="532" spans="1:10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</row>
    <row r="533" spans="1:10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</row>
    <row r="534" spans="1:10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</row>
    <row r="535" spans="1:10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</row>
    <row r="536" spans="1:10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</row>
    <row r="537" spans="1:10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</row>
    <row r="538" spans="1:10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</row>
    <row r="539" spans="1:10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</row>
    <row r="540" spans="1:10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</row>
    <row r="541" spans="1:10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</row>
    <row r="542" spans="1:10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</row>
    <row r="543" spans="1:10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</row>
    <row r="544" spans="1:10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</row>
    <row r="545" spans="1:10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</row>
    <row r="546" spans="1:10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</row>
    <row r="547" spans="1:10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</row>
    <row r="548" spans="1:10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</row>
    <row r="549" spans="1:10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</row>
    <row r="550" spans="1:10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</row>
    <row r="551" spans="1:10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</row>
    <row r="552" spans="1:10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</row>
    <row r="553" spans="1:10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</row>
    <row r="554" spans="1:10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</row>
    <row r="555" spans="1:10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</row>
    <row r="556" spans="1:10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</row>
    <row r="557" spans="1:10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</row>
    <row r="558" spans="1:10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</row>
    <row r="559" spans="1:10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</row>
    <row r="560" spans="1:10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</row>
    <row r="561" spans="1:10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</row>
    <row r="562" spans="1:10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</row>
    <row r="563" spans="1:10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</row>
    <row r="564" spans="1:10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</row>
    <row r="565" spans="1:10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</row>
    <row r="566" spans="1:10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</row>
    <row r="567" spans="1:10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</row>
    <row r="568" spans="1:10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</row>
    <row r="569" spans="1:10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</row>
    <row r="570" spans="1:10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</row>
    <row r="571" spans="1:10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</row>
    <row r="572" spans="1:10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</row>
    <row r="573" spans="1:10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</row>
    <row r="574" spans="1:10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</row>
    <row r="575" spans="1:10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</row>
    <row r="576" spans="1:10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</row>
    <row r="577" spans="1:10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</row>
    <row r="578" spans="1:10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</row>
    <row r="579" spans="1:10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</row>
    <row r="580" spans="1:10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</row>
    <row r="581" spans="1:10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</row>
    <row r="582" spans="1:10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</row>
    <row r="583" spans="1:10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</row>
    <row r="584" spans="1:10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</row>
    <row r="585" spans="1:10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</row>
    <row r="586" spans="1:10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</row>
    <row r="587" spans="1:10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</row>
    <row r="588" spans="1:10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</row>
    <row r="589" spans="1:10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</row>
    <row r="590" spans="1:10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</row>
    <row r="591" spans="1:10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</row>
    <row r="592" spans="1:10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</row>
    <row r="593" spans="1:10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</row>
    <row r="594" spans="1:10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</row>
    <row r="595" spans="1:10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</row>
    <row r="596" spans="1:10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</row>
    <row r="597" spans="1:10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</row>
    <row r="598" spans="1:10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</row>
    <row r="599" spans="1:10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</row>
    <row r="600" spans="1:10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</row>
    <row r="601" spans="1:10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</row>
    <row r="602" spans="1:10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</row>
    <row r="603" spans="1:10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</row>
    <row r="604" spans="1:10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</row>
    <row r="605" spans="1:10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</row>
    <row r="606" spans="1:10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</row>
    <row r="607" spans="1:1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</row>
    <row r="608" spans="1:10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</row>
    <row r="609" spans="1:10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</row>
    <row r="610" spans="1:10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</row>
    <row r="611" spans="1:10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</row>
    <row r="612" spans="1:10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</row>
    <row r="613" spans="1:10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</row>
    <row r="614" spans="1:10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</row>
    <row r="615" spans="1:10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</row>
    <row r="616" spans="1:10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</row>
    <row r="617" spans="1:10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</row>
    <row r="618" spans="1:10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</row>
    <row r="619" spans="1:10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</row>
    <row r="620" spans="1:10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</row>
    <row r="621" spans="1:10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</row>
    <row r="622" spans="1:10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</row>
    <row r="623" spans="1:10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</row>
    <row r="624" spans="1:10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</row>
    <row r="625" spans="1:10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</row>
    <row r="626" spans="1:10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</row>
    <row r="627" spans="1:10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</row>
    <row r="628" spans="1:10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</row>
    <row r="629" spans="1:10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</row>
    <row r="630" spans="1:10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</row>
    <row r="631" spans="1:10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</row>
    <row r="632" spans="1:10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</row>
    <row r="633" spans="1:10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</row>
    <row r="634" spans="1:10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</row>
    <row r="635" spans="1:10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</row>
    <row r="636" spans="1:10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</row>
    <row r="637" spans="1:10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</row>
    <row r="638" spans="1:10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</row>
    <row r="639" spans="1:10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</row>
    <row r="640" spans="1:10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</row>
    <row r="641" spans="1:10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</row>
    <row r="642" spans="1:10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</row>
    <row r="643" spans="1:10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</row>
    <row r="644" spans="1:10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</row>
    <row r="645" spans="1:10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</row>
    <row r="646" spans="1:10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</row>
    <row r="647" spans="1:10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</row>
    <row r="648" spans="1:10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</row>
    <row r="649" spans="1:10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</row>
    <row r="650" spans="1:10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</row>
    <row r="651" spans="1:10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</row>
    <row r="652" spans="1:10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</row>
    <row r="653" spans="1:10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</row>
    <row r="654" spans="1:10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</row>
    <row r="655" spans="1:10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</row>
    <row r="656" spans="1:10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</row>
    <row r="657" spans="1:10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</row>
    <row r="658" spans="1:10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</row>
    <row r="659" spans="1:10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</row>
    <row r="660" spans="1:10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</row>
    <row r="661" spans="1:10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</row>
    <row r="662" spans="1:10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</row>
    <row r="663" spans="1:10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</row>
    <row r="664" spans="1:10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</row>
    <row r="665" spans="1:10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</row>
    <row r="666" spans="1:10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</row>
    <row r="667" spans="1:10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</row>
    <row r="668" spans="1:10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</row>
    <row r="669" spans="1:10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</row>
    <row r="670" spans="1:10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</row>
    <row r="671" spans="1:10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</row>
    <row r="672" spans="1:10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</row>
    <row r="673" spans="1:10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</row>
    <row r="674" spans="1:10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</row>
    <row r="675" spans="1:10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</row>
    <row r="676" spans="1:10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</row>
    <row r="677" spans="1:10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</row>
    <row r="678" spans="1:10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</row>
    <row r="679" spans="1:10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</row>
    <row r="680" spans="1:10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</row>
    <row r="681" spans="1:10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</row>
    <row r="682" spans="1:10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</row>
    <row r="683" spans="1:10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</row>
    <row r="684" spans="1:10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</row>
    <row r="685" spans="1:10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</row>
    <row r="686" spans="1:10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</row>
    <row r="687" spans="1:10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</row>
    <row r="688" spans="1:10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</row>
    <row r="689" spans="1:10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</row>
    <row r="690" spans="1:10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</row>
    <row r="691" spans="1:10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</row>
    <row r="692" spans="1:10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</row>
    <row r="693" spans="1:10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</row>
    <row r="694" spans="1:10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</row>
    <row r="695" spans="1:10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</row>
    <row r="696" spans="1:10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</row>
    <row r="697" spans="1:10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</row>
    <row r="698" spans="1:10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</row>
    <row r="699" spans="1:10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</row>
    <row r="700" spans="1:10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</row>
    <row r="701" spans="1:10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</row>
    <row r="702" spans="1:10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</row>
    <row r="703" spans="1:10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</row>
    <row r="704" spans="1:10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</row>
    <row r="705" spans="1:10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</row>
    <row r="706" spans="1:10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</row>
    <row r="707" spans="1:1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</row>
    <row r="708" spans="1:10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</row>
    <row r="709" spans="1:10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</row>
    <row r="710" spans="1:10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</row>
    <row r="711" spans="1:10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</row>
    <row r="712" spans="1:10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</row>
    <row r="713" spans="1:10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</row>
    <row r="714" spans="1:10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</row>
    <row r="715" spans="1:10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</row>
    <row r="716" spans="1:10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</row>
    <row r="717" spans="1:10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</row>
    <row r="718" spans="1:10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</row>
    <row r="719" spans="1:10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</row>
    <row r="720" spans="1:10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</row>
    <row r="721" spans="1:10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</row>
    <row r="722" spans="1:10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</row>
    <row r="723" spans="1:10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</row>
    <row r="724" spans="1:10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</row>
    <row r="725" spans="1:10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</row>
    <row r="726" spans="1:10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</row>
    <row r="727" spans="1:10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</row>
    <row r="728" spans="1:10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</row>
    <row r="729" spans="1:10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</row>
    <row r="730" spans="1:10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</row>
    <row r="731" spans="1:10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</row>
    <row r="732" spans="1:10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</row>
    <row r="733" spans="1:10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</row>
    <row r="734" spans="1:10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</row>
    <row r="735" spans="1:10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</row>
    <row r="736" spans="1:10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</row>
    <row r="737" spans="1:10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</row>
    <row r="738" spans="1:10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</row>
    <row r="739" spans="1:10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</row>
    <row r="740" spans="1:10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</row>
    <row r="741" spans="1:10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</row>
    <row r="742" spans="1:10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</row>
    <row r="743" spans="1:10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</row>
    <row r="744" spans="1:10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</row>
    <row r="745" spans="1:10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</row>
    <row r="746" spans="1:10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</row>
    <row r="747" spans="1:10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</row>
    <row r="748" spans="1:10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</row>
    <row r="749" spans="1:10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</row>
    <row r="750" spans="1:10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</row>
    <row r="751" spans="1:10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</row>
    <row r="752" spans="1:10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</row>
    <row r="753" spans="1:10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</row>
    <row r="754" spans="1:10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</row>
    <row r="755" spans="1:10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</row>
    <row r="756" spans="1:10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</row>
    <row r="757" spans="1:10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</row>
    <row r="758" spans="1:10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</row>
    <row r="759" spans="1:10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</row>
    <row r="760" spans="1:10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</row>
    <row r="761" spans="1:10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</row>
    <row r="762" spans="1:10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</row>
    <row r="763" spans="1:10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</row>
    <row r="764" spans="1:10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</row>
    <row r="765" spans="1:10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</row>
    <row r="766" spans="1:10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</row>
    <row r="767" spans="1:10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</row>
    <row r="768" spans="1:10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</row>
    <row r="769" spans="1:10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</row>
    <row r="770" spans="1:10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</row>
    <row r="771" spans="1:10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</row>
    <row r="772" spans="1:10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</row>
    <row r="773" spans="1:10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</row>
    <row r="774" spans="1:10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</row>
    <row r="775" spans="1:10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</row>
    <row r="776" spans="1:10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</row>
    <row r="777" spans="1:10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</row>
    <row r="778" spans="1:10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</row>
    <row r="779" spans="1:10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</row>
    <row r="780" spans="1:10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</row>
    <row r="781" spans="1:10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</row>
    <row r="782" spans="1:10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</row>
    <row r="783" spans="1:10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</row>
    <row r="784" spans="1:10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</row>
    <row r="785" spans="1:10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</row>
    <row r="786" spans="1:10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</row>
    <row r="787" spans="1:10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</row>
    <row r="788" spans="1:10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</row>
    <row r="789" spans="1:10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</row>
    <row r="790" spans="1:10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</row>
    <row r="791" spans="1:10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</row>
    <row r="792" spans="1:10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</row>
    <row r="793" spans="1:10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</row>
    <row r="794" spans="1:10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</row>
    <row r="795" spans="1:10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</row>
    <row r="796" spans="1:10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</row>
    <row r="797" spans="1:10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</row>
    <row r="798" spans="1:10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</row>
    <row r="799" spans="1:10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</row>
    <row r="800" spans="1:10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</row>
    <row r="801" spans="1:10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</row>
    <row r="802" spans="1:10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</row>
    <row r="803" spans="1:10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</row>
    <row r="804" spans="1:10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</row>
    <row r="805" spans="1:10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</row>
    <row r="806" spans="1:10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</row>
    <row r="807" spans="1:1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</row>
    <row r="808" spans="1:10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</row>
    <row r="809" spans="1:10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</row>
    <row r="810" spans="1:10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</row>
    <row r="811" spans="1:10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</row>
    <row r="812" spans="1:10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</row>
    <row r="813" spans="1:10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</row>
    <row r="814" spans="1:10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</row>
    <row r="815" spans="1:10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</row>
    <row r="816" spans="1:10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</row>
    <row r="817" spans="1:10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</row>
    <row r="818" spans="1:10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</row>
    <row r="819" spans="1:10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</row>
    <row r="820" spans="1:10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</row>
    <row r="821" spans="1:10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</row>
    <row r="822" spans="1:10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</row>
    <row r="823" spans="1:10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</row>
    <row r="824" spans="1:10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</row>
    <row r="825" spans="1:10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</row>
    <row r="826" spans="1:10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</row>
    <row r="827" spans="1:10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</row>
    <row r="828" spans="1:10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</row>
    <row r="829" spans="1:10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</row>
    <row r="830" spans="1:10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</row>
    <row r="831" spans="1:10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</row>
    <row r="832" spans="1:10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</row>
    <row r="833" spans="1:10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</row>
    <row r="834" spans="1:10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</row>
    <row r="835" spans="1:10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</row>
    <row r="836" spans="1:10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</row>
    <row r="837" spans="1:10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</row>
    <row r="838" spans="1:10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</row>
    <row r="839" spans="1:10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</row>
    <row r="840" spans="1:10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</row>
    <row r="841" spans="1:10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</row>
    <row r="842" spans="1:10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</row>
    <row r="843" spans="1:10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</row>
    <row r="844" spans="1:10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</row>
    <row r="845" spans="1:10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</row>
    <row r="846" spans="1:10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</row>
    <row r="847" spans="1:10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</row>
    <row r="848" spans="1:10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</row>
    <row r="849" spans="1:10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</row>
    <row r="850" spans="1:10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</row>
    <row r="851" spans="1:10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</row>
    <row r="852" spans="1:10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</row>
    <row r="853" spans="1:10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</row>
    <row r="854" spans="1:10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</row>
    <row r="855" spans="1:10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</row>
    <row r="856" spans="1:10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</row>
    <row r="857" spans="1:10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</row>
    <row r="858" spans="1:10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</row>
    <row r="859" spans="1:10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</row>
    <row r="860" spans="1:10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</row>
    <row r="861" spans="1:10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</row>
    <row r="862" spans="1:10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</row>
    <row r="863" spans="1:10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</row>
    <row r="864" spans="1:10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</row>
    <row r="865" spans="1:10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</row>
    <row r="866" spans="1:10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</row>
    <row r="867" spans="1:10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</row>
    <row r="868" spans="1:10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</row>
    <row r="869" spans="1:10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</row>
    <row r="870" spans="1:10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</row>
    <row r="871" spans="1:10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</row>
    <row r="872" spans="1:10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</row>
    <row r="873" spans="1:10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</row>
    <row r="874" spans="1:10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</row>
    <row r="875" spans="1:10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</row>
    <row r="876" spans="1:10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</row>
    <row r="877" spans="1:10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</row>
    <row r="878" spans="1:10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</row>
    <row r="879" spans="1:10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</row>
    <row r="880" spans="1:10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</row>
    <row r="881" spans="1:10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</row>
    <row r="882" spans="1:10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</row>
    <row r="883" spans="1:10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</row>
    <row r="884" spans="1:10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</row>
    <row r="885" spans="1:10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</row>
    <row r="886" spans="1:10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</row>
    <row r="887" spans="1:10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</row>
    <row r="888" spans="1:10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</row>
    <row r="889" spans="1:10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</row>
    <row r="890" spans="1:10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</row>
    <row r="891" spans="1:10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</row>
    <row r="892" spans="1:10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</row>
    <row r="893" spans="1:10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</row>
    <row r="894" spans="1:10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</row>
    <row r="895" spans="1:10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</row>
    <row r="896" spans="1:10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</row>
    <row r="897" spans="1:10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</row>
    <row r="898" spans="1:10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</row>
    <row r="899" spans="1:10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</row>
    <row r="900" spans="1:10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</row>
    <row r="901" spans="1:10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</row>
    <row r="902" spans="1:10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</row>
    <row r="903" spans="1:10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</row>
    <row r="904" spans="1:10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</row>
    <row r="905" spans="1:10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</row>
    <row r="906" spans="1:10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</row>
    <row r="907" spans="1:1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</row>
    <row r="908" spans="1:10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</row>
    <row r="909" spans="1:10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</row>
    <row r="910" spans="1:10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</row>
    <row r="911" spans="1:10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</row>
    <row r="912" spans="1:10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</row>
    <row r="913" spans="1:10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</row>
    <row r="914" spans="1:10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</row>
    <row r="915" spans="1:10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</row>
    <row r="916" spans="1:10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</row>
    <row r="917" spans="1:10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</row>
    <row r="918" spans="1:10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</row>
    <row r="919" spans="1:10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</row>
    <row r="920" spans="1:10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</row>
    <row r="921" spans="1:10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</row>
    <row r="922" spans="1:10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</row>
    <row r="923" spans="1:10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</row>
    <row r="924" spans="1:10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</row>
    <row r="925" spans="1:10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</row>
    <row r="926" spans="1:10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</row>
    <row r="927" spans="1:10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</row>
    <row r="928" spans="1:10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</row>
    <row r="929" spans="1:10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</row>
    <row r="930" spans="1:10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</row>
    <row r="931" spans="1:10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</row>
    <row r="932" spans="1:10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</row>
    <row r="933" spans="1:10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</row>
    <row r="934" spans="1:10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</row>
    <row r="935" spans="1:10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</row>
    <row r="936" spans="1:10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</row>
    <row r="937" spans="1:10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</row>
    <row r="938" spans="1:10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</row>
    <row r="939" spans="1:10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</row>
    <row r="940" spans="1:10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</row>
    <row r="941" spans="1:10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</row>
    <row r="942" spans="1:10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</row>
    <row r="943" spans="1:10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</row>
    <row r="944" spans="1:10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</row>
    <row r="945" spans="1:10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</row>
    <row r="946" spans="1:10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</row>
    <row r="947" spans="1:10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</row>
    <row r="948" spans="1:10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</row>
    <row r="949" spans="1:10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</row>
    <row r="950" spans="1:10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</row>
    <row r="951" spans="1:10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</row>
    <row r="952" spans="1:10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</row>
    <row r="953" spans="1:10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</row>
    <row r="954" spans="1:10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</row>
    <row r="955" spans="1:10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</row>
    <row r="956" spans="1:10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</row>
    <row r="957" spans="1:10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</row>
    <row r="958" spans="1:10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</row>
    <row r="959" spans="1:10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</row>
    <row r="960" spans="1:10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</row>
    <row r="961" spans="1:10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</row>
    <row r="962" spans="1:10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</row>
    <row r="963" spans="1:10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</row>
    <row r="964" spans="1:10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</row>
    <row r="965" spans="1:10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</row>
    <row r="966" spans="1:10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</row>
    <row r="967" spans="1:10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</row>
    <row r="968" spans="1:10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</row>
    <row r="969" spans="1:10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</row>
    <row r="970" spans="1:10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</row>
    <row r="971" spans="1:10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</row>
    <row r="972" spans="1:10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</row>
    <row r="973" spans="1:10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</row>
    <row r="974" spans="1:10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</row>
    <row r="975" spans="1:10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</row>
    <row r="976" spans="1:10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</row>
    <row r="977" spans="1:10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</row>
    <row r="978" spans="1:10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</row>
    <row r="979" spans="1:10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</row>
    <row r="980" spans="1:10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</row>
    <row r="981" spans="1:10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</row>
    <row r="982" spans="1:10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</row>
    <row r="983" spans="1:10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</row>
    <row r="984" spans="1:10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</row>
    <row r="985" spans="1:10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</row>
    <row r="986" spans="1:10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</row>
    <row r="987" spans="1:10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</row>
    <row r="988" spans="1:10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</row>
    <row r="989" spans="1:10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</row>
    <row r="990" spans="1:10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</row>
    <row r="991" spans="1:10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</row>
    <row r="992" spans="1:10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</row>
    <row r="993" spans="1:10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</row>
    <row r="994" spans="1:10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</row>
    <row r="995" spans="1:10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</row>
    <row r="996" spans="1:10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</row>
    <row r="997" spans="1:10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</row>
    <row r="998" spans="1:10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</row>
    <row r="999" spans="1:10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</row>
    <row r="1000" spans="1:10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</row>
    <row r="1001" spans="1:107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</row>
    <row r="1002" spans="1:107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</row>
    <row r="1003" spans="1:107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</row>
    <row r="1004" spans="1:107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</row>
    <row r="1005" spans="1:107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</row>
    <row r="1006" spans="1:107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</row>
    <row r="1007" spans="1:1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</row>
    <row r="1008" spans="1:107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</row>
    <row r="1009" spans="1:107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</row>
    <row r="1010" spans="1:107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</row>
    <row r="1011" spans="1:107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</row>
    <row r="1012" spans="1:107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</row>
    <row r="1013" spans="1:107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</row>
    <row r="1014" spans="1:107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</row>
    <row r="1015" spans="1:107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</row>
    <row r="1016" spans="1:107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</row>
    <row r="1017" spans="1:10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</row>
    <row r="1018" spans="1:107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</row>
    <row r="1019" spans="1:107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</row>
    <row r="1020" spans="1:107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</row>
    <row r="1021" spans="1:107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</row>
    <row r="1022" spans="1:107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</row>
    <row r="1023" spans="1:107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</row>
    <row r="1024" spans="1:107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</row>
    <row r="1025" spans="1:107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</row>
    <row r="1026" spans="1:107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</row>
    <row r="1027" spans="1:10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</row>
    <row r="1028" spans="1:107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</row>
    <row r="1029" spans="1:107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</row>
    <row r="1030" spans="1:107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</row>
    <row r="1031" spans="1:107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</row>
    <row r="1032" spans="1:107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</row>
    <row r="1033" spans="1:107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</row>
    <row r="1034" spans="1:107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</row>
    <row r="1035" spans="1:107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</row>
    <row r="1036" spans="1:107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</row>
    <row r="1037" spans="1:10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</row>
    <row r="1038" spans="1:107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</row>
    <row r="1039" spans="1:107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</row>
    <row r="1040" spans="1:107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</row>
    <row r="1041" spans="1:107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</row>
    <row r="1042" spans="1:107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</row>
    <row r="1043" spans="1:107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</row>
    <row r="1044" spans="1:107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</row>
    <row r="1045" spans="1:107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</row>
    <row r="1046" spans="1:107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</row>
    <row r="1047" spans="1:10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</row>
    <row r="1048" spans="1:107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</row>
    <row r="1049" spans="1:107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</row>
    <row r="1050" spans="1:107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</row>
    <row r="1051" spans="1:107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</row>
    <row r="1052" spans="1:107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</row>
    <row r="1053" spans="1:107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</row>
    <row r="1054" spans="1:107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</row>
    <row r="1055" spans="1:107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</row>
    <row r="1056" spans="1:107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</row>
    <row r="1057" spans="1:10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</row>
    <row r="1058" spans="1:107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</row>
    <row r="1059" spans="1:107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</row>
    <row r="1060" spans="1:107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</row>
    <row r="1061" spans="1:107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</row>
    <row r="1062" spans="1:107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</row>
    <row r="1063" spans="1:107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</row>
    <row r="1064" spans="1:107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</row>
    <row r="1065" spans="1:107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</row>
    <row r="1066" spans="1:107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</row>
    <row r="1067" spans="1:10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</row>
    <row r="1068" spans="1:107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</row>
    <row r="1069" spans="1:107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</row>
    <row r="1070" spans="1:107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</row>
    <row r="1071" spans="1:107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</row>
    <row r="1072" spans="1:107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</row>
    <row r="1073" spans="1:107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</row>
    <row r="1074" spans="1:107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</row>
    <row r="1075" spans="1:107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</row>
    <row r="1076" spans="1:107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</row>
    <row r="1077" spans="1:10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</row>
    <row r="1078" spans="1:107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</row>
    <row r="1079" spans="1:107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</row>
    <row r="1080" spans="1:107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</row>
    <row r="1081" spans="1:107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</row>
    <row r="1082" spans="1:107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</row>
    <row r="1083" spans="1:107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</row>
    <row r="1084" spans="1:107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</row>
    <row r="1085" spans="1:107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</row>
    <row r="1086" spans="1:107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</row>
    <row r="1087" spans="1:10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</row>
    <row r="1088" spans="1:107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</row>
    <row r="1089" spans="1:107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</row>
    <row r="1090" spans="1:107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</row>
    <row r="1091" spans="1:107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</row>
    <row r="1092" spans="1:107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</row>
    <row r="1093" spans="1:107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</row>
    <row r="1094" spans="1:107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</row>
    <row r="1095" spans="1:107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</row>
    <row r="1096" spans="1:107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</row>
    <row r="1097" spans="1:10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</row>
    <row r="1098" spans="1:107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</row>
    <row r="1099" spans="1:107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</row>
    <row r="1100" spans="1:107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</row>
    <row r="1101" spans="1:107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</row>
    <row r="1102" spans="1:107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</row>
    <row r="1103" spans="1:107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</row>
    <row r="1104" spans="1:107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</row>
    <row r="1105" spans="1:107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</row>
    <row r="1106" spans="1:107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</row>
    <row r="1107" spans="1: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</row>
    <row r="1108" spans="1:107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</row>
    <row r="1109" spans="1:107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</row>
    <row r="1110" spans="1:107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</row>
    <row r="1111" spans="1:107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</row>
    <row r="1112" spans="1:107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</row>
    <row r="1113" spans="1:107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</row>
    <row r="1114" spans="1:107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</row>
    <row r="1115" spans="1:107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</row>
    <row r="1116" spans="1:107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</row>
    <row r="1117" spans="1:10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</row>
    <row r="1118" spans="1:107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</row>
    <row r="1119" spans="1:107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</row>
    <row r="1120" spans="1:107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</row>
    <row r="1121" spans="1:107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</row>
    <row r="1122" spans="1:107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</row>
    <row r="1123" spans="1:107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</row>
    <row r="1124" spans="1:107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</row>
    <row r="1125" spans="1:107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</row>
    <row r="1126" spans="1:107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</row>
    <row r="1127" spans="1:10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</row>
    <row r="1128" spans="1:107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</row>
    <row r="1129" spans="1:107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</row>
    <row r="1130" spans="1:107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</row>
    <row r="1131" spans="1:107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</row>
    <row r="1132" spans="1:107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</row>
    <row r="1133" spans="1:107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</row>
    <row r="1134" spans="1:107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</row>
    <row r="1135" spans="1:107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</row>
    <row r="1136" spans="1:107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</row>
    <row r="1137" spans="1:10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</row>
    <row r="1138" spans="1:107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</row>
    <row r="1139" spans="1:107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</row>
    <row r="1140" spans="1:107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</row>
    <row r="1141" spans="1:107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</row>
    <row r="1142" spans="1:107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</row>
    <row r="1143" spans="1:107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</row>
    <row r="1144" spans="1:107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</row>
    <row r="1145" spans="1:107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</row>
    <row r="1146" spans="1:107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</row>
    <row r="1147" spans="1:10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</row>
    <row r="1148" spans="1:107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</row>
    <row r="1149" spans="1:107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</row>
    <row r="1150" spans="1:107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</row>
    <row r="1151" spans="1:107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</row>
    <row r="1152" spans="1:107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</row>
    <row r="1153" spans="1:107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</row>
    <row r="1154" spans="1:107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</row>
    <row r="1155" spans="1:107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</row>
    <row r="1156" spans="1:107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</row>
    <row r="1157" spans="1:10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</row>
    <row r="1158" spans="1:107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</row>
    <row r="1159" spans="1:107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</row>
    <row r="1160" spans="1:107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</row>
    <row r="1161" spans="1:107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</row>
    <row r="1162" spans="1:107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</row>
    <row r="1163" spans="1:107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</row>
    <row r="1164" spans="1:107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</row>
    <row r="1165" spans="1:107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</row>
    <row r="1166" spans="1:107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</row>
    <row r="1167" spans="1:10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</row>
    <row r="1168" spans="1:107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</row>
    <row r="1169" spans="1:107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</row>
    <row r="1170" spans="1:107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</row>
    <row r="1171" spans="1:107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</row>
    <row r="1172" spans="1:107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</row>
    <row r="1173" spans="1:107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</row>
    <row r="1174" spans="1:107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</row>
    <row r="1175" spans="1:107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</row>
    <row r="1176" spans="1:107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</row>
    <row r="1177" spans="1:10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</row>
    <row r="1178" spans="1:107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</row>
    <row r="1179" spans="1:107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</row>
    <row r="1180" spans="1:107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</row>
    <row r="1181" spans="1:107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</row>
    <row r="1182" spans="1:107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</row>
    <row r="1183" spans="1:107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</row>
    <row r="1184" spans="1:107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</row>
    <row r="1185" spans="1:107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</row>
    <row r="1186" spans="1:107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</row>
    <row r="1187" spans="1:10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</row>
    <row r="1188" spans="1:107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</row>
    <row r="1189" spans="1:107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</row>
    <row r="1190" spans="1:107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</row>
    <row r="1191" spans="1:107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</row>
    <row r="1192" spans="1:107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</row>
    <row r="1193" spans="1:107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</row>
    <row r="1194" spans="1:107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</row>
    <row r="1195" spans="1:107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</row>
    <row r="1196" spans="1:107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</row>
    <row r="1197" spans="1:10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</row>
    <row r="1198" spans="1:107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</row>
    <row r="1199" spans="1:107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</row>
    <row r="1200" spans="1:107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</row>
    <row r="1201" spans="1:107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</row>
    <row r="1202" spans="1:107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</row>
    <row r="1203" spans="1:107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</row>
    <row r="1204" spans="1:107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</row>
    <row r="1205" spans="1:107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</row>
    <row r="1206" spans="1:107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</row>
    <row r="1207" spans="1:1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</row>
    <row r="1208" spans="1:107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</row>
    <row r="1209" spans="1:107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</row>
    <row r="1210" spans="1:107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</row>
    <row r="1211" spans="1:107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</row>
    <row r="1212" spans="1:107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</row>
    <row r="1213" spans="1:107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</row>
    <row r="1214" spans="1:107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</row>
    <row r="1215" spans="1:107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</row>
    <row r="1216" spans="1:107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</row>
    <row r="1217" spans="1:10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</row>
    <row r="1218" spans="1:107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</row>
    <row r="1219" spans="1:107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</row>
    <row r="1220" spans="1:107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</row>
    <row r="1221" spans="1:107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</row>
    <row r="1222" spans="1:107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</row>
    <row r="1223" spans="1:107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</row>
    <row r="1224" spans="1:107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</row>
    <row r="1225" spans="1:107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</row>
    <row r="1226" spans="1:107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</row>
    <row r="1227" spans="1:10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</row>
    <row r="1228" spans="1:107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</row>
    <row r="1229" spans="1:107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</row>
    <row r="1230" spans="1:107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</row>
    <row r="1231" spans="1:107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</row>
    <row r="1232" spans="1:107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</row>
    <row r="1233" spans="1:107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</row>
    <row r="1234" spans="1:107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</row>
    <row r="1235" spans="1:107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</row>
    <row r="1236" spans="1:107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</row>
    <row r="1237" spans="1:10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</row>
    <row r="1238" spans="1:107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</row>
    <row r="1239" spans="1:107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</row>
    <row r="1240" spans="1:107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</row>
    <row r="1241" spans="1:107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</row>
    <row r="1242" spans="1:107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</row>
    <row r="1243" spans="1:107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</row>
    <row r="1244" spans="1:107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</row>
    <row r="1245" spans="1:107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</row>
    <row r="1246" spans="1:107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</row>
    <row r="1247" spans="1:10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</row>
    <row r="1248" spans="1:107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</row>
    <row r="1249" spans="1:107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</row>
    <row r="1250" spans="1:107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</row>
    <row r="1251" spans="1:107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</row>
    <row r="1252" spans="1:107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</row>
    <row r="1253" spans="1:107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</row>
    <row r="1254" spans="1:107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</row>
    <row r="1255" spans="1:107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</row>
    <row r="1256" spans="1:107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</row>
    <row r="1257" spans="1:10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</row>
    <row r="1258" spans="1:107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</row>
    <row r="1259" spans="1:107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</row>
    <row r="1260" spans="1:107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</row>
    <row r="1261" spans="1:107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</row>
    <row r="1262" spans="1:107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</row>
    <row r="1263" spans="1:107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</row>
    <row r="1264" spans="1:107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</row>
    <row r="1265" spans="1:107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</row>
    <row r="1266" spans="1:107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</row>
    <row r="1267" spans="1:10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</row>
    <row r="1268" spans="1:107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</row>
    <row r="1269" spans="1:107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</row>
    <row r="1270" spans="1:107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</row>
    <row r="1271" spans="1:107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</row>
    <row r="1272" spans="1:107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</row>
    <row r="1273" spans="1:107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</row>
    <row r="1274" spans="1:107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</row>
    <row r="1275" spans="1:107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</row>
    <row r="1276" spans="1:107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</row>
    <row r="1277" spans="1:10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</row>
    <row r="1278" spans="1:107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</row>
    <row r="1279" spans="1:107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</row>
    <row r="1280" spans="1:107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</row>
    <row r="1281" spans="1:107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</row>
    <row r="1282" spans="1:107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</row>
    <row r="1283" spans="1:107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</row>
    <row r="1284" spans="1:107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</row>
    <row r="1285" spans="1:107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</row>
    <row r="1286" spans="1:107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</row>
    <row r="1287" spans="1:10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</row>
    <row r="1288" spans="1:107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</row>
    <row r="1289" spans="1:107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</row>
    <row r="1290" spans="1:107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</row>
    <row r="1291" spans="1:107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</row>
    <row r="1292" spans="1:107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</row>
    <row r="1293" spans="1:107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</row>
    <row r="1294" spans="1:107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</row>
    <row r="1295" spans="1:107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</row>
    <row r="1296" spans="1:107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</row>
    <row r="1297" spans="1:10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</row>
    <row r="1298" spans="1:107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</row>
    <row r="1299" spans="1:107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</row>
    <row r="1300" spans="1:107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</row>
    <row r="1301" spans="1:107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</row>
    <row r="1302" spans="1:107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</row>
    <row r="1303" spans="1:107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</row>
    <row r="1304" spans="1:107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</row>
    <row r="1305" spans="1:107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</row>
    <row r="1306" spans="1:107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</row>
    <row r="1307" spans="1:1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</row>
    <row r="1308" spans="1:107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</row>
    <row r="1309" spans="1:107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</row>
    <row r="1310" spans="1:107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</row>
    <row r="1311" spans="1:107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</row>
    <row r="1312" spans="1:107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</row>
    <row r="1313" spans="1:107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</row>
    <row r="1314" spans="1:107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</row>
    <row r="1315" spans="1:107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</row>
    <row r="1316" spans="1:107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</row>
    <row r="1317" spans="1:10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</row>
    <row r="1318" spans="1:107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</row>
    <row r="1319" spans="1:107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</row>
    <row r="1320" spans="1:107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</row>
    <row r="1321" spans="1:107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</row>
    <row r="1322" spans="1:107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</row>
    <row r="1323" spans="1:107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</row>
    <row r="1324" spans="1:107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</row>
    <row r="1325" spans="1:107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  <c r="DB1325" s="1"/>
      <c r="DC1325" s="1"/>
    </row>
    <row r="1326" spans="1:107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  <c r="DC1326" s="1"/>
    </row>
    <row r="1327" spans="1:10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</row>
    <row r="1328" spans="1:107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  <c r="DB1328" s="1"/>
      <c r="DC1328" s="1"/>
    </row>
    <row r="1329" spans="1:107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</row>
    <row r="1330" spans="1:107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  <c r="DB1330" s="1"/>
      <c r="DC1330" s="1"/>
    </row>
    <row r="1331" spans="1:107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</row>
    <row r="1332" spans="1:107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  <c r="DB1332" s="1"/>
      <c r="DC1332" s="1"/>
    </row>
    <row r="1333" spans="1:107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</row>
    <row r="1334" spans="1:107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  <c r="DB1334" s="1"/>
      <c r="DC1334" s="1"/>
    </row>
    <row r="1335" spans="1:107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  <c r="DB1335" s="1"/>
      <c r="DC1335" s="1"/>
    </row>
    <row r="1336" spans="1:107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  <c r="DB1336" s="1"/>
      <c r="DC1336" s="1"/>
    </row>
    <row r="1337" spans="1:10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</row>
    <row r="1338" spans="1:107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  <c r="DB1338" s="1"/>
      <c r="DC1338" s="1"/>
    </row>
    <row r="1339" spans="1:107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</row>
    <row r="1340" spans="1:107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  <c r="DB1340" s="1"/>
      <c r="DC1340" s="1"/>
    </row>
    <row r="1341" spans="1:107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</row>
    <row r="1342" spans="1:107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  <c r="DB1342" s="1"/>
      <c r="DC1342" s="1"/>
    </row>
    <row r="1343" spans="1:107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</row>
    <row r="1344" spans="1:107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  <c r="DC1344" s="1"/>
    </row>
    <row r="1345" spans="1:107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</row>
    <row r="1346" spans="1:107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</row>
    <row r="1347" spans="1:10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</row>
    <row r="1348" spans="1:107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  <c r="DB1348" s="1"/>
      <c r="DC1348" s="1"/>
    </row>
    <row r="1349" spans="1:107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</row>
    <row r="1350" spans="1:107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  <c r="DB1350" s="1"/>
      <c r="DC1350" s="1"/>
    </row>
    <row r="1351" spans="1:107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</row>
    <row r="1352" spans="1:107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  <c r="DB1352" s="1"/>
      <c r="DC1352" s="1"/>
    </row>
    <row r="1353" spans="1:107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</row>
    <row r="1354" spans="1:107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  <c r="DB1354" s="1"/>
      <c r="DC1354" s="1"/>
    </row>
    <row r="1355" spans="1:107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  <c r="DB1355" s="1"/>
      <c r="DC1355" s="1"/>
    </row>
    <row r="1356" spans="1:107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  <c r="DB1356" s="1"/>
      <c r="DC1356" s="1"/>
    </row>
    <row r="1357" spans="1:10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</row>
    <row r="1358" spans="1:107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  <c r="DB1358" s="1"/>
      <c r="DC1358" s="1"/>
    </row>
    <row r="1359" spans="1:107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  <c r="DC1359" s="1"/>
    </row>
    <row r="1360" spans="1:107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  <c r="DC1360" s="1"/>
    </row>
    <row r="1361" spans="1:107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  <c r="DC1361" s="1"/>
    </row>
    <row r="1362" spans="1:107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  <c r="DC1362" s="1"/>
    </row>
    <row r="1363" spans="1:107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  <c r="DC1363" s="1"/>
    </row>
    <row r="1364" spans="1:107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  <c r="DB1364" s="1"/>
      <c r="DC1364" s="1"/>
    </row>
    <row r="1365" spans="1:107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  <c r="DC1365" s="1"/>
    </row>
    <row r="1366" spans="1:107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  <c r="DB1366" s="1"/>
      <c r="DC1366" s="1"/>
    </row>
    <row r="1367" spans="1:10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  <c r="DC1367" s="1"/>
    </row>
    <row r="1368" spans="1:107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  <c r="DB1368" s="1"/>
      <c r="DC1368" s="1"/>
    </row>
    <row r="1369" spans="1:107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  <c r="DB1369" s="1"/>
      <c r="DC1369" s="1"/>
    </row>
    <row r="1370" spans="1:107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  <c r="DB1370" s="1"/>
      <c r="DC1370" s="1"/>
    </row>
    <row r="1371" spans="1:107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  <c r="DC1371" s="1"/>
    </row>
    <row r="1372" spans="1:107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  <c r="DB1372" s="1"/>
      <c r="DC1372" s="1"/>
    </row>
    <row r="1373" spans="1:107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</row>
    <row r="1374" spans="1:107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  <c r="DC1374" s="1"/>
    </row>
    <row r="1375" spans="1:107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  <c r="DC1375" s="1"/>
    </row>
    <row r="1376" spans="1:107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  <c r="DB1376" s="1"/>
      <c r="DC1376" s="1"/>
    </row>
    <row r="1377" spans="1:10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  <c r="DC1377" s="1"/>
    </row>
    <row r="1378" spans="1:107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  <c r="DC1378" s="1"/>
    </row>
    <row r="1379" spans="1:107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</row>
    <row r="1380" spans="1:107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  <c r="DB1380" s="1"/>
      <c r="DC1380" s="1"/>
    </row>
    <row r="1381" spans="1:107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</row>
    <row r="1382" spans="1:107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  <c r="DB1382" s="1"/>
      <c r="DC1382" s="1"/>
    </row>
    <row r="1383" spans="1:107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</row>
    <row r="1384" spans="1:107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</row>
    <row r="1385" spans="1:107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  <c r="DC1385" s="1"/>
    </row>
    <row r="1386" spans="1:107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  <c r="DB1386" s="1"/>
      <c r="DC1386" s="1"/>
    </row>
    <row r="1387" spans="1:10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  <c r="DB1387" s="1"/>
      <c r="DC1387" s="1"/>
    </row>
    <row r="1388" spans="1:107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  <c r="DB1388" s="1"/>
      <c r="DC1388" s="1"/>
    </row>
    <row r="1389" spans="1:107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  <c r="DC1389" s="1"/>
    </row>
    <row r="1390" spans="1:107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</row>
    <row r="1391" spans="1:107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  <c r="DC1391" s="1"/>
    </row>
    <row r="1392" spans="1:107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  <c r="DC1392" s="1"/>
    </row>
    <row r="1393" spans="1:107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  <c r="DC1393" s="1"/>
    </row>
    <row r="1394" spans="1:107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  <c r="DC1394" s="1"/>
    </row>
    <row r="1395" spans="1:107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  <c r="DB1395" s="1"/>
      <c r="DC1395" s="1"/>
    </row>
    <row r="1396" spans="1:107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  <c r="DB1396" s="1"/>
      <c r="DC1396" s="1"/>
    </row>
    <row r="1397" spans="1:10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</row>
    <row r="1398" spans="1:107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  <c r="DB1398" s="1"/>
      <c r="DC1398" s="1"/>
    </row>
    <row r="1399" spans="1:107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  <c r="DC1399" s="1"/>
    </row>
    <row r="1400" spans="1:107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  <c r="DB1400" s="1"/>
      <c r="DC1400" s="1"/>
    </row>
    <row r="1401" spans="1:107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</row>
    <row r="1402" spans="1:107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  <c r="DC1402" s="1"/>
    </row>
    <row r="1403" spans="1:107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  <c r="DC1403" s="1"/>
    </row>
    <row r="1404" spans="1:107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/>
      <c r="DB1404" s="1"/>
      <c r="DC1404" s="1"/>
    </row>
    <row r="1405" spans="1:107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  <c r="DB1405" s="1"/>
      <c r="DC1405" s="1"/>
    </row>
    <row r="1406" spans="1:107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/>
      <c r="DB1406" s="1"/>
      <c r="DC1406" s="1"/>
    </row>
    <row r="1407" spans="1:1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  <c r="DC1407" s="1"/>
    </row>
    <row r="1408" spans="1:107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/>
      <c r="DB1408" s="1"/>
      <c r="DC1408" s="1"/>
    </row>
    <row r="1409" spans="1:107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  <c r="DB1409" s="1"/>
      <c r="DC1409" s="1"/>
    </row>
    <row r="1410" spans="1:107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/>
      <c r="DB1410" s="1"/>
      <c r="DC1410" s="1"/>
    </row>
    <row r="1411" spans="1:107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  <c r="DB1411" s="1"/>
      <c r="DC1411" s="1"/>
    </row>
    <row r="1412" spans="1:107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/>
      <c r="DB1412" s="1"/>
      <c r="DC1412" s="1"/>
    </row>
    <row r="1413" spans="1:107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  <c r="DB1413" s="1"/>
      <c r="DC1413" s="1"/>
    </row>
    <row r="1414" spans="1:107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/>
      <c r="DB1414" s="1"/>
      <c r="DC1414" s="1"/>
    </row>
    <row r="1415" spans="1:107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  <c r="DB1415" s="1"/>
      <c r="DC1415" s="1"/>
    </row>
    <row r="1416" spans="1:107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/>
      <c r="DB1416" s="1"/>
      <c r="DC1416" s="1"/>
    </row>
    <row r="1417" spans="1:10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  <c r="DB1417" s="1"/>
      <c r="DC1417" s="1"/>
    </row>
    <row r="1418" spans="1:107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/>
      <c r="DB1418" s="1"/>
      <c r="DC1418" s="1"/>
    </row>
    <row r="1419" spans="1:107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  <c r="DB1419" s="1"/>
      <c r="DC1419" s="1"/>
    </row>
    <row r="1420" spans="1:107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/>
      <c r="DB1420" s="1"/>
      <c r="DC1420" s="1"/>
    </row>
    <row r="1421" spans="1:107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  <c r="DB1421" s="1"/>
      <c r="DC1421" s="1"/>
    </row>
    <row r="1422" spans="1:107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/>
      <c r="DB1422" s="1"/>
      <c r="DC1422" s="1"/>
    </row>
    <row r="1423" spans="1:107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  <c r="DB1423" s="1"/>
      <c r="DC1423" s="1"/>
    </row>
    <row r="1424" spans="1:107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/>
      <c r="DB1424" s="1"/>
      <c r="DC1424" s="1"/>
    </row>
    <row r="1425" spans="1:107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  <c r="DC1425" s="1"/>
    </row>
    <row r="1426" spans="1:107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/>
      <c r="DB1426" s="1"/>
      <c r="DC1426" s="1"/>
    </row>
    <row r="1427" spans="1:10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  <c r="DB1427" s="1"/>
      <c r="DC1427" s="1"/>
    </row>
    <row r="1428" spans="1:107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/>
      <c r="DB1428" s="1"/>
      <c r="DC1428" s="1"/>
    </row>
    <row r="1429" spans="1:107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  <c r="DB1429" s="1"/>
      <c r="DC1429" s="1"/>
    </row>
    <row r="1430" spans="1:107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/>
      <c r="DB1430" s="1"/>
      <c r="DC1430" s="1"/>
    </row>
    <row r="1431" spans="1:107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/>
      <c r="DB1431" s="1"/>
      <c r="DC1431" s="1"/>
    </row>
    <row r="1432" spans="1:107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/>
      <c r="DB1432" s="1"/>
      <c r="DC1432" s="1"/>
    </row>
    <row r="1433" spans="1:107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  <c r="DC1433" s="1"/>
    </row>
    <row r="1434" spans="1:107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/>
      <c r="DB1434" s="1"/>
      <c r="DC1434" s="1"/>
    </row>
    <row r="1435" spans="1:107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  <c r="DB1435" s="1"/>
      <c r="DC1435" s="1"/>
    </row>
    <row r="1436" spans="1:107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  <c r="DB1436" s="1"/>
      <c r="DC1436" s="1"/>
    </row>
    <row r="1437" spans="1:10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  <c r="DB1437" s="1"/>
      <c r="DC1437" s="1"/>
    </row>
    <row r="1438" spans="1:107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/>
      <c r="DB1438" s="1"/>
      <c r="DC1438" s="1"/>
    </row>
    <row r="1439" spans="1:107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  <c r="DB1439" s="1"/>
      <c r="DC1439" s="1"/>
    </row>
    <row r="1440" spans="1:107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/>
      <c r="DB1440" s="1"/>
      <c r="DC1440" s="1"/>
    </row>
    <row r="1441" spans="1:107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  <c r="DB1441" s="1"/>
      <c r="DC1441" s="1"/>
    </row>
    <row r="1442" spans="1:107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  <c r="DB1442" s="1"/>
      <c r="DC1442" s="1"/>
    </row>
    <row r="1443" spans="1:107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  <c r="DC1443" s="1"/>
    </row>
    <row r="1444" spans="1:107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  <c r="DB1444" s="1"/>
      <c r="DC1444" s="1"/>
    </row>
    <row r="1445" spans="1:107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  <c r="DB1445" s="1"/>
      <c r="DC1445" s="1"/>
    </row>
    <row r="1446" spans="1:107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/>
      <c r="DB1446" s="1"/>
      <c r="DC1446" s="1"/>
    </row>
    <row r="1447" spans="1:10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  <c r="DB1447" s="1"/>
      <c r="DC1447" s="1"/>
    </row>
    <row r="1448" spans="1:107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/>
      <c r="DB1448" s="1"/>
      <c r="DC1448" s="1"/>
    </row>
    <row r="1449" spans="1:107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  <c r="DB1449" s="1"/>
      <c r="DC1449" s="1"/>
    </row>
    <row r="1450" spans="1:107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/>
      <c r="DB1450" s="1"/>
      <c r="DC1450" s="1"/>
    </row>
    <row r="1451" spans="1:107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  <c r="DB1451" s="1"/>
      <c r="DC1451" s="1"/>
    </row>
    <row r="1452" spans="1:107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  <c r="DB1452" s="1"/>
      <c r="DC1452" s="1"/>
    </row>
    <row r="1453" spans="1:107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  <c r="DC1453" s="1"/>
    </row>
    <row r="1454" spans="1:107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  <c r="DB1454" s="1"/>
      <c r="DC1454" s="1"/>
    </row>
    <row r="1455" spans="1:107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</row>
    <row r="1456" spans="1:107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  <c r="DC1456" s="1"/>
    </row>
    <row r="1457" spans="1:10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</row>
    <row r="1458" spans="1:107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  <c r="DB1458" s="1"/>
      <c r="DC1458" s="1"/>
    </row>
    <row r="1459" spans="1:107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  <c r="DC1459" s="1"/>
    </row>
    <row r="1460" spans="1:107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  <c r="DB1460" s="1"/>
      <c r="DC1460" s="1"/>
    </row>
    <row r="1461" spans="1:107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</row>
    <row r="1462" spans="1:107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  <c r="DB1462" s="1"/>
      <c r="DC1462" s="1"/>
    </row>
    <row r="1463" spans="1:107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</row>
    <row r="1464" spans="1:107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  <c r="DC1464" s="1"/>
    </row>
    <row r="1465" spans="1:107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  <c r="DB1465" s="1"/>
      <c r="DC1465" s="1"/>
    </row>
    <row r="1466" spans="1:107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  <c r="DB1466" s="1"/>
      <c r="DC1466" s="1"/>
    </row>
    <row r="1467" spans="1:10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  <c r="DC1467" s="1"/>
    </row>
    <row r="1468" spans="1:107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  <c r="DC1468" s="1"/>
    </row>
    <row r="1469" spans="1:107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  <c r="DC1469" s="1"/>
    </row>
    <row r="1470" spans="1:107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  <c r="DB1470" s="1"/>
      <c r="DC1470" s="1"/>
    </row>
    <row r="1471" spans="1:107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</row>
    <row r="1472" spans="1:107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  <c r="DB1472" s="1"/>
      <c r="DC1472" s="1"/>
    </row>
    <row r="1473" spans="1:107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  <c r="DC1473" s="1"/>
    </row>
    <row r="1474" spans="1:107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  <c r="DB1474" s="1"/>
      <c r="DC1474" s="1"/>
    </row>
    <row r="1475" spans="1:107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</row>
    <row r="1476" spans="1:107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  <c r="DB1476" s="1"/>
      <c r="DC1476" s="1"/>
    </row>
    <row r="1477" spans="1:10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</row>
    <row r="1478" spans="1:107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  <c r="DB1478" s="1"/>
      <c r="DC1478" s="1"/>
    </row>
    <row r="1479" spans="1:107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  <c r="DC1479" s="1"/>
    </row>
    <row r="1480" spans="1:107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  <c r="DB1480" s="1"/>
      <c r="DC1480" s="1"/>
    </row>
    <row r="1481" spans="1:107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</row>
    <row r="1482" spans="1:107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  <c r="DB1482" s="1"/>
      <c r="DC1482" s="1"/>
    </row>
    <row r="1483" spans="1:107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</row>
    <row r="1484" spans="1:107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  <c r="DB1484" s="1"/>
      <c r="DC1484" s="1"/>
    </row>
    <row r="1485" spans="1:107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</row>
    <row r="1486" spans="1:107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  <c r="DB1486" s="1"/>
      <c r="DC1486" s="1"/>
    </row>
    <row r="1487" spans="1:10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</row>
    <row r="1488" spans="1:107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  <c r="DB1488" s="1"/>
      <c r="DC1488" s="1"/>
    </row>
    <row r="1489" spans="1:107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  <c r="DC1489" s="1"/>
    </row>
    <row r="1490" spans="1:107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  <c r="DB1490" s="1"/>
      <c r="DC1490" s="1"/>
    </row>
    <row r="1491" spans="1:107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  <c r="DB1491" s="1"/>
      <c r="DC1491" s="1"/>
    </row>
    <row r="1492" spans="1:107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  <c r="DC1492" s="1"/>
    </row>
    <row r="1493" spans="1:107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  <c r="DC1493" s="1"/>
    </row>
    <row r="1494" spans="1:107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  <c r="DB1494" s="1"/>
      <c r="DC1494" s="1"/>
    </row>
    <row r="1495" spans="1:107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  <c r="DC1495" s="1"/>
    </row>
    <row r="1496" spans="1:107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  <c r="DB1496" s="1"/>
      <c r="DC1496" s="1"/>
    </row>
    <row r="1497" spans="1:10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  <c r="DC1497" s="1"/>
    </row>
    <row r="1498" spans="1:107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  <c r="DC1498" s="1"/>
    </row>
    <row r="1499" spans="1:107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  <c r="DC1499" s="1"/>
    </row>
    <row r="1500" spans="1:107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  <c r="DB1500" s="1"/>
      <c r="DC1500" s="1"/>
    </row>
    <row r="1501" spans="1:107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  <c r="DC1501" s="1"/>
    </row>
    <row r="1502" spans="1:107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  <c r="DB1502" s="1"/>
      <c r="DC1502" s="1"/>
    </row>
    <row r="1503" spans="1:107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  <c r="DC1503" s="1"/>
    </row>
    <row r="1504" spans="1:107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  <c r="DB1504" s="1"/>
      <c r="DC1504" s="1"/>
    </row>
    <row r="1505" spans="1:107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  <c r="DC1505" s="1"/>
    </row>
    <row r="1506" spans="1:107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  <c r="DC1506" s="1"/>
    </row>
    <row r="1507" spans="1:1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/>
      <c r="DC1507" s="1"/>
    </row>
    <row r="1508" spans="1:107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  <c r="DB1508" s="1"/>
      <c r="DC1508" s="1"/>
    </row>
    <row r="1509" spans="1:107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  <c r="DC1509" s="1"/>
    </row>
    <row r="1510" spans="1:107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  <c r="DB1510" s="1"/>
      <c r="DC1510" s="1"/>
    </row>
    <row r="1511" spans="1:107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</row>
    <row r="1512" spans="1:107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  <c r="DB1512" s="1"/>
      <c r="DC1512" s="1"/>
    </row>
    <row r="1513" spans="1:107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</row>
    <row r="1514" spans="1:107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  <c r="DB1514" s="1"/>
      <c r="DC1514" s="1"/>
    </row>
    <row r="1515" spans="1:107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  <c r="DC1515" s="1"/>
    </row>
    <row r="1516" spans="1:107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  <c r="DC1516" s="1"/>
    </row>
    <row r="1517" spans="1:10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  <c r="DC1517" s="1"/>
    </row>
    <row r="1518" spans="1:107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  <c r="DC1518" s="1"/>
    </row>
    <row r="1519" spans="1:107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  <c r="DC1519" s="1"/>
    </row>
    <row r="1520" spans="1:107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  <c r="DB1520" s="1"/>
      <c r="DC1520" s="1"/>
    </row>
    <row r="1521" spans="1:107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  <c r="DC1521" s="1"/>
    </row>
    <row r="1522" spans="1:107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  <c r="DB1522" s="1"/>
      <c r="DC1522" s="1"/>
    </row>
    <row r="1523" spans="1:107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  <c r="DC1523" s="1"/>
    </row>
    <row r="1524" spans="1:107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  <c r="DB1524" s="1"/>
      <c r="DC1524" s="1"/>
    </row>
    <row r="1525" spans="1:107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  <c r="DB1525" s="1"/>
      <c r="DC1525" s="1"/>
    </row>
    <row r="1526" spans="1:107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/>
      <c r="DB1526" s="1"/>
      <c r="DC1526" s="1"/>
    </row>
    <row r="1527" spans="1:10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/>
      <c r="DB1527" s="1"/>
      <c r="DC1527" s="1"/>
    </row>
    <row r="1528" spans="1:107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  <c r="CW1528" s="1"/>
      <c r="CX1528" s="1"/>
      <c r="CY1528" s="1"/>
      <c r="CZ1528" s="1"/>
      <c r="DA1528" s="1"/>
      <c r="DB1528" s="1"/>
      <c r="DC1528" s="1"/>
    </row>
    <row r="1529" spans="1:107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/>
      <c r="DB1529" s="1"/>
      <c r="DC1529" s="1"/>
    </row>
    <row r="1530" spans="1:107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  <c r="CW1530" s="1"/>
      <c r="CX1530" s="1"/>
      <c r="CY1530" s="1"/>
      <c r="CZ1530" s="1"/>
      <c r="DA1530" s="1"/>
      <c r="DB1530" s="1"/>
      <c r="DC1530" s="1"/>
    </row>
    <row r="1531" spans="1:107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  <c r="DB1531" s="1"/>
      <c r="DC1531" s="1"/>
    </row>
    <row r="1532" spans="1:107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  <c r="CW1532" s="1"/>
      <c r="CX1532" s="1"/>
      <c r="CY1532" s="1"/>
      <c r="CZ1532" s="1"/>
      <c r="DA1532" s="1"/>
      <c r="DB1532" s="1"/>
      <c r="DC1532" s="1"/>
    </row>
    <row r="1533" spans="1:107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/>
      <c r="DB1533" s="1"/>
      <c r="DC1533" s="1"/>
    </row>
    <row r="1534" spans="1:107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  <c r="CW1534" s="1"/>
      <c r="CX1534" s="1"/>
      <c r="CY1534" s="1"/>
      <c r="CZ1534" s="1"/>
      <c r="DA1534" s="1"/>
      <c r="DB1534" s="1"/>
      <c r="DC1534" s="1"/>
    </row>
    <row r="1535" spans="1:107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/>
      <c r="DB1535" s="1"/>
      <c r="DC1535" s="1"/>
    </row>
    <row r="1536" spans="1:107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  <c r="CW1536" s="1"/>
      <c r="CX1536" s="1"/>
      <c r="CY1536" s="1"/>
      <c r="CZ1536" s="1"/>
      <c r="DA1536" s="1"/>
      <c r="DB1536" s="1"/>
      <c r="DC1536" s="1"/>
    </row>
    <row r="1537" spans="1:10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  <c r="DB1537" s="1"/>
      <c r="DC1537" s="1"/>
    </row>
    <row r="1538" spans="1:107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  <c r="CW1538" s="1"/>
      <c r="CX1538" s="1"/>
      <c r="CY1538" s="1"/>
      <c r="CZ1538" s="1"/>
      <c r="DA1538" s="1"/>
      <c r="DB1538" s="1"/>
      <c r="DC1538" s="1"/>
    </row>
    <row r="1539" spans="1:107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  <c r="CW1539" s="1"/>
      <c r="CX1539" s="1"/>
      <c r="CY1539" s="1"/>
      <c r="CZ1539" s="1"/>
      <c r="DA1539" s="1"/>
      <c r="DB1539" s="1"/>
      <c r="DC1539" s="1"/>
    </row>
    <row r="1540" spans="1:107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  <c r="CW1540" s="1"/>
      <c r="CX1540" s="1"/>
      <c r="CY1540" s="1"/>
      <c r="CZ1540" s="1"/>
      <c r="DA1540" s="1"/>
      <c r="DB1540" s="1"/>
      <c r="DC1540" s="1"/>
    </row>
    <row r="1541" spans="1:107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/>
      <c r="DB1541" s="1"/>
      <c r="DC1541" s="1"/>
    </row>
    <row r="1542" spans="1:107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  <c r="CW1542" s="1"/>
      <c r="CX1542" s="1"/>
      <c r="CY1542" s="1"/>
      <c r="CZ1542" s="1"/>
      <c r="DA1542" s="1"/>
      <c r="DB1542" s="1"/>
      <c r="DC1542" s="1"/>
    </row>
    <row r="1543" spans="1:107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/>
      <c r="DB1543" s="1"/>
      <c r="DC1543" s="1"/>
    </row>
    <row r="1544" spans="1:107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  <c r="CW1544" s="1"/>
      <c r="CX1544" s="1"/>
      <c r="CY1544" s="1"/>
      <c r="CZ1544" s="1"/>
      <c r="DA1544" s="1"/>
      <c r="DB1544" s="1"/>
      <c r="DC1544" s="1"/>
    </row>
    <row r="1545" spans="1:107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/>
      <c r="DB1545" s="1"/>
      <c r="DC1545" s="1"/>
    </row>
    <row r="1546" spans="1:107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  <c r="CW1546" s="1"/>
      <c r="CX1546" s="1"/>
      <c r="CY1546" s="1"/>
      <c r="CZ1546" s="1"/>
      <c r="DA1546" s="1"/>
      <c r="DB1546" s="1"/>
      <c r="DC1546" s="1"/>
    </row>
    <row r="1547" spans="1:10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  <c r="DB1547" s="1"/>
      <c r="DC1547" s="1"/>
    </row>
    <row r="1548" spans="1:107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/>
      <c r="DB1548" s="1"/>
      <c r="DC1548" s="1"/>
    </row>
    <row r="1549" spans="1:107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/>
      <c r="DB1549" s="1"/>
      <c r="DC1549" s="1"/>
    </row>
    <row r="1550" spans="1:107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  <c r="CW1550" s="1"/>
      <c r="CX1550" s="1"/>
      <c r="CY1550" s="1"/>
      <c r="CZ1550" s="1"/>
      <c r="DA1550" s="1"/>
      <c r="DB1550" s="1"/>
      <c r="DC1550" s="1"/>
    </row>
    <row r="1551" spans="1:107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  <c r="CW1551" s="1"/>
      <c r="CX1551" s="1"/>
      <c r="CY1551" s="1"/>
      <c r="CZ1551" s="1"/>
      <c r="DA1551" s="1"/>
      <c r="DB1551" s="1"/>
      <c r="DC1551" s="1"/>
    </row>
    <row r="1552" spans="1:107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  <c r="CW1552" s="1"/>
      <c r="CX1552" s="1"/>
      <c r="CY1552" s="1"/>
      <c r="CZ1552" s="1"/>
      <c r="DA1552" s="1"/>
      <c r="DB1552" s="1"/>
      <c r="DC1552" s="1"/>
    </row>
    <row r="1553" spans="1:107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  <c r="DB1553" s="1"/>
      <c r="DC1553" s="1"/>
    </row>
    <row r="1554" spans="1:107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  <c r="CW1554" s="1"/>
      <c r="CX1554" s="1"/>
      <c r="CY1554" s="1"/>
      <c r="CZ1554" s="1"/>
      <c r="DA1554" s="1"/>
      <c r="DB1554" s="1"/>
      <c r="DC1554" s="1"/>
    </row>
    <row r="1555" spans="1:107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/>
      <c r="DB1555" s="1"/>
      <c r="DC1555" s="1"/>
    </row>
    <row r="1556" spans="1:107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  <c r="CW1556" s="1"/>
      <c r="CX1556" s="1"/>
      <c r="CY1556" s="1"/>
      <c r="CZ1556" s="1"/>
      <c r="DA1556" s="1"/>
      <c r="DB1556" s="1"/>
      <c r="DC1556" s="1"/>
    </row>
    <row r="1557" spans="1:10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/>
      <c r="DB1557" s="1"/>
      <c r="DC1557" s="1"/>
    </row>
    <row r="1558" spans="1:107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/>
      <c r="DB1558" s="1"/>
      <c r="DC1558" s="1"/>
    </row>
    <row r="1559" spans="1:107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/>
      <c r="DB1559" s="1"/>
      <c r="DC1559" s="1"/>
    </row>
    <row r="1560" spans="1:107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  <c r="CW1560" s="1"/>
      <c r="CX1560" s="1"/>
      <c r="CY1560" s="1"/>
      <c r="CZ1560" s="1"/>
      <c r="DA1560" s="1"/>
      <c r="DB1560" s="1"/>
      <c r="DC1560" s="1"/>
    </row>
    <row r="1561" spans="1:107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/>
      <c r="DB1561" s="1"/>
      <c r="DC1561" s="1"/>
    </row>
    <row r="1562" spans="1:107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  <c r="CW1562" s="1"/>
      <c r="CX1562" s="1"/>
      <c r="CY1562" s="1"/>
      <c r="CZ1562" s="1"/>
      <c r="DA1562" s="1"/>
      <c r="DB1562" s="1"/>
      <c r="DC1562" s="1"/>
    </row>
    <row r="1563" spans="1:107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  <c r="DB1563" s="1"/>
      <c r="DC1563" s="1"/>
    </row>
    <row r="1564" spans="1:107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  <c r="CW1564" s="1"/>
      <c r="CX1564" s="1"/>
      <c r="CY1564" s="1"/>
      <c r="CZ1564" s="1"/>
      <c r="DA1564" s="1"/>
      <c r="DB1564" s="1"/>
      <c r="DC1564" s="1"/>
    </row>
    <row r="1565" spans="1:107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/>
      <c r="DB1565" s="1"/>
      <c r="DC1565" s="1"/>
    </row>
    <row r="1566" spans="1:107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  <c r="CW1566" s="1"/>
      <c r="CX1566" s="1"/>
      <c r="CY1566" s="1"/>
      <c r="CZ1566" s="1"/>
      <c r="DA1566" s="1"/>
      <c r="DB1566" s="1"/>
      <c r="DC1566" s="1"/>
    </row>
    <row r="1567" spans="1:10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/>
      <c r="DB1567" s="1"/>
      <c r="DC1567" s="1"/>
    </row>
    <row r="1568" spans="1:107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  <c r="CW1568" s="1"/>
      <c r="CX1568" s="1"/>
      <c r="CY1568" s="1"/>
      <c r="CZ1568" s="1"/>
      <c r="DA1568" s="1"/>
      <c r="DB1568" s="1"/>
      <c r="DC1568" s="1"/>
    </row>
    <row r="1569" spans="1:107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/>
      <c r="DB1569" s="1"/>
      <c r="DC1569" s="1"/>
    </row>
    <row r="1570" spans="1:107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  <c r="CW1570" s="1"/>
      <c r="CX1570" s="1"/>
      <c r="CY1570" s="1"/>
      <c r="CZ1570" s="1"/>
      <c r="DA1570" s="1"/>
      <c r="DB1570" s="1"/>
      <c r="DC1570" s="1"/>
    </row>
    <row r="1571" spans="1:107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/>
      <c r="DB1571" s="1"/>
      <c r="DC1571" s="1"/>
    </row>
    <row r="1572" spans="1:107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  <c r="CW1572" s="1"/>
      <c r="CX1572" s="1"/>
      <c r="CY1572" s="1"/>
      <c r="CZ1572" s="1"/>
      <c r="DA1572" s="1"/>
      <c r="DB1572" s="1"/>
      <c r="DC1572" s="1"/>
    </row>
    <row r="1573" spans="1:107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  <c r="CW1573" s="1"/>
      <c r="CX1573" s="1"/>
      <c r="CY1573" s="1"/>
      <c r="CZ1573" s="1"/>
      <c r="DA1573" s="1"/>
      <c r="DB1573" s="1"/>
      <c r="DC1573" s="1"/>
    </row>
    <row r="1574" spans="1:107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  <c r="CW1574" s="1"/>
      <c r="CX1574" s="1"/>
      <c r="CY1574" s="1"/>
      <c r="CZ1574" s="1"/>
      <c r="DA1574" s="1"/>
      <c r="DB1574" s="1"/>
      <c r="DC1574" s="1"/>
    </row>
    <row r="1575" spans="1:107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  <c r="CW1575" s="1"/>
      <c r="CX1575" s="1"/>
      <c r="CY1575" s="1"/>
      <c r="CZ1575" s="1"/>
      <c r="DA1575" s="1"/>
      <c r="DB1575" s="1"/>
      <c r="DC1575" s="1"/>
    </row>
    <row r="1576" spans="1:107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  <c r="CW1576" s="1"/>
      <c r="CX1576" s="1"/>
      <c r="CY1576" s="1"/>
      <c r="CZ1576" s="1"/>
      <c r="DA1576" s="1"/>
      <c r="DB1576" s="1"/>
      <c r="DC1576" s="1"/>
    </row>
    <row r="1577" spans="1:10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  <c r="CW1577" s="1"/>
      <c r="CX1577" s="1"/>
      <c r="CY1577" s="1"/>
      <c r="CZ1577" s="1"/>
      <c r="DA1577" s="1"/>
      <c r="DB1577" s="1"/>
      <c r="DC1577" s="1"/>
    </row>
    <row r="1578" spans="1:107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  <c r="CW1578" s="1"/>
      <c r="CX1578" s="1"/>
      <c r="CY1578" s="1"/>
      <c r="CZ1578" s="1"/>
      <c r="DA1578" s="1"/>
      <c r="DB1578" s="1"/>
      <c r="DC1578" s="1"/>
    </row>
    <row r="1579" spans="1:107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/>
      <c r="DB1579" s="1"/>
      <c r="DC1579" s="1"/>
    </row>
    <row r="1580" spans="1:107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  <c r="CW1580" s="1"/>
      <c r="CX1580" s="1"/>
      <c r="CY1580" s="1"/>
      <c r="CZ1580" s="1"/>
      <c r="DA1580" s="1"/>
      <c r="DB1580" s="1"/>
      <c r="DC1580" s="1"/>
    </row>
    <row r="1581" spans="1:107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  <c r="CW1581" s="1"/>
      <c r="CX1581" s="1"/>
      <c r="CY1581" s="1"/>
      <c r="CZ1581" s="1"/>
      <c r="DA1581" s="1"/>
      <c r="DB1581" s="1"/>
      <c r="DC1581" s="1"/>
    </row>
    <row r="1582" spans="1:107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  <c r="CW1582" s="1"/>
      <c r="CX1582" s="1"/>
      <c r="CY1582" s="1"/>
      <c r="CZ1582" s="1"/>
      <c r="DA1582" s="1"/>
      <c r="DB1582" s="1"/>
      <c r="DC1582" s="1"/>
    </row>
    <row r="1583" spans="1:107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  <c r="CW1583" s="1"/>
      <c r="CX1583" s="1"/>
      <c r="CY1583" s="1"/>
      <c r="CZ1583" s="1"/>
      <c r="DA1583" s="1"/>
      <c r="DB1583" s="1"/>
      <c r="DC1583" s="1"/>
    </row>
    <row r="1584" spans="1:107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  <c r="CW1584" s="1"/>
      <c r="CX1584" s="1"/>
      <c r="CY1584" s="1"/>
      <c r="CZ1584" s="1"/>
      <c r="DA1584" s="1"/>
      <c r="DB1584" s="1"/>
      <c r="DC1584" s="1"/>
    </row>
    <row r="1585" spans="1:107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  <c r="CW1585" s="1"/>
      <c r="CX1585" s="1"/>
      <c r="CY1585" s="1"/>
      <c r="CZ1585" s="1"/>
      <c r="DA1585" s="1"/>
      <c r="DB1585" s="1"/>
      <c r="DC1585" s="1"/>
    </row>
    <row r="1586" spans="1:107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  <c r="CW1586" s="1"/>
      <c r="CX1586" s="1"/>
      <c r="CY1586" s="1"/>
      <c r="CZ1586" s="1"/>
      <c r="DA1586" s="1"/>
      <c r="DB1586" s="1"/>
      <c r="DC1586" s="1"/>
    </row>
    <row r="1587" spans="1:10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  <c r="CW1587" s="1"/>
      <c r="CX1587" s="1"/>
      <c r="CY1587" s="1"/>
      <c r="CZ1587" s="1"/>
      <c r="DA1587" s="1"/>
      <c r="DB1587" s="1"/>
      <c r="DC1587" s="1"/>
    </row>
    <row r="1588" spans="1:107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  <c r="CW1588" s="1"/>
      <c r="CX1588" s="1"/>
      <c r="CY1588" s="1"/>
      <c r="CZ1588" s="1"/>
      <c r="DA1588" s="1"/>
      <c r="DB1588" s="1"/>
      <c r="DC1588" s="1"/>
    </row>
    <row r="1589" spans="1:107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  <c r="CW1589" s="1"/>
      <c r="CX1589" s="1"/>
      <c r="CY1589" s="1"/>
      <c r="CZ1589" s="1"/>
      <c r="DA1589" s="1"/>
      <c r="DB1589" s="1"/>
      <c r="DC1589" s="1"/>
    </row>
    <row r="1590" spans="1:107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  <c r="CW1590" s="1"/>
      <c r="CX1590" s="1"/>
      <c r="CY1590" s="1"/>
      <c r="CZ1590" s="1"/>
      <c r="DA1590" s="1"/>
      <c r="DB1590" s="1"/>
      <c r="DC1590" s="1"/>
    </row>
    <row r="1591" spans="1:107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  <c r="CW1591" s="1"/>
      <c r="CX1591" s="1"/>
      <c r="CY1591" s="1"/>
      <c r="CZ1591" s="1"/>
      <c r="DA1591" s="1"/>
      <c r="DB1591" s="1"/>
      <c r="DC1591" s="1"/>
    </row>
    <row r="1592" spans="1:107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  <c r="CW1592" s="1"/>
      <c r="CX1592" s="1"/>
      <c r="CY1592" s="1"/>
      <c r="CZ1592" s="1"/>
      <c r="DA1592" s="1"/>
      <c r="DB1592" s="1"/>
      <c r="DC1592" s="1"/>
    </row>
    <row r="1593" spans="1:107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  <c r="CW1593" s="1"/>
      <c r="CX1593" s="1"/>
      <c r="CY1593" s="1"/>
      <c r="CZ1593" s="1"/>
      <c r="DA1593" s="1"/>
      <c r="DB1593" s="1"/>
      <c r="DC1593" s="1"/>
    </row>
    <row r="1594" spans="1:107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  <c r="CW1594" s="1"/>
      <c r="CX1594" s="1"/>
      <c r="CY1594" s="1"/>
      <c r="CZ1594" s="1"/>
      <c r="DA1594" s="1"/>
      <c r="DB1594" s="1"/>
      <c r="DC1594" s="1"/>
    </row>
    <row r="1595" spans="1:107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  <c r="CW1595" s="1"/>
      <c r="CX1595" s="1"/>
      <c r="CY1595" s="1"/>
      <c r="CZ1595" s="1"/>
      <c r="DA1595" s="1"/>
      <c r="DB1595" s="1"/>
      <c r="DC1595" s="1"/>
    </row>
    <row r="1596" spans="1:107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  <c r="CW1596" s="1"/>
      <c r="CX1596" s="1"/>
      <c r="CY1596" s="1"/>
      <c r="CZ1596" s="1"/>
      <c r="DA1596" s="1"/>
      <c r="DB1596" s="1"/>
      <c r="DC1596" s="1"/>
    </row>
    <row r="1597" spans="1:10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  <c r="CW1597" s="1"/>
      <c r="CX1597" s="1"/>
      <c r="CY1597" s="1"/>
      <c r="CZ1597" s="1"/>
      <c r="DA1597" s="1"/>
      <c r="DB1597" s="1"/>
      <c r="DC1597" s="1"/>
    </row>
    <row r="1598" spans="1:107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  <c r="CW1598" s="1"/>
      <c r="CX1598" s="1"/>
      <c r="CY1598" s="1"/>
      <c r="CZ1598" s="1"/>
      <c r="DA1598" s="1"/>
      <c r="DB1598" s="1"/>
      <c r="DC1598" s="1"/>
    </row>
    <row r="1599" spans="1:107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  <c r="CW1599" s="1"/>
      <c r="CX1599" s="1"/>
      <c r="CY1599" s="1"/>
      <c r="CZ1599" s="1"/>
      <c r="DA1599" s="1"/>
      <c r="DB1599" s="1"/>
      <c r="DC1599" s="1"/>
    </row>
    <row r="1600" spans="1:107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  <c r="CW1600" s="1"/>
      <c r="CX1600" s="1"/>
      <c r="CY1600" s="1"/>
      <c r="CZ1600" s="1"/>
      <c r="DA1600" s="1"/>
      <c r="DB1600" s="1"/>
      <c r="DC1600" s="1"/>
    </row>
    <row r="1601" spans="1:107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  <c r="CW1601" s="1"/>
      <c r="CX1601" s="1"/>
      <c r="CY1601" s="1"/>
      <c r="CZ1601" s="1"/>
      <c r="DA1601" s="1"/>
      <c r="DB1601" s="1"/>
      <c r="DC1601" s="1"/>
    </row>
    <row r="1602" spans="1:107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  <c r="CW1602" s="1"/>
      <c r="CX1602" s="1"/>
      <c r="CY1602" s="1"/>
      <c r="CZ1602" s="1"/>
      <c r="DA1602" s="1"/>
      <c r="DB1602" s="1"/>
      <c r="DC1602" s="1"/>
    </row>
    <row r="1603" spans="1:107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  <c r="CW1603" s="1"/>
      <c r="CX1603" s="1"/>
      <c r="CY1603" s="1"/>
      <c r="CZ1603" s="1"/>
      <c r="DA1603" s="1"/>
      <c r="DB1603" s="1"/>
      <c r="DC1603" s="1"/>
    </row>
    <row r="1604" spans="1:107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  <c r="CW1604" s="1"/>
      <c r="CX1604" s="1"/>
      <c r="CY1604" s="1"/>
      <c r="CZ1604" s="1"/>
      <c r="DA1604" s="1"/>
      <c r="DB1604" s="1"/>
      <c r="DC1604" s="1"/>
    </row>
    <row r="1605" spans="1:107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  <c r="CW1605" s="1"/>
      <c r="CX1605" s="1"/>
      <c r="CY1605" s="1"/>
      <c r="CZ1605" s="1"/>
      <c r="DA1605" s="1"/>
      <c r="DB1605" s="1"/>
      <c r="DC1605" s="1"/>
    </row>
    <row r="1606" spans="1:107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  <c r="CW1606" s="1"/>
      <c r="CX1606" s="1"/>
      <c r="CY1606" s="1"/>
      <c r="CZ1606" s="1"/>
      <c r="DA1606" s="1"/>
      <c r="DB1606" s="1"/>
      <c r="DC1606" s="1"/>
    </row>
    <row r="1607" spans="1:1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  <c r="CW1607" s="1"/>
      <c r="CX1607" s="1"/>
      <c r="CY1607" s="1"/>
      <c r="CZ1607" s="1"/>
      <c r="DA1607" s="1"/>
      <c r="DB1607" s="1"/>
      <c r="DC1607" s="1"/>
    </row>
    <row r="1608" spans="1:107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  <c r="CW1608" s="1"/>
      <c r="CX1608" s="1"/>
      <c r="CY1608" s="1"/>
      <c r="CZ1608" s="1"/>
      <c r="DA1608" s="1"/>
      <c r="DB1608" s="1"/>
      <c r="DC1608" s="1"/>
    </row>
    <row r="1609" spans="1:107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  <c r="CW1609" s="1"/>
      <c r="CX1609" s="1"/>
      <c r="CY1609" s="1"/>
      <c r="CZ1609" s="1"/>
      <c r="DA1609" s="1"/>
      <c r="DB1609" s="1"/>
      <c r="DC1609" s="1"/>
    </row>
    <row r="1610" spans="1:107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  <c r="CW1610" s="1"/>
      <c r="CX1610" s="1"/>
      <c r="CY1610" s="1"/>
      <c r="CZ1610" s="1"/>
      <c r="DA1610" s="1"/>
      <c r="DB1610" s="1"/>
      <c r="DC1610" s="1"/>
    </row>
    <row r="1611" spans="1:107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  <c r="CW1611" s="1"/>
      <c r="CX1611" s="1"/>
      <c r="CY1611" s="1"/>
      <c r="CZ1611" s="1"/>
      <c r="DA1611" s="1"/>
      <c r="DB1611" s="1"/>
      <c r="DC1611" s="1"/>
    </row>
    <row r="1612" spans="1:107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  <c r="CW1612" s="1"/>
      <c r="CX1612" s="1"/>
      <c r="CY1612" s="1"/>
      <c r="CZ1612" s="1"/>
      <c r="DA1612" s="1"/>
      <c r="DB1612" s="1"/>
      <c r="DC1612" s="1"/>
    </row>
    <row r="1613" spans="1:107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  <c r="CW1613" s="1"/>
      <c r="CX1613" s="1"/>
      <c r="CY1613" s="1"/>
      <c r="CZ1613" s="1"/>
      <c r="DA1613" s="1"/>
      <c r="DB1613" s="1"/>
      <c r="DC1613" s="1"/>
    </row>
    <row r="1614" spans="1:107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  <c r="CW1614" s="1"/>
      <c r="CX1614" s="1"/>
      <c r="CY1614" s="1"/>
      <c r="CZ1614" s="1"/>
      <c r="DA1614" s="1"/>
      <c r="DB1614" s="1"/>
      <c r="DC1614" s="1"/>
    </row>
    <row r="1615" spans="1:107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  <c r="CW1615" s="1"/>
      <c r="CX1615" s="1"/>
      <c r="CY1615" s="1"/>
      <c r="CZ1615" s="1"/>
      <c r="DA1615" s="1"/>
      <c r="DB1615" s="1"/>
      <c r="DC1615" s="1"/>
    </row>
    <row r="1616" spans="1:107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  <c r="CW1616" s="1"/>
      <c r="CX1616" s="1"/>
      <c r="CY1616" s="1"/>
      <c r="CZ1616" s="1"/>
      <c r="DA1616" s="1"/>
      <c r="DB1616" s="1"/>
      <c r="DC1616" s="1"/>
    </row>
    <row r="1617" spans="1:10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  <c r="CW1617" s="1"/>
      <c r="CX1617" s="1"/>
      <c r="CY1617" s="1"/>
      <c r="CZ1617" s="1"/>
      <c r="DA1617" s="1"/>
      <c r="DB1617" s="1"/>
      <c r="DC1617" s="1"/>
    </row>
    <row r="1618" spans="1:107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  <c r="CW1618" s="1"/>
      <c r="CX1618" s="1"/>
      <c r="CY1618" s="1"/>
      <c r="CZ1618" s="1"/>
      <c r="DA1618" s="1"/>
      <c r="DB1618" s="1"/>
      <c r="DC1618" s="1"/>
    </row>
    <row r="1619" spans="1:107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  <c r="CW1619" s="1"/>
      <c r="CX1619" s="1"/>
      <c r="CY1619" s="1"/>
      <c r="CZ1619" s="1"/>
      <c r="DA1619" s="1"/>
      <c r="DB1619" s="1"/>
      <c r="DC1619" s="1"/>
    </row>
    <row r="1620" spans="1:107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  <c r="CW1620" s="1"/>
      <c r="CX1620" s="1"/>
      <c r="CY1620" s="1"/>
      <c r="CZ1620" s="1"/>
      <c r="DA1620" s="1"/>
      <c r="DB1620" s="1"/>
      <c r="DC1620" s="1"/>
    </row>
    <row r="1621" spans="1:107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  <c r="CW1621" s="1"/>
      <c r="CX1621" s="1"/>
      <c r="CY1621" s="1"/>
      <c r="CZ1621" s="1"/>
      <c r="DA1621" s="1"/>
      <c r="DB1621" s="1"/>
      <c r="DC1621" s="1"/>
    </row>
    <row r="1622" spans="1:107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  <c r="CW1622" s="1"/>
      <c r="CX1622" s="1"/>
      <c r="CY1622" s="1"/>
      <c r="CZ1622" s="1"/>
      <c r="DA1622" s="1"/>
      <c r="DB1622" s="1"/>
      <c r="DC1622" s="1"/>
    </row>
    <row r="1623" spans="1:107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  <c r="CW1623" s="1"/>
      <c r="CX1623" s="1"/>
      <c r="CY1623" s="1"/>
      <c r="CZ1623" s="1"/>
      <c r="DA1623" s="1"/>
      <c r="DB1623" s="1"/>
      <c r="DC1623" s="1"/>
    </row>
    <row r="1624" spans="1:107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  <c r="CW1624" s="1"/>
      <c r="CX1624" s="1"/>
      <c r="CY1624" s="1"/>
      <c r="CZ1624" s="1"/>
      <c r="DA1624" s="1"/>
      <c r="DB1624" s="1"/>
      <c r="DC1624" s="1"/>
    </row>
    <row r="1625" spans="1:107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  <c r="CW1625" s="1"/>
      <c r="CX1625" s="1"/>
      <c r="CY1625" s="1"/>
      <c r="CZ1625" s="1"/>
      <c r="DA1625" s="1"/>
      <c r="DB1625" s="1"/>
      <c r="DC1625" s="1"/>
    </row>
    <row r="1626" spans="1:107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  <c r="CW1626" s="1"/>
      <c r="CX1626" s="1"/>
      <c r="CY1626" s="1"/>
      <c r="CZ1626" s="1"/>
      <c r="DA1626" s="1"/>
      <c r="DB1626" s="1"/>
      <c r="DC1626" s="1"/>
    </row>
    <row r="1627" spans="1:10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  <c r="CW1627" s="1"/>
      <c r="CX1627" s="1"/>
      <c r="CY1627" s="1"/>
      <c r="CZ1627" s="1"/>
      <c r="DA1627" s="1"/>
      <c r="DB1627" s="1"/>
      <c r="DC1627" s="1"/>
    </row>
    <row r="1628" spans="1:107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  <c r="CW1628" s="1"/>
      <c r="CX1628" s="1"/>
      <c r="CY1628" s="1"/>
      <c r="CZ1628" s="1"/>
      <c r="DA1628" s="1"/>
      <c r="DB1628" s="1"/>
      <c r="DC1628" s="1"/>
    </row>
    <row r="1629" spans="1:107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  <c r="CW1629" s="1"/>
      <c r="CX1629" s="1"/>
      <c r="CY1629" s="1"/>
      <c r="CZ1629" s="1"/>
      <c r="DA1629" s="1"/>
      <c r="DB1629" s="1"/>
      <c r="DC1629" s="1"/>
    </row>
    <row r="1630" spans="1:107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  <c r="CW1630" s="1"/>
      <c r="CX1630" s="1"/>
      <c r="CY1630" s="1"/>
      <c r="CZ1630" s="1"/>
      <c r="DA1630" s="1"/>
      <c r="DB1630" s="1"/>
      <c r="DC1630" s="1"/>
    </row>
    <row r="1631" spans="1:107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  <c r="CW1631" s="1"/>
      <c r="CX1631" s="1"/>
      <c r="CY1631" s="1"/>
      <c r="CZ1631" s="1"/>
      <c r="DA1631" s="1"/>
      <c r="DB1631" s="1"/>
      <c r="DC1631" s="1"/>
    </row>
    <row r="1632" spans="1:107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  <c r="CW1632" s="1"/>
      <c r="CX1632" s="1"/>
      <c r="CY1632" s="1"/>
      <c r="CZ1632" s="1"/>
      <c r="DA1632" s="1"/>
      <c r="DB1632" s="1"/>
      <c r="DC1632" s="1"/>
    </row>
    <row r="1633" spans="1:107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  <c r="CW1633" s="1"/>
      <c r="CX1633" s="1"/>
      <c r="CY1633" s="1"/>
      <c r="CZ1633" s="1"/>
      <c r="DA1633" s="1"/>
      <c r="DB1633" s="1"/>
      <c r="DC1633" s="1"/>
    </row>
    <row r="1634" spans="1:107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  <c r="CW1634" s="1"/>
      <c r="CX1634" s="1"/>
      <c r="CY1634" s="1"/>
      <c r="CZ1634" s="1"/>
      <c r="DA1634" s="1"/>
      <c r="DB1634" s="1"/>
      <c r="DC1634" s="1"/>
    </row>
    <row r="1635" spans="1:107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  <c r="CW1635" s="1"/>
      <c r="CX1635" s="1"/>
      <c r="CY1635" s="1"/>
      <c r="CZ1635" s="1"/>
      <c r="DA1635" s="1"/>
      <c r="DB1635" s="1"/>
      <c r="DC1635" s="1"/>
    </row>
    <row r="1636" spans="1:107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  <c r="CW1636" s="1"/>
      <c r="CX1636" s="1"/>
      <c r="CY1636" s="1"/>
      <c r="CZ1636" s="1"/>
      <c r="DA1636" s="1"/>
      <c r="DB1636" s="1"/>
      <c r="DC1636" s="1"/>
    </row>
    <row r="1637" spans="1:10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  <c r="CW1637" s="1"/>
      <c r="CX1637" s="1"/>
      <c r="CY1637" s="1"/>
      <c r="CZ1637" s="1"/>
      <c r="DA1637" s="1"/>
      <c r="DB1637" s="1"/>
      <c r="DC1637" s="1"/>
    </row>
    <row r="1638" spans="1:107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  <c r="CW1638" s="1"/>
      <c r="CX1638" s="1"/>
      <c r="CY1638" s="1"/>
      <c r="CZ1638" s="1"/>
      <c r="DA1638" s="1"/>
      <c r="DB1638" s="1"/>
      <c r="DC1638" s="1"/>
    </row>
    <row r="1639" spans="1:107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  <c r="CW1639" s="1"/>
      <c r="CX1639" s="1"/>
      <c r="CY1639" s="1"/>
      <c r="CZ1639" s="1"/>
      <c r="DA1639" s="1"/>
      <c r="DB1639" s="1"/>
      <c r="DC1639" s="1"/>
    </row>
    <row r="1640" spans="1:107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  <c r="CW1640" s="1"/>
      <c r="CX1640" s="1"/>
      <c r="CY1640" s="1"/>
      <c r="CZ1640" s="1"/>
      <c r="DA1640" s="1"/>
      <c r="DB1640" s="1"/>
      <c r="DC1640" s="1"/>
    </row>
    <row r="1641" spans="1:107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  <c r="CW1641" s="1"/>
      <c r="CX1641" s="1"/>
      <c r="CY1641" s="1"/>
      <c r="CZ1641" s="1"/>
      <c r="DA1641" s="1"/>
      <c r="DB1641" s="1"/>
      <c r="DC1641" s="1"/>
    </row>
    <row r="1642" spans="1:107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  <c r="CW1642" s="1"/>
      <c r="CX1642" s="1"/>
      <c r="CY1642" s="1"/>
      <c r="CZ1642" s="1"/>
      <c r="DA1642" s="1"/>
      <c r="DB1642" s="1"/>
      <c r="DC1642" s="1"/>
    </row>
    <row r="1643" spans="1:107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  <c r="CW1643" s="1"/>
      <c r="CX1643" s="1"/>
      <c r="CY1643" s="1"/>
      <c r="CZ1643" s="1"/>
      <c r="DA1643" s="1"/>
      <c r="DB1643" s="1"/>
      <c r="DC1643" s="1"/>
    </row>
    <row r="1644" spans="1:107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  <c r="CW1644" s="1"/>
      <c r="CX1644" s="1"/>
      <c r="CY1644" s="1"/>
      <c r="CZ1644" s="1"/>
      <c r="DA1644" s="1"/>
      <c r="DB1644" s="1"/>
      <c r="DC1644" s="1"/>
    </row>
    <row r="1645" spans="1:107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  <c r="CW1645" s="1"/>
      <c r="CX1645" s="1"/>
      <c r="CY1645" s="1"/>
      <c r="CZ1645" s="1"/>
      <c r="DA1645" s="1"/>
      <c r="DB1645" s="1"/>
      <c r="DC1645" s="1"/>
    </row>
    <row r="1646" spans="1:107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  <c r="CW1646" s="1"/>
      <c r="CX1646" s="1"/>
      <c r="CY1646" s="1"/>
      <c r="CZ1646" s="1"/>
      <c r="DA1646" s="1"/>
      <c r="DB1646" s="1"/>
      <c r="DC1646" s="1"/>
    </row>
    <row r="1647" spans="1:10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  <c r="CW1647" s="1"/>
      <c r="CX1647" s="1"/>
      <c r="CY1647" s="1"/>
      <c r="CZ1647" s="1"/>
      <c r="DA1647" s="1"/>
      <c r="DB1647" s="1"/>
      <c r="DC1647" s="1"/>
    </row>
    <row r="1648" spans="1:107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  <c r="CW1648" s="1"/>
      <c r="CX1648" s="1"/>
      <c r="CY1648" s="1"/>
      <c r="CZ1648" s="1"/>
      <c r="DA1648" s="1"/>
      <c r="DB1648" s="1"/>
      <c r="DC1648" s="1"/>
    </row>
    <row r="1649" spans="1:107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  <c r="CW1649" s="1"/>
      <c r="CX1649" s="1"/>
      <c r="CY1649" s="1"/>
      <c r="CZ1649" s="1"/>
      <c r="DA1649" s="1"/>
      <c r="DB1649" s="1"/>
      <c r="DC1649" s="1"/>
    </row>
    <row r="1650" spans="1:107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  <c r="CW1650" s="1"/>
      <c r="CX1650" s="1"/>
      <c r="CY1650" s="1"/>
      <c r="CZ1650" s="1"/>
      <c r="DA1650" s="1"/>
      <c r="DB1650" s="1"/>
      <c r="DC1650" s="1"/>
    </row>
    <row r="1651" spans="1:107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  <c r="CW1651" s="1"/>
      <c r="CX1651" s="1"/>
      <c r="CY1651" s="1"/>
      <c r="CZ1651" s="1"/>
      <c r="DA1651" s="1"/>
      <c r="DB1651" s="1"/>
      <c r="DC1651" s="1"/>
    </row>
    <row r="1652" spans="1:107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  <c r="CW1652" s="1"/>
      <c r="CX1652" s="1"/>
      <c r="CY1652" s="1"/>
      <c r="CZ1652" s="1"/>
      <c r="DA1652" s="1"/>
      <c r="DB1652" s="1"/>
      <c r="DC1652" s="1"/>
    </row>
    <row r="1653" spans="1:107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  <c r="CW1653" s="1"/>
      <c r="CX1653" s="1"/>
      <c r="CY1653" s="1"/>
      <c r="CZ1653" s="1"/>
      <c r="DA1653" s="1"/>
      <c r="DB1653" s="1"/>
      <c r="DC1653" s="1"/>
    </row>
    <row r="1654" spans="1:107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  <c r="CW1654" s="1"/>
      <c r="CX1654" s="1"/>
      <c r="CY1654" s="1"/>
      <c r="CZ1654" s="1"/>
      <c r="DA1654" s="1"/>
      <c r="DB1654" s="1"/>
      <c r="DC1654" s="1"/>
    </row>
    <row r="1655" spans="1:107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  <c r="CW1655" s="1"/>
      <c r="CX1655" s="1"/>
      <c r="CY1655" s="1"/>
      <c r="CZ1655" s="1"/>
      <c r="DA1655" s="1"/>
      <c r="DB1655" s="1"/>
      <c r="DC1655" s="1"/>
    </row>
    <row r="1656" spans="1:107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  <c r="CW1656" s="1"/>
      <c r="CX1656" s="1"/>
      <c r="CY1656" s="1"/>
      <c r="CZ1656" s="1"/>
      <c r="DA1656" s="1"/>
      <c r="DB1656" s="1"/>
      <c r="DC1656" s="1"/>
    </row>
    <row r="1657" spans="1:10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  <c r="CW1657" s="1"/>
      <c r="CX1657" s="1"/>
      <c r="CY1657" s="1"/>
      <c r="CZ1657" s="1"/>
      <c r="DA1657" s="1"/>
      <c r="DB1657" s="1"/>
      <c r="DC1657" s="1"/>
    </row>
    <row r="1658" spans="1:107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  <c r="CW1658" s="1"/>
      <c r="CX1658" s="1"/>
      <c r="CY1658" s="1"/>
      <c r="CZ1658" s="1"/>
      <c r="DA1658" s="1"/>
      <c r="DB1658" s="1"/>
      <c r="DC1658" s="1"/>
    </row>
    <row r="1659" spans="1:107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  <c r="CW1659" s="1"/>
      <c r="CX1659" s="1"/>
      <c r="CY1659" s="1"/>
      <c r="CZ1659" s="1"/>
      <c r="DA1659" s="1"/>
      <c r="DB1659" s="1"/>
      <c r="DC1659" s="1"/>
    </row>
    <row r="1660" spans="1:107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  <c r="CW1660" s="1"/>
      <c r="CX1660" s="1"/>
      <c r="CY1660" s="1"/>
      <c r="CZ1660" s="1"/>
      <c r="DA1660" s="1"/>
      <c r="DB1660" s="1"/>
      <c r="DC1660" s="1"/>
    </row>
    <row r="1661" spans="1:107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  <c r="CW1661" s="1"/>
      <c r="CX1661" s="1"/>
      <c r="CY1661" s="1"/>
      <c r="CZ1661" s="1"/>
      <c r="DA1661" s="1"/>
      <c r="DB1661" s="1"/>
      <c r="DC1661" s="1"/>
    </row>
    <row r="1662" spans="1:107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  <c r="CW1662" s="1"/>
      <c r="CX1662" s="1"/>
      <c r="CY1662" s="1"/>
      <c r="CZ1662" s="1"/>
      <c r="DA1662" s="1"/>
      <c r="DB1662" s="1"/>
      <c r="DC1662" s="1"/>
    </row>
    <row r="1663" spans="1:107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  <c r="CW1663" s="1"/>
      <c r="CX1663" s="1"/>
      <c r="CY1663" s="1"/>
      <c r="CZ1663" s="1"/>
      <c r="DA1663" s="1"/>
      <c r="DB1663" s="1"/>
      <c r="DC1663" s="1"/>
    </row>
    <row r="1664" spans="1:107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  <c r="CW1664" s="1"/>
      <c r="CX1664" s="1"/>
      <c r="CY1664" s="1"/>
      <c r="CZ1664" s="1"/>
      <c r="DA1664" s="1"/>
      <c r="DB1664" s="1"/>
      <c r="DC1664" s="1"/>
    </row>
    <row r="1665" spans="1:107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  <c r="CW1665" s="1"/>
      <c r="CX1665" s="1"/>
      <c r="CY1665" s="1"/>
      <c r="CZ1665" s="1"/>
      <c r="DA1665" s="1"/>
      <c r="DB1665" s="1"/>
      <c r="DC1665" s="1"/>
    </row>
    <row r="1666" spans="1:107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  <c r="CW1666" s="1"/>
      <c r="CX1666" s="1"/>
      <c r="CY1666" s="1"/>
      <c r="CZ1666" s="1"/>
      <c r="DA1666" s="1"/>
      <c r="DB1666" s="1"/>
      <c r="DC1666" s="1"/>
    </row>
    <row r="1667" spans="1:10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  <c r="CW1667" s="1"/>
      <c r="CX1667" s="1"/>
      <c r="CY1667" s="1"/>
      <c r="CZ1667" s="1"/>
      <c r="DA1667" s="1"/>
      <c r="DB1667" s="1"/>
      <c r="DC1667" s="1"/>
    </row>
    <row r="1668" spans="1:107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  <c r="CW1668" s="1"/>
      <c r="CX1668" s="1"/>
      <c r="CY1668" s="1"/>
      <c r="CZ1668" s="1"/>
      <c r="DA1668" s="1"/>
      <c r="DB1668" s="1"/>
      <c r="DC1668" s="1"/>
    </row>
    <row r="1669" spans="1:107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  <c r="CW1669" s="1"/>
      <c r="CX1669" s="1"/>
      <c r="CY1669" s="1"/>
      <c r="CZ1669" s="1"/>
      <c r="DA1669" s="1"/>
      <c r="DB1669" s="1"/>
      <c r="DC1669" s="1"/>
    </row>
    <row r="1670" spans="1:107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  <c r="CW1670" s="1"/>
      <c r="CX1670" s="1"/>
      <c r="CY1670" s="1"/>
      <c r="CZ1670" s="1"/>
      <c r="DA1670" s="1"/>
      <c r="DB1670" s="1"/>
      <c r="DC1670" s="1"/>
    </row>
    <row r="1671" spans="1:107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  <c r="CW1671" s="1"/>
      <c r="CX1671" s="1"/>
      <c r="CY1671" s="1"/>
      <c r="CZ1671" s="1"/>
      <c r="DA1671" s="1"/>
      <c r="DB1671" s="1"/>
      <c r="DC1671" s="1"/>
    </row>
    <row r="1672" spans="1:107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  <c r="CW1672" s="1"/>
      <c r="CX1672" s="1"/>
      <c r="CY1672" s="1"/>
      <c r="CZ1672" s="1"/>
      <c r="DA1672" s="1"/>
      <c r="DB1672" s="1"/>
      <c r="DC1672" s="1"/>
    </row>
    <row r="1673" spans="1:107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  <c r="CW1673" s="1"/>
      <c r="CX1673" s="1"/>
      <c r="CY1673" s="1"/>
      <c r="CZ1673" s="1"/>
      <c r="DA1673" s="1"/>
      <c r="DB1673" s="1"/>
      <c r="DC1673" s="1"/>
    </row>
    <row r="1674" spans="1:107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  <c r="CW1674" s="1"/>
      <c r="CX1674" s="1"/>
      <c r="CY1674" s="1"/>
      <c r="CZ1674" s="1"/>
      <c r="DA1674" s="1"/>
      <c r="DB1674" s="1"/>
      <c r="DC1674" s="1"/>
    </row>
    <row r="1675" spans="1:107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  <c r="CW1675" s="1"/>
      <c r="CX1675" s="1"/>
      <c r="CY1675" s="1"/>
      <c r="CZ1675" s="1"/>
      <c r="DA1675" s="1"/>
      <c r="DB1675" s="1"/>
      <c r="DC1675" s="1"/>
    </row>
    <row r="1676" spans="1:107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  <c r="CW1676" s="1"/>
      <c r="CX1676" s="1"/>
      <c r="CY1676" s="1"/>
      <c r="CZ1676" s="1"/>
      <c r="DA1676" s="1"/>
      <c r="DB1676" s="1"/>
      <c r="DC1676" s="1"/>
    </row>
    <row r="1677" spans="1:10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  <c r="CW1677" s="1"/>
      <c r="CX1677" s="1"/>
      <c r="CY1677" s="1"/>
      <c r="CZ1677" s="1"/>
      <c r="DA1677" s="1"/>
      <c r="DB1677" s="1"/>
      <c r="DC1677" s="1"/>
    </row>
    <row r="1678" spans="1:107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  <c r="CW1678" s="1"/>
      <c r="CX1678" s="1"/>
      <c r="CY1678" s="1"/>
      <c r="CZ1678" s="1"/>
      <c r="DA1678" s="1"/>
      <c r="DB1678" s="1"/>
      <c r="DC1678" s="1"/>
    </row>
    <row r="1679" spans="1:107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  <c r="CW1679" s="1"/>
      <c r="CX1679" s="1"/>
      <c r="CY1679" s="1"/>
      <c r="CZ1679" s="1"/>
      <c r="DA1679" s="1"/>
      <c r="DB1679" s="1"/>
      <c r="DC1679" s="1"/>
    </row>
    <row r="1680" spans="1:107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  <c r="CW1680" s="1"/>
      <c r="CX1680" s="1"/>
      <c r="CY1680" s="1"/>
      <c r="CZ1680" s="1"/>
      <c r="DA1680" s="1"/>
      <c r="DB1680" s="1"/>
      <c r="DC1680" s="1"/>
    </row>
    <row r="1681" spans="1:107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  <c r="CW1681" s="1"/>
      <c r="CX1681" s="1"/>
      <c r="CY1681" s="1"/>
      <c r="CZ1681" s="1"/>
      <c r="DA1681" s="1"/>
      <c r="DB1681" s="1"/>
      <c r="DC1681" s="1"/>
    </row>
    <row r="1682" spans="1:107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  <c r="CW1682" s="1"/>
      <c r="CX1682" s="1"/>
      <c r="CY1682" s="1"/>
      <c r="CZ1682" s="1"/>
      <c r="DA1682" s="1"/>
      <c r="DB1682" s="1"/>
      <c r="DC1682" s="1"/>
    </row>
    <row r="1683" spans="1:107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  <c r="CW1683" s="1"/>
      <c r="CX1683" s="1"/>
      <c r="CY1683" s="1"/>
      <c r="CZ1683" s="1"/>
      <c r="DA1683" s="1"/>
      <c r="DB1683" s="1"/>
      <c r="DC1683" s="1"/>
    </row>
    <row r="1684" spans="1:107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  <c r="CW1684" s="1"/>
      <c r="CX1684" s="1"/>
      <c r="CY1684" s="1"/>
      <c r="CZ1684" s="1"/>
      <c r="DA1684" s="1"/>
      <c r="DB1684" s="1"/>
      <c r="DC1684" s="1"/>
    </row>
    <row r="1685" spans="1:107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  <c r="CW1685" s="1"/>
      <c r="CX1685" s="1"/>
      <c r="CY1685" s="1"/>
      <c r="CZ1685" s="1"/>
      <c r="DA1685" s="1"/>
      <c r="DB1685" s="1"/>
      <c r="DC1685" s="1"/>
    </row>
    <row r="1686" spans="1:107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  <c r="CW1686" s="1"/>
      <c r="CX1686" s="1"/>
      <c r="CY1686" s="1"/>
      <c r="CZ1686" s="1"/>
      <c r="DA1686" s="1"/>
      <c r="DB1686" s="1"/>
      <c r="DC1686" s="1"/>
    </row>
    <row r="1687" spans="1:10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  <c r="CW1687" s="1"/>
      <c r="CX1687" s="1"/>
      <c r="CY1687" s="1"/>
      <c r="CZ1687" s="1"/>
      <c r="DA1687" s="1"/>
      <c r="DB1687" s="1"/>
      <c r="DC1687" s="1"/>
    </row>
    <row r="1688" spans="1:107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  <c r="CW1688" s="1"/>
      <c r="CX1688" s="1"/>
      <c r="CY1688" s="1"/>
      <c r="CZ1688" s="1"/>
      <c r="DA1688" s="1"/>
      <c r="DB1688" s="1"/>
      <c r="DC1688" s="1"/>
    </row>
    <row r="1689" spans="1:107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  <c r="CW1689" s="1"/>
      <c r="CX1689" s="1"/>
      <c r="CY1689" s="1"/>
      <c r="CZ1689" s="1"/>
      <c r="DA1689" s="1"/>
      <c r="DB1689" s="1"/>
      <c r="DC1689" s="1"/>
    </row>
    <row r="1690" spans="1:107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  <c r="CW1690" s="1"/>
      <c r="CX1690" s="1"/>
      <c r="CY1690" s="1"/>
      <c r="CZ1690" s="1"/>
      <c r="DA1690" s="1"/>
      <c r="DB1690" s="1"/>
      <c r="DC1690" s="1"/>
    </row>
    <row r="1691" spans="1:107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  <c r="CW1691" s="1"/>
      <c r="CX1691" s="1"/>
      <c r="CY1691" s="1"/>
      <c r="CZ1691" s="1"/>
      <c r="DA1691" s="1"/>
      <c r="DB1691" s="1"/>
      <c r="DC1691" s="1"/>
    </row>
    <row r="1692" spans="1:107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  <c r="CW1692" s="1"/>
      <c r="CX1692" s="1"/>
      <c r="CY1692" s="1"/>
      <c r="CZ1692" s="1"/>
      <c r="DA1692" s="1"/>
      <c r="DB1692" s="1"/>
      <c r="DC1692" s="1"/>
    </row>
    <row r="1693" spans="1:107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  <c r="CW1693" s="1"/>
      <c r="CX1693" s="1"/>
      <c r="CY1693" s="1"/>
      <c r="CZ1693" s="1"/>
      <c r="DA1693" s="1"/>
      <c r="DB1693" s="1"/>
      <c r="DC1693" s="1"/>
    </row>
    <row r="1694" spans="1:107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  <c r="CW1694" s="1"/>
      <c r="CX1694" s="1"/>
      <c r="CY1694" s="1"/>
      <c r="CZ1694" s="1"/>
      <c r="DA1694" s="1"/>
      <c r="DB1694" s="1"/>
      <c r="DC1694" s="1"/>
    </row>
    <row r="1695" spans="1:107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  <c r="CW1695" s="1"/>
      <c r="CX1695" s="1"/>
      <c r="CY1695" s="1"/>
      <c r="CZ1695" s="1"/>
      <c r="DA1695" s="1"/>
      <c r="DB1695" s="1"/>
      <c r="DC1695" s="1"/>
    </row>
    <row r="1696" spans="1:107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  <c r="CW1696" s="1"/>
      <c r="CX1696" s="1"/>
      <c r="CY1696" s="1"/>
      <c r="CZ1696" s="1"/>
      <c r="DA1696" s="1"/>
      <c r="DB1696" s="1"/>
      <c r="DC1696" s="1"/>
    </row>
    <row r="1697" spans="1:10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  <c r="CW1697" s="1"/>
      <c r="CX1697" s="1"/>
      <c r="CY1697" s="1"/>
      <c r="CZ1697" s="1"/>
      <c r="DA1697" s="1"/>
      <c r="DB1697" s="1"/>
      <c r="DC1697" s="1"/>
    </row>
    <row r="1698" spans="1:107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  <c r="CW1698" s="1"/>
      <c r="CX1698" s="1"/>
      <c r="CY1698" s="1"/>
      <c r="CZ1698" s="1"/>
      <c r="DA1698" s="1"/>
      <c r="DB1698" s="1"/>
      <c r="DC1698" s="1"/>
    </row>
    <row r="1699" spans="1:107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  <c r="CW1699" s="1"/>
      <c r="CX1699" s="1"/>
      <c r="CY1699" s="1"/>
      <c r="CZ1699" s="1"/>
      <c r="DA1699" s="1"/>
      <c r="DB1699" s="1"/>
      <c r="DC1699" s="1"/>
    </row>
    <row r="1700" spans="1:107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  <c r="CW1700" s="1"/>
      <c r="CX1700" s="1"/>
      <c r="CY1700" s="1"/>
      <c r="CZ1700" s="1"/>
      <c r="DA1700" s="1"/>
      <c r="DB1700" s="1"/>
      <c r="DC1700" s="1"/>
    </row>
    <row r="1701" spans="1:107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  <c r="CW1701" s="1"/>
      <c r="CX1701" s="1"/>
      <c r="CY1701" s="1"/>
      <c r="CZ1701" s="1"/>
      <c r="DA1701" s="1"/>
      <c r="DB1701" s="1"/>
      <c r="DC1701" s="1"/>
    </row>
    <row r="1702" spans="1:107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  <c r="CW1702" s="1"/>
      <c r="CX1702" s="1"/>
      <c r="CY1702" s="1"/>
      <c r="CZ1702" s="1"/>
      <c r="DA1702" s="1"/>
      <c r="DB1702" s="1"/>
      <c r="DC1702" s="1"/>
    </row>
    <row r="1703" spans="1:107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  <c r="CW1703" s="1"/>
      <c r="CX1703" s="1"/>
      <c r="CY1703" s="1"/>
      <c r="CZ1703" s="1"/>
      <c r="DA1703" s="1"/>
      <c r="DB1703" s="1"/>
      <c r="DC1703" s="1"/>
    </row>
    <row r="1704" spans="1:107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  <c r="CW1704" s="1"/>
      <c r="CX1704" s="1"/>
      <c r="CY1704" s="1"/>
      <c r="CZ1704" s="1"/>
      <c r="DA1704" s="1"/>
      <c r="DB1704" s="1"/>
      <c r="DC1704" s="1"/>
    </row>
    <row r="1705" spans="1:107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  <c r="CW1705" s="1"/>
      <c r="CX1705" s="1"/>
      <c r="CY1705" s="1"/>
      <c r="CZ1705" s="1"/>
      <c r="DA1705" s="1"/>
      <c r="DB1705" s="1"/>
      <c r="DC1705" s="1"/>
    </row>
    <row r="1706" spans="1:107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  <c r="CW1706" s="1"/>
      <c r="CX1706" s="1"/>
      <c r="CY1706" s="1"/>
      <c r="CZ1706" s="1"/>
      <c r="DA1706" s="1"/>
      <c r="DB1706" s="1"/>
      <c r="DC1706" s="1"/>
    </row>
    <row r="1707" spans="1:1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  <c r="CW1707" s="1"/>
      <c r="CX1707" s="1"/>
      <c r="CY1707" s="1"/>
      <c r="CZ1707" s="1"/>
      <c r="DA1707" s="1"/>
      <c r="DB1707" s="1"/>
      <c r="DC1707" s="1"/>
    </row>
    <row r="1708" spans="1:107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  <c r="CW1708" s="1"/>
      <c r="CX1708" s="1"/>
      <c r="CY1708" s="1"/>
      <c r="CZ1708" s="1"/>
      <c r="DA1708" s="1"/>
      <c r="DB1708" s="1"/>
      <c r="DC1708" s="1"/>
    </row>
    <row r="1709" spans="1:107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  <c r="CW1709" s="1"/>
      <c r="CX1709" s="1"/>
      <c r="CY1709" s="1"/>
      <c r="CZ1709" s="1"/>
      <c r="DA1709" s="1"/>
      <c r="DB1709" s="1"/>
      <c r="DC1709" s="1"/>
    </row>
    <row r="1710" spans="1:107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  <c r="CW1710" s="1"/>
      <c r="CX1710" s="1"/>
      <c r="CY1710" s="1"/>
      <c r="CZ1710" s="1"/>
      <c r="DA1710" s="1"/>
      <c r="DB1710" s="1"/>
      <c r="DC1710" s="1"/>
    </row>
    <row r="1711" spans="1:107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  <c r="CW1711" s="1"/>
      <c r="CX1711" s="1"/>
      <c r="CY1711" s="1"/>
      <c r="CZ1711" s="1"/>
      <c r="DA1711" s="1"/>
      <c r="DB1711" s="1"/>
      <c r="DC1711" s="1"/>
    </row>
    <row r="1712" spans="1:107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  <c r="CW1712" s="1"/>
      <c r="CX1712" s="1"/>
      <c r="CY1712" s="1"/>
      <c r="CZ1712" s="1"/>
      <c r="DA1712" s="1"/>
      <c r="DB1712" s="1"/>
      <c r="DC1712" s="1"/>
    </row>
    <row r="1713" spans="1:107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  <c r="CW1713" s="1"/>
      <c r="CX1713" s="1"/>
      <c r="CY1713" s="1"/>
      <c r="CZ1713" s="1"/>
      <c r="DA1713" s="1"/>
      <c r="DB1713" s="1"/>
      <c r="DC1713" s="1"/>
    </row>
    <row r="1714" spans="1:107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  <c r="CW1714" s="1"/>
      <c r="CX1714" s="1"/>
      <c r="CY1714" s="1"/>
      <c r="CZ1714" s="1"/>
      <c r="DA1714" s="1"/>
      <c r="DB1714" s="1"/>
      <c r="DC1714" s="1"/>
    </row>
    <row r="1715" spans="1:107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  <c r="CW1715" s="1"/>
      <c r="CX1715" s="1"/>
      <c r="CY1715" s="1"/>
      <c r="CZ1715" s="1"/>
      <c r="DA1715" s="1"/>
      <c r="DB1715" s="1"/>
      <c r="DC1715" s="1"/>
    </row>
    <row r="1716" spans="1:107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  <c r="CW1716" s="1"/>
      <c r="CX1716" s="1"/>
      <c r="CY1716" s="1"/>
      <c r="CZ1716" s="1"/>
      <c r="DA1716" s="1"/>
      <c r="DB1716" s="1"/>
      <c r="DC1716" s="1"/>
    </row>
    <row r="1717" spans="1:10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  <c r="CW1717" s="1"/>
      <c r="CX1717" s="1"/>
      <c r="CY1717" s="1"/>
      <c r="CZ1717" s="1"/>
      <c r="DA1717" s="1"/>
      <c r="DB1717" s="1"/>
      <c r="DC1717" s="1"/>
    </row>
    <row r="1718" spans="1:107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  <c r="CW1718" s="1"/>
      <c r="CX1718" s="1"/>
      <c r="CY1718" s="1"/>
      <c r="CZ1718" s="1"/>
      <c r="DA1718" s="1"/>
      <c r="DB1718" s="1"/>
      <c r="DC1718" s="1"/>
    </row>
    <row r="1719" spans="1:107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  <c r="CW1719" s="1"/>
      <c r="CX1719" s="1"/>
      <c r="CY1719" s="1"/>
      <c r="CZ1719" s="1"/>
      <c r="DA1719" s="1"/>
      <c r="DB1719" s="1"/>
      <c r="DC1719" s="1"/>
    </row>
    <row r="1720" spans="1:107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  <c r="CW1720" s="1"/>
      <c r="CX1720" s="1"/>
      <c r="CY1720" s="1"/>
      <c r="CZ1720" s="1"/>
      <c r="DA1720" s="1"/>
      <c r="DB1720" s="1"/>
      <c r="DC1720" s="1"/>
    </row>
    <row r="1721" spans="1:107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  <c r="CW1721" s="1"/>
      <c r="CX1721" s="1"/>
      <c r="CY1721" s="1"/>
      <c r="CZ1721" s="1"/>
      <c r="DA1721" s="1"/>
      <c r="DB1721" s="1"/>
      <c r="DC1721" s="1"/>
    </row>
    <row r="1722" spans="1:107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  <c r="CW1722" s="1"/>
      <c r="CX1722" s="1"/>
      <c r="CY1722" s="1"/>
      <c r="CZ1722" s="1"/>
      <c r="DA1722" s="1"/>
      <c r="DB1722" s="1"/>
      <c r="DC1722" s="1"/>
    </row>
    <row r="1723" spans="1:107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  <c r="CW1723" s="1"/>
      <c r="CX1723" s="1"/>
      <c r="CY1723" s="1"/>
      <c r="CZ1723" s="1"/>
      <c r="DA1723" s="1"/>
      <c r="DB1723" s="1"/>
      <c r="DC1723" s="1"/>
    </row>
    <row r="1724" spans="1:107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  <c r="CW1724" s="1"/>
      <c r="CX1724" s="1"/>
      <c r="CY1724" s="1"/>
      <c r="CZ1724" s="1"/>
      <c r="DA1724" s="1"/>
      <c r="DB1724" s="1"/>
      <c r="DC1724" s="1"/>
    </row>
    <row r="1725" spans="1:107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  <c r="CW1725" s="1"/>
      <c r="CX1725" s="1"/>
      <c r="CY1725" s="1"/>
      <c r="CZ1725" s="1"/>
      <c r="DA1725" s="1"/>
      <c r="DB1725" s="1"/>
      <c r="DC1725" s="1"/>
    </row>
    <row r="1726" spans="1:107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  <c r="CW1726" s="1"/>
      <c r="CX1726" s="1"/>
      <c r="CY1726" s="1"/>
      <c r="CZ1726" s="1"/>
      <c r="DA1726" s="1"/>
      <c r="DB1726" s="1"/>
      <c r="DC1726" s="1"/>
    </row>
    <row r="1727" spans="1:10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  <c r="CW1727" s="1"/>
      <c r="CX1727" s="1"/>
      <c r="CY1727" s="1"/>
      <c r="CZ1727" s="1"/>
      <c r="DA1727" s="1"/>
      <c r="DB1727" s="1"/>
      <c r="DC1727" s="1"/>
    </row>
    <row r="1728" spans="1:107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  <c r="CW1728" s="1"/>
      <c r="CX1728" s="1"/>
      <c r="CY1728" s="1"/>
      <c r="CZ1728" s="1"/>
      <c r="DA1728" s="1"/>
      <c r="DB1728" s="1"/>
      <c r="DC1728" s="1"/>
    </row>
    <row r="1729" spans="1:107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  <c r="CW1729" s="1"/>
      <c r="CX1729" s="1"/>
      <c r="CY1729" s="1"/>
      <c r="CZ1729" s="1"/>
      <c r="DA1729" s="1"/>
      <c r="DB1729" s="1"/>
      <c r="DC1729" s="1"/>
    </row>
    <row r="1730" spans="1:107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  <c r="CW1730" s="1"/>
      <c r="CX1730" s="1"/>
      <c r="CY1730" s="1"/>
      <c r="CZ1730" s="1"/>
      <c r="DA1730" s="1"/>
      <c r="DB1730" s="1"/>
      <c r="DC1730" s="1"/>
    </row>
    <row r="1731" spans="1:107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  <c r="CW1731" s="1"/>
      <c r="CX1731" s="1"/>
      <c r="CY1731" s="1"/>
      <c r="CZ1731" s="1"/>
      <c r="DA1731" s="1"/>
      <c r="DB1731" s="1"/>
      <c r="DC1731" s="1"/>
    </row>
    <row r="1732" spans="1:107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  <c r="CW1732" s="1"/>
      <c r="CX1732" s="1"/>
      <c r="CY1732" s="1"/>
      <c r="CZ1732" s="1"/>
      <c r="DA1732" s="1"/>
      <c r="DB1732" s="1"/>
      <c r="DC1732" s="1"/>
    </row>
    <row r="1733" spans="1:107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  <c r="CW1733" s="1"/>
      <c r="CX1733" s="1"/>
      <c r="CY1733" s="1"/>
      <c r="CZ1733" s="1"/>
      <c r="DA1733" s="1"/>
      <c r="DB1733" s="1"/>
      <c r="DC1733" s="1"/>
    </row>
    <row r="1734" spans="1:107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  <c r="CW1734" s="1"/>
      <c r="CX1734" s="1"/>
      <c r="CY1734" s="1"/>
      <c r="CZ1734" s="1"/>
      <c r="DA1734" s="1"/>
      <c r="DB1734" s="1"/>
      <c r="DC1734" s="1"/>
    </row>
    <row r="1735" spans="1:107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  <c r="CW1735" s="1"/>
      <c r="CX1735" s="1"/>
      <c r="CY1735" s="1"/>
      <c r="CZ1735" s="1"/>
      <c r="DA1735" s="1"/>
      <c r="DB1735" s="1"/>
      <c r="DC1735" s="1"/>
    </row>
    <row r="1736" spans="1:107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  <c r="CW1736" s="1"/>
      <c r="CX1736" s="1"/>
      <c r="CY1736" s="1"/>
      <c r="CZ1736" s="1"/>
      <c r="DA1736" s="1"/>
      <c r="DB1736" s="1"/>
      <c r="DC1736" s="1"/>
    </row>
    <row r="1737" spans="1:10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  <c r="CW1737" s="1"/>
      <c r="CX1737" s="1"/>
      <c r="CY1737" s="1"/>
      <c r="CZ1737" s="1"/>
      <c r="DA1737" s="1"/>
      <c r="DB1737" s="1"/>
      <c r="DC1737" s="1"/>
    </row>
    <row r="1738" spans="1:107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  <c r="CW1738" s="1"/>
      <c r="CX1738" s="1"/>
      <c r="CY1738" s="1"/>
      <c r="CZ1738" s="1"/>
      <c r="DA1738" s="1"/>
      <c r="DB1738" s="1"/>
      <c r="DC1738" s="1"/>
    </row>
    <row r="1739" spans="1:107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  <c r="CW1739" s="1"/>
      <c r="CX1739" s="1"/>
      <c r="CY1739" s="1"/>
      <c r="CZ1739" s="1"/>
      <c r="DA1739" s="1"/>
      <c r="DB1739" s="1"/>
      <c r="DC1739" s="1"/>
    </row>
    <row r="1740" spans="1:107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  <c r="CW1740" s="1"/>
      <c r="CX1740" s="1"/>
      <c r="CY1740" s="1"/>
      <c r="CZ1740" s="1"/>
      <c r="DA1740" s="1"/>
      <c r="DB1740" s="1"/>
      <c r="DC1740" s="1"/>
    </row>
    <row r="1741" spans="1:107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  <c r="CW1741" s="1"/>
      <c r="CX1741" s="1"/>
      <c r="CY1741" s="1"/>
      <c r="CZ1741" s="1"/>
      <c r="DA1741" s="1"/>
      <c r="DB1741" s="1"/>
      <c r="DC1741" s="1"/>
    </row>
    <row r="1742" spans="1:107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  <c r="CW1742" s="1"/>
      <c r="CX1742" s="1"/>
      <c r="CY1742" s="1"/>
      <c r="CZ1742" s="1"/>
      <c r="DA1742" s="1"/>
      <c r="DB1742" s="1"/>
      <c r="DC1742" s="1"/>
    </row>
    <row r="1743" spans="1:107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  <c r="CW1743" s="1"/>
      <c r="CX1743" s="1"/>
      <c r="CY1743" s="1"/>
      <c r="CZ1743" s="1"/>
      <c r="DA1743" s="1"/>
      <c r="DB1743" s="1"/>
      <c r="DC1743" s="1"/>
    </row>
    <row r="1744" spans="1:107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  <c r="CW1744" s="1"/>
      <c r="CX1744" s="1"/>
      <c r="CY1744" s="1"/>
      <c r="CZ1744" s="1"/>
      <c r="DA1744" s="1"/>
      <c r="DB1744" s="1"/>
      <c r="DC1744" s="1"/>
    </row>
    <row r="1745" spans="1:107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  <c r="CW1745" s="1"/>
      <c r="CX1745" s="1"/>
      <c r="CY1745" s="1"/>
      <c r="CZ1745" s="1"/>
      <c r="DA1745" s="1"/>
      <c r="DB1745" s="1"/>
      <c r="DC1745" s="1"/>
    </row>
    <row r="1746" spans="1:107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  <c r="CW1746" s="1"/>
      <c r="CX1746" s="1"/>
      <c r="CY1746" s="1"/>
      <c r="CZ1746" s="1"/>
      <c r="DA1746" s="1"/>
      <c r="DB1746" s="1"/>
      <c r="DC1746" s="1"/>
    </row>
    <row r="1747" spans="1:10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  <c r="CW1747" s="1"/>
      <c r="CX1747" s="1"/>
      <c r="CY1747" s="1"/>
      <c r="CZ1747" s="1"/>
      <c r="DA1747" s="1"/>
      <c r="DB1747" s="1"/>
      <c r="DC1747" s="1"/>
    </row>
    <row r="1748" spans="1:107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  <c r="CW1748" s="1"/>
      <c r="CX1748" s="1"/>
      <c r="CY1748" s="1"/>
      <c r="CZ1748" s="1"/>
      <c r="DA1748" s="1"/>
      <c r="DB1748" s="1"/>
      <c r="DC1748" s="1"/>
    </row>
    <row r="1749" spans="1:107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  <c r="CW1749" s="1"/>
      <c r="CX1749" s="1"/>
      <c r="CY1749" s="1"/>
      <c r="CZ1749" s="1"/>
      <c r="DA1749" s="1"/>
      <c r="DB1749" s="1"/>
      <c r="DC1749" s="1"/>
    </row>
    <row r="1750" spans="1:107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  <c r="CW1750" s="1"/>
      <c r="CX1750" s="1"/>
      <c r="CY1750" s="1"/>
      <c r="CZ1750" s="1"/>
      <c r="DA1750" s="1"/>
      <c r="DB1750" s="1"/>
      <c r="DC1750" s="1"/>
    </row>
    <row r="1751" spans="1:107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  <c r="CW1751" s="1"/>
      <c r="CX1751" s="1"/>
      <c r="CY1751" s="1"/>
      <c r="CZ1751" s="1"/>
      <c r="DA1751" s="1"/>
      <c r="DB1751" s="1"/>
      <c r="DC1751" s="1"/>
    </row>
    <row r="1752" spans="1:107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  <c r="CW1752" s="1"/>
      <c r="CX1752" s="1"/>
      <c r="CY1752" s="1"/>
      <c r="CZ1752" s="1"/>
      <c r="DA1752" s="1"/>
      <c r="DB1752" s="1"/>
      <c r="DC1752" s="1"/>
    </row>
    <row r="1753" spans="1:107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  <c r="CW1753" s="1"/>
      <c r="CX1753" s="1"/>
      <c r="CY1753" s="1"/>
      <c r="CZ1753" s="1"/>
      <c r="DA1753" s="1"/>
      <c r="DB1753" s="1"/>
      <c r="DC1753" s="1"/>
    </row>
    <row r="1754" spans="1:107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  <c r="CW1754" s="1"/>
      <c r="CX1754" s="1"/>
      <c r="CY1754" s="1"/>
      <c r="CZ1754" s="1"/>
      <c r="DA1754" s="1"/>
      <c r="DB1754" s="1"/>
      <c r="DC1754" s="1"/>
    </row>
    <row r="1755" spans="1:107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  <c r="CW1755" s="1"/>
      <c r="CX1755" s="1"/>
      <c r="CY1755" s="1"/>
      <c r="CZ1755" s="1"/>
      <c r="DA1755" s="1"/>
      <c r="DB1755" s="1"/>
      <c r="DC1755" s="1"/>
    </row>
    <row r="1756" spans="1:107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  <c r="CW1756" s="1"/>
      <c r="CX1756" s="1"/>
      <c r="CY1756" s="1"/>
      <c r="CZ1756" s="1"/>
      <c r="DA1756" s="1"/>
      <c r="DB1756" s="1"/>
      <c r="DC1756" s="1"/>
    </row>
    <row r="1757" spans="1:10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  <c r="CW1757" s="1"/>
      <c r="CX1757" s="1"/>
      <c r="CY1757" s="1"/>
      <c r="CZ1757" s="1"/>
      <c r="DA1757" s="1"/>
      <c r="DB1757" s="1"/>
      <c r="DC1757" s="1"/>
    </row>
    <row r="1758" spans="1:107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  <c r="CW1758" s="1"/>
      <c r="CX1758" s="1"/>
      <c r="CY1758" s="1"/>
      <c r="CZ1758" s="1"/>
      <c r="DA1758" s="1"/>
      <c r="DB1758" s="1"/>
      <c r="DC1758" s="1"/>
    </row>
    <row r="1759" spans="1:107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  <c r="CW1759" s="1"/>
      <c r="CX1759" s="1"/>
      <c r="CY1759" s="1"/>
      <c r="CZ1759" s="1"/>
      <c r="DA1759" s="1"/>
      <c r="DB1759" s="1"/>
      <c r="DC1759" s="1"/>
    </row>
    <row r="1760" spans="1:107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  <c r="CW1760" s="1"/>
      <c r="CX1760" s="1"/>
      <c r="CY1760" s="1"/>
      <c r="CZ1760" s="1"/>
      <c r="DA1760" s="1"/>
      <c r="DB1760" s="1"/>
      <c r="DC1760" s="1"/>
    </row>
    <row r="1761" spans="1:107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  <c r="CW1761" s="1"/>
      <c r="CX1761" s="1"/>
      <c r="CY1761" s="1"/>
      <c r="CZ1761" s="1"/>
      <c r="DA1761" s="1"/>
      <c r="DB1761" s="1"/>
      <c r="DC1761" s="1"/>
    </row>
    <row r="1762" spans="1:107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  <c r="CW1762" s="1"/>
      <c r="CX1762" s="1"/>
      <c r="CY1762" s="1"/>
      <c r="CZ1762" s="1"/>
      <c r="DA1762" s="1"/>
      <c r="DB1762" s="1"/>
      <c r="DC1762" s="1"/>
    </row>
    <row r="1763" spans="1:107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  <c r="CW1763" s="1"/>
      <c r="CX1763" s="1"/>
      <c r="CY1763" s="1"/>
      <c r="CZ1763" s="1"/>
      <c r="DA1763" s="1"/>
      <c r="DB1763" s="1"/>
      <c r="DC1763" s="1"/>
    </row>
    <row r="1764" spans="1:107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  <c r="CW1764" s="1"/>
      <c r="CX1764" s="1"/>
      <c r="CY1764" s="1"/>
      <c r="CZ1764" s="1"/>
      <c r="DA1764" s="1"/>
      <c r="DB1764" s="1"/>
      <c r="DC1764" s="1"/>
    </row>
    <row r="1765" spans="1:107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  <c r="CW1765" s="1"/>
      <c r="CX1765" s="1"/>
      <c r="CY1765" s="1"/>
      <c r="CZ1765" s="1"/>
      <c r="DA1765" s="1"/>
      <c r="DB1765" s="1"/>
      <c r="DC1765" s="1"/>
    </row>
    <row r="1766" spans="1:107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  <c r="CW1766" s="1"/>
      <c r="CX1766" s="1"/>
      <c r="CY1766" s="1"/>
      <c r="CZ1766" s="1"/>
      <c r="DA1766" s="1"/>
      <c r="DB1766" s="1"/>
      <c r="DC1766" s="1"/>
    </row>
    <row r="1767" spans="1:10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  <c r="CW1767" s="1"/>
      <c r="CX1767" s="1"/>
      <c r="CY1767" s="1"/>
      <c r="CZ1767" s="1"/>
      <c r="DA1767" s="1"/>
      <c r="DB1767" s="1"/>
      <c r="DC1767" s="1"/>
    </row>
    <row r="1768" spans="1:107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  <c r="CW1768" s="1"/>
      <c r="CX1768" s="1"/>
      <c r="CY1768" s="1"/>
      <c r="CZ1768" s="1"/>
      <c r="DA1768" s="1"/>
      <c r="DB1768" s="1"/>
      <c r="DC1768" s="1"/>
    </row>
    <row r="1769" spans="1:107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  <c r="CW1769" s="1"/>
      <c r="CX1769" s="1"/>
      <c r="CY1769" s="1"/>
      <c r="CZ1769" s="1"/>
      <c r="DA1769" s="1"/>
      <c r="DB1769" s="1"/>
      <c r="DC1769" s="1"/>
    </row>
    <row r="1770" spans="1:107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  <c r="CW1770" s="1"/>
      <c r="CX1770" s="1"/>
      <c r="CY1770" s="1"/>
      <c r="CZ1770" s="1"/>
      <c r="DA1770" s="1"/>
      <c r="DB1770" s="1"/>
      <c r="DC1770" s="1"/>
    </row>
    <row r="1771" spans="1:107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  <c r="CW1771" s="1"/>
      <c r="CX1771" s="1"/>
      <c r="CY1771" s="1"/>
      <c r="CZ1771" s="1"/>
      <c r="DA1771" s="1"/>
      <c r="DB1771" s="1"/>
      <c r="DC1771" s="1"/>
    </row>
    <row r="1772" spans="1:107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  <c r="CW1772" s="1"/>
      <c r="CX1772" s="1"/>
      <c r="CY1772" s="1"/>
      <c r="CZ1772" s="1"/>
      <c r="DA1772" s="1"/>
      <c r="DB1772" s="1"/>
      <c r="DC1772" s="1"/>
    </row>
    <row r="1773" spans="1:107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  <c r="CW1773" s="1"/>
      <c r="CX1773" s="1"/>
      <c r="CY1773" s="1"/>
      <c r="CZ1773" s="1"/>
      <c r="DA1773" s="1"/>
      <c r="DB1773" s="1"/>
      <c r="DC1773" s="1"/>
    </row>
    <row r="1774" spans="1:107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  <c r="CW1774" s="1"/>
      <c r="CX1774" s="1"/>
      <c r="CY1774" s="1"/>
      <c r="CZ1774" s="1"/>
      <c r="DA1774" s="1"/>
      <c r="DB1774" s="1"/>
      <c r="DC1774" s="1"/>
    </row>
    <row r="1775" spans="1:107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  <c r="CW1775" s="1"/>
      <c r="CX1775" s="1"/>
      <c r="CY1775" s="1"/>
      <c r="CZ1775" s="1"/>
      <c r="DA1775" s="1"/>
      <c r="DB1775" s="1"/>
      <c r="DC1775" s="1"/>
    </row>
    <row r="1776" spans="1:107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  <c r="CW1776" s="1"/>
      <c r="CX1776" s="1"/>
      <c r="CY1776" s="1"/>
      <c r="CZ1776" s="1"/>
      <c r="DA1776" s="1"/>
      <c r="DB1776" s="1"/>
      <c r="DC1776" s="1"/>
    </row>
    <row r="1777" spans="1:10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  <c r="CW1777" s="1"/>
      <c r="CX1777" s="1"/>
      <c r="CY1777" s="1"/>
      <c r="CZ1777" s="1"/>
      <c r="DA1777" s="1"/>
      <c r="DB1777" s="1"/>
      <c r="DC1777" s="1"/>
    </row>
    <row r="1778" spans="1:107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  <c r="CW1778" s="1"/>
      <c r="CX1778" s="1"/>
      <c r="CY1778" s="1"/>
      <c r="CZ1778" s="1"/>
      <c r="DA1778" s="1"/>
      <c r="DB1778" s="1"/>
      <c r="DC1778" s="1"/>
    </row>
    <row r="1779" spans="1:107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  <c r="CW1779" s="1"/>
      <c r="CX1779" s="1"/>
      <c r="CY1779" s="1"/>
      <c r="CZ1779" s="1"/>
      <c r="DA1779" s="1"/>
      <c r="DB1779" s="1"/>
      <c r="DC1779" s="1"/>
    </row>
    <row r="1780" spans="1:107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  <c r="CW1780" s="1"/>
      <c r="CX1780" s="1"/>
      <c r="CY1780" s="1"/>
      <c r="CZ1780" s="1"/>
      <c r="DA1780" s="1"/>
      <c r="DB1780" s="1"/>
      <c r="DC1780" s="1"/>
    </row>
    <row r="1781" spans="1:107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  <c r="CW1781" s="1"/>
      <c r="CX1781" s="1"/>
      <c r="CY1781" s="1"/>
      <c r="CZ1781" s="1"/>
      <c r="DA1781" s="1"/>
      <c r="DB1781" s="1"/>
      <c r="DC1781" s="1"/>
    </row>
    <row r="1782" spans="1:107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  <c r="CW1782" s="1"/>
      <c r="CX1782" s="1"/>
      <c r="CY1782" s="1"/>
      <c r="CZ1782" s="1"/>
      <c r="DA1782" s="1"/>
      <c r="DB1782" s="1"/>
      <c r="DC1782" s="1"/>
    </row>
    <row r="1783" spans="1:107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  <c r="CW1783" s="1"/>
      <c r="CX1783" s="1"/>
      <c r="CY1783" s="1"/>
      <c r="CZ1783" s="1"/>
      <c r="DA1783" s="1"/>
      <c r="DB1783" s="1"/>
      <c r="DC1783" s="1"/>
    </row>
    <row r="1784" spans="1:107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  <c r="CW1784" s="1"/>
      <c r="CX1784" s="1"/>
      <c r="CY1784" s="1"/>
      <c r="CZ1784" s="1"/>
      <c r="DA1784" s="1"/>
      <c r="DB1784" s="1"/>
      <c r="DC1784" s="1"/>
    </row>
    <row r="1785" spans="1:107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  <c r="CW1785" s="1"/>
      <c r="CX1785" s="1"/>
      <c r="CY1785" s="1"/>
      <c r="CZ1785" s="1"/>
      <c r="DA1785" s="1"/>
      <c r="DB1785" s="1"/>
      <c r="DC1785" s="1"/>
    </row>
    <row r="1786" spans="1:107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  <c r="CW1786" s="1"/>
      <c r="CX1786" s="1"/>
      <c r="CY1786" s="1"/>
      <c r="CZ1786" s="1"/>
      <c r="DA1786" s="1"/>
      <c r="DB1786" s="1"/>
      <c r="DC1786" s="1"/>
    </row>
    <row r="1787" spans="1:10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  <c r="CW1787" s="1"/>
      <c r="CX1787" s="1"/>
      <c r="CY1787" s="1"/>
      <c r="CZ1787" s="1"/>
      <c r="DA1787" s="1"/>
      <c r="DB1787" s="1"/>
      <c r="DC1787" s="1"/>
    </row>
    <row r="1788" spans="1:107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  <c r="CW1788" s="1"/>
      <c r="CX1788" s="1"/>
      <c r="CY1788" s="1"/>
      <c r="CZ1788" s="1"/>
      <c r="DA1788" s="1"/>
      <c r="DB1788" s="1"/>
      <c r="DC1788" s="1"/>
    </row>
    <row r="1789" spans="1:107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  <c r="CW1789" s="1"/>
      <c r="CX1789" s="1"/>
      <c r="CY1789" s="1"/>
      <c r="CZ1789" s="1"/>
      <c r="DA1789" s="1"/>
      <c r="DB1789" s="1"/>
      <c r="DC1789" s="1"/>
    </row>
    <row r="1790" spans="1:107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  <c r="CW1790" s="1"/>
      <c r="CX1790" s="1"/>
      <c r="CY1790" s="1"/>
      <c r="CZ1790" s="1"/>
      <c r="DA1790" s="1"/>
      <c r="DB1790" s="1"/>
      <c r="DC1790" s="1"/>
    </row>
    <row r="1791" spans="1:107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  <c r="CW1791" s="1"/>
      <c r="CX1791" s="1"/>
      <c r="CY1791" s="1"/>
      <c r="CZ1791" s="1"/>
      <c r="DA1791" s="1"/>
      <c r="DB1791" s="1"/>
      <c r="DC1791" s="1"/>
    </row>
    <row r="1792" spans="1:107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  <c r="CW1792" s="1"/>
      <c r="CX1792" s="1"/>
      <c r="CY1792" s="1"/>
      <c r="CZ1792" s="1"/>
      <c r="DA1792" s="1"/>
      <c r="DB1792" s="1"/>
      <c r="DC1792" s="1"/>
    </row>
    <row r="1793" spans="1:107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  <c r="CW1793" s="1"/>
      <c r="CX1793" s="1"/>
      <c r="CY1793" s="1"/>
      <c r="CZ1793" s="1"/>
      <c r="DA1793" s="1"/>
      <c r="DB1793" s="1"/>
      <c r="DC1793" s="1"/>
    </row>
    <row r="1794" spans="1:107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  <c r="CW1794" s="1"/>
      <c r="CX1794" s="1"/>
      <c r="CY1794" s="1"/>
      <c r="CZ1794" s="1"/>
      <c r="DA1794" s="1"/>
      <c r="DB1794" s="1"/>
      <c r="DC1794" s="1"/>
    </row>
    <row r="1795" spans="1:107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  <c r="CW1795" s="1"/>
      <c r="CX1795" s="1"/>
      <c r="CY1795" s="1"/>
      <c r="CZ1795" s="1"/>
      <c r="DA1795" s="1"/>
      <c r="DB1795" s="1"/>
      <c r="DC1795" s="1"/>
    </row>
    <row r="1796" spans="1:107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  <c r="CW1796" s="1"/>
      <c r="CX1796" s="1"/>
      <c r="CY1796" s="1"/>
      <c r="CZ1796" s="1"/>
      <c r="DA1796" s="1"/>
      <c r="DB1796" s="1"/>
      <c r="DC1796" s="1"/>
    </row>
    <row r="1797" spans="1:10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  <c r="CW1797" s="1"/>
      <c r="CX1797" s="1"/>
      <c r="CY1797" s="1"/>
      <c r="CZ1797" s="1"/>
      <c r="DA1797" s="1"/>
      <c r="DB1797" s="1"/>
      <c r="DC1797" s="1"/>
    </row>
    <row r="1798" spans="1:107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  <c r="CW1798" s="1"/>
      <c r="CX1798" s="1"/>
      <c r="CY1798" s="1"/>
      <c r="CZ1798" s="1"/>
      <c r="DA1798" s="1"/>
      <c r="DB1798" s="1"/>
      <c r="DC1798" s="1"/>
    </row>
    <row r="1799" spans="1:107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  <c r="CW1799" s="1"/>
      <c r="CX1799" s="1"/>
      <c r="CY1799" s="1"/>
      <c r="CZ1799" s="1"/>
      <c r="DA1799" s="1"/>
      <c r="DB1799" s="1"/>
      <c r="DC1799" s="1"/>
    </row>
    <row r="1800" spans="1:107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  <c r="CW1800" s="1"/>
      <c r="CX1800" s="1"/>
      <c r="CY1800" s="1"/>
      <c r="CZ1800" s="1"/>
      <c r="DA1800" s="1"/>
      <c r="DB1800" s="1"/>
      <c r="DC1800" s="1"/>
    </row>
    <row r="1801" spans="1:107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  <c r="CW1801" s="1"/>
      <c r="CX1801" s="1"/>
      <c r="CY1801" s="1"/>
      <c r="CZ1801" s="1"/>
      <c r="DA1801" s="1"/>
      <c r="DB1801" s="1"/>
      <c r="DC1801" s="1"/>
    </row>
    <row r="1802" spans="1:107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  <c r="CW1802" s="1"/>
      <c r="CX1802" s="1"/>
      <c r="CY1802" s="1"/>
      <c r="CZ1802" s="1"/>
      <c r="DA1802" s="1"/>
      <c r="DB1802" s="1"/>
      <c r="DC1802" s="1"/>
    </row>
    <row r="1803" spans="1:107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  <c r="CW1803" s="1"/>
      <c r="CX1803" s="1"/>
      <c r="CY1803" s="1"/>
      <c r="CZ1803" s="1"/>
      <c r="DA1803" s="1"/>
      <c r="DB1803" s="1"/>
      <c r="DC1803" s="1"/>
    </row>
    <row r="1804" spans="1:107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  <c r="CW1804" s="1"/>
      <c r="CX1804" s="1"/>
      <c r="CY1804" s="1"/>
      <c r="CZ1804" s="1"/>
      <c r="DA1804" s="1"/>
      <c r="DB1804" s="1"/>
      <c r="DC1804" s="1"/>
    </row>
    <row r="1805" spans="1:107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  <c r="CW1805" s="1"/>
      <c r="CX1805" s="1"/>
      <c r="CY1805" s="1"/>
      <c r="CZ1805" s="1"/>
      <c r="DA1805" s="1"/>
      <c r="DB1805" s="1"/>
      <c r="DC1805" s="1"/>
    </row>
    <row r="1806" spans="1:107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  <c r="CW1806" s="1"/>
      <c r="CX1806" s="1"/>
      <c r="CY1806" s="1"/>
      <c r="CZ1806" s="1"/>
      <c r="DA1806" s="1"/>
      <c r="DB1806" s="1"/>
      <c r="DC1806" s="1"/>
    </row>
    <row r="1807" spans="1:1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  <c r="CW1807" s="1"/>
      <c r="CX1807" s="1"/>
      <c r="CY1807" s="1"/>
      <c r="CZ1807" s="1"/>
      <c r="DA1807" s="1"/>
      <c r="DB1807" s="1"/>
      <c r="DC1807" s="1"/>
    </row>
    <row r="1808" spans="1:107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  <c r="CW1808" s="1"/>
      <c r="CX1808" s="1"/>
      <c r="CY1808" s="1"/>
      <c r="CZ1808" s="1"/>
      <c r="DA1808" s="1"/>
      <c r="DB1808" s="1"/>
      <c r="DC1808" s="1"/>
    </row>
    <row r="1809" spans="1:107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  <c r="CW1809" s="1"/>
      <c r="CX1809" s="1"/>
      <c r="CY1809" s="1"/>
      <c r="CZ1809" s="1"/>
      <c r="DA1809" s="1"/>
      <c r="DB1809" s="1"/>
      <c r="DC1809" s="1"/>
    </row>
    <row r="1810" spans="1:107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  <c r="CW1810" s="1"/>
      <c r="CX1810" s="1"/>
      <c r="CY1810" s="1"/>
      <c r="CZ1810" s="1"/>
      <c r="DA1810" s="1"/>
      <c r="DB1810" s="1"/>
      <c r="DC1810" s="1"/>
    </row>
    <row r="1811" spans="1:107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  <c r="CW1811" s="1"/>
      <c r="CX1811" s="1"/>
      <c r="CY1811" s="1"/>
      <c r="CZ1811" s="1"/>
      <c r="DA1811" s="1"/>
      <c r="DB1811" s="1"/>
      <c r="DC1811" s="1"/>
    </row>
    <row r="1812" spans="1:107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  <c r="CW1812" s="1"/>
      <c r="CX1812" s="1"/>
      <c r="CY1812" s="1"/>
      <c r="CZ1812" s="1"/>
      <c r="DA1812" s="1"/>
      <c r="DB1812" s="1"/>
      <c r="DC1812" s="1"/>
    </row>
    <row r="1813" spans="1:107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  <c r="CW1813" s="1"/>
      <c r="CX1813" s="1"/>
      <c r="CY1813" s="1"/>
      <c r="CZ1813" s="1"/>
      <c r="DA1813" s="1"/>
      <c r="DB1813" s="1"/>
      <c r="DC1813" s="1"/>
    </row>
    <row r="1814" spans="1:107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  <c r="CW1814" s="1"/>
      <c r="CX1814" s="1"/>
      <c r="CY1814" s="1"/>
      <c r="CZ1814" s="1"/>
      <c r="DA1814" s="1"/>
      <c r="DB1814" s="1"/>
      <c r="DC1814" s="1"/>
    </row>
    <row r="1815" spans="1:107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  <c r="CW1815" s="1"/>
      <c r="CX1815" s="1"/>
      <c r="CY1815" s="1"/>
      <c r="CZ1815" s="1"/>
      <c r="DA1815" s="1"/>
      <c r="DB1815" s="1"/>
      <c r="DC1815" s="1"/>
    </row>
    <row r="1816" spans="1:107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  <c r="CW1816" s="1"/>
      <c r="CX1816" s="1"/>
      <c r="CY1816" s="1"/>
      <c r="CZ1816" s="1"/>
      <c r="DA1816" s="1"/>
      <c r="DB1816" s="1"/>
      <c r="DC1816" s="1"/>
    </row>
    <row r="1817" spans="1:10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  <c r="CW1817" s="1"/>
      <c r="CX1817" s="1"/>
      <c r="CY1817" s="1"/>
      <c r="CZ1817" s="1"/>
      <c r="DA1817" s="1"/>
      <c r="DB1817" s="1"/>
      <c r="DC1817" s="1"/>
    </row>
    <row r="1818" spans="1:107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  <c r="CW1818" s="1"/>
      <c r="CX1818" s="1"/>
      <c r="CY1818" s="1"/>
      <c r="CZ1818" s="1"/>
      <c r="DA1818" s="1"/>
      <c r="DB1818" s="1"/>
      <c r="DC1818" s="1"/>
    </row>
    <row r="1819" spans="1:107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  <c r="CW1819" s="1"/>
      <c r="CX1819" s="1"/>
      <c r="CY1819" s="1"/>
      <c r="CZ1819" s="1"/>
      <c r="DA1819" s="1"/>
      <c r="DB1819" s="1"/>
      <c r="DC1819" s="1"/>
    </row>
    <row r="1820" spans="1:107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  <c r="CW1820" s="1"/>
      <c r="CX1820" s="1"/>
      <c r="CY1820" s="1"/>
      <c r="CZ1820" s="1"/>
      <c r="DA1820" s="1"/>
      <c r="DB1820" s="1"/>
      <c r="DC1820" s="1"/>
    </row>
    <row r="1821" spans="1:107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  <c r="CW1821" s="1"/>
      <c r="CX1821" s="1"/>
      <c r="CY1821" s="1"/>
      <c r="CZ1821" s="1"/>
      <c r="DA1821" s="1"/>
      <c r="DB1821" s="1"/>
      <c r="DC1821" s="1"/>
    </row>
    <row r="1822" spans="1:107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  <c r="CW1822" s="1"/>
      <c r="CX1822" s="1"/>
      <c r="CY1822" s="1"/>
      <c r="CZ1822" s="1"/>
      <c r="DA1822" s="1"/>
      <c r="DB1822" s="1"/>
      <c r="DC1822" s="1"/>
    </row>
    <row r="1823" spans="1:107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  <c r="CW1823" s="1"/>
      <c r="CX1823" s="1"/>
      <c r="CY1823" s="1"/>
      <c r="CZ1823" s="1"/>
      <c r="DA1823" s="1"/>
      <c r="DB1823" s="1"/>
      <c r="DC1823" s="1"/>
    </row>
    <row r="1824" spans="1:107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  <c r="CW1824" s="1"/>
      <c r="CX1824" s="1"/>
      <c r="CY1824" s="1"/>
      <c r="CZ1824" s="1"/>
      <c r="DA1824" s="1"/>
      <c r="DB1824" s="1"/>
      <c r="DC1824" s="1"/>
    </row>
    <row r="1825" spans="1:107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  <c r="CW1825" s="1"/>
      <c r="CX1825" s="1"/>
      <c r="CY1825" s="1"/>
      <c r="CZ1825" s="1"/>
      <c r="DA1825" s="1"/>
      <c r="DB1825" s="1"/>
      <c r="DC1825" s="1"/>
    </row>
    <row r="1826" spans="1:107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  <c r="CW1826" s="1"/>
      <c r="CX1826" s="1"/>
      <c r="CY1826" s="1"/>
      <c r="CZ1826" s="1"/>
      <c r="DA1826" s="1"/>
      <c r="DB1826" s="1"/>
      <c r="DC1826" s="1"/>
    </row>
    <row r="1827" spans="1:10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  <c r="CW1827" s="1"/>
      <c r="CX1827" s="1"/>
      <c r="CY1827" s="1"/>
      <c r="CZ1827" s="1"/>
      <c r="DA1827" s="1"/>
      <c r="DB1827" s="1"/>
      <c r="DC1827" s="1"/>
    </row>
    <row r="1828" spans="1:107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  <c r="CW1828" s="1"/>
      <c r="CX1828" s="1"/>
      <c r="CY1828" s="1"/>
      <c r="CZ1828" s="1"/>
      <c r="DA1828" s="1"/>
      <c r="DB1828" s="1"/>
      <c r="DC1828" s="1"/>
    </row>
    <row r="1829" spans="1:107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  <c r="CW1829" s="1"/>
      <c r="CX1829" s="1"/>
      <c r="CY1829" s="1"/>
      <c r="CZ1829" s="1"/>
      <c r="DA1829" s="1"/>
      <c r="DB1829" s="1"/>
      <c r="DC1829" s="1"/>
    </row>
    <row r="1830" spans="1:107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  <c r="CW1830" s="1"/>
      <c r="CX1830" s="1"/>
      <c r="CY1830" s="1"/>
      <c r="CZ1830" s="1"/>
      <c r="DA1830" s="1"/>
      <c r="DB1830" s="1"/>
      <c r="DC1830" s="1"/>
    </row>
    <row r="1831" spans="1:107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  <c r="CW1831" s="1"/>
      <c r="CX1831" s="1"/>
      <c r="CY1831" s="1"/>
      <c r="CZ1831" s="1"/>
      <c r="DA1831" s="1"/>
      <c r="DB1831" s="1"/>
      <c r="DC1831" s="1"/>
    </row>
    <row r="1832" spans="1:107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  <c r="CW1832" s="1"/>
      <c r="CX1832" s="1"/>
      <c r="CY1832" s="1"/>
      <c r="CZ1832" s="1"/>
      <c r="DA1832" s="1"/>
      <c r="DB1832" s="1"/>
      <c r="DC1832" s="1"/>
    </row>
    <row r="1833" spans="1:107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  <c r="CW1833" s="1"/>
      <c r="CX1833" s="1"/>
      <c r="CY1833" s="1"/>
      <c r="CZ1833" s="1"/>
      <c r="DA1833" s="1"/>
      <c r="DB1833" s="1"/>
      <c r="DC1833" s="1"/>
    </row>
    <row r="1834" spans="1:107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  <c r="CW1834" s="1"/>
      <c r="CX1834" s="1"/>
      <c r="CY1834" s="1"/>
      <c r="CZ1834" s="1"/>
      <c r="DA1834" s="1"/>
      <c r="DB1834" s="1"/>
      <c r="DC1834" s="1"/>
    </row>
    <row r="1835" spans="1:107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  <c r="CW1835" s="1"/>
      <c r="CX1835" s="1"/>
      <c r="CY1835" s="1"/>
      <c r="CZ1835" s="1"/>
      <c r="DA1835" s="1"/>
      <c r="DB1835" s="1"/>
      <c r="DC1835" s="1"/>
    </row>
    <row r="1836" spans="1:107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  <c r="CW1836" s="1"/>
      <c r="CX1836" s="1"/>
      <c r="CY1836" s="1"/>
      <c r="CZ1836" s="1"/>
      <c r="DA1836" s="1"/>
      <c r="DB1836" s="1"/>
      <c r="DC1836" s="1"/>
    </row>
    <row r="1837" spans="1:10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  <c r="CW1837" s="1"/>
      <c r="CX1837" s="1"/>
      <c r="CY1837" s="1"/>
      <c r="CZ1837" s="1"/>
      <c r="DA1837" s="1"/>
      <c r="DB1837" s="1"/>
      <c r="DC1837" s="1"/>
    </row>
    <row r="1838" spans="1:107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  <c r="CW1838" s="1"/>
      <c r="CX1838" s="1"/>
      <c r="CY1838" s="1"/>
      <c r="CZ1838" s="1"/>
      <c r="DA1838" s="1"/>
      <c r="DB1838" s="1"/>
      <c r="DC1838" s="1"/>
    </row>
    <row r="1839" spans="1:107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  <c r="CW1839" s="1"/>
      <c r="CX1839" s="1"/>
      <c r="CY1839" s="1"/>
      <c r="CZ1839" s="1"/>
      <c r="DA1839" s="1"/>
      <c r="DB1839" s="1"/>
      <c r="DC1839" s="1"/>
    </row>
    <row r="1840" spans="1:107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  <c r="CW1840" s="1"/>
      <c r="CX1840" s="1"/>
      <c r="CY1840" s="1"/>
      <c r="CZ1840" s="1"/>
      <c r="DA1840" s="1"/>
      <c r="DB1840" s="1"/>
      <c r="DC1840" s="1"/>
    </row>
    <row r="1841" spans="1:107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  <c r="CW1841" s="1"/>
      <c r="CX1841" s="1"/>
      <c r="CY1841" s="1"/>
      <c r="CZ1841" s="1"/>
      <c r="DA1841" s="1"/>
      <c r="DB1841" s="1"/>
      <c r="DC1841" s="1"/>
    </row>
    <row r="1842" spans="1:107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  <c r="CW1842" s="1"/>
      <c r="CX1842" s="1"/>
      <c r="CY1842" s="1"/>
      <c r="CZ1842" s="1"/>
      <c r="DA1842" s="1"/>
      <c r="DB1842" s="1"/>
      <c r="DC1842" s="1"/>
    </row>
    <row r="1843" spans="1:107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  <c r="CW1843" s="1"/>
      <c r="CX1843" s="1"/>
      <c r="CY1843" s="1"/>
      <c r="CZ1843" s="1"/>
      <c r="DA1843" s="1"/>
      <c r="DB1843" s="1"/>
      <c r="DC1843" s="1"/>
    </row>
    <row r="1844" spans="1:107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  <c r="CW1844" s="1"/>
      <c r="CX1844" s="1"/>
      <c r="CY1844" s="1"/>
      <c r="CZ1844" s="1"/>
      <c r="DA1844" s="1"/>
      <c r="DB1844" s="1"/>
      <c r="DC1844" s="1"/>
    </row>
    <row r="1845" spans="1:107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  <c r="CW1845" s="1"/>
      <c r="CX1845" s="1"/>
      <c r="CY1845" s="1"/>
      <c r="CZ1845" s="1"/>
      <c r="DA1845" s="1"/>
      <c r="DB1845" s="1"/>
      <c r="DC1845" s="1"/>
    </row>
    <row r="1846" spans="1:107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  <c r="CW1846" s="1"/>
      <c r="CX1846" s="1"/>
      <c r="CY1846" s="1"/>
      <c r="CZ1846" s="1"/>
      <c r="DA1846" s="1"/>
      <c r="DB1846" s="1"/>
      <c r="DC1846" s="1"/>
    </row>
    <row r="1847" spans="1:10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  <c r="CW1847" s="1"/>
      <c r="CX1847" s="1"/>
      <c r="CY1847" s="1"/>
      <c r="CZ1847" s="1"/>
      <c r="DA1847" s="1"/>
      <c r="DB1847" s="1"/>
      <c r="DC1847" s="1"/>
    </row>
    <row r="1848" spans="1:107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  <c r="CW1848" s="1"/>
      <c r="CX1848" s="1"/>
      <c r="CY1848" s="1"/>
      <c r="CZ1848" s="1"/>
      <c r="DA1848" s="1"/>
      <c r="DB1848" s="1"/>
      <c r="DC1848" s="1"/>
    </row>
    <row r="1849" spans="1:107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  <c r="CW1849" s="1"/>
      <c r="CX1849" s="1"/>
      <c r="CY1849" s="1"/>
      <c r="CZ1849" s="1"/>
      <c r="DA1849" s="1"/>
      <c r="DB1849" s="1"/>
      <c r="DC1849" s="1"/>
    </row>
    <row r="1850" spans="1:107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  <c r="CW1850" s="1"/>
      <c r="CX1850" s="1"/>
      <c r="CY1850" s="1"/>
      <c r="CZ1850" s="1"/>
      <c r="DA1850" s="1"/>
      <c r="DB1850" s="1"/>
      <c r="DC1850" s="1"/>
    </row>
    <row r="1851" spans="1:107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  <c r="CW1851" s="1"/>
      <c r="CX1851" s="1"/>
      <c r="CY1851" s="1"/>
      <c r="CZ1851" s="1"/>
      <c r="DA1851" s="1"/>
      <c r="DB1851" s="1"/>
      <c r="DC1851" s="1"/>
    </row>
    <row r="1852" spans="1:107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  <c r="CW1852" s="1"/>
      <c r="CX1852" s="1"/>
      <c r="CY1852" s="1"/>
      <c r="CZ1852" s="1"/>
      <c r="DA1852" s="1"/>
      <c r="DB1852" s="1"/>
      <c r="DC1852" s="1"/>
    </row>
    <row r="1853" spans="1:107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  <c r="CW1853" s="1"/>
      <c r="CX1853" s="1"/>
      <c r="CY1853" s="1"/>
      <c r="CZ1853" s="1"/>
      <c r="DA1853" s="1"/>
      <c r="DB1853" s="1"/>
      <c r="DC1853" s="1"/>
    </row>
    <row r="1854" spans="1:107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  <c r="CW1854" s="1"/>
      <c r="CX1854" s="1"/>
      <c r="CY1854" s="1"/>
      <c r="CZ1854" s="1"/>
      <c r="DA1854" s="1"/>
      <c r="DB1854" s="1"/>
      <c r="DC1854" s="1"/>
    </row>
    <row r="1855" spans="1:107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  <c r="CW1855" s="1"/>
      <c r="CX1855" s="1"/>
      <c r="CY1855" s="1"/>
      <c r="CZ1855" s="1"/>
      <c r="DA1855" s="1"/>
      <c r="DB1855" s="1"/>
      <c r="DC1855" s="1"/>
    </row>
    <row r="1856" spans="1:107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  <c r="CW1856" s="1"/>
      <c r="CX1856" s="1"/>
      <c r="CY1856" s="1"/>
      <c r="CZ1856" s="1"/>
      <c r="DA1856" s="1"/>
      <c r="DB1856" s="1"/>
      <c r="DC1856" s="1"/>
    </row>
    <row r="1857" spans="1:10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  <c r="CW1857" s="1"/>
      <c r="CX1857" s="1"/>
      <c r="CY1857" s="1"/>
      <c r="CZ1857" s="1"/>
      <c r="DA1857" s="1"/>
      <c r="DB1857" s="1"/>
      <c r="DC1857" s="1"/>
    </row>
    <row r="1858" spans="1:107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  <c r="CW1858" s="1"/>
      <c r="CX1858" s="1"/>
      <c r="CY1858" s="1"/>
      <c r="CZ1858" s="1"/>
      <c r="DA1858" s="1"/>
      <c r="DB1858" s="1"/>
      <c r="DC1858" s="1"/>
    </row>
    <row r="1859" spans="1:107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  <c r="CW1859" s="1"/>
      <c r="CX1859" s="1"/>
      <c r="CY1859" s="1"/>
      <c r="CZ1859" s="1"/>
      <c r="DA1859" s="1"/>
      <c r="DB1859" s="1"/>
      <c r="DC1859" s="1"/>
    </row>
    <row r="1860" spans="1:107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  <c r="CW1860" s="1"/>
      <c r="CX1860" s="1"/>
      <c r="CY1860" s="1"/>
      <c r="CZ1860" s="1"/>
      <c r="DA1860" s="1"/>
      <c r="DB1860" s="1"/>
      <c r="DC1860" s="1"/>
    </row>
    <row r="1861" spans="1:107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  <c r="CW1861" s="1"/>
      <c r="CX1861" s="1"/>
      <c r="CY1861" s="1"/>
      <c r="CZ1861" s="1"/>
      <c r="DA1861" s="1"/>
      <c r="DB1861" s="1"/>
      <c r="DC1861" s="1"/>
    </row>
    <row r="1862" spans="1:107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  <c r="CW1862" s="1"/>
      <c r="CX1862" s="1"/>
      <c r="CY1862" s="1"/>
      <c r="CZ1862" s="1"/>
      <c r="DA1862" s="1"/>
      <c r="DB1862" s="1"/>
      <c r="DC1862" s="1"/>
    </row>
    <row r="1863" spans="1:107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  <c r="CW1863" s="1"/>
      <c r="CX1863" s="1"/>
      <c r="CY1863" s="1"/>
      <c r="CZ1863" s="1"/>
      <c r="DA1863" s="1"/>
      <c r="DB1863" s="1"/>
      <c r="DC1863" s="1"/>
    </row>
    <row r="1864" spans="1:107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  <c r="CW1864" s="1"/>
      <c r="CX1864" s="1"/>
      <c r="CY1864" s="1"/>
      <c r="CZ1864" s="1"/>
      <c r="DA1864" s="1"/>
      <c r="DB1864" s="1"/>
      <c r="DC1864" s="1"/>
    </row>
    <row r="1865" spans="1:107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  <c r="CW1865" s="1"/>
      <c r="CX1865" s="1"/>
      <c r="CY1865" s="1"/>
      <c r="CZ1865" s="1"/>
      <c r="DA1865" s="1"/>
      <c r="DB1865" s="1"/>
      <c r="DC1865" s="1"/>
    </row>
    <row r="1866" spans="1:107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  <c r="CW1866" s="1"/>
      <c r="CX1866" s="1"/>
      <c r="CY1866" s="1"/>
      <c r="CZ1866" s="1"/>
      <c r="DA1866" s="1"/>
      <c r="DB1866" s="1"/>
      <c r="DC1866" s="1"/>
    </row>
    <row r="1867" spans="1:10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  <c r="CW1867" s="1"/>
      <c r="CX1867" s="1"/>
      <c r="CY1867" s="1"/>
      <c r="CZ1867" s="1"/>
      <c r="DA1867" s="1"/>
      <c r="DB1867" s="1"/>
      <c r="DC1867" s="1"/>
    </row>
    <row r="1868" spans="1:107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  <c r="CW1868" s="1"/>
      <c r="CX1868" s="1"/>
      <c r="CY1868" s="1"/>
      <c r="CZ1868" s="1"/>
      <c r="DA1868" s="1"/>
      <c r="DB1868" s="1"/>
      <c r="DC1868" s="1"/>
    </row>
    <row r="1869" spans="1:107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  <c r="CW1869" s="1"/>
      <c r="CX1869" s="1"/>
      <c r="CY1869" s="1"/>
      <c r="CZ1869" s="1"/>
      <c r="DA1869" s="1"/>
      <c r="DB1869" s="1"/>
      <c r="DC1869" s="1"/>
    </row>
    <row r="1870" spans="1:107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  <c r="CW1870" s="1"/>
      <c r="CX1870" s="1"/>
      <c r="CY1870" s="1"/>
      <c r="CZ1870" s="1"/>
      <c r="DA1870" s="1"/>
      <c r="DB1870" s="1"/>
      <c r="DC1870" s="1"/>
    </row>
    <row r="1871" spans="1:107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  <c r="CW1871" s="1"/>
      <c r="CX1871" s="1"/>
      <c r="CY1871" s="1"/>
      <c r="CZ1871" s="1"/>
      <c r="DA1871" s="1"/>
      <c r="DB1871" s="1"/>
      <c r="DC1871" s="1"/>
    </row>
    <row r="1872" spans="1:107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  <c r="CW1872" s="1"/>
      <c r="CX1872" s="1"/>
      <c r="CY1872" s="1"/>
      <c r="CZ1872" s="1"/>
      <c r="DA1872" s="1"/>
      <c r="DB1872" s="1"/>
      <c r="DC1872" s="1"/>
    </row>
    <row r="1873" spans="1:107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  <c r="CW1873" s="1"/>
      <c r="CX1873" s="1"/>
      <c r="CY1873" s="1"/>
      <c r="CZ1873" s="1"/>
      <c r="DA1873" s="1"/>
      <c r="DB1873" s="1"/>
      <c r="DC1873" s="1"/>
    </row>
    <row r="1874" spans="1:107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  <c r="CW1874" s="1"/>
      <c r="CX1874" s="1"/>
      <c r="CY1874" s="1"/>
      <c r="CZ1874" s="1"/>
      <c r="DA1874" s="1"/>
      <c r="DB1874" s="1"/>
      <c r="DC1874" s="1"/>
    </row>
    <row r="1875" spans="1:107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  <c r="CW1875" s="1"/>
      <c r="CX1875" s="1"/>
      <c r="CY1875" s="1"/>
      <c r="CZ1875" s="1"/>
      <c r="DA1875" s="1"/>
      <c r="DB1875" s="1"/>
      <c r="DC1875" s="1"/>
    </row>
    <row r="1876" spans="1:107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  <c r="CW1876" s="1"/>
      <c r="CX1876" s="1"/>
      <c r="CY1876" s="1"/>
      <c r="CZ1876" s="1"/>
      <c r="DA1876" s="1"/>
      <c r="DB1876" s="1"/>
      <c r="DC1876" s="1"/>
    </row>
    <row r="1877" spans="1:10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  <c r="CW1877" s="1"/>
      <c r="CX1877" s="1"/>
      <c r="CY1877" s="1"/>
      <c r="CZ1877" s="1"/>
      <c r="DA1877" s="1"/>
      <c r="DB1877" s="1"/>
      <c r="DC1877" s="1"/>
    </row>
    <row r="1878" spans="1:107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  <c r="CW1878" s="1"/>
      <c r="CX1878" s="1"/>
      <c r="CY1878" s="1"/>
      <c r="CZ1878" s="1"/>
      <c r="DA1878" s="1"/>
      <c r="DB1878" s="1"/>
      <c r="DC1878" s="1"/>
    </row>
    <row r="1879" spans="1:107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  <c r="CW1879" s="1"/>
      <c r="CX1879" s="1"/>
      <c r="CY1879" s="1"/>
      <c r="CZ1879" s="1"/>
      <c r="DA1879" s="1"/>
      <c r="DB1879" s="1"/>
      <c r="DC1879" s="1"/>
    </row>
    <row r="1880" spans="1:107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  <c r="CW1880" s="1"/>
      <c r="CX1880" s="1"/>
      <c r="CY1880" s="1"/>
      <c r="CZ1880" s="1"/>
      <c r="DA1880" s="1"/>
      <c r="DB1880" s="1"/>
      <c r="DC1880" s="1"/>
    </row>
    <row r="1881" spans="1:107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  <c r="CW1881" s="1"/>
      <c r="CX1881" s="1"/>
      <c r="CY1881" s="1"/>
      <c r="CZ1881" s="1"/>
      <c r="DA1881" s="1"/>
      <c r="DB1881" s="1"/>
      <c r="DC1881" s="1"/>
    </row>
    <row r="1882" spans="1:107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  <c r="CW1882" s="1"/>
      <c r="CX1882" s="1"/>
      <c r="CY1882" s="1"/>
      <c r="CZ1882" s="1"/>
      <c r="DA1882" s="1"/>
      <c r="DB1882" s="1"/>
      <c r="DC1882" s="1"/>
    </row>
    <row r="1883" spans="1:107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  <c r="CW1883" s="1"/>
      <c r="CX1883" s="1"/>
      <c r="CY1883" s="1"/>
      <c r="CZ1883" s="1"/>
      <c r="DA1883" s="1"/>
      <c r="DB1883" s="1"/>
      <c r="DC1883" s="1"/>
    </row>
    <row r="1884" spans="1:107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  <c r="CW1884" s="1"/>
      <c r="CX1884" s="1"/>
      <c r="CY1884" s="1"/>
      <c r="CZ1884" s="1"/>
      <c r="DA1884" s="1"/>
      <c r="DB1884" s="1"/>
      <c r="DC1884" s="1"/>
    </row>
    <row r="1885" spans="1:107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  <c r="CW1885" s="1"/>
      <c r="CX1885" s="1"/>
      <c r="CY1885" s="1"/>
      <c r="CZ1885" s="1"/>
      <c r="DA1885" s="1"/>
      <c r="DB1885" s="1"/>
      <c r="DC1885" s="1"/>
    </row>
    <row r="1886" spans="1:107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  <c r="CW1886" s="1"/>
      <c r="CX1886" s="1"/>
      <c r="CY1886" s="1"/>
      <c r="CZ1886" s="1"/>
      <c r="DA1886" s="1"/>
      <c r="DB1886" s="1"/>
      <c r="DC1886" s="1"/>
    </row>
    <row r="1887" spans="1:10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  <c r="CW1887" s="1"/>
      <c r="CX1887" s="1"/>
      <c r="CY1887" s="1"/>
      <c r="CZ1887" s="1"/>
      <c r="DA1887" s="1"/>
      <c r="DB1887" s="1"/>
      <c r="DC1887" s="1"/>
    </row>
    <row r="1888" spans="1:107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  <c r="CW1888" s="1"/>
      <c r="CX1888" s="1"/>
      <c r="CY1888" s="1"/>
      <c r="CZ1888" s="1"/>
      <c r="DA1888" s="1"/>
      <c r="DB1888" s="1"/>
      <c r="DC1888" s="1"/>
    </row>
    <row r="1889" spans="1:107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  <c r="CW1889" s="1"/>
      <c r="CX1889" s="1"/>
      <c r="CY1889" s="1"/>
      <c r="CZ1889" s="1"/>
      <c r="DA1889" s="1"/>
      <c r="DB1889" s="1"/>
      <c r="DC1889" s="1"/>
    </row>
    <row r="1890" spans="1:107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  <c r="CW1890" s="1"/>
      <c r="CX1890" s="1"/>
      <c r="CY1890" s="1"/>
      <c r="CZ1890" s="1"/>
      <c r="DA1890" s="1"/>
      <c r="DB1890" s="1"/>
      <c r="DC1890" s="1"/>
    </row>
    <row r="1891" spans="1:107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  <c r="CW1891" s="1"/>
      <c r="CX1891" s="1"/>
      <c r="CY1891" s="1"/>
      <c r="CZ1891" s="1"/>
      <c r="DA1891" s="1"/>
      <c r="DB1891" s="1"/>
      <c r="DC1891" s="1"/>
    </row>
    <row r="1892" spans="1:107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  <c r="CW1892" s="1"/>
      <c r="CX1892" s="1"/>
      <c r="CY1892" s="1"/>
      <c r="CZ1892" s="1"/>
      <c r="DA1892" s="1"/>
      <c r="DB1892" s="1"/>
      <c r="DC1892" s="1"/>
    </row>
    <row r="1893" spans="1:107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  <c r="CW1893" s="1"/>
      <c r="CX1893" s="1"/>
      <c r="CY1893" s="1"/>
      <c r="CZ1893" s="1"/>
      <c r="DA1893" s="1"/>
      <c r="DB1893" s="1"/>
      <c r="DC1893" s="1"/>
    </row>
    <row r="1894" spans="1:107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  <c r="CW1894" s="1"/>
      <c r="CX1894" s="1"/>
      <c r="CY1894" s="1"/>
      <c r="CZ1894" s="1"/>
      <c r="DA1894" s="1"/>
      <c r="DB1894" s="1"/>
      <c r="DC1894" s="1"/>
    </row>
    <row r="1895" spans="1:107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  <c r="CW1895" s="1"/>
      <c r="CX1895" s="1"/>
      <c r="CY1895" s="1"/>
      <c r="CZ1895" s="1"/>
      <c r="DA1895" s="1"/>
      <c r="DB1895" s="1"/>
      <c r="DC1895" s="1"/>
    </row>
    <row r="1896" spans="1:107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  <c r="CW1896" s="1"/>
      <c r="CX1896" s="1"/>
      <c r="CY1896" s="1"/>
      <c r="CZ1896" s="1"/>
      <c r="DA1896" s="1"/>
      <c r="DB1896" s="1"/>
      <c r="DC1896" s="1"/>
    </row>
    <row r="1897" spans="1:10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  <c r="CW1897" s="1"/>
      <c r="CX1897" s="1"/>
      <c r="CY1897" s="1"/>
      <c r="CZ1897" s="1"/>
      <c r="DA1897" s="1"/>
      <c r="DB1897" s="1"/>
      <c r="DC1897" s="1"/>
    </row>
    <row r="1898" spans="1:107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  <c r="CW1898" s="1"/>
      <c r="CX1898" s="1"/>
      <c r="CY1898" s="1"/>
      <c r="CZ1898" s="1"/>
      <c r="DA1898" s="1"/>
      <c r="DB1898" s="1"/>
      <c r="DC1898" s="1"/>
    </row>
    <row r="1899" spans="1:107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  <c r="CW1899" s="1"/>
      <c r="CX1899" s="1"/>
      <c r="CY1899" s="1"/>
      <c r="CZ1899" s="1"/>
      <c r="DA1899" s="1"/>
      <c r="DB1899" s="1"/>
      <c r="DC1899" s="1"/>
    </row>
    <row r="1900" spans="1:107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  <c r="CW1900" s="1"/>
      <c r="CX1900" s="1"/>
      <c r="CY1900" s="1"/>
      <c r="CZ1900" s="1"/>
      <c r="DA1900" s="1"/>
      <c r="DB1900" s="1"/>
      <c r="DC1900" s="1"/>
    </row>
    <row r="1901" spans="1:107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  <c r="CW1901" s="1"/>
      <c r="CX1901" s="1"/>
      <c r="CY1901" s="1"/>
      <c r="CZ1901" s="1"/>
      <c r="DA1901" s="1"/>
      <c r="DB1901" s="1"/>
      <c r="DC1901" s="1"/>
    </row>
    <row r="1902" spans="1:107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  <c r="CW1902" s="1"/>
      <c r="CX1902" s="1"/>
      <c r="CY1902" s="1"/>
      <c r="CZ1902" s="1"/>
      <c r="DA1902" s="1"/>
      <c r="DB1902" s="1"/>
      <c r="DC1902" s="1"/>
    </row>
    <row r="1903" spans="1:107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  <c r="CW1903" s="1"/>
      <c r="CX1903" s="1"/>
      <c r="CY1903" s="1"/>
      <c r="CZ1903" s="1"/>
      <c r="DA1903" s="1"/>
      <c r="DB1903" s="1"/>
      <c r="DC1903" s="1"/>
    </row>
    <row r="1904" spans="1:107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  <c r="CW1904" s="1"/>
      <c r="CX1904" s="1"/>
      <c r="CY1904" s="1"/>
      <c r="CZ1904" s="1"/>
      <c r="DA1904" s="1"/>
      <c r="DB1904" s="1"/>
      <c r="DC1904" s="1"/>
    </row>
    <row r="1905" spans="1:107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  <c r="CW1905" s="1"/>
      <c r="CX1905" s="1"/>
      <c r="CY1905" s="1"/>
      <c r="CZ1905" s="1"/>
      <c r="DA1905" s="1"/>
      <c r="DB1905" s="1"/>
      <c r="DC1905" s="1"/>
    </row>
    <row r="1906" spans="1:107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  <c r="CW1906" s="1"/>
      <c r="CX1906" s="1"/>
      <c r="CY1906" s="1"/>
      <c r="CZ1906" s="1"/>
      <c r="DA1906" s="1"/>
      <c r="DB1906" s="1"/>
      <c r="DC1906" s="1"/>
    </row>
    <row r="1907" spans="1:1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  <c r="CW1907" s="1"/>
      <c r="CX1907" s="1"/>
      <c r="CY1907" s="1"/>
      <c r="CZ1907" s="1"/>
      <c r="DA1907" s="1"/>
      <c r="DB1907" s="1"/>
      <c r="DC1907" s="1"/>
    </row>
    <row r="1908" spans="1:107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  <c r="CW1908" s="1"/>
      <c r="CX1908" s="1"/>
      <c r="CY1908" s="1"/>
      <c r="CZ1908" s="1"/>
      <c r="DA1908" s="1"/>
      <c r="DB1908" s="1"/>
      <c r="DC1908" s="1"/>
    </row>
    <row r="1909" spans="1:107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  <c r="CW1909" s="1"/>
      <c r="CX1909" s="1"/>
      <c r="CY1909" s="1"/>
      <c r="CZ1909" s="1"/>
      <c r="DA1909" s="1"/>
      <c r="DB1909" s="1"/>
      <c r="DC1909" s="1"/>
    </row>
    <row r="1910" spans="1:107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  <c r="CW1910" s="1"/>
      <c r="CX1910" s="1"/>
      <c r="CY1910" s="1"/>
      <c r="CZ1910" s="1"/>
      <c r="DA1910" s="1"/>
      <c r="DB1910" s="1"/>
      <c r="DC1910" s="1"/>
    </row>
    <row r="1911" spans="1:107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  <c r="CW1911" s="1"/>
      <c r="CX1911" s="1"/>
      <c r="CY1911" s="1"/>
      <c r="CZ1911" s="1"/>
      <c r="DA1911" s="1"/>
      <c r="DB1911" s="1"/>
      <c r="DC1911" s="1"/>
    </row>
    <row r="1912" spans="1:107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  <c r="CW1912" s="1"/>
      <c r="CX1912" s="1"/>
      <c r="CY1912" s="1"/>
      <c r="CZ1912" s="1"/>
      <c r="DA1912" s="1"/>
      <c r="DB1912" s="1"/>
      <c r="DC1912" s="1"/>
    </row>
    <row r="1913" spans="1:107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  <c r="CW1913" s="1"/>
      <c r="CX1913" s="1"/>
      <c r="CY1913" s="1"/>
      <c r="CZ1913" s="1"/>
      <c r="DA1913" s="1"/>
      <c r="DB1913" s="1"/>
      <c r="DC1913" s="1"/>
    </row>
    <row r="1914" spans="1:107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  <c r="CW1914" s="1"/>
      <c r="CX1914" s="1"/>
      <c r="CY1914" s="1"/>
      <c r="CZ1914" s="1"/>
      <c r="DA1914" s="1"/>
      <c r="DB1914" s="1"/>
      <c r="DC1914" s="1"/>
    </row>
    <row r="1915" spans="1:107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  <c r="CW1915" s="1"/>
      <c r="CX1915" s="1"/>
      <c r="CY1915" s="1"/>
      <c r="CZ1915" s="1"/>
      <c r="DA1915" s="1"/>
      <c r="DB1915" s="1"/>
      <c r="DC1915" s="1"/>
    </row>
    <row r="1916" spans="1:107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  <c r="CW1916" s="1"/>
      <c r="CX1916" s="1"/>
      <c r="CY1916" s="1"/>
      <c r="CZ1916" s="1"/>
      <c r="DA1916" s="1"/>
      <c r="DB1916" s="1"/>
      <c r="DC1916" s="1"/>
    </row>
    <row r="1917" spans="1:10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  <c r="CW1917" s="1"/>
      <c r="CX1917" s="1"/>
      <c r="CY1917" s="1"/>
      <c r="CZ1917" s="1"/>
      <c r="DA1917" s="1"/>
      <c r="DB1917" s="1"/>
      <c r="DC1917" s="1"/>
    </row>
    <row r="1918" spans="1:107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  <c r="CW1918" s="1"/>
      <c r="CX1918" s="1"/>
      <c r="CY1918" s="1"/>
      <c r="CZ1918" s="1"/>
      <c r="DA1918" s="1"/>
      <c r="DB1918" s="1"/>
      <c r="DC1918" s="1"/>
    </row>
    <row r="1919" spans="1:107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  <c r="CW1919" s="1"/>
      <c r="CX1919" s="1"/>
      <c r="CY1919" s="1"/>
      <c r="CZ1919" s="1"/>
      <c r="DA1919" s="1"/>
      <c r="DB1919" s="1"/>
      <c r="DC1919" s="1"/>
    </row>
    <row r="1920" spans="1:107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  <c r="CW1920" s="1"/>
      <c r="CX1920" s="1"/>
      <c r="CY1920" s="1"/>
      <c r="CZ1920" s="1"/>
      <c r="DA1920" s="1"/>
      <c r="DB1920" s="1"/>
      <c r="DC1920" s="1"/>
    </row>
    <row r="1921" spans="1:107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  <c r="CW1921" s="1"/>
      <c r="CX1921" s="1"/>
      <c r="CY1921" s="1"/>
      <c r="CZ1921" s="1"/>
      <c r="DA1921" s="1"/>
      <c r="DB1921" s="1"/>
      <c r="DC1921" s="1"/>
    </row>
    <row r="1922" spans="1:107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  <c r="CW1922" s="1"/>
      <c r="CX1922" s="1"/>
      <c r="CY1922" s="1"/>
      <c r="CZ1922" s="1"/>
      <c r="DA1922" s="1"/>
      <c r="DB1922" s="1"/>
      <c r="DC1922" s="1"/>
    </row>
    <row r="1923" spans="1:107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  <c r="CW1923" s="1"/>
      <c r="CX1923" s="1"/>
      <c r="CY1923" s="1"/>
      <c r="CZ1923" s="1"/>
      <c r="DA1923" s="1"/>
      <c r="DB1923" s="1"/>
      <c r="DC1923" s="1"/>
    </row>
    <row r="1924" spans="1:107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  <c r="CW1924" s="1"/>
      <c r="CX1924" s="1"/>
      <c r="CY1924" s="1"/>
      <c r="CZ1924" s="1"/>
      <c r="DA1924" s="1"/>
      <c r="DB1924" s="1"/>
      <c r="DC1924" s="1"/>
    </row>
    <row r="1925" spans="1:107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  <c r="CW1925" s="1"/>
      <c r="CX1925" s="1"/>
      <c r="CY1925" s="1"/>
      <c r="CZ1925" s="1"/>
      <c r="DA1925" s="1"/>
      <c r="DB1925" s="1"/>
      <c r="DC1925" s="1"/>
    </row>
    <row r="1926" spans="1:107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  <c r="CW1926" s="1"/>
      <c r="CX1926" s="1"/>
      <c r="CY1926" s="1"/>
      <c r="CZ1926" s="1"/>
      <c r="DA1926" s="1"/>
      <c r="DB1926" s="1"/>
      <c r="DC1926" s="1"/>
    </row>
    <row r="1927" spans="1:10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  <c r="CW1927" s="1"/>
      <c r="CX1927" s="1"/>
      <c r="CY1927" s="1"/>
      <c r="CZ1927" s="1"/>
      <c r="DA1927" s="1"/>
      <c r="DB1927" s="1"/>
      <c r="DC1927" s="1"/>
    </row>
    <row r="1928" spans="1:107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  <c r="CW1928" s="1"/>
      <c r="CX1928" s="1"/>
      <c r="CY1928" s="1"/>
      <c r="CZ1928" s="1"/>
      <c r="DA1928" s="1"/>
      <c r="DB1928" s="1"/>
      <c r="DC1928" s="1"/>
    </row>
    <row r="1929" spans="1:107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  <c r="CW1929" s="1"/>
      <c r="CX1929" s="1"/>
      <c r="CY1929" s="1"/>
      <c r="CZ1929" s="1"/>
      <c r="DA1929" s="1"/>
      <c r="DB1929" s="1"/>
      <c r="DC1929" s="1"/>
    </row>
    <row r="1930" spans="1:107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  <c r="CW1930" s="1"/>
      <c r="CX1930" s="1"/>
      <c r="CY1930" s="1"/>
      <c r="CZ1930" s="1"/>
      <c r="DA1930" s="1"/>
      <c r="DB1930" s="1"/>
      <c r="DC1930" s="1"/>
    </row>
    <row r="1931" spans="1:107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  <c r="CW1931" s="1"/>
      <c r="CX1931" s="1"/>
      <c r="CY1931" s="1"/>
      <c r="CZ1931" s="1"/>
      <c r="DA1931" s="1"/>
      <c r="DB1931" s="1"/>
      <c r="DC1931" s="1"/>
    </row>
    <row r="1932" spans="1:107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  <c r="CW1932" s="1"/>
      <c r="CX1932" s="1"/>
      <c r="CY1932" s="1"/>
      <c r="CZ1932" s="1"/>
      <c r="DA1932" s="1"/>
      <c r="DB1932" s="1"/>
      <c r="DC1932" s="1"/>
    </row>
    <row r="1933" spans="1:107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  <c r="CW1933" s="1"/>
      <c r="CX1933" s="1"/>
      <c r="CY1933" s="1"/>
      <c r="CZ1933" s="1"/>
      <c r="DA1933" s="1"/>
      <c r="DB1933" s="1"/>
      <c r="DC1933" s="1"/>
    </row>
    <row r="1934" spans="1:107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  <c r="CW1934" s="1"/>
      <c r="CX1934" s="1"/>
      <c r="CY1934" s="1"/>
      <c r="CZ1934" s="1"/>
      <c r="DA1934" s="1"/>
      <c r="DB1934" s="1"/>
      <c r="DC1934" s="1"/>
    </row>
    <row r="1935" spans="1:107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  <c r="CW1935" s="1"/>
      <c r="CX1935" s="1"/>
      <c r="CY1935" s="1"/>
      <c r="CZ1935" s="1"/>
      <c r="DA1935" s="1"/>
      <c r="DB1935" s="1"/>
      <c r="DC1935" s="1"/>
    </row>
    <row r="1936" spans="1:107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  <c r="CW1936" s="1"/>
      <c r="CX1936" s="1"/>
      <c r="CY1936" s="1"/>
      <c r="CZ1936" s="1"/>
      <c r="DA1936" s="1"/>
      <c r="DB1936" s="1"/>
      <c r="DC1936" s="1"/>
    </row>
    <row r="1937" spans="1:10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  <c r="CW1937" s="1"/>
      <c r="CX1937" s="1"/>
      <c r="CY1937" s="1"/>
      <c r="CZ1937" s="1"/>
      <c r="DA1937" s="1"/>
      <c r="DB1937" s="1"/>
      <c r="DC1937" s="1"/>
    </row>
    <row r="1938" spans="1:107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  <c r="CW1938" s="1"/>
      <c r="CX1938" s="1"/>
      <c r="CY1938" s="1"/>
      <c r="CZ1938" s="1"/>
      <c r="DA1938" s="1"/>
      <c r="DB1938" s="1"/>
      <c r="DC1938" s="1"/>
    </row>
    <row r="1939" spans="1:107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  <c r="CW1939" s="1"/>
      <c r="CX1939" s="1"/>
      <c r="CY1939" s="1"/>
      <c r="CZ1939" s="1"/>
      <c r="DA1939" s="1"/>
      <c r="DB1939" s="1"/>
      <c r="DC1939" s="1"/>
    </row>
    <row r="1940" spans="1:107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  <c r="CW1940" s="1"/>
      <c r="CX1940" s="1"/>
      <c r="CY1940" s="1"/>
      <c r="CZ1940" s="1"/>
      <c r="DA1940" s="1"/>
      <c r="DB1940" s="1"/>
      <c r="DC1940" s="1"/>
    </row>
    <row r="1941" spans="1:107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  <c r="CW1941" s="1"/>
      <c r="CX1941" s="1"/>
      <c r="CY1941" s="1"/>
      <c r="CZ1941" s="1"/>
      <c r="DA1941" s="1"/>
      <c r="DB1941" s="1"/>
      <c r="DC1941" s="1"/>
    </row>
    <row r="1942" spans="1:107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  <c r="CW1942" s="1"/>
      <c r="CX1942" s="1"/>
      <c r="CY1942" s="1"/>
      <c r="CZ1942" s="1"/>
      <c r="DA1942" s="1"/>
      <c r="DB1942" s="1"/>
      <c r="DC1942" s="1"/>
    </row>
    <row r="1943" spans="1:107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  <c r="CW1943" s="1"/>
      <c r="CX1943" s="1"/>
      <c r="CY1943" s="1"/>
      <c r="CZ1943" s="1"/>
      <c r="DA1943" s="1"/>
      <c r="DB1943" s="1"/>
      <c r="DC1943" s="1"/>
    </row>
    <row r="1944" spans="1:107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  <c r="CW1944" s="1"/>
      <c r="CX1944" s="1"/>
      <c r="CY1944" s="1"/>
      <c r="CZ1944" s="1"/>
      <c r="DA1944" s="1"/>
      <c r="DB1944" s="1"/>
      <c r="DC1944" s="1"/>
    </row>
    <row r="1945" spans="1:107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  <c r="CW1945" s="1"/>
      <c r="CX1945" s="1"/>
      <c r="CY1945" s="1"/>
      <c r="CZ1945" s="1"/>
      <c r="DA1945" s="1"/>
      <c r="DB1945" s="1"/>
      <c r="DC1945" s="1"/>
    </row>
    <row r="1946" spans="1:107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  <c r="CW1946" s="1"/>
      <c r="CX1946" s="1"/>
      <c r="CY1946" s="1"/>
      <c r="CZ1946" s="1"/>
      <c r="DA1946" s="1"/>
      <c r="DB1946" s="1"/>
      <c r="DC1946" s="1"/>
    </row>
    <row r="1947" spans="1:10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  <c r="CW1947" s="1"/>
      <c r="CX1947" s="1"/>
      <c r="CY1947" s="1"/>
      <c r="CZ1947" s="1"/>
      <c r="DA1947" s="1"/>
      <c r="DB1947" s="1"/>
      <c r="DC1947" s="1"/>
    </row>
    <row r="1948" spans="1:107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  <c r="CW1948" s="1"/>
      <c r="CX1948" s="1"/>
      <c r="CY1948" s="1"/>
      <c r="CZ1948" s="1"/>
      <c r="DA1948" s="1"/>
      <c r="DB1948" s="1"/>
      <c r="DC1948" s="1"/>
    </row>
    <row r="1949" spans="1:107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  <c r="CW1949" s="1"/>
      <c r="CX1949" s="1"/>
      <c r="CY1949" s="1"/>
      <c r="CZ1949" s="1"/>
      <c r="DA1949" s="1"/>
      <c r="DB1949" s="1"/>
      <c r="DC1949" s="1"/>
    </row>
    <row r="1950" spans="1:107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  <c r="CW1950" s="1"/>
      <c r="CX1950" s="1"/>
      <c r="CY1950" s="1"/>
      <c r="CZ1950" s="1"/>
      <c r="DA1950" s="1"/>
      <c r="DB1950" s="1"/>
      <c r="DC1950" s="1"/>
    </row>
    <row r="1951" spans="1:107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  <c r="CW1951" s="1"/>
      <c r="CX1951" s="1"/>
      <c r="CY1951" s="1"/>
      <c r="CZ1951" s="1"/>
      <c r="DA1951" s="1"/>
      <c r="DB1951" s="1"/>
      <c r="DC1951" s="1"/>
    </row>
    <row r="1952" spans="1:107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  <c r="CW1952" s="1"/>
      <c r="CX1952" s="1"/>
      <c r="CY1952" s="1"/>
      <c r="CZ1952" s="1"/>
      <c r="DA1952" s="1"/>
      <c r="DB1952" s="1"/>
      <c r="DC1952" s="1"/>
    </row>
    <row r="1953" spans="1:107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  <c r="CW1953" s="1"/>
      <c r="CX1953" s="1"/>
      <c r="CY1953" s="1"/>
      <c r="CZ1953" s="1"/>
      <c r="DA1953" s="1"/>
      <c r="DB1953" s="1"/>
      <c r="DC1953" s="1"/>
    </row>
    <row r="1954" spans="1:107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  <c r="CW1954" s="1"/>
      <c r="CX1954" s="1"/>
      <c r="CY1954" s="1"/>
      <c r="CZ1954" s="1"/>
      <c r="DA1954" s="1"/>
      <c r="DB1954" s="1"/>
      <c r="DC1954" s="1"/>
    </row>
    <row r="1955" spans="1:107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  <c r="CW1955" s="1"/>
      <c r="CX1955" s="1"/>
      <c r="CY1955" s="1"/>
      <c r="CZ1955" s="1"/>
      <c r="DA1955" s="1"/>
      <c r="DB1955" s="1"/>
      <c r="DC1955" s="1"/>
    </row>
    <row r="1956" spans="1:107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  <c r="CW1956" s="1"/>
      <c r="CX1956" s="1"/>
      <c r="CY1956" s="1"/>
      <c r="CZ1956" s="1"/>
      <c r="DA1956" s="1"/>
      <c r="DB1956" s="1"/>
      <c r="DC1956" s="1"/>
    </row>
    <row r="1957" spans="1:10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  <c r="CW1957" s="1"/>
      <c r="CX1957" s="1"/>
      <c r="CY1957" s="1"/>
      <c r="CZ1957" s="1"/>
      <c r="DA1957" s="1"/>
      <c r="DB1957" s="1"/>
      <c r="DC1957" s="1"/>
    </row>
    <row r="1958" spans="1:107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  <c r="CW1958" s="1"/>
      <c r="CX1958" s="1"/>
      <c r="CY1958" s="1"/>
      <c r="CZ1958" s="1"/>
      <c r="DA1958" s="1"/>
      <c r="DB1958" s="1"/>
      <c r="DC1958" s="1"/>
    </row>
    <row r="1959" spans="1:107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  <c r="CW1959" s="1"/>
      <c r="CX1959" s="1"/>
      <c r="CY1959" s="1"/>
      <c r="CZ1959" s="1"/>
      <c r="DA1959" s="1"/>
      <c r="DB1959" s="1"/>
      <c r="DC1959" s="1"/>
    </row>
    <row r="1960" spans="1:107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  <c r="CW1960" s="1"/>
      <c r="CX1960" s="1"/>
      <c r="CY1960" s="1"/>
      <c r="CZ1960" s="1"/>
      <c r="DA1960" s="1"/>
      <c r="DB1960" s="1"/>
      <c r="DC1960" s="1"/>
    </row>
    <row r="1961" spans="1:107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  <c r="CW1961" s="1"/>
      <c r="CX1961" s="1"/>
      <c r="CY1961" s="1"/>
      <c r="CZ1961" s="1"/>
      <c r="DA1961" s="1"/>
      <c r="DB1961" s="1"/>
      <c r="DC1961" s="1"/>
    </row>
    <row r="1962" spans="1:107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  <c r="CW1962" s="1"/>
      <c r="CX1962" s="1"/>
      <c r="CY1962" s="1"/>
      <c r="CZ1962" s="1"/>
      <c r="DA1962" s="1"/>
      <c r="DB1962" s="1"/>
      <c r="DC1962" s="1"/>
    </row>
    <row r="1963" spans="1:107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  <c r="CW1963" s="1"/>
      <c r="CX1963" s="1"/>
      <c r="CY1963" s="1"/>
      <c r="CZ1963" s="1"/>
      <c r="DA1963" s="1"/>
      <c r="DB1963" s="1"/>
      <c r="DC1963" s="1"/>
    </row>
    <row r="1964" spans="1:107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  <c r="CW1964" s="1"/>
      <c r="CX1964" s="1"/>
      <c r="CY1964" s="1"/>
      <c r="CZ1964" s="1"/>
      <c r="DA1964" s="1"/>
      <c r="DB1964" s="1"/>
      <c r="DC1964" s="1"/>
    </row>
    <row r="1965" spans="1:107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  <c r="CW1965" s="1"/>
      <c r="CX1965" s="1"/>
      <c r="CY1965" s="1"/>
      <c r="CZ1965" s="1"/>
      <c r="DA1965" s="1"/>
      <c r="DB1965" s="1"/>
      <c r="DC1965" s="1"/>
    </row>
    <row r="1966" spans="1:107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  <c r="CW1966" s="1"/>
      <c r="CX1966" s="1"/>
      <c r="CY1966" s="1"/>
      <c r="CZ1966" s="1"/>
      <c r="DA1966" s="1"/>
      <c r="DB1966" s="1"/>
      <c r="DC1966" s="1"/>
    </row>
    <row r="1967" spans="1:10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  <c r="CW1967" s="1"/>
      <c r="CX1967" s="1"/>
      <c r="CY1967" s="1"/>
      <c r="CZ1967" s="1"/>
      <c r="DA1967" s="1"/>
      <c r="DB1967" s="1"/>
      <c r="DC1967" s="1"/>
    </row>
    <row r="1968" spans="1:107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  <c r="CW1968" s="1"/>
      <c r="CX1968" s="1"/>
      <c r="CY1968" s="1"/>
      <c r="CZ1968" s="1"/>
      <c r="DA1968" s="1"/>
      <c r="DB1968" s="1"/>
      <c r="DC1968" s="1"/>
    </row>
    <row r="1969" spans="1:107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  <c r="CW1969" s="1"/>
      <c r="CX1969" s="1"/>
      <c r="CY1969" s="1"/>
      <c r="CZ1969" s="1"/>
      <c r="DA1969" s="1"/>
      <c r="DB1969" s="1"/>
      <c r="DC1969" s="1"/>
    </row>
    <row r="1970" spans="1:107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  <c r="CW1970" s="1"/>
      <c r="CX1970" s="1"/>
      <c r="CY1970" s="1"/>
      <c r="CZ1970" s="1"/>
      <c r="DA1970" s="1"/>
      <c r="DB1970" s="1"/>
      <c r="DC1970" s="1"/>
    </row>
    <row r="1971" spans="1:107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  <c r="CW1971" s="1"/>
      <c r="CX1971" s="1"/>
      <c r="CY1971" s="1"/>
      <c r="CZ1971" s="1"/>
      <c r="DA1971" s="1"/>
      <c r="DB1971" s="1"/>
      <c r="DC1971" s="1"/>
    </row>
    <row r="1972" spans="1:107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  <c r="CW1972" s="1"/>
      <c r="CX1972" s="1"/>
      <c r="CY1972" s="1"/>
      <c r="CZ1972" s="1"/>
      <c r="DA1972" s="1"/>
      <c r="DB1972" s="1"/>
      <c r="DC1972" s="1"/>
    </row>
    <row r="1973" spans="1:107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  <c r="CW1973" s="1"/>
      <c r="CX1973" s="1"/>
      <c r="CY1973" s="1"/>
      <c r="CZ1973" s="1"/>
      <c r="DA1973" s="1"/>
      <c r="DB1973" s="1"/>
      <c r="DC1973" s="1"/>
    </row>
    <row r="1974" spans="1:107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  <c r="CW1974" s="1"/>
      <c r="CX1974" s="1"/>
      <c r="CY1974" s="1"/>
      <c r="CZ1974" s="1"/>
      <c r="DA1974" s="1"/>
      <c r="DB1974" s="1"/>
      <c r="DC1974" s="1"/>
    </row>
    <row r="1975" spans="1:107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  <c r="CW1975" s="1"/>
      <c r="CX1975" s="1"/>
      <c r="CY1975" s="1"/>
      <c r="CZ1975" s="1"/>
      <c r="DA1975" s="1"/>
      <c r="DB1975" s="1"/>
      <c r="DC1975" s="1"/>
    </row>
    <row r="1976" spans="1:107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  <c r="CW1976" s="1"/>
      <c r="CX1976" s="1"/>
      <c r="CY1976" s="1"/>
      <c r="CZ1976" s="1"/>
      <c r="DA1976" s="1"/>
      <c r="DB1976" s="1"/>
      <c r="DC1976" s="1"/>
    </row>
    <row r="1977" spans="1:10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  <c r="CW1977" s="1"/>
      <c r="CX1977" s="1"/>
      <c r="CY1977" s="1"/>
      <c r="CZ1977" s="1"/>
      <c r="DA1977" s="1"/>
      <c r="DB1977" s="1"/>
      <c r="DC1977" s="1"/>
    </row>
    <row r="1978" spans="1:107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  <c r="CW1978" s="1"/>
      <c r="CX1978" s="1"/>
      <c r="CY1978" s="1"/>
      <c r="CZ1978" s="1"/>
      <c r="DA1978" s="1"/>
      <c r="DB1978" s="1"/>
      <c r="DC1978" s="1"/>
    </row>
    <row r="1979" spans="1:107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  <c r="CW1979" s="1"/>
      <c r="CX1979" s="1"/>
      <c r="CY1979" s="1"/>
      <c r="CZ1979" s="1"/>
      <c r="DA1979" s="1"/>
      <c r="DB1979" s="1"/>
      <c r="DC1979" s="1"/>
    </row>
    <row r="1980" spans="1:107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  <c r="CW1980" s="1"/>
      <c r="CX1980" s="1"/>
      <c r="CY1980" s="1"/>
      <c r="CZ1980" s="1"/>
      <c r="DA1980" s="1"/>
      <c r="DB1980" s="1"/>
      <c r="DC1980" s="1"/>
    </row>
    <row r="1981" spans="1:107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  <c r="CW1981" s="1"/>
      <c r="CX1981" s="1"/>
      <c r="CY1981" s="1"/>
      <c r="CZ1981" s="1"/>
      <c r="DA1981" s="1"/>
      <c r="DB1981" s="1"/>
      <c r="DC1981" s="1"/>
    </row>
    <row r="1982" spans="1:107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  <c r="CW1982" s="1"/>
      <c r="CX1982" s="1"/>
      <c r="CY1982" s="1"/>
      <c r="CZ1982" s="1"/>
      <c r="DA1982" s="1"/>
      <c r="DB1982" s="1"/>
      <c r="DC1982" s="1"/>
    </row>
    <row r="1983" spans="1:107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  <c r="CW1983" s="1"/>
      <c r="CX1983" s="1"/>
      <c r="CY1983" s="1"/>
      <c r="CZ1983" s="1"/>
      <c r="DA1983" s="1"/>
      <c r="DB1983" s="1"/>
      <c r="DC1983" s="1"/>
    </row>
    <row r="1984" spans="1:107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  <c r="CW1984" s="1"/>
      <c r="CX1984" s="1"/>
      <c r="CY1984" s="1"/>
      <c r="CZ1984" s="1"/>
      <c r="DA1984" s="1"/>
      <c r="DB1984" s="1"/>
      <c r="DC1984" s="1"/>
    </row>
    <row r="1985" spans="1:107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  <c r="CW1985" s="1"/>
      <c r="CX1985" s="1"/>
      <c r="CY1985" s="1"/>
      <c r="CZ1985" s="1"/>
      <c r="DA1985" s="1"/>
      <c r="DB1985" s="1"/>
      <c r="DC1985" s="1"/>
    </row>
    <row r="1986" spans="1:107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  <c r="CW1986" s="1"/>
      <c r="CX1986" s="1"/>
      <c r="CY1986" s="1"/>
      <c r="CZ1986" s="1"/>
      <c r="DA1986" s="1"/>
      <c r="DB1986" s="1"/>
      <c r="DC1986" s="1"/>
    </row>
    <row r="1987" spans="1:10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  <c r="CW1987" s="1"/>
      <c r="CX1987" s="1"/>
      <c r="CY1987" s="1"/>
      <c r="CZ1987" s="1"/>
      <c r="DA1987" s="1"/>
      <c r="DB1987" s="1"/>
      <c r="DC1987" s="1"/>
    </row>
    <row r="1988" spans="1:107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  <c r="CW1988" s="1"/>
      <c r="CX1988" s="1"/>
      <c r="CY1988" s="1"/>
      <c r="CZ1988" s="1"/>
      <c r="DA1988" s="1"/>
      <c r="DB1988" s="1"/>
      <c r="DC1988" s="1"/>
    </row>
    <row r="1989" spans="1:107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  <c r="CW1989" s="1"/>
      <c r="CX1989" s="1"/>
      <c r="CY1989" s="1"/>
      <c r="CZ1989" s="1"/>
      <c r="DA1989" s="1"/>
      <c r="DB1989" s="1"/>
      <c r="DC1989" s="1"/>
    </row>
    <row r="1990" spans="1:107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  <c r="CW1990" s="1"/>
      <c r="CX1990" s="1"/>
      <c r="CY1990" s="1"/>
      <c r="CZ1990" s="1"/>
      <c r="DA1990" s="1"/>
      <c r="DB1990" s="1"/>
      <c r="DC1990" s="1"/>
    </row>
    <row r="1991" spans="1:107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  <c r="CW1991" s="1"/>
      <c r="CX1991" s="1"/>
      <c r="CY1991" s="1"/>
      <c r="CZ1991" s="1"/>
      <c r="DA1991" s="1"/>
      <c r="DB1991" s="1"/>
      <c r="DC1991" s="1"/>
    </row>
    <row r="1992" spans="1:107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  <c r="CW1992" s="1"/>
      <c r="CX1992" s="1"/>
      <c r="CY1992" s="1"/>
      <c r="CZ1992" s="1"/>
      <c r="DA1992" s="1"/>
      <c r="DB1992" s="1"/>
      <c r="DC1992" s="1"/>
    </row>
    <row r="1993" spans="1:107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  <c r="CW1993" s="1"/>
      <c r="CX1993" s="1"/>
      <c r="CY1993" s="1"/>
      <c r="CZ1993" s="1"/>
      <c r="DA1993" s="1"/>
      <c r="DB1993" s="1"/>
      <c r="DC1993" s="1"/>
    </row>
    <row r="1994" spans="1:107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  <c r="CW1994" s="1"/>
      <c r="CX1994" s="1"/>
      <c r="CY1994" s="1"/>
      <c r="CZ1994" s="1"/>
      <c r="DA1994" s="1"/>
      <c r="DB1994" s="1"/>
      <c r="DC1994" s="1"/>
    </row>
    <row r="1995" spans="1:107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  <c r="CW1995" s="1"/>
      <c r="CX1995" s="1"/>
      <c r="CY1995" s="1"/>
      <c r="CZ1995" s="1"/>
      <c r="DA1995" s="1"/>
      <c r="DB1995" s="1"/>
      <c r="DC1995" s="1"/>
    </row>
    <row r="1996" spans="1:107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  <c r="CW1996" s="1"/>
      <c r="CX1996" s="1"/>
      <c r="CY1996" s="1"/>
      <c r="CZ1996" s="1"/>
      <c r="DA1996" s="1"/>
      <c r="DB1996" s="1"/>
      <c r="DC1996" s="1"/>
    </row>
    <row r="1997" spans="1:10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  <c r="CW1997" s="1"/>
      <c r="CX1997" s="1"/>
      <c r="CY1997" s="1"/>
      <c r="CZ1997" s="1"/>
      <c r="DA1997" s="1"/>
      <c r="DB1997" s="1"/>
      <c r="DC1997" s="1"/>
    </row>
    <row r="1998" spans="1:107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  <c r="CW1998" s="1"/>
      <c r="CX1998" s="1"/>
      <c r="CY1998" s="1"/>
      <c r="CZ1998" s="1"/>
      <c r="DA1998" s="1"/>
      <c r="DB1998" s="1"/>
      <c r="DC1998" s="1"/>
    </row>
    <row r="1999" spans="1:107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  <c r="CW1999" s="1"/>
      <c r="CX1999" s="1"/>
      <c r="CY1999" s="1"/>
      <c r="CZ1999" s="1"/>
      <c r="DA1999" s="1"/>
      <c r="DB1999" s="1"/>
      <c r="DC1999" s="1"/>
    </row>
    <row r="2000" spans="1:107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  <c r="CW2000" s="1"/>
      <c r="CX2000" s="1"/>
      <c r="CY2000" s="1"/>
      <c r="CZ2000" s="1"/>
      <c r="DA2000" s="1"/>
      <c r="DB2000" s="1"/>
      <c r="DC2000" s="1"/>
    </row>
    <row r="2001" spans="1:107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  <c r="BZ2001" s="1"/>
      <c r="CA2001" s="1"/>
      <c r="CB2001" s="1"/>
      <c r="CC2001" s="1"/>
      <c r="CD2001" s="1"/>
      <c r="CE2001" s="1"/>
      <c r="CF2001" s="1"/>
      <c r="CG2001" s="1"/>
      <c r="CH2001" s="1"/>
      <c r="CI2001" s="1"/>
      <c r="CJ2001" s="1"/>
      <c r="CK2001" s="1"/>
      <c r="CL2001" s="1"/>
      <c r="CM2001" s="1"/>
      <c r="CN2001" s="1"/>
      <c r="CO2001" s="1"/>
      <c r="CP2001" s="1"/>
      <c r="CQ2001" s="1"/>
      <c r="CR2001" s="1"/>
      <c r="CS2001" s="1"/>
      <c r="CT2001" s="1"/>
      <c r="CU2001" s="1"/>
      <c r="CV2001" s="1"/>
      <c r="CW2001" s="1"/>
      <c r="CX2001" s="1"/>
      <c r="CY2001" s="1"/>
      <c r="CZ2001" s="1"/>
      <c r="DA2001" s="1"/>
      <c r="DB2001" s="1"/>
      <c r="DC2001" s="1"/>
    </row>
    <row r="2002" spans="1:107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  <c r="BO2002" s="1"/>
      <c r="BP2002" s="1"/>
      <c r="BQ2002" s="1"/>
      <c r="BR2002" s="1"/>
      <c r="BS2002" s="1"/>
      <c r="BT2002" s="1"/>
      <c r="BU2002" s="1"/>
      <c r="BV2002" s="1"/>
      <c r="BW2002" s="1"/>
      <c r="BX2002" s="1"/>
      <c r="BY2002" s="1"/>
      <c r="BZ2002" s="1"/>
      <c r="CA2002" s="1"/>
      <c r="CB2002" s="1"/>
      <c r="CC2002" s="1"/>
      <c r="CD2002" s="1"/>
      <c r="CE2002" s="1"/>
      <c r="CF2002" s="1"/>
      <c r="CG2002" s="1"/>
      <c r="CH2002" s="1"/>
      <c r="CI2002" s="1"/>
      <c r="CJ2002" s="1"/>
      <c r="CK2002" s="1"/>
      <c r="CL2002" s="1"/>
      <c r="CM2002" s="1"/>
      <c r="CN2002" s="1"/>
      <c r="CO2002" s="1"/>
      <c r="CP2002" s="1"/>
      <c r="CQ2002" s="1"/>
      <c r="CR2002" s="1"/>
      <c r="CS2002" s="1"/>
      <c r="CT2002" s="1"/>
      <c r="CU2002" s="1"/>
      <c r="CV2002" s="1"/>
      <c r="CW2002" s="1"/>
      <c r="CX2002" s="1"/>
      <c r="CY2002" s="1"/>
      <c r="CZ2002" s="1"/>
      <c r="DA2002" s="1"/>
      <c r="DB2002" s="1"/>
      <c r="DC2002" s="1"/>
    </row>
    <row r="2003" spans="1:107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1"/>
      <c r="BU2003" s="1"/>
      <c r="BV2003" s="1"/>
      <c r="BW2003" s="1"/>
      <c r="BX2003" s="1"/>
      <c r="BY2003" s="1"/>
      <c r="BZ2003" s="1"/>
      <c r="CA2003" s="1"/>
      <c r="CB2003" s="1"/>
      <c r="CC2003" s="1"/>
      <c r="CD2003" s="1"/>
      <c r="CE2003" s="1"/>
      <c r="CF2003" s="1"/>
      <c r="CG2003" s="1"/>
      <c r="CH2003" s="1"/>
      <c r="CI2003" s="1"/>
      <c r="CJ2003" s="1"/>
      <c r="CK2003" s="1"/>
      <c r="CL2003" s="1"/>
      <c r="CM2003" s="1"/>
      <c r="CN2003" s="1"/>
      <c r="CO2003" s="1"/>
      <c r="CP2003" s="1"/>
      <c r="CQ2003" s="1"/>
      <c r="CR2003" s="1"/>
      <c r="CS2003" s="1"/>
      <c r="CT2003" s="1"/>
      <c r="CU2003" s="1"/>
      <c r="CV2003" s="1"/>
      <c r="CW2003" s="1"/>
      <c r="CX2003" s="1"/>
      <c r="CY2003" s="1"/>
      <c r="CZ2003" s="1"/>
      <c r="DA2003" s="1"/>
      <c r="DB2003" s="1"/>
      <c r="DC2003" s="1"/>
    </row>
    <row r="2004" spans="1:107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  <c r="BN2004" s="1"/>
      <c r="BO2004" s="1"/>
      <c r="BP2004" s="1"/>
      <c r="BQ2004" s="1"/>
      <c r="BR2004" s="1"/>
      <c r="BS2004" s="1"/>
      <c r="BT2004" s="1"/>
      <c r="BU2004" s="1"/>
      <c r="BV2004" s="1"/>
      <c r="BW2004" s="1"/>
      <c r="BX2004" s="1"/>
      <c r="BY2004" s="1"/>
      <c r="BZ2004" s="1"/>
      <c r="CA2004" s="1"/>
      <c r="CB2004" s="1"/>
      <c r="CC2004" s="1"/>
      <c r="CD2004" s="1"/>
      <c r="CE2004" s="1"/>
      <c r="CF2004" s="1"/>
      <c r="CG2004" s="1"/>
      <c r="CH2004" s="1"/>
      <c r="CI2004" s="1"/>
      <c r="CJ2004" s="1"/>
      <c r="CK2004" s="1"/>
      <c r="CL2004" s="1"/>
      <c r="CM2004" s="1"/>
      <c r="CN2004" s="1"/>
      <c r="CO2004" s="1"/>
      <c r="CP2004" s="1"/>
      <c r="CQ2004" s="1"/>
      <c r="CR2004" s="1"/>
      <c r="CS2004" s="1"/>
      <c r="CT2004" s="1"/>
      <c r="CU2004" s="1"/>
      <c r="CV2004" s="1"/>
      <c r="CW2004" s="1"/>
      <c r="CX2004" s="1"/>
      <c r="CY2004" s="1"/>
      <c r="CZ2004" s="1"/>
      <c r="DA2004" s="1"/>
      <c r="DB2004" s="1"/>
      <c r="DC2004" s="1"/>
    </row>
    <row r="2005" spans="1:107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  <c r="BX2005" s="1"/>
      <c r="BY2005" s="1"/>
      <c r="BZ2005" s="1"/>
      <c r="CA2005" s="1"/>
      <c r="CB2005" s="1"/>
      <c r="CC2005" s="1"/>
      <c r="CD2005" s="1"/>
      <c r="CE2005" s="1"/>
      <c r="CF2005" s="1"/>
      <c r="CG2005" s="1"/>
      <c r="CH2005" s="1"/>
      <c r="CI2005" s="1"/>
      <c r="CJ2005" s="1"/>
      <c r="CK2005" s="1"/>
      <c r="CL2005" s="1"/>
      <c r="CM2005" s="1"/>
      <c r="CN2005" s="1"/>
      <c r="CO2005" s="1"/>
      <c r="CP2005" s="1"/>
      <c r="CQ2005" s="1"/>
      <c r="CR2005" s="1"/>
      <c r="CS2005" s="1"/>
      <c r="CT2005" s="1"/>
      <c r="CU2005" s="1"/>
      <c r="CV2005" s="1"/>
      <c r="CW2005" s="1"/>
      <c r="CX2005" s="1"/>
      <c r="CY2005" s="1"/>
      <c r="CZ2005" s="1"/>
      <c r="DA2005" s="1"/>
      <c r="DB2005" s="1"/>
      <c r="DC2005" s="1"/>
    </row>
    <row r="2006" spans="1:107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  <c r="BN2006" s="1"/>
      <c r="BO2006" s="1"/>
      <c r="BP2006" s="1"/>
      <c r="BQ2006" s="1"/>
      <c r="BR2006" s="1"/>
      <c r="BS2006" s="1"/>
      <c r="BT2006" s="1"/>
      <c r="BU2006" s="1"/>
      <c r="BV2006" s="1"/>
      <c r="BW2006" s="1"/>
      <c r="BX2006" s="1"/>
      <c r="BY2006" s="1"/>
      <c r="BZ2006" s="1"/>
      <c r="CA2006" s="1"/>
      <c r="CB2006" s="1"/>
      <c r="CC2006" s="1"/>
      <c r="CD2006" s="1"/>
      <c r="CE2006" s="1"/>
      <c r="CF2006" s="1"/>
      <c r="CG2006" s="1"/>
      <c r="CH2006" s="1"/>
      <c r="CI2006" s="1"/>
      <c r="CJ2006" s="1"/>
      <c r="CK2006" s="1"/>
      <c r="CL2006" s="1"/>
      <c r="CM2006" s="1"/>
      <c r="CN2006" s="1"/>
      <c r="CO2006" s="1"/>
      <c r="CP2006" s="1"/>
      <c r="CQ2006" s="1"/>
      <c r="CR2006" s="1"/>
      <c r="CS2006" s="1"/>
      <c r="CT2006" s="1"/>
      <c r="CU2006" s="1"/>
      <c r="CV2006" s="1"/>
      <c r="CW2006" s="1"/>
      <c r="CX2006" s="1"/>
      <c r="CY2006" s="1"/>
      <c r="CZ2006" s="1"/>
      <c r="DA2006" s="1"/>
      <c r="DB2006" s="1"/>
      <c r="DC2006" s="1"/>
    </row>
    <row r="2007" spans="1:107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1"/>
      <c r="BU2007" s="1"/>
      <c r="BV2007" s="1"/>
      <c r="BW2007" s="1"/>
      <c r="BX2007" s="1"/>
      <c r="BY2007" s="1"/>
      <c r="BZ2007" s="1"/>
      <c r="CA2007" s="1"/>
      <c r="CB2007" s="1"/>
      <c r="CC2007" s="1"/>
      <c r="CD2007" s="1"/>
      <c r="CE2007" s="1"/>
      <c r="CF2007" s="1"/>
      <c r="CG2007" s="1"/>
      <c r="CH2007" s="1"/>
      <c r="CI2007" s="1"/>
      <c r="CJ2007" s="1"/>
      <c r="CK2007" s="1"/>
      <c r="CL2007" s="1"/>
      <c r="CM2007" s="1"/>
      <c r="CN2007" s="1"/>
      <c r="CO2007" s="1"/>
      <c r="CP2007" s="1"/>
      <c r="CQ2007" s="1"/>
      <c r="CR2007" s="1"/>
      <c r="CS2007" s="1"/>
      <c r="CT2007" s="1"/>
      <c r="CU2007" s="1"/>
      <c r="CV2007" s="1"/>
      <c r="CW2007" s="1"/>
      <c r="CX2007" s="1"/>
      <c r="CY2007" s="1"/>
      <c r="CZ2007" s="1"/>
      <c r="DA2007" s="1"/>
      <c r="DB2007" s="1"/>
      <c r="DC2007" s="1"/>
    </row>
    <row r="2008" spans="1:107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  <c r="BR2008" s="1"/>
      <c r="BS2008" s="1"/>
      <c r="BT2008" s="1"/>
      <c r="BU2008" s="1"/>
      <c r="BV2008" s="1"/>
      <c r="BW2008" s="1"/>
      <c r="BX2008" s="1"/>
      <c r="BY2008" s="1"/>
      <c r="BZ2008" s="1"/>
      <c r="CA2008" s="1"/>
      <c r="CB2008" s="1"/>
      <c r="CC2008" s="1"/>
      <c r="CD2008" s="1"/>
      <c r="CE2008" s="1"/>
      <c r="CF2008" s="1"/>
      <c r="CG2008" s="1"/>
      <c r="CH2008" s="1"/>
      <c r="CI2008" s="1"/>
      <c r="CJ2008" s="1"/>
      <c r="CK2008" s="1"/>
      <c r="CL2008" s="1"/>
      <c r="CM2008" s="1"/>
      <c r="CN2008" s="1"/>
      <c r="CO2008" s="1"/>
      <c r="CP2008" s="1"/>
      <c r="CQ2008" s="1"/>
      <c r="CR2008" s="1"/>
      <c r="CS2008" s="1"/>
      <c r="CT2008" s="1"/>
      <c r="CU2008" s="1"/>
      <c r="CV2008" s="1"/>
      <c r="CW2008" s="1"/>
      <c r="CX2008" s="1"/>
      <c r="CY2008" s="1"/>
      <c r="CZ2008" s="1"/>
      <c r="DA2008" s="1"/>
      <c r="DB2008" s="1"/>
      <c r="DC2008" s="1"/>
    </row>
    <row r="2009" spans="1:107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1"/>
      <c r="BU2009" s="1"/>
      <c r="BV2009" s="1"/>
      <c r="BW2009" s="1"/>
      <c r="BX2009" s="1"/>
      <c r="BY2009" s="1"/>
      <c r="BZ2009" s="1"/>
      <c r="CA2009" s="1"/>
      <c r="CB2009" s="1"/>
      <c r="CC2009" s="1"/>
      <c r="CD2009" s="1"/>
      <c r="CE2009" s="1"/>
      <c r="CF2009" s="1"/>
      <c r="CG2009" s="1"/>
      <c r="CH2009" s="1"/>
      <c r="CI2009" s="1"/>
      <c r="CJ2009" s="1"/>
      <c r="CK2009" s="1"/>
      <c r="CL2009" s="1"/>
      <c r="CM2009" s="1"/>
      <c r="CN2009" s="1"/>
      <c r="CO2009" s="1"/>
      <c r="CP2009" s="1"/>
      <c r="CQ2009" s="1"/>
      <c r="CR2009" s="1"/>
      <c r="CS2009" s="1"/>
      <c r="CT2009" s="1"/>
      <c r="CU2009" s="1"/>
      <c r="CV2009" s="1"/>
      <c r="CW2009" s="1"/>
      <c r="CX2009" s="1"/>
      <c r="CY2009" s="1"/>
      <c r="CZ2009" s="1"/>
      <c r="DA2009" s="1"/>
      <c r="DB2009" s="1"/>
      <c r="DC2009" s="1"/>
    </row>
    <row r="2010" spans="1:107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  <c r="BR2010" s="1"/>
      <c r="BS2010" s="1"/>
      <c r="BT2010" s="1"/>
      <c r="BU2010" s="1"/>
      <c r="BV2010" s="1"/>
      <c r="BW2010" s="1"/>
      <c r="BX2010" s="1"/>
      <c r="BY2010" s="1"/>
      <c r="BZ2010" s="1"/>
      <c r="CA2010" s="1"/>
      <c r="CB2010" s="1"/>
      <c r="CC2010" s="1"/>
      <c r="CD2010" s="1"/>
      <c r="CE2010" s="1"/>
      <c r="CF2010" s="1"/>
      <c r="CG2010" s="1"/>
      <c r="CH2010" s="1"/>
      <c r="CI2010" s="1"/>
      <c r="CJ2010" s="1"/>
      <c r="CK2010" s="1"/>
      <c r="CL2010" s="1"/>
      <c r="CM2010" s="1"/>
      <c r="CN2010" s="1"/>
      <c r="CO2010" s="1"/>
      <c r="CP2010" s="1"/>
      <c r="CQ2010" s="1"/>
      <c r="CR2010" s="1"/>
      <c r="CS2010" s="1"/>
      <c r="CT2010" s="1"/>
      <c r="CU2010" s="1"/>
      <c r="CV2010" s="1"/>
      <c r="CW2010" s="1"/>
      <c r="CX2010" s="1"/>
      <c r="CY2010" s="1"/>
      <c r="CZ2010" s="1"/>
      <c r="DA2010" s="1"/>
      <c r="DB2010" s="1"/>
      <c r="DC2010" s="1"/>
    </row>
    <row r="2011" spans="1:107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  <c r="BS2011" s="1"/>
      <c r="BT2011" s="1"/>
      <c r="BU2011" s="1"/>
      <c r="BV2011" s="1"/>
      <c r="BW2011" s="1"/>
      <c r="BX2011" s="1"/>
      <c r="BY2011" s="1"/>
      <c r="BZ2011" s="1"/>
      <c r="CA2011" s="1"/>
      <c r="CB2011" s="1"/>
      <c r="CC2011" s="1"/>
      <c r="CD2011" s="1"/>
      <c r="CE2011" s="1"/>
      <c r="CF2011" s="1"/>
      <c r="CG2011" s="1"/>
      <c r="CH2011" s="1"/>
      <c r="CI2011" s="1"/>
      <c r="CJ2011" s="1"/>
      <c r="CK2011" s="1"/>
      <c r="CL2011" s="1"/>
      <c r="CM2011" s="1"/>
      <c r="CN2011" s="1"/>
      <c r="CO2011" s="1"/>
      <c r="CP2011" s="1"/>
      <c r="CQ2011" s="1"/>
      <c r="CR2011" s="1"/>
      <c r="CS2011" s="1"/>
      <c r="CT2011" s="1"/>
      <c r="CU2011" s="1"/>
      <c r="CV2011" s="1"/>
      <c r="CW2011" s="1"/>
      <c r="CX2011" s="1"/>
      <c r="CY2011" s="1"/>
      <c r="CZ2011" s="1"/>
      <c r="DA2011" s="1"/>
      <c r="DB2011" s="1"/>
      <c r="DC2011" s="1"/>
    </row>
    <row r="2012" spans="1:107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  <c r="BR2012" s="1"/>
      <c r="BS2012" s="1"/>
      <c r="BT2012" s="1"/>
      <c r="BU2012" s="1"/>
      <c r="BV2012" s="1"/>
      <c r="BW2012" s="1"/>
      <c r="BX2012" s="1"/>
      <c r="BY2012" s="1"/>
      <c r="BZ2012" s="1"/>
      <c r="CA2012" s="1"/>
      <c r="CB2012" s="1"/>
      <c r="CC2012" s="1"/>
      <c r="CD2012" s="1"/>
      <c r="CE2012" s="1"/>
      <c r="CF2012" s="1"/>
      <c r="CG2012" s="1"/>
      <c r="CH2012" s="1"/>
      <c r="CI2012" s="1"/>
      <c r="CJ2012" s="1"/>
      <c r="CK2012" s="1"/>
      <c r="CL2012" s="1"/>
      <c r="CM2012" s="1"/>
      <c r="CN2012" s="1"/>
      <c r="CO2012" s="1"/>
      <c r="CP2012" s="1"/>
      <c r="CQ2012" s="1"/>
      <c r="CR2012" s="1"/>
      <c r="CS2012" s="1"/>
      <c r="CT2012" s="1"/>
      <c r="CU2012" s="1"/>
      <c r="CV2012" s="1"/>
      <c r="CW2012" s="1"/>
      <c r="CX2012" s="1"/>
      <c r="CY2012" s="1"/>
      <c r="CZ2012" s="1"/>
      <c r="DA2012" s="1"/>
      <c r="DB2012" s="1"/>
      <c r="DC2012" s="1"/>
    </row>
    <row r="2013" spans="1:107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  <c r="BS2013" s="1"/>
      <c r="BT2013" s="1"/>
      <c r="BU2013" s="1"/>
      <c r="BV2013" s="1"/>
      <c r="BW2013" s="1"/>
      <c r="BX2013" s="1"/>
      <c r="BY2013" s="1"/>
      <c r="BZ2013" s="1"/>
      <c r="CA2013" s="1"/>
      <c r="CB2013" s="1"/>
      <c r="CC2013" s="1"/>
      <c r="CD2013" s="1"/>
      <c r="CE2013" s="1"/>
      <c r="CF2013" s="1"/>
      <c r="CG2013" s="1"/>
      <c r="CH2013" s="1"/>
      <c r="CI2013" s="1"/>
      <c r="CJ2013" s="1"/>
      <c r="CK2013" s="1"/>
      <c r="CL2013" s="1"/>
      <c r="CM2013" s="1"/>
      <c r="CN2013" s="1"/>
      <c r="CO2013" s="1"/>
      <c r="CP2013" s="1"/>
      <c r="CQ2013" s="1"/>
      <c r="CR2013" s="1"/>
      <c r="CS2013" s="1"/>
      <c r="CT2013" s="1"/>
      <c r="CU2013" s="1"/>
      <c r="CV2013" s="1"/>
      <c r="CW2013" s="1"/>
      <c r="CX2013" s="1"/>
      <c r="CY2013" s="1"/>
      <c r="CZ2013" s="1"/>
      <c r="DA2013" s="1"/>
      <c r="DB2013" s="1"/>
      <c r="DC2013" s="1"/>
    </row>
    <row r="2014" spans="1:107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 s="1"/>
      <c r="BP2014" s="1"/>
      <c r="BQ2014" s="1"/>
      <c r="BR2014" s="1"/>
      <c r="BS2014" s="1"/>
      <c r="BT2014" s="1"/>
      <c r="BU2014" s="1"/>
      <c r="BV2014" s="1"/>
      <c r="BW2014" s="1"/>
      <c r="BX2014" s="1"/>
      <c r="BY2014" s="1"/>
      <c r="BZ2014" s="1"/>
      <c r="CA2014" s="1"/>
      <c r="CB2014" s="1"/>
      <c r="CC2014" s="1"/>
      <c r="CD2014" s="1"/>
      <c r="CE2014" s="1"/>
      <c r="CF2014" s="1"/>
      <c r="CG2014" s="1"/>
      <c r="CH2014" s="1"/>
      <c r="CI2014" s="1"/>
      <c r="CJ2014" s="1"/>
      <c r="CK2014" s="1"/>
      <c r="CL2014" s="1"/>
      <c r="CM2014" s="1"/>
      <c r="CN2014" s="1"/>
      <c r="CO2014" s="1"/>
      <c r="CP2014" s="1"/>
      <c r="CQ2014" s="1"/>
      <c r="CR2014" s="1"/>
      <c r="CS2014" s="1"/>
      <c r="CT2014" s="1"/>
      <c r="CU2014" s="1"/>
      <c r="CV2014" s="1"/>
      <c r="CW2014" s="1"/>
      <c r="CX2014" s="1"/>
      <c r="CY2014" s="1"/>
      <c r="CZ2014" s="1"/>
      <c r="DA2014" s="1"/>
      <c r="DB2014" s="1"/>
      <c r="DC2014" s="1"/>
    </row>
    <row r="2015" spans="1:107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  <c r="BR2015" s="1"/>
      <c r="BS2015" s="1"/>
      <c r="BT2015" s="1"/>
      <c r="BU2015" s="1"/>
      <c r="BV2015" s="1"/>
      <c r="BW2015" s="1"/>
      <c r="BX2015" s="1"/>
      <c r="BY2015" s="1"/>
      <c r="BZ2015" s="1"/>
      <c r="CA2015" s="1"/>
      <c r="CB2015" s="1"/>
      <c r="CC2015" s="1"/>
      <c r="CD2015" s="1"/>
      <c r="CE2015" s="1"/>
      <c r="CF2015" s="1"/>
      <c r="CG2015" s="1"/>
      <c r="CH2015" s="1"/>
      <c r="CI2015" s="1"/>
      <c r="CJ2015" s="1"/>
      <c r="CK2015" s="1"/>
      <c r="CL2015" s="1"/>
      <c r="CM2015" s="1"/>
      <c r="CN2015" s="1"/>
      <c r="CO2015" s="1"/>
      <c r="CP2015" s="1"/>
      <c r="CQ2015" s="1"/>
      <c r="CR2015" s="1"/>
      <c r="CS2015" s="1"/>
      <c r="CT2015" s="1"/>
      <c r="CU2015" s="1"/>
      <c r="CV2015" s="1"/>
      <c r="CW2015" s="1"/>
      <c r="CX2015" s="1"/>
      <c r="CY2015" s="1"/>
      <c r="CZ2015" s="1"/>
      <c r="DA2015" s="1"/>
      <c r="DB2015" s="1"/>
      <c r="DC2015" s="1"/>
    </row>
    <row r="2016" spans="1:107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  <c r="BR2016" s="1"/>
      <c r="BS2016" s="1"/>
      <c r="BT2016" s="1"/>
      <c r="BU2016" s="1"/>
      <c r="BV2016" s="1"/>
      <c r="BW2016" s="1"/>
      <c r="BX2016" s="1"/>
      <c r="BY2016" s="1"/>
      <c r="BZ2016" s="1"/>
      <c r="CA2016" s="1"/>
      <c r="CB2016" s="1"/>
      <c r="CC2016" s="1"/>
      <c r="CD2016" s="1"/>
      <c r="CE2016" s="1"/>
      <c r="CF2016" s="1"/>
      <c r="CG2016" s="1"/>
      <c r="CH2016" s="1"/>
      <c r="CI2016" s="1"/>
      <c r="CJ2016" s="1"/>
      <c r="CK2016" s="1"/>
      <c r="CL2016" s="1"/>
      <c r="CM2016" s="1"/>
      <c r="CN2016" s="1"/>
      <c r="CO2016" s="1"/>
      <c r="CP2016" s="1"/>
      <c r="CQ2016" s="1"/>
      <c r="CR2016" s="1"/>
      <c r="CS2016" s="1"/>
      <c r="CT2016" s="1"/>
      <c r="CU2016" s="1"/>
      <c r="CV2016" s="1"/>
      <c r="CW2016" s="1"/>
      <c r="CX2016" s="1"/>
      <c r="CY2016" s="1"/>
      <c r="CZ2016" s="1"/>
      <c r="DA2016" s="1"/>
      <c r="DB2016" s="1"/>
      <c r="DC2016" s="1"/>
    </row>
    <row r="2017" spans="1:10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  <c r="BS2017" s="1"/>
      <c r="BT2017" s="1"/>
      <c r="BU2017" s="1"/>
      <c r="BV2017" s="1"/>
      <c r="BW2017" s="1"/>
      <c r="BX2017" s="1"/>
      <c r="BY2017" s="1"/>
      <c r="BZ2017" s="1"/>
      <c r="CA2017" s="1"/>
      <c r="CB2017" s="1"/>
      <c r="CC2017" s="1"/>
      <c r="CD2017" s="1"/>
      <c r="CE2017" s="1"/>
      <c r="CF2017" s="1"/>
      <c r="CG2017" s="1"/>
      <c r="CH2017" s="1"/>
      <c r="CI2017" s="1"/>
      <c r="CJ2017" s="1"/>
      <c r="CK2017" s="1"/>
      <c r="CL2017" s="1"/>
      <c r="CM2017" s="1"/>
      <c r="CN2017" s="1"/>
      <c r="CO2017" s="1"/>
      <c r="CP2017" s="1"/>
      <c r="CQ2017" s="1"/>
      <c r="CR2017" s="1"/>
      <c r="CS2017" s="1"/>
      <c r="CT2017" s="1"/>
      <c r="CU2017" s="1"/>
      <c r="CV2017" s="1"/>
      <c r="CW2017" s="1"/>
      <c r="CX2017" s="1"/>
      <c r="CY2017" s="1"/>
      <c r="CZ2017" s="1"/>
      <c r="DA2017" s="1"/>
      <c r="DB2017" s="1"/>
      <c r="DC2017" s="1"/>
    </row>
    <row r="2018" spans="1:107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  <c r="BR2018" s="1"/>
      <c r="BS2018" s="1"/>
      <c r="BT2018" s="1"/>
      <c r="BU2018" s="1"/>
      <c r="BV2018" s="1"/>
      <c r="BW2018" s="1"/>
      <c r="BX2018" s="1"/>
      <c r="BY2018" s="1"/>
      <c r="BZ2018" s="1"/>
      <c r="CA2018" s="1"/>
      <c r="CB2018" s="1"/>
      <c r="CC2018" s="1"/>
      <c r="CD2018" s="1"/>
      <c r="CE2018" s="1"/>
      <c r="CF2018" s="1"/>
      <c r="CG2018" s="1"/>
      <c r="CH2018" s="1"/>
      <c r="CI2018" s="1"/>
      <c r="CJ2018" s="1"/>
      <c r="CK2018" s="1"/>
      <c r="CL2018" s="1"/>
      <c r="CM2018" s="1"/>
      <c r="CN2018" s="1"/>
      <c r="CO2018" s="1"/>
      <c r="CP2018" s="1"/>
      <c r="CQ2018" s="1"/>
      <c r="CR2018" s="1"/>
      <c r="CS2018" s="1"/>
      <c r="CT2018" s="1"/>
      <c r="CU2018" s="1"/>
      <c r="CV2018" s="1"/>
      <c r="CW2018" s="1"/>
      <c r="CX2018" s="1"/>
      <c r="CY2018" s="1"/>
      <c r="CZ2018" s="1"/>
      <c r="DA2018" s="1"/>
      <c r="DB2018" s="1"/>
      <c r="DC2018" s="1"/>
    </row>
    <row r="2019" spans="1:107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  <c r="BS2019" s="1"/>
      <c r="BT2019" s="1"/>
      <c r="BU2019" s="1"/>
      <c r="BV2019" s="1"/>
      <c r="BW2019" s="1"/>
      <c r="BX2019" s="1"/>
      <c r="BY2019" s="1"/>
      <c r="BZ2019" s="1"/>
      <c r="CA2019" s="1"/>
      <c r="CB2019" s="1"/>
      <c r="CC2019" s="1"/>
      <c r="CD2019" s="1"/>
      <c r="CE2019" s="1"/>
      <c r="CF2019" s="1"/>
      <c r="CG2019" s="1"/>
      <c r="CH2019" s="1"/>
      <c r="CI2019" s="1"/>
      <c r="CJ2019" s="1"/>
      <c r="CK2019" s="1"/>
      <c r="CL2019" s="1"/>
      <c r="CM2019" s="1"/>
      <c r="CN2019" s="1"/>
      <c r="CO2019" s="1"/>
      <c r="CP2019" s="1"/>
      <c r="CQ2019" s="1"/>
      <c r="CR2019" s="1"/>
      <c r="CS2019" s="1"/>
      <c r="CT2019" s="1"/>
      <c r="CU2019" s="1"/>
      <c r="CV2019" s="1"/>
      <c r="CW2019" s="1"/>
      <c r="CX2019" s="1"/>
      <c r="CY2019" s="1"/>
      <c r="CZ2019" s="1"/>
      <c r="DA2019" s="1"/>
      <c r="DB2019" s="1"/>
      <c r="DC2019" s="1"/>
    </row>
    <row r="2020" spans="1:107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  <c r="BR2020" s="1"/>
      <c r="BS2020" s="1"/>
      <c r="BT2020" s="1"/>
      <c r="BU2020" s="1"/>
      <c r="BV2020" s="1"/>
      <c r="BW2020" s="1"/>
      <c r="BX2020" s="1"/>
      <c r="BY2020" s="1"/>
      <c r="BZ2020" s="1"/>
      <c r="CA2020" s="1"/>
      <c r="CB2020" s="1"/>
      <c r="CC2020" s="1"/>
      <c r="CD2020" s="1"/>
      <c r="CE2020" s="1"/>
      <c r="CF2020" s="1"/>
      <c r="CG2020" s="1"/>
      <c r="CH2020" s="1"/>
      <c r="CI2020" s="1"/>
      <c r="CJ2020" s="1"/>
      <c r="CK2020" s="1"/>
      <c r="CL2020" s="1"/>
      <c r="CM2020" s="1"/>
      <c r="CN2020" s="1"/>
      <c r="CO2020" s="1"/>
      <c r="CP2020" s="1"/>
      <c r="CQ2020" s="1"/>
      <c r="CR2020" s="1"/>
      <c r="CS2020" s="1"/>
      <c r="CT2020" s="1"/>
      <c r="CU2020" s="1"/>
      <c r="CV2020" s="1"/>
      <c r="CW2020" s="1"/>
      <c r="CX2020" s="1"/>
      <c r="CY2020" s="1"/>
      <c r="CZ2020" s="1"/>
      <c r="DA2020" s="1"/>
      <c r="DB2020" s="1"/>
      <c r="DC2020" s="1"/>
    </row>
    <row r="2021" spans="1:107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  <c r="BS2021" s="1"/>
      <c r="BT2021" s="1"/>
      <c r="BU2021" s="1"/>
      <c r="BV2021" s="1"/>
      <c r="BW2021" s="1"/>
      <c r="BX2021" s="1"/>
      <c r="BY2021" s="1"/>
      <c r="BZ2021" s="1"/>
      <c r="CA2021" s="1"/>
      <c r="CB2021" s="1"/>
      <c r="CC2021" s="1"/>
      <c r="CD2021" s="1"/>
      <c r="CE2021" s="1"/>
      <c r="CF2021" s="1"/>
      <c r="CG2021" s="1"/>
      <c r="CH2021" s="1"/>
      <c r="CI2021" s="1"/>
      <c r="CJ2021" s="1"/>
      <c r="CK2021" s="1"/>
      <c r="CL2021" s="1"/>
      <c r="CM2021" s="1"/>
      <c r="CN2021" s="1"/>
      <c r="CO2021" s="1"/>
      <c r="CP2021" s="1"/>
      <c r="CQ2021" s="1"/>
      <c r="CR2021" s="1"/>
      <c r="CS2021" s="1"/>
      <c r="CT2021" s="1"/>
      <c r="CU2021" s="1"/>
      <c r="CV2021" s="1"/>
      <c r="CW2021" s="1"/>
      <c r="CX2021" s="1"/>
      <c r="CY2021" s="1"/>
      <c r="CZ2021" s="1"/>
      <c r="DA2021" s="1"/>
      <c r="DB2021" s="1"/>
      <c r="DC2021" s="1"/>
    </row>
    <row r="2022" spans="1:107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  <c r="BR2022" s="1"/>
      <c r="BS2022" s="1"/>
      <c r="BT2022" s="1"/>
      <c r="BU2022" s="1"/>
      <c r="BV2022" s="1"/>
      <c r="BW2022" s="1"/>
      <c r="BX2022" s="1"/>
      <c r="BY2022" s="1"/>
      <c r="BZ2022" s="1"/>
      <c r="CA2022" s="1"/>
      <c r="CB2022" s="1"/>
      <c r="CC2022" s="1"/>
      <c r="CD2022" s="1"/>
      <c r="CE2022" s="1"/>
      <c r="CF2022" s="1"/>
      <c r="CG2022" s="1"/>
      <c r="CH2022" s="1"/>
      <c r="CI2022" s="1"/>
      <c r="CJ2022" s="1"/>
      <c r="CK2022" s="1"/>
      <c r="CL2022" s="1"/>
      <c r="CM2022" s="1"/>
      <c r="CN2022" s="1"/>
      <c r="CO2022" s="1"/>
      <c r="CP2022" s="1"/>
      <c r="CQ2022" s="1"/>
      <c r="CR2022" s="1"/>
      <c r="CS2022" s="1"/>
      <c r="CT2022" s="1"/>
      <c r="CU2022" s="1"/>
      <c r="CV2022" s="1"/>
      <c r="CW2022" s="1"/>
      <c r="CX2022" s="1"/>
      <c r="CY2022" s="1"/>
      <c r="CZ2022" s="1"/>
      <c r="DA2022" s="1"/>
      <c r="DB2022" s="1"/>
      <c r="DC2022" s="1"/>
    </row>
    <row r="2023" spans="1:107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  <c r="BS2023" s="1"/>
      <c r="BT2023" s="1"/>
      <c r="BU2023" s="1"/>
      <c r="BV2023" s="1"/>
      <c r="BW2023" s="1"/>
      <c r="BX2023" s="1"/>
      <c r="BY2023" s="1"/>
      <c r="BZ2023" s="1"/>
      <c r="CA2023" s="1"/>
      <c r="CB2023" s="1"/>
      <c r="CC2023" s="1"/>
      <c r="CD2023" s="1"/>
      <c r="CE2023" s="1"/>
      <c r="CF2023" s="1"/>
      <c r="CG2023" s="1"/>
      <c r="CH2023" s="1"/>
      <c r="CI2023" s="1"/>
      <c r="CJ2023" s="1"/>
      <c r="CK2023" s="1"/>
      <c r="CL2023" s="1"/>
      <c r="CM2023" s="1"/>
      <c r="CN2023" s="1"/>
      <c r="CO2023" s="1"/>
      <c r="CP2023" s="1"/>
      <c r="CQ2023" s="1"/>
      <c r="CR2023" s="1"/>
      <c r="CS2023" s="1"/>
      <c r="CT2023" s="1"/>
      <c r="CU2023" s="1"/>
      <c r="CV2023" s="1"/>
      <c r="CW2023" s="1"/>
      <c r="CX2023" s="1"/>
      <c r="CY2023" s="1"/>
      <c r="CZ2023" s="1"/>
      <c r="DA2023" s="1"/>
      <c r="DB2023" s="1"/>
      <c r="DC2023" s="1"/>
    </row>
    <row r="2024" spans="1:107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  <c r="BR2024" s="1"/>
      <c r="BS2024" s="1"/>
      <c r="BT2024" s="1"/>
      <c r="BU2024" s="1"/>
      <c r="BV2024" s="1"/>
      <c r="BW2024" s="1"/>
      <c r="BX2024" s="1"/>
      <c r="BY2024" s="1"/>
      <c r="BZ2024" s="1"/>
      <c r="CA2024" s="1"/>
      <c r="CB2024" s="1"/>
      <c r="CC2024" s="1"/>
      <c r="CD2024" s="1"/>
      <c r="CE2024" s="1"/>
      <c r="CF2024" s="1"/>
      <c r="CG2024" s="1"/>
      <c r="CH2024" s="1"/>
      <c r="CI2024" s="1"/>
      <c r="CJ2024" s="1"/>
      <c r="CK2024" s="1"/>
      <c r="CL2024" s="1"/>
      <c r="CM2024" s="1"/>
      <c r="CN2024" s="1"/>
      <c r="CO2024" s="1"/>
      <c r="CP2024" s="1"/>
      <c r="CQ2024" s="1"/>
      <c r="CR2024" s="1"/>
      <c r="CS2024" s="1"/>
      <c r="CT2024" s="1"/>
      <c r="CU2024" s="1"/>
      <c r="CV2024" s="1"/>
      <c r="CW2024" s="1"/>
      <c r="CX2024" s="1"/>
      <c r="CY2024" s="1"/>
      <c r="CZ2024" s="1"/>
      <c r="DA2024" s="1"/>
      <c r="DB2024" s="1"/>
      <c r="DC2024" s="1"/>
    </row>
    <row r="2025" spans="1:107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  <c r="BS2025" s="1"/>
      <c r="BT2025" s="1"/>
      <c r="BU2025" s="1"/>
      <c r="BV2025" s="1"/>
      <c r="BW2025" s="1"/>
      <c r="BX2025" s="1"/>
      <c r="BY2025" s="1"/>
      <c r="BZ2025" s="1"/>
      <c r="CA2025" s="1"/>
      <c r="CB2025" s="1"/>
      <c r="CC2025" s="1"/>
      <c r="CD2025" s="1"/>
      <c r="CE2025" s="1"/>
      <c r="CF2025" s="1"/>
      <c r="CG2025" s="1"/>
      <c r="CH2025" s="1"/>
      <c r="CI2025" s="1"/>
      <c r="CJ2025" s="1"/>
      <c r="CK2025" s="1"/>
      <c r="CL2025" s="1"/>
      <c r="CM2025" s="1"/>
      <c r="CN2025" s="1"/>
      <c r="CO2025" s="1"/>
      <c r="CP2025" s="1"/>
      <c r="CQ2025" s="1"/>
      <c r="CR2025" s="1"/>
      <c r="CS2025" s="1"/>
      <c r="CT2025" s="1"/>
      <c r="CU2025" s="1"/>
      <c r="CV2025" s="1"/>
      <c r="CW2025" s="1"/>
      <c r="CX2025" s="1"/>
      <c r="CY2025" s="1"/>
      <c r="CZ2025" s="1"/>
      <c r="DA2025" s="1"/>
      <c r="DB2025" s="1"/>
      <c r="DC2025" s="1"/>
    </row>
    <row r="2026" spans="1:107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  <c r="BR2026" s="1"/>
      <c r="BS2026" s="1"/>
      <c r="BT2026" s="1"/>
      <c r="BU2026" s="1"/>
      <c r="BV2026" s="1"/>
      <c r="BW2026" s="1"/>
      <c r="BX2026" s="1"/>
      <c r="BY2026" s="1"/>
      <c r="BZ2026" s="1"/>
      <c r="CA2026" s="1"/>
      <c r="CB2026" s="1"/>
      <c r="CC2026" s="1"/>
      <c r="CD2026" s="1"/>
      <c r="CE2026" s="1"/>
      <c r="CF2026" s="1"/>
      <c r="CG2026" s="1"/>
      <c r="CH2026" s="1"/>
      <c r="CI2026" s="1"/>
      <c r="CJ2026" s="1"/>
      <c r="CK2026" s="1"/>
      <c r="CL2026" s="1"/>
      <c r="CM2026" s="1"/>
      <c r="CN2026" s="1"/>
      <c r="CO2026" s="1"/>
      <c r="CP2026" s="1"/>
      <c r="CQ2026" s="1"/>
      <c r="CR2026" s="1"/>
      <c r="CS2026" s="1"/>
      <c r="CT2026" s="1"/>
      <c r="CU2026" s="1"/>
      <c r="CV2026" s="1"/>
      <c r="CW2026" s="1"/>
      <c r="CX2026" s="1"/>
      <c r="CY2026" s="1"/>
      <c r="CZ2026" s="1"/>
      <c r="DA2026" s="1"/>
      <c r="DB2026" s="1"/>
      <c r="DC2026" s="1"/>
    </row>
    <row r="2027" spans="1:107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  <c r="BS2027" s="1"/>
      <c r="BT2027" s="1"/>
      <c r="BU2027" s="1"/>
      <c r="BV2027" s="1"/>
      <c r="BW2027" s="1"/>
      <c r="BX2027" s="1"/>
      <c r="BY2027" s="1"/>
      <c r="BZ2027" s="1"/>
      <c r="CA2027" s="1"/>
      <c r="CB2027" s="1"/>
      <c r="CC2027" s="1"/>
      <c r="CD2027" s="1"/>
      <c r="CE2027" s="1"/>
      <c r="CF2027" s="1"/>
      <c r="CG2027" s="1"/>
      <c r="CH2027" s="1"/>
      <c r="CI2027" s="1"/>
      <c r="CJ2027" s="1"/>
      <c r="CK2027" s="1"/>
      <c r="CL2027" s="1"/>
      <c r="CM2027" s="1"/>
      <c r="CN2027" s="1"/>
      <c r="CO2027" s="1"/>
      <c r="CP2027" s="1"/>
      <c r="CQ2027" s="1"/>
      <c r="CR2027" s="1"/>
      <c r="CS2027" s="1"/>
      <c r="CT2027" s="1"/>
      <c r="CU2027" s="1"/>
      <c r="CV2027" s="1"/>
      <c r="CW2027" s="1"/>
      <c r="CX2027" s="1"/>
      <c r="CY2027" s="1"/>
      <c r="CZ2027" s="1"/>
      <c r="DA2027" s="1"/>
      <c r="DB2027" s="1"/>
      <c r="DC2027" s="1"/>
    </row>
    <row r="2028" spans="1:107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  <c r="BR2028" s="1"/>
      <c r="BS2028" s="1"/>
      <c r="BT2028" s="1"/>
      <c r="BU2028" s="1"/>
      <c r="BV2028" s="1"/>
      <c r="BW2028" s="1"/>
      <c r="BX2028" s="1"/>
      <c r="BY2028" s="1"/>
      <c r="BZ2028" s="1"/>
      <c r="CA2028" s="1"/>
      <c r="CB2028" s="1"/>
      <c r="CC2028" s="1"/>
      <c r="CD2028" s="1"/>
      <c r="CE2028" s="1"/>
      <c r="CF2028" s="1"/>
      <c r="CG2028" s="1"/>
      <c r="CH2028" s="1"/>
      <c r="CI2028" s="1"/>
      <c r="CJ2028" s="1"/>
      <c r="CK2028" s="1"/>
      <c r="CL2028" s="1"/>
      <c r="CM2028" s="1"/>
      <c r="CN2028" s="1"/>
      <c r="CO2028" s="1"/>
      <c r="CP2028" s="1"/>
      <c r="CQ2028" s="1"/>
      <c r="CR2028" s="1"/>
      <c r="CS2028" s="1"/>
      <c r="CT2028" s="1"/>
      <c r="CU2028" s="1"/>
      <c r="CV2028" s="1"/>
      <c r="CW2028" s="1"/>
      <c r="CX2028" s="1"/>
      <c r="CY2028" s="1"/>
      <c r="CZ2028" s="1"/>
      <c r="DA2028" s="1"/>
      <c r="DB2028" s="1"/>
      <c r="DC2028" s="1"/>
    </row>
    <row r="2029" spans="1:107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  <c r="BS2029" s="1"/>
      <c r="BT2029" s="1"/>
      <c r="BU2029" s="1"/>
      <c r="BV2029" s="1"/>
      <c r="BW2029" s="1"/>
      <c r="BX2029" s="1"/>
      <c r="BY2029" s="1"/>
      <c r="BZ2029" s="1"/>
      <c r="CA2029" s="1"/>
      <c r="CB2029" s="1"/>
      <c r="CC2029" s="1"/>
      <c r="CD2029" s="1"/>
      <c r="CE2029" s="1"/>
      <c r="CF2029" s="1"/>
      <c r="CG2029" s="1"/>
      <c r="CH2029" s="1"/>
      <c r="CI2029" s="1"/>
      <c r="CJ2029" s="1"/>
      <c r="CK2029" s="1"/>
      <c r="CL2029" s="1"/>
      <c r="CM2029" s="1"/>
      <c r="CN2029" s="1"/>
      <c r="CO2029" s="1"/>
      <c r="CP2029" s="1"/>
      <c r="CQ2029" s="1"/>
      <c r="CR2029" s="1"/>
      <c r="CS2029" s="1"/>
      <c r="CT2029" s="1"/>
      <c r="CU2029" s="1"/>
      <c r="CV2029" s="1"/>
      <c r="CW2029" s="1"/>
      <c r="CX2029" s="1"/>
      <c r="CY2029" s="1"/>
      <c r="CZ2029" s="1"/>
      <c r="DA2029" s="1"/>
      <c r="DB2029" s="1"/>
      <c r="DC2029" s="1"/>
    </row>
    <row r="2030" spans="1:107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  <c r="BR2030" s="1"/>
      <c r="BS2030" s="1"/>
      <c r="BT2030" s="1"/>
      <c r="BU2030" s="1"/>
      <c r="BV2030" s="1"/>
      <c r="BW2030" s="1"/>
      <c r="BX2030" s="1"/>
      <c r="BY2030" s="1"/>
      <c r="BZ2030" s="1"/>
      <c r="CA2030" s="1"/>
      <c r="CB2030" s="1"/>
      <c r="CC2030" s="1"/>
      <c r="CD2030" s="1"/>
      <c r="CE2030" s="1"/>
      <c r="CF2030" s="1"/>
      <c r="CG2030" s="1"/>
      <c r="CH2030" s="1"/>
      <c r="CI2030" s="1"/>
      <c r="CJ2030" s="1"/>
      <c r="CK2030" s="1"/>
      <c r="CL2030" s="1"/>
      <c r="CM2030" s="1"/>
      <c r="CN2030" s="1"/>
      <c r="CO2030" s="1"/>
      <c r="CP2030" s="1"/>
      <c r="CQ2030" s="1"/>
      <c r="CR2030" s="1"/>
      <c r="CS2030" s="1"/>
      <c r="CT2030" s="1"/>
      <c r="CU2030" s="1"/>
      <c r="CV2030" s="1"/>
      <c r="CW2030" s="1"/>
      <c r="CX2030" s="1"/>
      <c r="CY2030" s="1"/>
      <c r="CZ2030" s="1"/>
      <c r="DA2030" s="1"/>
      <c r="DB2030" s="1"/>
      <c r="DC2030" s="1"/>
    </row>
    <row r="2031" spans="1:107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  <c r="BS2031" s="1"/>
      <c r="BT2031" s="1"/>
      <c r="BU2031" s="1"/>
      <c r="BV2031" s="1"/>
      <c r="BW2031" s="1"/>
      <c r="BX2031" s="1"/>
      <c r="BY2031" s="1"/>
      <c r="BZ2031" s="1"/>
      <c r="CA2031" s="1"/>
      <c r="CB2031" s="1"/>
      <c r="CC2031" s="1"/>
      <c r="CD2031" s="1"/>
      <c r="CE2031" s="1"/>
      <c r="CF2031" s="1"/>
      <c r="CG2031" s="1"/>
      <c r="CH2031" s="1"/>
      <c r="CI2031" s="1"/>
      <c r="CJ2031" s="1"/>
      <c r="CK2031" s="1"/>
      <c r="CL2031" s="1"/>
      <c r="CM2031" s="1"/>
      <c r="CN2031" s="1"/>
      <c r="CO2031" s="1"/>
      <c r="CP2031" s="1"/>
      <c r="CQ2031" s="1"/>
      <c r="CR2031" s="1"/>
      <c r="CS2031" s="1"/>
      <c r="CT2031" s="1"/>
      <c r="CU2031" s="1"/>
      <c r="CV2031" s="1"/>
      <c r="CW2031" s="1"/>
      <c r="CX2031" s="1"/>
      <c r="CY2031" s="1"/>
      <c r="CZ2031" s="1"/>
      <c r="DA2031" s="1"/>
      <c r="DB2031" s="1"/>
      <c r="DC2031" s="1"/>
    </row>
    <row r="2032" spans="1:107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  <c r="BR2032" s="1"/>
      <c r="BS2032" s="1"/>
      <c r="BT2032" s="1"/>
      <c r="BU2032" s="1"/>
      <c r="BV2032" s="1"/>
      <c r="BW2032" s="1"/>
      <c r="BX2032" s="1"/>
      <c r="BY2032" s="1"/>
      <c r="BZ2032" s="1"/>
      <c r="CA2032" s="1"/>
      <c r="CB2032" s="1"/>
      <c r="CC2032" s="1"/>
      <c r="CD2032" s="1"/>
      <c r="CE2032" s="1"/>
      <c r="CF2032" s="1"/>
      <c r="CG2032" s="1"/>
      <c r="CH2032" s="1"/>
      <c r="CI2032" s="1"/>
      <c r="CJ2032" s="1"/>
      <c r="CK2032" s="1"/>
      <c r="CL2032" s="1"/>
      <c r="CM2032" s="1"/>
      <c r="CN2032" s="1"/>
      <c r="CO2032" s="1"/>
      <c r="CP2032" s="1"/>
      <c r="CQ2032" s="1"/>
      <c r="CR2032" s="1"/>
      <c r="CS2032" s="1"/>
      <c r="CT2032" s="1"/>
      <c r="CU2032" s="1"/>
      <c r="CV2032" s="1"/>
      <c r="CW2032" s="1"/>
      <c r="CX2032" s="1"/>
      <c r="CY2032" s="1"/>
      <c r="CZ2032" s="1"/>
      <c r="DA2032" s="1"/>
      <c r="DB2032" s="1"/>
      <c r="DC2032" s="1"/>
    </row>
    <row r="2033" spans="1:107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  <c r="BS2033" s="1"/>
      <c r="BT2033" s="1"/>
      <c r="BU2033" s="1"/>
      <c r="BV2033" s="1"/>
      <c r="BW2033" s="1"/>
      <c r="BX2033" s="1"/>
      <c r="BY2033" s="1"/>
      <c r="BZ2033" s="1"/>
      <c r="CA2033" s="1"/>
      <c r="CB2033" s="1"/>
      <c r="CC2033" s="1"/>
      <c r="CD2033" s="1"/>
      <c r="CE2033" s="1"/>
      <c r="CF2033" s="1"/>
      <c r="CG2033" s="1"/>
      <c r="CH2033" s="1"/>
      <c r="CI2033" s="1"/>
      <c r="CJ2033" s="1"/>
      <c r="CK2033" s="1"/>
      <c r="CL2033" s="1"/>
      <c r="CM2033" s="1"/>
      <c r="CN2033" s="1"/>
      <c r="CO2033" s="1"/>
      <c r="CP2033" s="1"/>
      <c r="CQ2033" s="1"/>
      <c r="CR2033" s="1"/>
      <c r="CS2033" s="1"/>
      <c r="CT2033" s="1"/>
      <c r="CU2033" s="1"/>
      <c r="CV2033" s="1"/>
      <c r="CW2033" s="1"/>
      <c r="CX2033" s="1"/>
      <c r="CY2033" s="1"/>
      <c r="CZ2033" s="1"/>
      <c r="DA2033" s="1"/>
      <c r="DB2033" s="1"/>
      <c r="DC2033" s="1"/>
    </row>
    <row r="2034" spans="1:107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  <c r="BR2034" s="1"/>
      <c r="BS2034" s="1"/>
      <c r="BT2034" s="1"/>
      <c r="BU2034" s="1"/>
      <c r="BV2034" s="1"/>
      <c r="BW2034" s="1"/>
      <c r="BX2034" s="1"/>
      <c r="BY2034" s="1"/>
      <c r="BZ2034" s="1"/>
      <c r="CA2034" s="1"/>
      <c r="CB2034" s="1"/>
      <c r="CC2034" s="1"/>
      <c r="CD2034" s="1"/>
      <c r="CE2034" s="1"/>
      <c r="CF2034" s="1"/>
      <c r="CG2034" s="1"/>
      <c r="CH2034" s="1"/>
      <c r="CI2034" s="1"/>
      <c r="CJ2034" s="1"/>
      <c r="CK2034" s="1"/>
      <c r="CL2034" s="1"/>
      <c r="CM2034" s="1"/>
      <c r="CN2034" s="1"/>
      <c r="CO2034" s="1"/>
      <c r="CP2034" s="1"/>
      <c r="CQ2034" s="1"/>
      <c r="CR2034" s="1"/>
      <c r="CS2034" s="1"/>
      <c r="CT2034" s="1"/>
      <c r="CU2034" s="1"/>
      <c r="CV2034" s="1"/>
      <c r="CW2034" s="1"/>
      <c r="CX2034" s="1"/>
      <c r="CY2034" s="1"/>
      <c r="CZ2034" s="1"/>
      <c r="DA2034" s="1"/>
      <c r="DB2034" s="1"/>
      <c r="DC2034" s="1"/>
    </row>
    <row r="2035" spans="1:107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  <c r="BR2035" s="1"/>
      <c r="BS2035" s="1"/>
      <c r="BT2035" s="1"/>
      <c r="BU2035" s="1"/>
      <c r="BV2035" s="1"/>
      <c r="BW2035" s="1"/>
      <c r="BX2035" s="1"/>
      <c r="BY2035" s="1"/>
      <c r="BZ2035" s="1"/>
      <c r="CA2035" s="1"/>
      <c r="CB2035" s="1"/>
      <c r="CC2035" s="1"/>
      <c r="CD2035" s="1"/>
      <c r="CE2035" s="1"/>
      <c r="CF2035" s="1"/>
      <c r="CG2035" s="1"/>
      <c r="CH2035" s="1"/>
      <c r="CI2035" s="1"/>
      <c r="CJ2035" s="1"/>
      <c r="CK2035" s="1"/>
      <c r="CL2035" s="1"/>
      <c r="CM2035" s="1"/>
      <c r="CN2035" s="1"/>
      <c r="CO2035" s="1"/>
      <c r="CP2035" s="1"/>
      <c r="CQ2035" s="1"/>
      <c r="CR2035" s="1"/>
      <c r="CS2035" s="1"/>
      <c r="CT2035" s="1"/>
      <c r="CU2035" s="1"/>
      <c r="CV2035" s="1"/>
      <c r="CW2035" s="1"/>
      <c r="CX2035" s="1"/>
      <c r="CY2035" s="1"/>
      <c r="CZ2035" s="1"/>
      <c r="DA2035" s="1"/>
      <c r="DB2035" s="1"/>
      <c r="DC2035" s="1"/>
    </row>
    <row r="2036" spans="1:107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  <c r="BR2036" s="1"/>
      <c r="BS2036" s="1"/>
      <c r="BT2036" s="1"/>
      <c r="BU2036" s="1"/>
      <c r="BV2036" s="1"/>
      <c r="BW2036" s="1"/>
      <c r="BX2036" s="1"/>
      <c r="BY2036" s="1"/>
      <c r="BZ2036" s="1"/>
      <c r="CA2036" s="1"/>
      <c r="CB2036" s="1"/>
      <c r="CC2036" s="1"/>
      <c r="CD2036" s="1"/>
      <c r="CE2036" s="1"/>
      <c r="CF2036" s="1"/>
      <c r="CG2036" s="1"/>
      <c r="CH2036" s="1"/>
      <c r="CI2036" s="1"/>
      <c r="CJ2036" s="1"/>
      <c r="CK2036" s="1"/>
      <c r="CL2036" s="1"/>
      <c r="CM2036" s="1"/>
      <c r="CN2036" s="1"/>
      <c r="CO2036" s="1"/>
      <c r="CP2036" s="1"/>
      <c r="CQ2036" s="1"/>
      <c r="CR2036" s="1"/>
      <c r="CS2036" s="1"/>
      <c r="CT2036" s="1"/>
      <c r="CU2036" s="1"/>
      <c r="CV2036" s="1"/>
      <c r="CW2036" s="1"/>
      <c r="CX2036" s="1"/>
      <c r="CY2036" s="1"/>
      <c r="CZ2036" s="1"/>
      <c r="DA2036" s="1"/>
      <c r="DB2036" s="1"/>
      <c r="DC2036" s="1"/>
    </row>
    <row r="2037" spans="1:107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  <c r="BS2037" s="1"/>
      <c r="BT2037" s="1"/>
      <c r="BU2037" s="1"/>
      <c r="BV2037" s="1"/>
      <c r="BW2037" s="1"/>
      <c r="BX2037" s="1"/>
      <c r="BY2037" s="1"/>
      <c r="BZ2037" s="1"/>
      <c r="CA2037" s="1"/>
      <c r="CB2037" s="1"/>
      <c r="CC2037" s="1"/>
      <c r="CD2037" s="1"/>
      <c r="CE2037" s="1"/>
      <c r="CF2037" s="1"/>
      <c r="CG2037" s="1"/>
      <c r="CH2037" s="1"/>
      <c r="CI2037" s="1"/>
      <c r="CJ2037" s="1"/>
      <c r="CK2037" s="1"/>
      <c r="CL2037" s="1"/>
      <c r="CM2037" s="1"/>
      <c r="CN2037" s="1"/>
      <c r="CO2037" s="1"/>
      <c r="CP2037" s="1"/>
      <c r="CQ2037" s="1"/>
      <c r="CR2037" s="1"/>
      <c r="CS2037" s="1"/>
      <c r="CT2037" s="1"/>
      <c r="CU2037" s="1"/>
      <c r="CV2037" s="1"/>
      <c r="CW2037" s="1"/>
      <c r="CX2037" s="1"/>
      <c r="CY2037" s="1"/>
      <c r="CZ2037" s="1"/>
      <c r="DA2037" s="1"/>
      <c r="DB2037" s="1"/>
      <c r="DC2037" s="1"/>
    </row>
    <row r="2038" spans="1:107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  <c r="BX2038" s="1"/>
      <c r="BY2038" s="1"/>
      <c r="BZ2038" s="1"/>
      <c r="CA2038" s="1"/>
      <c r="CB2038" s="1"/>
      <c r="CC2038" s="1"/>
      <c r="CD2038" s="1"/>
      <c r="CE2038" s="1"/>
      <c r="CF2038" s="1"/>
      <c r="CG2038" s="1"/>
      <c r="CH2038" s="1"/>
      <c r="CI2038" s="1"/>
      <c r="CJ2038" s="1"/>
      <c r="CK2038" s="1"/>
      <c r="CL2038" s="1"/>
      <c r="CM2038" s="1"/>
      <c r="CN2038" s="1"/>
      <c r="CO2038" s="1"/>
      <c r="CP2038" s="1"/>
      <c r="CQ2038" s="1"/>
      <c r="CR2038" s="1"/>
      <c r="CS2038" s="1"/>
      <c r="CT2038" s="1"/>
      <c r="CU2038" s="1"/>
      <c r="CV2038" s="1"/>
      <c r="CW2038" s="1"/>
      <c r="CX2038" s="1"/>
      <c r="CY2038" s="1"/>
      <c r="CZ2038" s="1"/>
      <c r="DA2038" s="1"/>
      <c r="DB2038" s="1"/>
      <c r="DC2038" s="1"/>
    </row>
    <row r="2039" spans="1:107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1"/>
      <c r="BU2039" s="1"/>
      <c r="BV2039" s="1"/>
      <c r="BW2039" s="1"/>
      <c r="BX2039" s="1"/>
      <c r="BY2039" s="1"/>
      <c r="BZ2039" s="1"/>
      <c r="CA2039" s="1"/>
      <c r="CB2039" s="1"/>
      <c r="CC2039" s="1"/>
      <c r="CD2039" s="1"/>
      <c r="CE2039" s="1"/>
      <c r="CF2039" s="1"/>
      <c r="CG2039" s="1"/>
      <c r="CH2039" s="1"/>
      <c r="CI2039" s="1"/>
      <c r="CJ2039" s="1"/>
      <c r="CK2039" s="1"/>
      <c r="CL2039" s="1"/>
      <c r="CM2039" s="1"/>
      <c r="CN2039" s="1"/>
      <c r="CO2039" s="1"/>
      <c r="CP2039" s="1"/>
      <c r="CQ2039" s="1"/>
      <c r="CR2039" s="1"/>
      <c r="CS2039" s="1"/>
      <c r="CT2039" s="1"/>
      <c r="CU2039" s="1"/>
      <c r="CV2039" s="1"/>
      <c r="CW2039" s="1"/>
      <c r="CX2039" s="1"/>
      <c r="CY2039" s="1"/>
      <c r="CZ2039" s="1"/>
      <c r="DA2039" s="1"/>
      <c r="DB2039" s="1"/>
      <c r="DC2039" s="1"/>
    </row>
    <row r="2040" spans="1:107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  <c r="BX2040" s="1"/>
      <c r="BY2040" s="1"/>
      <c r="BZ2040" s="1"/>
      <c r="CA2040" s="1"/>
      <c r="CB2040" s="1"/>
      <c r="CC2040" s="1"/>
      <c r="CD2040" s="1"/>
      <c r="CE2040" s="1"/>
      <c r="CF2040" s="1"/>
      <c r="CG2040" s="1"/>
      <c r="CH2040" s="1"/>
      <c r="CI2040" s="1"/>
      <c r="CJ2040" s="1"/>
      <c r="CK2040" s="1"/>
      <c r="CL2040" s="1"/>
      <c r="CM2040" s="1"/>
      <c r="CN2040" s="1"/>
      <c r="CO2040" s="1"/>
      <c r="CP2040" s="1"/>
      <c r="CQ2040" s="1"/>
      <c r="CR2040" s="1"/>
      <c r="CS2040" s="1"/>
      <c r="CT2040" s="1"/>
      <c r="CU2040" s="1"/>
      <c r="CV2040" s="1"/>
      <c r="CW2040" s="1"/>
      <c r="CX2040" s="1"/>
      <c r="CY2040" s="1"/>
      <c r="CZ2040" s="1"/>
      <c r="DA2040" s="1"/>
      <c r="DB2040" s="1"/>
      <c r="DC2040" s="1"/>
    </row>
    <row r="2041" spans="1:107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1"/>
      <c r="BU2041" s="1"/>
      <c r="BV2041" s="1"/>
      <c r="BW2041" s="1"/>
      <c r="BX2041" s="1"/>
      <c r="BY2041" s="1"/>
      <c r="BZ2041" s="1"/>
      <c r="CA2041" s="1"/>
      <c r="CB2041" s="1"/>
      <c r="CC2041" s="1"/>
      <c r="CD2041" s="1"/>
      <c r="CE2041" s="1"/>
      <c r="CF2041" s="1"/>
      <c r="CG2041" s="1"/>
      <c r="CH2041" s="1"/>
      <c r="CI2041" s="1"/>
      <c r="CJ2041" s="1"/>
      <c r="CK2041" s="1"/>
      <c r="CL2041" s="1"/>
      <c r="CM2041" s="1"/>
      <c r="CN2041" s="1"/>
      <c r="CO2041" s="1"/>
      <c r="CP2041" s="1"/>
      <c r="CQ2041" s="1"/>
      <c r="CR2041" s="1"/>
      <c r="CS2041" s="1"/>
      <c r="CT2041" s="1"/>
      <c r="CU2041" s="1"/>
      <c r="CV2041" s="1"/>
      <c r="CW2041" s="1"/>
      <c r="CX2041" s="1"/>
      <c r="CY2041" s="1"/>
      <c r="CZ2041" s="1"/>
      <c r="DA2041" s="1"/>
      <c r="DB2041" s="1"/>
      <c r="DC2041" s="1"/>
    </row>
    <row r="2042" spans="1:107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  <c r="BS2042" s="1"/>
      <c r="BT2042" s="1"/>
      <c r="BU2042" s="1"/>
      <c r="BV2042" s="1"/>
      <c r="BW2042" s="1"/>
      <c r="BX2042" s="1"/>
      <c r="BY2042" s="1"/>
      <c r="BZ2042" s="1"/>
      <c r="CA2042" s="1"/>
      <c r="CB2042" s="1"/>
      <c r="CC2042" s="1"/>
      <c r="CD2042" s="1"/>
      <c r="CE2042" s="1"/>
      <c r="CF2042" s="1"/>
      <c r="CG2042" s="1"/>
      <c r="CH2042" s="1"/>
      <c r="CI2042" s="1"/>
      <c r="CJ2042" s="1"/>
      <c r="CK2042" s="1"/>
      <c r="CL2042" s="1"/>
      <c r="CM2042" s="1"/>
      <c r="CN2042" s="1"/>
      <c r="CO2042" s="1"/>
      <c r="CP2042" s="1"/>
      <c r="CQ2042" s="1"/>
      <c r="CR2042" s="1"/>
      <c r="CS2042" s="1"/>
      <c r="CT2042" s="1"/>
      <c r="CU2042" s="1"/>
      <c r="CV2042" s="1"/>
      <c r="CW2042" s="1"/>
      <c r="CX2042" s="1"/>
      <c r="CY2042" s="1"/>
      <c r="CZ2042" s="1"/>
      <c r="DA2042" s="1"/>
      <c r="DB2042" s="1"/>
      <c r="DC2042" s="1"/>
    </row>
    <row r="2043" spans="1:107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1"/>
      <c r="BU2043" s="1"/>
      <c r="BV2043" s="1"/>
      <c r="BW2043" s="1"/>
      <c r="BX2043" s="1"/>
      <c r="BY2043" s="1"/>
      <c r="BZ2043" s="1"/>
      <c r="CA2043" s="1"/>
      <c r="CB2043" s="1"/>
      <c r="CC2043" s="1"/>
      <c r="CD2043" s="1"/>
      <c r="CE2043" s="1"/>
      <c r="CF2043" s="1"/>
      <c r="CG2043" s="1"/>
      <c r="CH2043" s="1"/>
      <c r="CI2043" s="1"/>
      <c r="CJ2043" s="1"/>
      <c r="CK2043" s="1"/>
      <c r="CL2043" s="1"/>
      <c r="CM2043" s="1"/>
      <c r="CN2043" s="1"/>
      <c r="CO2043" s="1"/>
      <c r="CP2043" s="1"/>
      <c r="CQ2043" s="1"/>
      <c r="CR2043" s="1"/>
      <c r="CS2043" s="1"/>
      <c r="CT2043" s="1"/>
      <c r="CU2043" s="1"/>
      <c r="CV2043" s="1"/>
      <c r="CW2043" s="1"/>
      <c r="CX2043" s="1"/>
      <c r="CY2043" s="1"/>
      <c r="CZ2043" s="1"/>
      <c r="DA2043" s="1"/>
      <c r="DB2043" s="1"/>
      <c r="DC2043" s="1"/>
    </row>
    <row r="2044" spans="1:107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  <c r="BX2044" s="1"/>
      <c r="BY2044" s="1"/>
      <c r="BZ2044" s="1"/>
      <c r="CA2044" s="1"/>
      <c r="CB2044" s="1"/>
      <c r="CC2044" s="1"/>
      <c r="CD2044" s="1"/>
      <c r="CE2044" s="1"/>
      <c r="CF2044" s="1"/>
      <c r="CG2044" s="1"/>
      <c r="CH2044" s="1"/>
      <c r="CI2044" s="1"/>
      <c r="CJ2044" s="1"/>
      <c r="CK2044" s="1"/>
      <c r="CL2044" s="1"/>
      <c r="CM2044" s="1"/>
      <c r="CN2044" s="1"/>
      <c r="CO2044" s="1"/>
      <c r="CP2044" s="1"/>
      <c r="CQ2044" s="1"/>
      <c r="CR2044" s="1"/>
      <c r="CS2044" s="1"/>
      <c r="CT2044" s="1"/>
      <c r="CU2044" s="1"/>
      <c r="CV2044" s="1"/>
      <c r="CW2044" s="1"/>
      <c r="CX2044" s="1"/>
      <c r="CY2044" s="1"/>
      <c r="CZ2044" s="1"/>
      <c r="DA2044" s="1"/>
      <c r="DB2044" s="1"/>
      <c r="DC2044" s="1"/>
    </row>
    <row r="2045" spans="1:107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1"/>
      <c r="BU2045" s="1"/>
      <c r="BV2045" s="1"/>
      <c r="BW2045" s="1"/>
      <c r="BX2045" s="1"/>
      <c r="BY2045" s="1"/>
      <c r="BZ2045" s="1"/>
      <c r="CA2045" s="1"/>
      <c r="CB2045" s="1"/>
      <c r="CC2045" s="1"/>
      <c r="CD2045" s="1"/>
      <c r="CE2045" s="1"/>
      <c r="CF2045" s="1"/>
      <c r="CG2045" s="1"/>
      <c r="CH2045" s="1"/>
      <c r="CI2045" s="1"/>
      <c r="CJ2045" s="1"/>
      <c r="CK2045" s="1"/>
      <c r="CL2045" s="1"/>
      <c r="CM2045" s="1"/>
      <c r="CN2045" s="1"/>
      <c r="CO2045" s="1"/>
      <c r="CP2045" s="1"/>
      <c r="CQ2045" s="1"/>
      <c r="CR2045" s="1"/>
      <c r="CS2045" s="1"/>
      <c r="CT2045" s="1"/>
      <c r="CU2045" s="1"/>
      <c r="CV2045" s="1"/>
      <c r="CW2045" s="1"/>
      <c r="CX2045" s="1"/>
      <c r="CY2045" s="1"/>
      <c r="CZ2045" s="1"/>
      <c r="DA2045" s="1"/>
      <c r="DB2045" s="1"/>
      <c r="DC2045" s="1"/>
    </row>
    <row r="2046" spans="1:107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1"/>
      <c r="BU2046" s="1"/>
      <c r="BV2046" s="1"/>
      <c r="BW2046" s="1"/>
      <c r="BX2046" s="1"/>
      <c r="BY2046" s="1"/>
      <c r="BZ2046" s="1"/>
      <c r="CA2046" s="1"/>
      <c r="CB2046" s="1"/>
      <c r="CC2046" s="1"/>
      <c r="CD2046" s="1"/>
      <c r="CE2046" s="1"/>
      <c r="CF2046" s="1"/>
      <c r="CG2046" s="1"/>
      <c r="CH2046" s="1"/>
      <c r="CI2046" s="1"/>
      <c r="CJ2046" s="1"/>
      <c r="CK2046" s="1"/>
      <c r="CL2046" s="1"/>
      <c r="CM2046" s="1"/>
      <c r="CN2046" s="1"/>
      <c r="CO2046" s="1"/>
      <c r="CP2046" s="1"/>
      <c r="CQ2046" s="1"/>
      <c r="CR2046" s="1"/>
      <c r="CS2046" s="1"/>
      <c r="CT2046" s="1"/>
      <c r="CU2046" s="1"/>
      <c r="CV2046" s="1"/>
      <c r="CW2046" s="1"/>
      <c r="CX2046" s="1"/>
      <c r="CY2046" s="1"/>
      <c r="CZ2046" s="1"/>
      <c r="DA2046" s="1"/>
      <c r="DB2046" s="1"/>
      <c r="DC2046" s="1"/>
    </row>
    <row r="2047" spans="1:107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  <c r="BR2047" s="1"/>
      <c r="BS2047" s="1"/>
      <c r="BT2047" s="1"/>
      <c r="BU2047" s="1"/>
      <c r="BV2047" s="1"/>
      <c r="BW2047" s="1"/>
      <c r="BX2047" s="1"/>
      <c r="BY2047" s="1"/>
      <c r="BZ2047" s="1"/>
      <c r="CA2047" s="1"/>
      <c r="CB2047" s="1"/>
      <c r="CC2047" s="1"/>
      <c r="CD2047" s="1"/>
      <c r="CE2047" s="1"/>
      <c r="CF2047" s="1"/>
      <c r="CG2047" s="1"/>
      <c r="CH2047" s="1"/>
      <c r="CI2047" s="1"/>
      <c r="CJ2047" s="1"/>
      <c r="CK2047" s="1"/>
      <c r="CL2047" s="1"/>
      <c r="CM2047" s="1"/>
      <c r="CN2047" s="1"/>
      <c r="CO2047" s="1"/>
      <c r="CP2047" s="1"/>
      <c r="CQ2047" s="1"/>
      <c r="CR2047" s="1"/>
      <c r="CS2047" s="1"/>
      <c r="CT2047" s="1"/>
      <c r="CU2047" s="1"/>
      <c r="CV2047" s="1"/>
      <c r="CW2047" s="1"/>
      <c r="CX2047" s="1"/>
      <c r="CY2047" s="1"/>
      <c r="CZ2047" s="1"/>
      <c r="DA2047" s="1"/>
      <c r="DB2047" s="1"/>
      <c r="DC2047" s="1"/>
    </row>
    <row r="2048" spans="1:107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/>
      <c r="BQ2048" s="1"/>
      <c r="BR2048" s="1"/>
      <c r="BS2048" s="1"/>
      <c r="BT2048" s="1"/>
      <c r="BU2048" s="1"/>
      <c r="BV2048" s="1"/>
      <c r="BW2048" s="1"/>
      <c r="BX2048" s="1"/>
      <c r="BY2048" s="1"/>
      <c r="BZ2048" s="1"/>
      <c r="CA2048" s="1"/>
      <c r="CB2048" s="1"/>
      <c r="CC2048" s="1"/>
      <c r="CD2048" s="1"/>
      <c r="CE2048" s="1"/>
      <c r="CF2048" s="1"/>
      <c r="CG2048" s="1"/>
      <c r="CH2048" s="1"/>
      <c r="CI2048" s="1"/>
      <c r="CJ2048" s="1"/>
      <c r="CK2048" s="1"/>
      <c r="CL2048" s="1"/>
      <c r="CM2048" s="1"/>
      <c r="CN2048" s="1"/>
      <c r="CO2048" s="1"/>
      <c r="CP2048" s="1"/>
      <c r="CQ2048" s="1"/>
      <c r="CR2048" s="1"/>
      <c r="CS2048" s="1"/>
      <c r="CT2048" s="1"/>
      <c r="CU2048" s="1"/>
      <c r="CV2048" s="1"/>
      <c r="CW2048" s="1"/>
      <c r="CX2048" s="1"/>
      <c r="CY2048" s="1"/>
      <c r="CZ2048" s="1"/>
      <c r="DA2048" s="1"/>
      <c r="DB2048" s="1"/>
      <c r="DC2048" s="1"/>
    </row>
    <row r="2049" spans="1:107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  <c r="BS2049" s="1"/>
      <c r="BT2049" s="1"/>
      <c r="BU2049" s="1"/>
      <c r="BV2049" s="1"/>
      <c r="BW2049" s="1"/>
      <c r="BX2049" s="1"/>
      <c r="BY2049" s="1"/>
      <c r="BZ2049" s="1"/>
      <c r="CA2049" s="1"/>
      <c r="CB2049" s="1"/>
      <c r="CC2049" s="1"/>
      <c r="CD2049" s="1"/>
      <c r="CE2049" s="1"/>
      <c r="CF2049" s="1"/>
      <c r="CG2049" s="1"/>
      <c r="CH2049" s="1"/>
      <c r="CI2049" s="1"/>
      <c r="CJ2049" s="1"/>
      <c r="CK2049" s="1"/>
      <c r="CL2049" s="1"/>
      <c r="CM2049" s="1"/>
      <c r="CN2049" s="1"/>
      <c r="CO2049" s="1"/>
      <c r="CP2049" s="1"/>
      <c r="CQ2049" s="1"/>
      <c r="CR2049" s="1"/>
      <c r="CS2049" s="1"/>
      <c r="CT2049" s="1"/>
      <c r="CU2049" s="1"/>
      <c r="CV2049" s="1"/>
      <c r="CW2049" s="1"/>
      <c r="CX2049" s="1"/>
      <c r="CY2049" s="1"/>
      <c r="CZ2049" s="1"/>
      <c r="DA2049" s="1"/>
      <c r="DB2049" s="1"/>
      <c r="DC2049" s="1"/>
    </row>
    <row r="2050" spans="1:107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  <c r="BR2050" s="1"/>
      <c r="BS2050" s="1"/>
      <c r="BT2050" s="1"/>
      <c r="BU2050" s="1"/>
      <c r="BV2050" s="1"/>
      <c r="BW2050" s="1"/>
      <c r="BX2050" s="1"/>
      <c r="BY2050" s="1"/>
      <c r="BZ2050" s="1"/>
      <c r="CA2050" s="1"/>
      <c r="CB2050" s="1"/>
      <c r="CC2050" s="1"/>
      <c r="CD2050" s="1"/>
      <c r="CE2050" s="1"/>
      <c r="CF2050" s="1"/>
      <c r="CG2050" s="1"/>
      <c r="CH2050" s="1"/>
      <c r="CI2050" s="1"/>
      <c r="CJ2050" s="1"/>
      <c r="CK2050" s="1"/>
      <c r="CL2050" s="1"/>
      <c r="CM2050" s="1"/>
      <c r="CN2050" s="1"/>
      <c r="CO2050" s="1"/>
      <c r="CP2050" s="1"/>
      <c r="CQ2050" s="1"/>
      <c r="CR2050" s="1"/>
      <c r="CS2050" s="1"/>
      <c r="CT2050" s="1"/>
      <c r="CU2050" s="1"/>
      <c r="CV2050" s="1"/>
      <c r="CW2050" s="1"/>
      <c r="CX2050" s="1"/>
      <c r="CY2050" s="1"/>
      <c r="CZ2050" s="1"/>
      <c r="DA2050" s="1"/>
      <c r="DB2050" s="1"/>
      <c r="DC2050" s="1"/>
    </row>
    <row r="2051" spans="1:107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  <c r="BS2051" s="1"/>
      <c r="BT2051" s="1"/>
      <c r="BU2051" s="1"/>
      <c r="BV2051" s="1"/>
      <c r="BW2051" s="1"/>
      <c r="BX2051" s="1"/>
      <c r="BY2051" s="1"/>
      <c r="BZ2051" s="1"/>
      <c r="CA2051" s="1"/>
      <c r="CB2051" s="1"/>
      <c r="CC2051" s="1"/>
      <c r="CD2051" s="1"/>
      <c r="CE2051" s="1"/>
      <c r="CF2051" s="1"/>
      <c r="CG2051" s="1"/>
      <c r="CH2051" s="1"/>
      <c r="CI2051" s="1"/>
      <c r="CJ2051" s="1"/>
      <c r="CK2051" s="1"/>
      <c r="CL2051" s="1"/>
      <c r="CM2051" s="1"/>
      <c r="CN2051" s="1"/>
      <c r="CO2051" s="1"/>
      <c r="CP2051" s="1"/>
      <c r="CQ2051" s="1"/>
      <c r="CR2051" s="1"/>
      <c r="CS2051" s="1"/>
      <c r="CT2051" s="1"/>
      <c r="CU2051" s="1"/>
      <c r="CV2051" s="1"/>
      <c r="CW2051" s="1"/>
      <c r="CX2051" s="1"/>
      <c r="CY2051" s="1"/>
      <c r="CZ2051" s="1"/>
      <c r="DA2051" s="1"/>
      <c r="DB2051" s="1"/>
      <c r="DC2051" s="1"/>
    </row>
    <row r="2052" spans="1:107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  <c r="BR2052" s="1"/>
      <c r="BS2052" s="1"/>
      <c r="BT2052" s="1"/>
      <c r="BU2052" s="1"/>
      <c r="BV2052" s="1"/>
      <c r="BW2052" s="1"/>
      <c r="BX2052" s="1"/>
      <c r="BY2052" s="1"/>
      <c r="BZ2052" s="1"/>
      <c r="CA2052" s="1"/>
      <c r="CB2052" s="1"/>
      <c r="CC2052" s="1"/>
      <c r="CD2052" s="1"/>
      <c r="CE2052" s="1"/>
      <c r="CF2052" s="1"/>
      <c r="CG2052" s="1"/>
      <c r="CH2052" s="1"/>
      <c r="CI2052" s="1"/>
      <c r="CJ2052" s="1"/>
      <c r="CK2052" s="1"/>
      <c r="CL2052" s="1"/>
      <c r="CM2052" s="1"/>
      <c r="CN2052" s="1"/>
      <c r="CO2052" s="1"/>
      <c r="CP2052" s="1"/>
      <c r="CQ2052" s="1"/>
      <c r="CR2052" s="1"/>
      <c r="CS2052" s="1"/>
      <c r="CT2052" s="1"/>
      <c r="CU2052" s="1"/>
      <c r="CV2052" s="1"/>
      <c r="CW2052" s="1"/>
      <c r="CX2052" s="1"/>
      <c r="CY2052" s="1"/>
      <c r="CZ2052" s="1"/>
      <c r="DA2052" s="1"/>
      <c r="DB2052" s="1"/>
      <c r="DC2052" s="1"/>
    </row>
    <row r="2053" spans="1:107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  <c r="BR2053" s="1"/>
      <c r="BS2053" s="1"/>
      <c r="BT2053" s="1"/>
      <c r="BU2053" s="1"/>
      <c r="BV2053" s="1"/>
      <c r="BW2053" s="1"/>
      <c r="BX2053" s="1"/>
      <c r="BY2053" s="1"/>
      <c r="BZ2053" s="1"/>
      <c r="CA2053" s="1"/>
      <c r="CB2053" s="1"/>
      <c r="CC2053" s="1"/>
      <c r="CD2053" s="1"/>
      <c r="CE2053" s="1"/>
      <c r="CF2053" s="1"/>
      <c r="CG2053" s="1"/>
      <c r="CH2053" s="1"/>
      <c r="CI2053" s="1"/>
      <c r="CJ2053" s="1"/>
      <c r="CK2053" s="1"/>
      <c r="CL2053" s="1"/>
      <c r="CM2053" s="1"/>
      <c r="CN2053" s="1"/>
      <c r="CO2053" s="1"/>
      <c r="CP2053" s="1"/>
      <c r="CQ2053" s="1"/>
      <c r="CR2053" s="1"/>
      <c r="CS2053" s="1"/>
      <c r="CT2053" s="1"/>
      <c r="CU2053" s="1"/>
      <c r="CV2053" s="1"/>
      <c r="CW2053" s="1"/>
      <c r="CX2053" s="1"/>
      <c r="CY2053" s="1"/>
      <c r="CZ2053" s="1"/>
      <c r="DA2053" s="1"/>
      <c r="DB2053" s="1"/>
      <c r="DC2053" s="1"/>
    </row>
    <row r="2054" spans="1:107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  <c r="BR2054" s="1"/>
      <c r="BS2054" s="1"/>
      <c r="BT2054" s="1"/>
      <c r="BU2054" s="1"/>
      <c r="BV2054" s="1"/>
      <c r="BW2054" s="1"/>
      <c r="BX2054" s="1"/>
      <c r="BY2054" s="1"/>
      <c r="BZ2054" s="1"/>
      <c r="CA2054" s="1"/>
      <c r="CB2054" s="1"/>
      <c r="CC2054" s="1"/>
      <c r="CD2054" s="1"/>
      <c r="CE2054" s="1"/>
      <c r="CF2054" s="1"/>
      <c r="CG2054" s="1"/>
      <c r="CH2054" s="1"/>
      <c r="CI2054" s="1"/>
      <c r="CJ2054" s="1"/>
      <c r="CK2054" s="1"/>
      <c r="CL2054" s="1"/>
      <c r="CM2054" s="1"/>
      <c r="CN2054" s="1"/>
      <c r="CO2054" s="1"/>
      <c r="CP2054" s="1"/>
      <c r="CQ2054" s="1"/>
      <c r="CR2054" s="1"/>
      <c r="CS2054" s="1"/>
      <c r="CT2054" s="1"/>
      <c r="CU2054" s="1"/>
      <c r="CV2054" s="1"/>
      <c r="CW2054" s="1"/>
      <c r="CX2054" s="1"/>
      <c r="CY2054" s="1"/>
      <c r="CZ2054" s="1"/>
      <c r="DA2054" s="1"/>
      <c r="DB2054" s="1"/>
      <c r="DC2054" s="1"/>
    </row>
    <row r="2055" spans="1:107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  <c r="BS2055" s="1"/>
      <c r="BT2055" s="1"/>
      <c r="BU2055" s="1"/>
      <c r="BV2055" s="1"/>
      <c r="BW2055" s="1"/>
      <c r="BX2055" s="1"/>
      <c r="BY2055" s="1"/>
      <c r="BZ2055" s="1"/>
      <c r="CA2055" s="1"/>
      <c r="CB2055" s="1"/>
      <c r="CC2055" s="1"/>
      <c r="CD2055" s="1"/>
      <c r="CE2055" s="1"/>
      <c r="CF2055" s="1"/>
      <c r="CG2055" s="1"/>
      <c r="CH2055" s="1"/>
      <c r="CI2055" s="1"/>
      <c r="CJ2055" s="1"/>
      <c r="CK2055" s="1"/>
      <c r="CL2055" s="1"/>
      <c r="CM2055" s="1"/>
      <c r="CN2055" s="1"/>
      <c r="CO2055" s="1"/>
      <c r="CP2055" s="1"/>
      <c r="CQ2055" s="1"/>
      <c r="CR2055" s="1"/>
      <c r="CS2055" s="1"/>
      <c r="CT2055" s="1"/>
      <c r="CU2055" s="1"/>
      <c r="CV2055" s="1"/>
      <c r="CW2055" s="1"/>
      <c r="CX2055" s="1"/>
      <c r="CY2055" s="1"/>
      <c r="CZ2055" s="1"/>
      <c r="DA2055" s="1"/>
      <c r="DB2055" s="1"/>
      <c r="DC2055" s="1"/>
    </row>
    <row r="2056" spans="1:107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  <c r="BR2056" s="1"/>
      <c r="BS2056" s="1"/>
      <c r="BT2056" s="1"/>
      <c r="BU2056" s="1"/>
      <c r="BV2056" s="1"/>
      <c r="BW2056" s="1"/>
      <c r="BX2056" s="1"/>
      <c r="BY2056" s="1"/>
      <c r="BZ2056" s="1"/>
      <c r="CA2056" s="1"/>
      <c r="CB2056" s="1"/>
      <c r="CC2056" s="1"/>
      <c r="CD2056" s="1"/>
      <c r="CE2056" s="1"/>
      <c r="CF2056" s="1"/>
      <c r="CG2056" s="1"/>
      <c r="CH2056" s="1"/>
      <c r="CI2056" s="1"/>
      <c r="CJ2056" s="1"/>
      <c r="CK2056" s="1"/>
      <c r="CL2056" s="1"/>
      <c r="CM2056" s="1"/>
      <c r="CN2056" s="1"/>
      <c r="CO2056" s="1"/>
      <c r="CP2056" s="1"/>
      <c r="CQ2056" s="1"/>
      <c r="CR2056" s="1"/>
      <c r="CS2056" s="1"/>
      <c r="CT2056" s="1"/>
      <c r="CU2056" s="1"/>
      <c r="CV2056" s="1"/>
      <c r="CW2056" s="1"/>
      <c r="CX2056" s="1"/>
      <c r="CY2056" s="1"/>
      <c r="CZ2056" s="1"/>
      <c r="DA2056" s="1"/>
      <c r="DB2056" s="1"/>
      <c r="DC2056" s="1"/>
    </row>
    <row r="2057" spans="1:10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  <c r="BS2057" s="1"/>
      <c r="BT2057" s="1"/>
      <c r="BU2057" s="1"/>
      <c r="BV2057" s="1"/>
      <c r="BW2057" s="1"/>
      <c r="BX2057" s="1"/>
      <c r="BY2057" s="1"/>
      <c r="BZ2057" s="1"/>
      <c r="CA2057" s="1"/>
      <c r="CB2057" s="1"/>
      <c r="CC2057" s="1"/>
      <c r="CD2057" s="1"/>
      <c r="CE2057" s="1"/>
      <c r="CF2057" s="1"/>
      <c r="CG2057" s="1"/>
      <c r="CH2057" s="1"/>
      <c r="CI2057" s="1"/>
      <c r="CJ2057" s="1"/>
      <c r="CK2057" s="1"/>
      <c r="CL2057" s="1"/>
      <c r="CM2057" s="1"/>
      <c r="CN2057" s="1"/>
      <c r="CO2057" s="1"/>
      <c r="CP2057" s="1"/>
      <c r="CQ2057" s="1"/>
      <c r="CR2057" s="1"/>
      <c r="CS2057" s="1"/>
      <c r="CT2057" s="1"/>
      <c r="CU2057" s="1"/>
      <c r="CV2057" s="1"/>
      <c r="CW2057" s="1"/>
      <c r="CX2057" s="1"/>
      <c r="CY2057" s="1"/>
      <c r="CZ2057" s="1"/>
      <c r="DA2057" s="1"/>
      <c r="DB2057" s="1"/>
      <c r="DC2057" s="1"/>
    </row>
    <row r="2058" spans="1:107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  <c r="BR2058" s="1"/>
      <c r="BS2058" s="1"/>
      <c r="BT2058" s="1"/>
      <c r="BU2058" s="1"/>
      <c r="BV2058" s="1"/>
      <c r="BW2058" s="1"/>
      <c r="BX2058" s="1"/>
      <c r="BY2058" s="1"/>
      <c r="BZ2058" s="1"/>
      <c r="CA2058" s="1"/>
      <c r="CB2058" s="1"/>
      <c r="CC2058" s="1"/>
      <c r="CD2058" s="1"/>
      <c r="CE2058" s="1"/>
      <c r="CF2058" s="1"/>
      <c r="CG2058" s="1"/>
      <c r="CH2058" s="1"/>
      <c r="CI2058" s="1"/>
      <c r="CJ2058" s="1"/>
      <c r="CK2058" s="1"/>
      <c r="CL2058" s="1"/>
      <c r="CM2058" s="1"/>
      <c r="CN2058" s="1"/>
      <c r="CO2058" s="1"/>
      <c r="CP2058" s="1"/>
      <c r="CQ2058" s="1"/>
      <c r="CR2058" s="1"/>
      <c r="CS2058" s="1"/>
      <c r="CT2058" s="1"/>
      <c r="CU2058" s="1"/>
      <c r="CV2058" s="1"/>
      <c r="CW2058" s="1"/>
      <c r="CX2058" s="1"/>
      <c r="CY2058" s="1"/>
      <c r="CZ2058" s="1"/>
      <c r="DA2058" s="1"/>
      <c r="DB2058" s="1"/>
      <c r="DC2058" s="1"/>
    </row>
    <row r="2059" spans="1:107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  <c r="BS2059" s="1"/>
      <c r="BT2059" s="1"/>
      <c r="BU2059" s="1"/>
      <c r="BV2059" s="1"/>
      <c r="BW2059" s="1"/>
      <c r="BX2059" s="1"/>
      <c r="BY2059" s="1"/>
      <c r="BZ2059" s="1"/>
      <c r="CA2059" s="1"/>
      <c r="CB2059" s="1"/>
      <c r="CC2059" s="1"/>
      <c r="CD2059" s="1"/>
      <c r="CE2059" s="1"/>
      <c r="CF2059" s="1"/>
      <c r="CG2059" s="1"/>
      <c r="CH2059" s="1"/>
      <c r="CI2059" s="1"/>
      <c r="CJ2059" s="1"/>
      <c r="CK2059" s="1"/>
      <c r="CL2059" s="1"/>
      <c r="CM2059" s="1"/>
      <c r="CN2059" s="1"/>
      <c r="CO2059" s="1"/>
      <c r="CP2059" s="1"/>
      <c r="CQ2059" s="1"/>
      <c r="CR2059" s="1"/>
      <c r="CS2059" s="1"/>
      <c r="CT2059" s="1"/>
      <c r="CU2059" s="1"/>
      <c r="CV2059" s="1"/>
      <c r="CW2059" s="1"/>
      <c r="CX2059" s="1"/>
      <c r="CY2059" s="1"/>
      <c r="CZ2059" s="1"/>
      <c r="DA2059" s="1"/>
      <c r="DB2059" s="1"/>
      <c r="DC2059" s="1"/>
    </row>
    <row r="2060" spans="1:107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  <c r="BR2060" s="1"/>
      <c r="BS2060" s="1"/>
      <c r="BT2060" s="1"/>
      <c r="BU2060" s="1"/>
      <c r="BV2060" s="1"/>
      <c r="BW2060" s="1"/>
      <c r="BX2060" s="1"/>
      <c r="BY2060" s="1"/>
      <c r="BZ2060" s="1"/>
      <c r="CA2060" s="1"/>
      <c r="CB2060" s="1"/>
      <c r="CC2060" s="1"/>
      <c r="CD2060" s="1"/>
      <c r="CE2060" s="1"/>
      <c r="CF2060" s="1"/>
      <c r="CG2060" s="1"/>
      <c r="CH2060" s="1"/>
      <c r="CI2060" s="1"/>
      <c r="CJ2060" s="1"/>
      <c r="CK2060" s="1"/>
      <c r="CL2060" s="1"/>
      <c r="CM2060" s="1"/>
      <c r="CN2060" s="1"/>
      <c r="CO2060" s="1"/>
      <c r="CP2060" s="1"/>
      <c r="CQ2060" s="1"/>
      <c r="CR2060" s="1"/>
      <c r="CS2060" s="1"/>
      <c r="CT2060" s="1"/>
      <c r="CU2060" s="1"/>
      <c r="CV2060" s="1"/>
      <c r="CW2060" s="1"/>
      <c r="CX2060" s="1"/>
      <c r="CY2060" s="1"/>
      <c r="CZ2060" s="1"/>
      <c r="DA2060" s="1"/>
      <c r="DB2060" s="1"/>
      <c r="DC2060" s="1"/>
    </row>
    <row r="2061" spans="1:107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  <c r="BX2061" s="1"/>
      <c r="BY2061" s="1"/>
      <c r="BZ2061" s="1"/>
      <c r="CA2061" s="1"/>
      <c r="CB2061" s="1"/>
      <c r="CC2061" s="1"/>
      <c r="CD2061" s="1"/>
      <c r="CE2061" s="1"/>
      <c r="CF2061" s="1"/>
      <c r="CG2061" s="1"/>
      <c r="CH2061" s="1"/>
      <c r="CI2061" s="1"/>
      <c r="CJ2061" s="1"/>
      <c r="CK2061" s="1"/>
      <c r="CL2061" s="1"/>
      <c r="CM2061" s="1"/>
      <c r="CN2061" s="1"/>
      <c r="CO2061" s="1"/>
      <c r="CP2061" s="1"/>
      <c r="CQ2061" s="1"/>
      <c r="CR2061" s="1"/>
      <c r="CS2061" s="1"/>
      <c r="CT2061" s="1"/>
      <c r="CU2061" s="1"/>
      <c r="CV2061" s="1"/>
      <c r="CW2061" s="1"/>
      <c r="CX2061" s="1"/>
      <c r="CY2061" s="1"/>
      <c r="CZ2061" s="1"/>
      <c r="DA2061" s="1"/>
      <c r="DB2061" s="1"/>
      <c r="DC2061" s="1"/>
    </row>
    <row r="2062" spans="1:107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  <c r="BR2062" s="1"/>
      <c r="BS2062" s="1"/>
      <c r="BT2062" s="1"/>
      <c r="BU2062" s="1"/>
      <c r="BV2062" s="1"/>
      <c r="BW2062" s="1"/>
      <c r="BX2062" s="1"/>
      <c r="BY2062" s="1"/>
      <c r="BZ2062" s="1"/>
      <c r="CA2062" s="1"/>
      <c r="CB2062" s="1"/>
      <c r="CC2062" s="1"/>
      <c r="CD2062" s="1"/>
      <c r="CE2062" s="1"/>
      <c r="CF2062" s="1"/>
      <c r="CG2062" s="1"/>
      <c r="CH2062" s="1"/>
      <c r="CI2062" s="1"/>
      <c r="CJ2062" s="1"/>
      <c r="CK2062" s="1"/>
      <c r="CL2062" s="1"/>
      <c r="CM2062" s="1"/>
      <c r="CN2062" s="1"/>
      <c r="CO2062" s="1"/>
      <c r="CP2062" s="1"/>
      <c r="CQ2062" s="1"/>
      <c r="CR2062" s="1"/>
      <c r="CS2062" s="1"/>
      <c r="CT2062" s="1"/>
      <c r="CU2062" s="1"/>
      <c r="CV2062" s="1"/>
      <c r="CW2062" s="1"/>
      <c r="CX2062" s="1"/>
      <c r="CY2062" s="1"/>
      <c r="CZ2062" s="1"/>
      <c r="DA2062" s="1"/>
      <c r="DB2062" s="1"/>
      <c r="DC2062" s="1"/>
    </row>
    <row r="2063" spans="1:107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  <c r="BS2063" s="1"/>
      <c r="BT2063" s="1"/>
      <c r="BU2063" s="1"/>
      <c r="BV2063" s="1"/>
      <c r="BW2063" s="1"/>
      <c r="BX2063" s="1"/>
      <c r="BY2063" s="1"/>
      <c r="BZ2063" s="1"/>
      <c r="CA2063" s="1"/>
      <c r="CB2063" s="1"/>
      <c r="CC2063" s="1"/>
      <c r="CD2063" s="1"/>
      <c r="CE2063" s="1"/>
      <c r="CF2063" s="1"/>
      <c r="CG2063" s="1"/>
      <c r="CH2063" s="1"/>
      <c r="CI2063" s="1"/>
      <c r="CJ2063" s="1"/>
      <c r="CK2063" s="1"/>
      <c r="CL2063" s="1"/>
      <c r="CM2063" s="1"/>
      <c r="CN2063" s="1"/>
      <c r="CO2063" s="1"/>
      <c r="CP2063" s="1"/>
      <c r="CQ2063" s="1"/>
      <c r="CR2063" s="1"/>
      <c r="CS2063" s="1"/>
      <c r="CT2063" s="1"/>
      <c r="CU2063" s="1"/>
      <c r="CV2063" s="1"/>
      <c r="CW2063" s="1"/>
      <c r="CX2063" s="1"/>
      <c r="CY2063" s="1"/>
      <c r="CZ2063" s="1"/>
      <c r="DA2063" s="1"/>
      <c r="DB2063" s="1"/>
      <c r="DC2063" s="1"/>
    </row>
    <row r="2064" spans="1:107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/>
      <c r="BQ2064" s="1"/>
      <c r="BR2064" s="1"/>
      <c r="BS2064" s="1"/>
      <c r="BT2064" s="1"/>
      <c r="BU2064" s="1"/>
      <c r="BV2064" s="1"/>
      <c r="BW2064" s="1"/>
      <c r="BX2064" s="1"/>
      <c r="BY2064" s="1"/>
      <c r="BZ2064" s="1"/>
      <c r="CA2064" s="1"/>
      <c r="CB2064" s="1"/>
      <c r="CC2064" s="1"/>
      <c r="CD2064" s="1"/>
      <c r="CE2064" s="1"/>
      <c r="CF2064" s="1"/>
      <c r="CG2064" s="1"/>
      <c r="CH2064" s="1"/>
      <c r="CI2064" s="1"/>
      <c r="CJ2064" s="1"/>
      <c r="CK2064" s="1"/>
      <c r="CL2064" s="1"/>
      <c r="CM2064" s="1"/>
      <c r="CN2064" s="1"/>
      <c r="CO2064" s="1"/>
      <c r="CP2064" s="1"/>
      <c r="CQ2064" s="1"/>
      <c r="CR2064" s="1"/>
      <c r="CS2064" s="1"/>
      <c r="CT2064" s="1"/>
      <c r="CU2064" s="1"/>
      <c r="CV2064" s="1"/>
      <c r="CW2064" s="1"/>
      <c r="CX2064" s="1"/>
      <c r="CY2064" s="1"/>
      <c r="CZ2064" s="1"/>
      <c r="DA2064" s="1"/>
      <c r="DB2064" s="1"/>
      <c r="DC2064" s="1"/>
    </row>
    <row r="2065" spans="1:107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  <c r="BS2065" s="1"/>
      <c r="BT2065" s="1"/>
      <c r="BU2065" s="1"/>
      <c r="BV2065" s="1"/>
      <c r="BW2065" s="1"/>
      <c r="BX2065" s="1"/>
      <c r="BY2065" s="1"/>
      <c r="BZ2065" s="1"/>
      <c r="CA2065" s="1"/>
      <c r="CB2065" s="1"/>
      <c r="CC2065" s="1"/>
      <c r="CD2065" s="1"/>
      <c r="CE2065" s="1"/>
      <c r="CF2065" s="1"/>
      <c r="CG2065" s="1"/>
      <c r="CH2065" s="1"/>
      <c r="CI2065" s="1"/>
      <c r="CJ2065" s="1"/>
      <c r="CK2065" s="1"/>
      <c r="CL2065" s="1"/>
      <c r="CM2065" s="1"/>
      <c r="CN2065" s="1"/>
      <c r="CO2065" s="1"/>
      <c r="CP2065" s="1"/>
      <c r="CQ2065" s="1"/>
      <c r="CR2065" s="1"/>
      <c r="CS2065" s="1"/>
      <c r="CT2065" s="1"/>
      <c r="CU2065" s="1"/>
      <c r="CV2065" s="1"/>
      <c r="CW2065" s="1"/>
      <c r="CX2065" s="1"/>
      <c r="CY2065" s="1"/>
      <c r="CZ2065" s="1"/>
      <c r="DA2065" s="1"/>
      <c r="DB2065" s="1"/>
      <c r="DC2065" s="1"/>
    </row>
    <row r="2066" spans="1:107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  <c r="BR2066" s="1"/>
      <c r="BS2066" s="1"/>
      <c r="BT2066" s="1"/>
      <c r="BU2066" s="1"/>
      <c r="BV2066" s="1"/>
      <c r="BW2066" s="1"/>
      <c r="BX2066" s="1"/>
      <c r="BY2066" s="1"/>
      <c r="BZ2066" s="1"/>
      <c r="CA2066" s="1"/>
      <c r="CB2066" s="1"/>
      <c r="CC2066" s="1"/>
      <c r="CD2066" s="1"/>
      <c r="CE2066" s="1"/>
      <c r="CF2066" s="1"/>
      <c r="CG2066" s="1"/>
      <c r="CH2066" s="1"/>
      <c r="CI2066" s="1"/>
      <c r="CJ2066" s="1"/>
      <c r="CK2066" s="1"/>
      <c r="CL2066" s="1"/>
      <c r="CM2066" s="1"/>
      <c r="CN2066" s="1"/>
      <c r="CO2066" s="1"/>
      <c r="CP2066" s="1"/>
      <c r="CQ2066" s="1"/>
      <c r="CR2066" s="1"/>
      <c r="CS2066" s="1"/>
      <c r="CT2066" s="1"/>
      <c r="CU2066" s="1"/>
      <c r="CV2066" s="1"/>
      <c r="CW2066" s="1"/>
      <c r="CX2066" s="1"/>
      <c r="CY2066" s="1"/>
      <c r="CZ2066" s="1"/>
      <c r="DA2066" s="1"/>
      <c r="DB2066" s="1"/>
      <c r="DC2066" s="1"/>
    </row>
    <row r="2067" spans="1:10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  <c r="BS2067" s="1"/>
      <c r="BT2067" s="1"/>
      <c r="BU2067" s="1"/>
      <c r="BV2067" s="1"/>
      <c r="BW2067" s="1"/>
      <c r="BX2067" s="1"/>
      <c r="BY2067" s="1"/>
      <c r="BZ2067" s="1"/>
      <c r="CA2067" s="1"/>
      <c r="CB2067" s="1"/>
      <c r="CC2067" s="1"/>
      <c r="CD2067" s="1"/>
      <c r="CE2067" s="1"/>
      <c r="CF2067" s="1"/>
      <c r="CG2067" s="1"/>
      <c r="CH2067" s="1"/>
      <c r="CI2067" s="1"/>
      <c r="CJ2067" s="1"/>
      <c r="CK2067" s="1"/>
      <c r="CL2067" s="1"/>
      <c r="CM2067" s="1"/>
      <c r="CN2067" s="1"/>
      <c r="CO2067" s="1"/>
      <c r="CP2067" s="1"/>
      <c r="CQ2067" s="1"/>
      <c r="CR2067" s="1"/>
      <c r="CS2067" s="1"/>
      <c r="CT2067" s="1"/>
      <c r="CU2067" s="1"/>
      <c r="CV2067" s="1"/>
      <c r="CW2067" s="1"/>
      <c r="CX2067" s="1"/>
      <c r="CY2067" s="1"/>
      <c r="CZ2067" s="1"/>
      <c r="DA2067" s="1"/>
      <c r="DB2067" s="1"/>
      <c r="DC2067" s="1"/>
    </row>
    <row r="2068" spans="1:107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  <c r="BR2068" s="1"/>
      <c r="BS2068" s="1"/>
      <c r="BT2068" s="1"/>
      <c r="BU2068" s="1"/>
      <c r="BV2068" s="1"/>
      <c r="BW2068" s="1"/>
      <c r="BX2068" s="1"/>
      <c r="BY2068" s="1"/>
      <c r="BZ2068" s="1"/>
      <c r="CA2068" s="1"/>
      <c r="CB2068" s="1"/>
      <c r="CC2068" s="1"/>
      <c r="CD2068" s="1"/>
      <c r="CE2068" s="1"/>
      <c r="CF2068" s="1"/>
      <c r="CG2068" s="1"/>
      <c r="CH2068" s="1"/>
      <c r="CI2068" s="1"/>
      <c r="CJ2068" s="1"/>
      <c r="CK2068" s="1"/>
      <c r="CL2068" s="1"/>
      <c r="CM2068" s="1"/>
      <c r="CN2068" s="1"/>
      <c r="CO2068" s="1"/>
      <c r="CP2068" s="1"/>
      <c r="CQ2068" s="1"/>
      <c r="CR2068" s="1"/>
      <c r="CS2068" s="1"/>
      <c r="CT2068" s="1"/>
      <c r="CU2068" s="1"/>
      <c r="CV2068" s="1"/>
      <c r="CW2068" s="1"/>
      <c r="CX2068" s="1"/>
      <c r="CY2068" s="1"/>
      <c r="CZ2068" s="1"/>
      <c r="DA2068" s="1"/>
      <c r="DB2068" s="1"/>
      <c r="DC2068" s="1"/>
    </row>
    <row r="2069" spans="1:107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  <c r="BS2069" s="1"/>
      <c r="BT2069" s="1"/>
      <c r="BU2069" s="1"/>
      <c r="BV2069" s="1"/>
      <c r="BW2069" s="1"/>
      <c r="BX2069" s="1"/>
      <c r="BY2069" s="1"/>
      <c r="BZ2069" s="1"/>
      <c r="CA2069" s="1"/>
      <c r="CB2069" s="1"/>
      <c r="CC2069" s="1"/>
      <c r="CD2069" s="1"/>
      <c r="CE2069" s="1"/>
      <c r="CF2069" s="1"/>
      <c r="CG2069" s="1"/>
      <c r="CH2069" s="1"/>
      <c r="CI2069" s="1"/>
      <c r="CJ2069" s="1"/>
      <c r="CK2069" s="1"/>
      <c r="CL2069" s="1"/>
      <c r="CM2069" s="1"/>
      <c r="CN2069" s="1"/>
      <c r="CO2069" s="1"/>
      <c r="CP2069" s="1"/>
      <c r="CQ2069" s="1"/>
      <c r="CR2069" s="1"/>
      <c r="CS2069" s="1"/>
      <c r="CT2069" s="1"/>
      <c r="CU2069" s="1"/>
      <c r="CV2069" s="1"/>
      <c r="CW2069" s="1"/>
      <c r="CX2069" s="1"/>
      <c r="CY2069" s="1"/>
      <c r="CZ2069" s="1"/>
      <c r="DA2069" s="1"/>
      <c r="DB2069" s="1"/>
      <c r="DC2069" s="1"/>
    </row>
    <row r="2070" spans="1:107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  <c r="BR2070" s="1"/>
      <c r="BS2070" s="1"/>
      <c r="BT2070" s="1"/>
      <c r="BU2070" s="1"/>
      <c r="BV2070" s="1"/>
      <c r="BW2070" s="1"/>
      <c r="BX2070" s="1"/>
      <c r="BY2070" s="1"/>
      <c r="BZ2070" s="1"/>
      <c r="CA2070" s="1"/>
      <c r="CB2070" s="1"/>
      <c r="CC2070" s="1"/>
      <c r="CD2070" s="1"/>
      <c r="CE2070" s="1"/>
      <c r="CF2070" s="1"/>
      <c r="CG2070" s="1"/>
      <c r="CH2070" s="1"/>
      <c r="CI2070" s="1"/>
      <c r="CJ2070" s="1"/>
      <c r="CK2070" s="1"/>
      <c r="CL2070" s="1"/>
      <c r="CM2070" s="1"/>
      <c r="CN2070" s="1"/>
      <c r="CO2070" s="1"/>
      <c r="CP2070" s="1"/>
      <c r="CQ2070" s="1"/>
      <c r="CR2070" s="1"/>
      <c r="CS2070" s="1"/>
      <c r="CT2070" s="1"/>
      <c r="CU2070" s="1"/>
      <c r="CV2070" s="1"/>
      <c r="CW2070" s="1"/>
      <c r="CX2070" s="1"/>
      <c r="CY2070" s="1"/>
      <c r="CZ2070" s="1"/>
      <c r="DA2070" s="1"/>
      <c r="DB2070" s="1"/>
      <c r="DC2070" s="1"/>
    </row>
    <row r="2071" spans="1:107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  <c r="BS2071" s="1"/>
      <c r="BT2071" s="1"/>
      <c r="BU2071" s="1"/>
      <c r="BV2071" s="1"/>
      <c r="BW2071" s="1"/>
      <c r="BX2071" s="1"/>
      <c r="BY2071" s="1"/>
      <c r="BZ2071" s="1"/>
      <c r="CA2071" s="1"/>
      <c r="CB2071" s="1"/>
      <c r="CC2071" s="1"/>
      <c r="CD2071" s="1"/>
      <c r="CE2071" s="1"/>
      <c r="CF2071" s="1"/>
      <c r="CG2071" s="1"/>
      <c r="CH2071" s="1"/>
      <c r="CI2071" s="1"/>
      <c r="CJ2071" s="1"/>
      <c r="CK2071" s="1"/>
      <c r="CL2071" s="1"/>
      <c r="CM2071" s="1"/>
      <c r="CN2071" s="1"/>
      <c r="CO2071" s="1"/>
      <c r="CP2071" s="1"/>
      <c r="CQ2071" s="1"/>
      <c r="CR2071" s="1"/>
      <c r="CS2071" s="1"/>
      <c r="CT2071" s="1"/>
      <c r="CU2071" s="1"/>
      <c r="CV2071" s="1"/>
      <c r="CW2071" s="1"/>
      <c r="CX2071" s="1"/>
      <c r="CY2071" s="1"/>
      <c r="CZ2071" s="1"/>
      <c r="DA2071" s="1"/>
      <c r="DB2071" s="1"/>
      <c r="DC2071" s="1"/>
    </row>
    <row r="2072" spans="1:107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  <c r="BR2072" s="1"/>
      <c r="BS2072" s="1"/>
      <c r="BT2072" s="1"/>
      <c r="BU2072" s="1"/>
      <c r="BV2072" s="1"/>
      <c r="BW2072" s="1"/>
      <c r="BX2072" s="1"/>
      <c r="BY2072" s="1"/>
      <c r="BZ2072" s="1"/>
      <c r="CA2072" s="1"/>
      <c r="CB2072" s="1"/>
      <c r="CC2072" s="1"/>
      <c r="CD2072" s="1"/>
      <c r="CE2072" s="1"/>
      <c r="CF2072" s="1"/>
      <c r="CG2072" s="1"/>
      <c r="CH2072" s="1"/>
      <c r="CI2072" s="1"/>
      <c r="CJ2072" s="1"/>
      <c r="CK2072" s="1"/>
      <c r="CL2072" s="1"/>
      <c r="CM2072" s="1"/>
      <c r="CN2072" s="1"/>
      <c r="CO2072" s="1"/>
      <c r="CP2072" s="1"/>
      <c r="CQ2072" s="1"/>
      <c r="CR2072" s="1"/>
      <c r="CS2072" s="1"/>
      <c r="CT2072" s="1"/>
      <c r="CU2072" s="1"/>
      <c r="CV2072" s="1"/>
      <c r="CW2072" s="1"/>
      <c r="CX2072" s="1"/>
      <c r="CY2072" s="1"/>
      <c r="CZ2072" s="1"/>
      <c r="DA2072" s="1"/>
      <c r="DB2072" s="1"/>
      <c r="DC2072" s="1"/>
    </row>
    <row r="2073" spans="1:107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T2073" s="1"/>
      <c r="BU2073" s="1"/>
      <c r="BV2073" s="1"/>
      <c r="BW2073" s="1"/>
      <c r="BX2073" s="1"/>
      <c r="BY2073" s="1"/>
      <c r="BZ2073" s="1"/>
      <c r="CA2073" s="1"/>
      <c r="CB2073" s="1"/>
      <c r="CC2073" s="1"/>
      <c r="CD2073" s="1"/>
      <c r="CE2073" s="1"/>
      <c r="CF2073" s="1"/>
      <c r="CG2073" s="1"/>
      <c r="CH2073" s="1"/>
      <c r="CI2073" s="1"/>
      <c r="CJ2073" s="1"/>
      <c r="CK2073" s="1"/>
      <c r="CL2073" s="1"/>
      <c r="CM2073" s="1"/>
      <c r="CN2073" s="1"/>
      <c r="CO2073" s="1"/>
      <c r="CP2073" s="1"/>
      <c r="CQ2073" s="1"/>
      <c r="CR2073" s="1"/>
      <c r="CS2073" s="1"/>
      <c r="CT2073" s="1"/>
      <c r="CU2073" s="1"/>
      <c r="CV2073" s="1"/>
      <c r="CW2073" s="1"/>
      <c r="CX2073" s="1"/>
      <c r="CY2073" s="1"/>
      <c r="CZ2073" s="1"/>
      <c r="DA2073" s="1"/>
      <c r="DB2073" s="1"/>
      <c r="DC2073" s="1"/>
    </row>
    <row r="2074" spans="1:107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  <c r="BR2074" s="1"/>
      <c r="BS2074" s="1"/>
      <c r="BT2074" s="1"/>
      <c r="BU2074" s="1"/>
      <c r="BV2074" s="1"/>
      <c r="BW2074" s="1"/>
      <c r="BX2074" s="1"/>
      <c r="BY2074" s="1"/>
      <c r="BZ2074" s="1"/>
      <c r="CA2074" s="1"/>
      <c r="CB2074" s="1"/>
      <c r="CC2074" s="1"/>
      <c r="CD2074" s="1"/>
      <c r="CE2074" s="1"/>
      <c r="CF2074" s="1"/>
      <c r="CG2074" s="1"/>
      <c r="CH2074" s="1"/>
      <c r="CI2074" s="1"/>
      <c r="CJ2074" s="1"/>
      <c r="CK2074" s="1"/>
      <c r="CL2074" s="1"/>
      <c r="CM2074" s="1"/>
      <c r="CN2074" s="1"/>
      <c r="CO2074" s="1"/>
      <c r="CP2074" s="1"/>
      <c r="CQ2074" s="1"/>
      <c r="CR2074" s="1"/>
      <c r="CS2074" s="1"/>
      <c r="CT2074" s="1"/>
      <c r="CU2074" s="1"/>
      <c r="CV2074" s="1"/>
      <c r="CW2074" s="1"/>
      <c r="CX2074" s="1"/>
      <c r="CY2074" s="1"/>
      <c r="CZ2074" s="1"/>
      <c r="DA2074" s="1"/>
      <c r="DB2074" s="1"/>
      <c r="DC2074" s="1"/>
    </row>
    <row r="2075" spans="1:107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1"/>
      <c r="BU2075" s="1"/>
      <c r="BV2075" s="1"/>
      <c r="BW2075" s="1"/>
      <c r="BX2075" s="1"/>
      <c r="BY2075" s="1"/>
      <c r="BZ2075" s="1"/>
      <c r="CA2075" s="1"/>
      <c r="CB2075" s="1"/>
      <c r="CC2075" s="1"/>
      <c r="CD2075" s="1"/>
      <c r="CE2075" s="1"/>
      <c r="CF2075" s="1"/>
      <c r="CG2075" s="1"/>
      <c r="CH2075" s="1"/>
      <c r="CI2075" s="1"/>
      <c r="CJ2075" s="1"/>
      <c r="CK2075" s="1"/>
      <c r="CL2075" s="1"/>
      <c r="CM2075" s="1"/>
      <c r="CN2075" s="1"/>
      <c r="CO2075" s="1"/>
      <c r="CP2075" s="1"/>
      <c r="CQ2075" s="1"/>
      <c r="CR2075" s="1"/>
      <c r="CS2075" s="1"/>
      <c r="CT2075" s="1"/>
      <c r="CU2075" s="1"/>
      <c r="CV2075" s="1"/>
      <c r="CW2075" s="1"/>
      <c r="CX2075" s="1"/>
      <c r="CY2075" s="1"/>
      <c r="CZ2075" s="1"/>
      <c r="DA2075" s="1"/>
      <c r="DB2075" s="1"/>
      <c r="DC2075" s="1"/>
    </row>
    <row r="2076" spans="1:107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  <c r="BR2076" s="1"/>
      <c r="BS2076" s="1"/>
      <c r="BT2076" s="1"/>
      <c r="BU2076" s="1"/>
      <c r="BV2076" s="1"/>
      <c r="BW2076" s="1"/>
      <c r="BX2076" s="1"/>
      <c r="BY2076" s="1"/>
      <c r="BZ2076" s="1"/>
      <c r="CA2076" s="1"/>
      <c r="CB2076" s="1"/>
      <c r="CC2076" s="1"/>
      <c r="CD2076" s="1"/>
      <c r="CE2076" s="1"/>
      <c r="CF2076" s="1"/>
      <c r="CG2076" s="1"/>
      <c r="CH2076" s="1"/>
      <c r="CI2076" s="1"/>
      <c r="CJ2076" s="1"/>
      <c r="CK2076" s="1"/>
      <c r="CL2076" s="1"/>
      <c r="CM2076" s="1"/>
      <c r="CN2076" s="1"/>
      <c r="CO2076" s="1"/>
      <c r="CP2076" s="1"/>
      <c r="CQ2076" s="1"/>
      <c r="CR2076" s="1"/>
      <c r="CS2076" s="1"/>
      <c r="CT2076" s="1"/>
      <c r="CU2076" s="1"/>
      <c r="CV2076" s="1"/>
      <c r="CW2076" s="1"/>
      <c r="CX2076" s="1"/>
      <c r="CY2076" s="1"/>
      <c r="CZ2076" s="1"/>
      <c r="DA2076" s="1"/>
      <c r="DB2076" s="1"/>
      <c r="DC2076" s="1"/>
    </row>
    <row r="2077" spans="1:10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  <c r="BS2077" s="1"/>
      <c r="BT2077" s="1"/>
      <c r="BU2077" s="1"/>
      <c r="BV2077" s="1"/>
      <c r="BW2077" s="1"/>
      <c r="BX2077" s="1"/>
      <c r="BY2077" s="1"/>
      <c r="BZ2077" s="1"/>
      <c r="CA2077" s="1"/>
      <c r="CB2077" s="1"/>
      <c r="CC2077" s="1"/>
      <c r="CD2077" s="1"/>
      <c r="CE2077" s="1"/>
      <c r="CF2077" s="1"/>
      <c r="CG2077" s="1"/>
      <c r="CH2077" s="1"/>
      <c r="CI2077" s="1"/>
      <c r="CJ2077" s="1"/>
      <c r="CK2077" s="1"/>
      <c r="CL2077" s="1"/>
      <c r="CM2077" s="1"/>
      <c r="CN2077" s="1"/>
      <c r="CO2077" s="1"/>
      <c r="CP2077" s="1"/>
      <c r="CQ2077" s="1"/>
      <c r="CR2077" s="1"/>
      <c r="CS2077" s="1"/>
      <c r="CT2077" s="1"/>
      <c r="CU2077" s="1"/>
      <c r="CV2077" s="1"/>
      <c r="CW2077" s="1"/>
      <c r="CX2077" s="1"/>
      <c r="CY2077" s="1"/>
      <c r="CZ2077" s="1"/>
      <c r="DA2077" s="1"/>
      <c r="DB2077" s="1"/>
      <c r="DC2077" s="1"/>
    </row>
    <row r="2078" spans="1:107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  <c r="BR2078" s="1"/>
      <c r="BS2078" s="1"/>
      <c r="BT2078" s="1"/>
      <c r="BU2078" s="1"/>
      <c r="BV2078" s="1"/>
      <c r="BW2078" s="1"/>
      <c r="BX2078" s="1"/>
      <c r="BY2078" s="1"/>
      <c r="BZ2078" s="1"/>
      <c r="CA2078" s="1"/>
      <c r="CB2078" s="1"/>
      <c r="CC2078" s="1"/>
      <c r="CD2078" s="1"/>
      <c r="CE2078" s="1"/>
      <c r="CF2078" s="1"/>
      <c r="CG2078" s="1"/>
      <c r="CH2078" s="1"/>
      <c r="CI2078" s="1"/>
      <c r="CJ2078" s="1"/>
      <c r="CK2078" s="1"/>
      <c r="CL2078" s="1"/>
      <c r="CM2078" s="1"/>
      <c r="CN2078" s="1"/>
      <c r="CO2078" s="1"/>
      <c r="CP2078" s="1"/>
      <c r="CQ2078" s="1"/>
      <c r="CR2078" s="1"/>
      <c r="CS2078" s="1"/>
      <c r="CT2078" s="1"/>
      <c r="CU2078" s="1"/>
      <c r="CV2078" s="1"/>
      <c r="CW2078" s="1"/>
      <c r="CX2078" s="1"/>
      <c r="CY2078" s="1"/>
      <c r="CZ2078" s="1"/>
      <c r="DA2078" s="1"/>
      <c r="DB2078" s="1"/>
      <c r="DC2078" s="1"/>
    </row>
    <row r="2079" spans="1:107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  <c r="BS2079" s="1"/>
      <c r="BT2079" s="1"/>
      <c r="BU2079" s="1"/>
      <c r="BV2079" s="1"/>
      <c r="BW2079" s="1"/>
      <c r="BX2079" s="1"/>
      <c r="BY2079" s="1"/>
      <c r="BZ2079" s="1"/>
      <c r="CA2079" s="1"/>
      <c r="CB2079" s="1"/>
      <c r="CC2079" s="1"/>
      <c r="CD2079" s="1"/>
      <c r="CE2079" s="1"/>
      <c r="CF2079" s="1"/>
      <c r="CG2079" s="1"/>
      <c r="CH2079" s="1"/>
      <c r="CI2079" s="1"/>
      <c r="CJ2079" s="1"/>
      <c r="CK2079" s="1"/>
      <c r="CL2079" s="1"/>
      <c r="CM2079" s="1"/>
      <c r="CN2079" s="1"/>
      <c r="CO2079" s="1"/>
      <c r="CP2079" s="1"/>
      <c r="CQ2079" s="1"/>
      <c r="CR2079" s="1"/>
      <c r="CS2079" s="1"/>
      <c r="CT2079" s="1"/>
      <c r="CU2079" s="1"/>
      <c r="CV2079" s="1"/>
      <c r="CW2079" s="1"/>
      <c r="CX2079" s="1"/>
      <c r="CY2079" s="1"/>
      <c r="CZ2079" s="1"/>
      <c r="DA2079" s="1"/>
      <c r="DB2079" s="1"/>
      <c r="DC2079" s="1"/>
    </row>
    <row r="2080" spans="1:107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  <c r="BR2080" s="1"/>
      <c r="BS2080" s="1"/>
      <c r="BT2080" s="1"/>
      <c r="BU2080" s="1"/>
      <c r="BV2080" s="1"/>
      <c r="BW2080" s="1"/>
      <c r="BX2080" s="1"/>
      <c r="BY2080" s="1"/>
      <c r="BZ2080" s="1"/>
      <c r="CA2080" s="1"/>
      <c r="CB2080" s="1"/>
      <c r="CC2080" s="1"/>
      <c r="CD2080" s="1"/>
      <c r="CE2080" s="1"/>
      <c r="CF2080" s="1"/>
      <c r="CG2080" s="1"/>
      <c r="CH2080" s="1"/>
      <c r="CI2080" s="1"/>
      <c r="CJ2080" s="1"/>
      <c r="CK2080" s="1"/>
      <c r="CL2080" s="1"/>
      <c r="CM2080" s="1"/>
      <c r="CN2080" s="1"/>
      <c r="CO2080" s="1"/>
      <c r="CP2080" s="1"/>
      <c r="CQ2080" s="1"/>
      <c r="CR2080" s="1"/>
      <c r="CS2080" s="1"/>
      <c r="CT2080" s="1"/>
      <c r="CU2080" s="1"/>
      <c r="CV2080" s="1"/>
      <c r="CW2080" s="1"/>
      <c r="CX2080" s="1"/>
      <c r="CY2080" s="1"/>
      <c r="CZ2080" s="1"/>
      <c r="DA2080" s="1"/>
      <c r="DB2080" s="1"/>
      <c r="DC2080" s="1"/>
    </row>
    <row r="2081" spans="1:107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  <c r="BR2081" s="1"/>
      <c r="BS2081" s="1"/>
      <c r="BT2081" s="1"/>
      <c r="BU2081" s="1"/>
      <c r="BV2081" s="1"/>
      <c r="BW2081" s="1"/>
      <c r="BX2081" s="1"/>
      <c r="BY2081" s="1"/>
      <c r="BZ2081" s="1"/>
      <c r="CA2081" s="1"/>
      <c r="CB2081" s="1"/>
      <c r="CC2081" s="1"/>
      <c r="CD2081" s="1"/>
      <c r="CE2081" s="1"/>
      <c r="CF2081" s="1"/>
      <c r="CG2081" s="1"/>
      <c r="CH2081" s="1"/>
      <c r="CI2081" s="1"/>
      <c r="CJ2081" s="1"/>
      <c r="CK2081" s="1"/>
      <c r="CL2081" s="1"/>
      <c r="CM2081" s="1"/>
      <c r="CN2081" s="1"/>
      <c r="CO2081" s="1"/>
      <c r="CP2081" s="1"/>
      <c r="CQ2081" s="1"/>
      <c r="CR2081" s="1"/>
      <c r="CS2081" s="1"/>
      <c r="CT2081" s="1"/>
      <c r="CU2081" s="1"/>
      <c r="CV2081" s="1"/>
      <c r="CW2081" s="1"/>
      <c r="CX2081" s="1"/>
      <c r="CY2081" s="1"/>
      <c r="CZ2081" s="1"/>
      <c r="DA2081" s="1"/>
      <c r="DB2081" s="1"/>
      <c r="DC2081" s="1"/>
    </row>
    <row r="2082" spans="1:107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  <c r="BR2082" s="1"/>
      <c r="BS2082" s="1"/>
      <c r="BT2082" s="1"/>
      <c r="BU2082" s="1"/>
      <c r="BV2082" s="1"/>
      <c r="BW2082" s="1"/>
      <c r="BX2082" s="1"/>
      <c r="BY2082" s="1"/>
      <c r="BZ2082" s="1"/>
      <c r="CA2082" s="1"/>
      <c r="CB2082" s="1"/>
      <c r="CC2082" s="1"/>
      <c r="CD2082" s="1"/>
      <c r="CE2082" s="1"/>
      <c r="CF2082" s="1"/>
      <c r="CG2082" s="1"/>
      <c r="CH2082" s="1"/>
      <c r="CI2082" s="1"/>
      <c r="CJ2082" s="1"/>
      <c r="CK2082" s="1"/>
      <c r="CL2082" s="1"/>
      <c r="CM2082" s="1"/>
      <c r="CN2082" s="1"/>
      <c r="CO2082" s="1"/>
      <c r="CP2082" s="1"/>
      <c r="CQ2082" s="1"/>
      <c r="CR2082" s="1"/>
      <c r="CS2082" s="1"/>
      <c r="CT2082" s="1"/>
      <c r="CU2082" s="1"/>
      <c r="CV2082" s="1"/>
      <c r="CW2082" s="1"/>
      <c r="CX2082" s="1"/>
      <c r="CY2082" s="1"/>
      <c r="CZ2082" s="1"/>
      <c r="DA2082" s="1"/>
      <c r="DB2082" s="1"/>
      <c r="DC2082" s="1"/>
    </row>
    <row r="2083" spans="1:107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  <c r="BS2083" s="1"/>
      <c r="BT2083" s="1"/>
      <c r="BU2083" s="1"/>
      <c r="BV2083" s="1"/>
      <c r="BW2083" s="1"/>
      <c r="BX2083" s="1"/>
      <c r="BY2083" s="1"/>
      <c r="BZ2083" s="1"/>
      <c r="CA2083" s="1"/>
      <c r="CB2083" s="1"/>
      <c r="CC2083" s="1"/>
      <c r="CD2083" s="1"/>
      <c r="CE2083" s="1"/>
      <c r="CF2083" s="1"/>
      <c r="CG2083" s="1"/>
      <c r="CH2083" s="1"/>
      <c r="CI2083" s="1"/>
      <c r="CJ2083" s="1"/>
      <c r="CK2083" s="1"/>
      <c r="CL2083" s="1"/>
      <c r="CM2083" s="1"/>
      <c r="CN2083" s="1"/>
      <c r="CO2083" s="1"/>
      <c r="CP2083" s="1"/>
      <c r="CQ2083" s="1"/>
      <c r="CR2083" s="1"/>
      <c r="CS2083" s="1"/>
      <c r="CT2083" s="1"/>
      <c r="CU2083" s="1"/>
      <c r="CV2083" s="1"/>
      <c r="CW2083" s="1"/>
      <c r="CX2083" s="1"/>
      <c r="CY2083" s="1"/>
      <c r="CZ2083" s="1"/>
      <c r="DA2083" s="1"/>
      <c r="DB2083" s="1"/>
      <c r="DC2083" s="1"/>
    </row>
    <row r="2084" spans="1:107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  <c r="BR2084" s="1"/>
      <c r="BS2084" s="1"/>
      <c r="BT2084" s="1"/>
      <c r="BU2084" s="1"/>
      <c r="BV2084" s="1"/>
      <c r="BW2084" s="1"/>
      <c r="BX2084" s="1"/>
      <c r="BY2084" s="1"/>
      <c r="BZ2084" s="1"/>
      <c r="CA2084" s="1"/>
      <c r="CB2084" s="1"/>
      <c r="CC2084" s="1"/>
      <c r="CD2084" s="1"/>
      <c r="CE2084" s="1"/>
      <c r="CF2084" s="1"/>
      <c r="CG2084" s="1"/>
      <c r="CH2084" s="1"/>
      <c r="CI2084" s="1"/>
      <c r="CJ2084" s="1"/>
      <c r="CK2084" s="1"/>
      <c r="CL2084" s="1"/>
      <c r="CM2084" s="1"/>
      <c r="CN2084" s="1"/>
      <c r="CO2084" s="1"/>
      <c r="CP2084" s="1"/>
      <c r="CQ2084" s="1"/>
      <c r="CR2084" s="1"/>
      <c r="CS2084" s="1"/>
      <c r="CT2084" s="1"/>
      <c r="CU2084" s="1"/>
      <c r="CV2084" s="1"/>
      <c r="CW2084" s="1"/>
      <c r="CX2084" s="1"/>
      <c r="CY2084" s="1"/>
      <c r="CZ2084" s="1"/>
      <c r="DA2084" s="1"/>
      <c r="DB2084" s="1"/>
      <c r="DC2084" s="1"/>
    </row>
    <row r="2085" spans="1:107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  <c r="BR2085" s="1"/>
      <c r="BS2085" s="1"/>
      <c r="BT2085" s="1"/>
      <c r="BU2085" s="1"/>
      <c r="BV2085" s="1"/>
      <c r="BW2085" s="1"/>
      <c r="BX2085" s="1"/>
      <c r="BY2085" s="1"/>
      <c r="BZ2085" s="1"/>
      <c r="CA2085" s="1"/>
      <c r="CB2085" s="1"/>
      <c r="CC2085" s="1"/>
      <c r="CD2085" s="1"/>
      <c r="CE2085" s="1"/>
      <c r="CF2085" s="1"/>
      <c r="CG2085" s="1"/>
      <c r="CH2085" s="1"/>
      <c r="CI2085" s="1"/>
      <c r="CJ2085" s="1"/>
      <c r="CK2085" s="1"/>
      <c r="CL2085" s="1"/>
      <c r="CM2085" s="1"/>
      <c r="CN2085" s="1"/>
      <c r="CO2085" s="1"/>
      <c r="CP2085" s="1"/>
      <c r="CQ2085" s="1"/>
      <c r="CR2085" s="1"/>
      <c r="CS2085" s="1"/>
      <c r="CT2085" s="1"/>
      <c r="CU2085" s="1"/>
      <c r="CV2085" s="1"/>
      <c r="CW2085" s="1"/>
      <c r="CX2085" s="1"/>
      <c r="CY2085" s="1"/>
      <c r="CZ2085" s="1"/>
      <c r="DA2085" s="1"/>
      <c r="DB2085" s="1"/>
      <c r="DC2085" s="1"/>
    </row>
    <row r="2086" spans="1:107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  <c r="BR2086" s="1"/>
      <c r="BS2086" s="1"/>
      <c r="BT2086" s="1"/>
      <c r="BU2086" s="1"/>
      <c r="BV2086" s="1"/>
      <c r="BW2086" s="1"/>
      <c r="BX2086" s="1"/>
      <c r="BY2086" s="1"/>
      <c r="BZ2086" s="1"/>
      <c r="CA2086" s="1"/>
      <c r="CB2086" s="1"/>
      <c r="CC2086" s="1"/>
      <c r="CD2086" s="1"/>
      <c r="CE2086" s="1"/>
      <c r="CF2086" s="1"/>
      <c r="CG2086" s="1"/>
      <c r="CH2086" s="1"/>
      <c r="CI2086" s="1"/>
      <c r="CJ2086" s="1"/>
      <c r="CK2086" s="1"/>
      <c r="CL2086" s="1"/>
      <c r="CM2086" s="1"/>
      <c r="CN2086" s="1"/>
      <c r="CO2086" s="1"/>
      <c r="CP2086" s="1"/>
      <c r="CQ2086" s="1"/>
      <c r="CR2086" s="1"/>
      <c r="CS2086" s="1"/>
      <c r="CT2086" s="1"/>
      <c r="CU2086" s="1"/>
      <c r="CV2086" s="1"/>
      <c r="CW2086" s="1"/>
      <c r="CX2086" s="1"/>
      <c r="CY2086" s="1"/>
      <c r="CZ2086" s="1"/>
      <c r="DA2086" s="1"/>
      <c r="DB2086" s="1"/>
      <c r="DC2086" s="1"/>
    </row>
    <row r="2087" spans="1:10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  <c r="BS2087" s="1"/>
      <c r="BT2087" s="1"/>
      <c r="BU2087" s="1"/>
      <c r="BV2087" s="1"/>
      <c r="BW2087" s="1"/>
      <c r="BX2087" s="1"/>
      <c r="BY2087" s="1"/>
      <c r="BZ2087" s="1"/>
      <c r="CA2087" s="1"/>
      <c r="CB2087" s="1"/>
      <c r="CC2087" s="1"/>
      <c r="CD2087" s="1"/>
      <c r="CE2087" s="1"/>
      <c r="CF2087" s="1"/>
      <c r="CG2087" s="1"/>
      <c r="CH2087" s="1"/>
      <c r="CI2087" s="1"/>
      <c r="CJ2087" s="1"/>
      <c r="CK2087" s="1"/>
      <c r="CL2087" s="1"/>
      <c r="CM2087" s="1"/>
      <c r="CN2087" s="1"/>
      <c r="CO2087" s="1"/>
      <c r="CP2087" s="1"/>
      <c r="CQ2087" s="1"/>
      <c r="CR2087" s="1"/>
      <c r="CS2087" s="1"/>
      <c r="CT2087" s="1"/>
      <c r="CU2087" s="1"/>
      <c r="CV2087" s="1"/>
      <c r="CW2087" s="1"/>
      <c r="CX2087" s="1"/>
      <c r="CY2087" s="1"/>
      <c r="CZ2087" s="1"/>
      <c r="DA2087" s="1"/>
      <c r="DB2087" s="1"/>
      <c r="DC2087" s="1"/>
    </row>
    <row r="2088" spans="1:107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  <c r="BR2088" s="1"/>
      <c r="BS2088" s="1"/>
      <c r="BT2088" s="1"/>
      <c r="BU2088" s="1"/>
      <c r="BV2088" s="1"/>
      <c r="BW2088" s="1"/>
      <c r="BX2088" s="1"/>
      <c r="BY2088" s="1"/>
      <c r="BZ2088" s="1"/>
      <c r="CA2088" s="1"/>
      <c r="CB2088" s="1"/>
      <c r="CC2088" s="1"/>
      <c r="CD2088" s="1"/>
      <c r="CE2088" s="1"/>
      <c r="CF2088" s="1"/>
      <c r="CG2088" s="1"/>
      <c r="CH2088" s="1"/>
      <c r="CI2088" s="1"/>
      <c r="CJ2088" s="1"/>
      <c r="CK2088" s="1"/>
      <c r="CL2088" s="1"/>
      <c r="CM2088" s="1"/>
      <c r="CN2088" s="1"/>
      <c r="CO2088" s="1"/>
      <c r="CP2088" s="1"/>
      <c r="CQ2088" s="1"/>
      <c r="CR2088" s="1"/>
      <c r="CS2088" s="1"/>
      <c r="CT2088" s="1"/>
      <c r="CU2088" s="1"/>
      <c r="CV2088" s="1"/>
      <c r="CW2088" s="1"/>
      <c r="CX2088" s="1"/>
      <c r="CY2088" s="1"/>
      <c r="CZ2088" s="1"/>
      <c r="DA2088" s="1"/>
      <c r="DB2088" s="1"/>
      <c r="DC2088" s="1"/>
    </row>
    <row r="2089" spans="1:107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  <c r="BS2089" s="1"/>
      <c r="BT2089" s="1"/>
      <c r="BU2089" s="1"/>
      <c r="BV2089" s="1"/>
      <c r="BW2089" s="1"/>
      <c r="BX2089" s="1"/>
      <c r="BY2089" s="1"/>
      <c r="BZ2089" s="1"/>
      <c r="CA2089" s="1"/>
      <c r="CB2089" s="1"/>
      <c r="CC2089" s="1"/>
      <c r="CD2089" s="1"/>
      <c r="CE2089" s="1"/>
      <c r="CF2089" s="1"/>
      <c r="CG2089" s="1"/>
      <c r="CH2089" s="1"/>
      <c r="CI2089" s="1"/>
      <c r="CJ2089" s="1"/>
      <c r="CK2089" s="1"/>
      <c r="CL2089" s="1"/>
      <c r="CM2089" s="1"/>
      <c r="CN2089" s="1"/>
      <c r="CO2089" s="1"/>
      <c r="CP2089" s="1"/>
      <c r="CQ2089" s="1"/>
      <c r="CR2089" s="1"/>
      <c r="CS2089" s="1"/>
      <c r="CT2089" s="1"/>
      <c r="CU2089" s="1"/>
      <c r="CV2089" s="1"/>
      <c r="CW2089" s="1"/>
      <c r="CX2089" s="1"/>
      <c r="CY2089" s="1"/>
      <c r="CZ2089" s="1"/>
      <c r="DA2089" s="1"/>
      <c r="DB2089" s="1"/>
      <c r="DC2089" s="1"/>
    </row>
    <row r="2090" spans="1:107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  <c r="BR2090" s="1"/>
      <c r="BS2090" s="1"/>
      <c r="BT2090" s="1"/>
      <c r="BU2090" s="1"/>
      <c r="BV2090" s="1"/>
      <c r="BW2090" s="1"/>
      <c r="BX2090" s="1"/>
      <c r="BY2090" s="1"/>
      <c r="BZ2090" s="1"/>
      <c r="CA2090" s="1"/>
      <c r="CB2090" s="1"/>
      <c r="CC2090" s="1"/>
      <c r="CD2090" s="1"/>
      <c r="CE2090" s="1"/>
      <c r="CF2090" s="1"/>
      <c r="CG2090" s="1"/>
      <c r="CH2090" s="1"/>
      <c r="CI2090" s="1"/>
      <c r="CJ2090" s="1"/>
      <c r="CK2090" s="1"/>
      <c r="CL2090" s="1"/>
      <c r="CM2090" s="1"/>
      <c r="CN2090" s="1"/>
      <c r="CO2090" s="1"/>
      <c r="CP2090" s="1"/>
      <c r="CQ2090" s="1"/>
      <c r="CR2090" s="1"/>
      <c r="CS2090" s="1"/>
      <c r="CT2090" s="1"/>
      <c r="CU2090" s="1"/>
      <c r="CV2090" s="1"/>
      <c r="CW2090" s="1"/>
      <c r="CX2090" s="1"/>
      <c r="CY2090" s="1"/>
      <c r="CZ2090" s="1"/>
      <c r="DA2090" s="1"/>
      <c r="DB2090" s="1"/>
      <c r="DC2090" s="1"/>
    </row>
    <row r="2091" spans="1:107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  <c r="BS2091" s="1"/>
      <c r="BT2091" s="1"/>
      <c r="BU2091" s="1"/>
      <c r="BV2091" s="1"/>
      <c r="BW2091" s="1"/>
      <c r="BX2091" s="1"/>
      <c r="BY2091" s="1"/>
      <c r="BZ2091" s="1"/>
      <c r="CA2091" s="1"/>
      <c r="CB2091" s="1"/>
      <c r="CC2091" s="1"/>
      <c r="CD2091" s="1"/>
      <c r="CE2091" s="1"/>
      <c r="CF2091" s="1"/>
      <c r="CG2091" s="1"/>
      <c r="CH2091" s="1"/>
      <c r="CI2091" s="1"/>
      <c r="CJ2091" s="1"/>
      <c r="CK2091" s="1"/>
      <c r="CL2091" s="1"/>
      <c r="CM2091" s="1"/>
      <c r="CN2091" s="1"/>
      <c r="CO2091" s="1"/>
      <c r="CP2091" s="1"/>
      <c r="CQ2091" s="1"/>
      <c r="CR2091" s="1"/>
      <c r="CS2091" s="1"/>
      <c r="CT2091" s="1"/>
      <c r="CU2091" s="1"/>
      <c r="CV2091" s="1"/>
      <c r="CW2091" s="1"/>
      <c r="CX2091" s="1"/>
      <c r="CY2091" s="1"/>
      <c r="CZ2091" s="1"/>
      <c r="DA2091" s="1"/>
      <c r="DB2091" s="1"/>
      <c r="DC2091" s="1"/>
    </row>
    <row r="2092" spans="1:107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  <c r="BR2092" s="1"/>
      <c r="BS2092" s="1"/>
      <c r="BT2092" s="1"/>
      <c r="BU2092" s="1"/>
      <c r="BV2092" s="1"/>
      <c r="BW2092" s="1"/>
      <c r="BX2092" s="1"/>
      <c r="BY2092" s="1"/>
      <c r="BZ2092" s="1"/>
      <c r="CA2092" s="1"/>
      <c r="CB2092" s="1"/>
      <c r="CC2092" s="1"/>
      <c r="CD2092" s="1"/>
      <c r="CE2092" s="1"/>
      <c r="CF2092" s="1"/>
      <c r="CG2092" s="1"/>
      <c r="CH2092" s="1"/>
      <c r="CI2092" s="1"/>
      <c r="CJ2092" s="1"/>
      <c r="CK2092" s="1"/>
      <c r="CL2092" s="1"/>
      <c r="CM2092" s="1"/>
      <c r="CN2092" s="1"/>
      <c r="CO2092" s="1"/>
      <c r="CP2092" s="1"/>
      <c r="CQ2092" s="1"/>
      <c r="CR2092" s="1"/>
      <c r="CS2092" s="1"/>
      <c r="CT2092" s="1"/>
      <c r="CU2092" s="1"/>
      <c r="CV2092" s="1"/>
      <c r="CW2092" s="1"/>
      <c r="CX2092" s="1"/>
      <c r="CY2092" s="1"/>
      <c r="CZ2092" s="1"/>
      <c r="DA2092" s="1"/>
      <c r="DB2092" s="1"/>
      <c r="DC2092" s="1"/>
    </row>
    <row r="2093" spans="1:107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  <c r="BS2093" s="1"/>
      <c r="BT2093" s="1"/>
      <c r="BU2093" s="1"/>
      <c r="BV2093" s="1"/>
      <c r="BW2093" s="1"/>
      <c r="BX2093" s="1"/>
      <c r="BY2093" s="1"/>
      <c r="BZ2093" s="1"/>
      <c r="CA2093" s="1"/>
      <c r="CB2093" s="1"/>
      <c r="CC2093" s="1"/>
      <c r="CD2093" s="1"/>
      <c r="CE2093" s="1"/>
      <c r="CF2093" s="1"/>
      <c r="CG2093" s="1"/>
      <c r="CH2093" s="1"/>
      <c r="CI2093" s="1"/>
      <c r="CJ2093" s="1"/>
      <c r="CK2093" s="1"/>
      <c r="CL2093" s="1"/>
      <c r="CM2093" s="1"/>
      <c r="CN2093" s="1"/>
      <c r="CO2093" s="1"/>
      <c r="CP2093" s="1"/>
      <c r="CQ2093" s="1"/>
      <c r="CR2093" s="1"/>
      <c r="CS2093" s="1"/>
      <c r="CT2093" s="1"/>
      <c r="CU2093" s="1"/>
      <c r="CV2093" s="1"/>
      <c r="CW2093" s="1"/>
      <c r="CX2093" s="1"/>
      <c r="CY2093" s="1"/>
      <c r="CZ2093" s="1"/>
      <c r="DA2093" s="1"/>
      <c r="DB2093" s="1"/>
      <c r="DC2093" s="1"/>
    </row>
    <row r="2094" spans="1:107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  <c r="BR2094" s="1"/>
      <c r="BS2094" s="1"/>
      <c r="BT2094" s="1"/>
      <c r="BU2094" s="1"/>
      <c r="BV2094" s="1"/>
      <c r="BW2094" s="1"/>
      <c r="BX2094" s="1"/>
      <c r="BY2094" s="1"/>
      <c r="BZ2094" s="1"/>
      <c r="CA2094" s="1"/>
      <c r="CB2094" s="1"/>
      <c r="CC2094" s="1"/>
      <c r="CD2094" s="1"/>
      <c r="CE2094" s="1"/>
      <c r="CF2094" s="1"/>
      <c r="CG2094" s="1"/>
      <c r="CH2094" s="1"/>
      <c r="CI2094" s="1"/>
      <c r="CJ2094" s="1"/>
      <c r="CK2094" s="1"/>
      <c r="CL2094" s="1"/>
      <c r="CM2094" s="1"/>
      <c r="CN2094" s="1"/>
      <c r="CO2094" s="1"/>
      <c r="CP2094" s="1"/>
      <c r="CQ2094" s="1"/>
      <c r="CR2094" s="1"/>
      <c r="CS2094" s="1"/>
      <c r="CT2094" s="1"/>
      <c r="CU2094" s="1"/>
      <c r="CV2094" s="1"/>
      <c r="CW2094" s="1"/>
      <c r="CX2094" s="1"/>
      <c r="CY2094" s="1"/>
      <c r="CZ2094" s="1"/>
      <c r="DA2094" s="1"/>
      <c r="DB2094" s="1"/>
      <c r="DC2094" s="1"/>
    </row>
    <row r="2095" spans="1:107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  <c r="BR2095" s="1"/>
      <c r="BS2095" s="1"/>
      <c r="BT2095" s="1"/>
      <c r="BU2095" s="1"/>
      <c r="BV2095" s="1"/>
      <c r="BW2095" s="1"/>
      <c r="BX2095" s="1"/>
      <c r="BY2095" s="1"/>
      <c r="BZ2095" s="1"/>
      <c r="CA2095" s="1"/>
      <c r="CB2095" s="1"/>
      <c r="CC2095" s="1"/>
      <c r="CD2095" s="1"/>
      <c r="CE2095" s="1"/>
      <c r="CF2095" s="1"/>
      <c r="CG2095" s="1"/>
      <c r="CH2095" s="1"/>
      <c r="CI2095" s="1"/>
      <c r="CJ2095" s="1"/>
      <c r="CK2095" s="1"/>
      <c r="CL2095" s="1"/>
      <c r="CM2095" s="1"/>
      <c r="CN2095" s="1"/>
      <c r="CO2095" s="1"/>
      <c r="CP2095" s="1"/>
      <c r="CQ2095" s="1"/>
      <c r="CR2095" s="1"/>
      <c r="CS2095" s="1"/>
      <c r="CT2095" s="1"/>
      <c r="CU2095" s="1"/>
      <c r="CV2095" s="1"/>
      <c r="CW2095" s="1"/>
      <c r="CX2095" s="1"/>
      <c r="CY2095" s="1"/>
      <c r="CZ2095" s="1"/>
      <c r="DA2095" s="1"/>
      <c r="DB2095" s="1"/>
      <c r="DC2095" s="1"/>
    </row>
    <row r="2096" spans="1:107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  <c r="BR2096" s="1"/>
      <c r="BS2096" s="1"/>
      <c r="BT2096" s="1"/>
      <c r="BU2096" s="1"/>
      <c r="BV2096" s="1"/>
      <c r="BW2096" s="1"/>
      <c r="BX2096" s="1"/>
      <c r="BY2096" s="1"/>
      <c r="BZ2096" s="1"/>
      <c r="CA2096" s="1"/>
      <c r="CB2096" s="1"/>
      <c r="CC2096" s="1"/>
      <c r="CD2096" s="1"/>
      <c r="CE2096" s="1"/>
      <c r="CF2096" s="1"/>
      <c r="CG2096" s="1"/>
      <c r="CH2096" s="1"/>
      <c r="CI2096" s="1"/>
      <c r="CJ2096" s="1"/>
      <c r="CK2096" s="1"/>
      <c r="CL2096" s="1"/>
      <c r="CM2096" s="1"/>
      <c r="CN2096" s="1"/>
      <c r="CO2096" s="1"/>
      <c r="CP2096" s="1"/>
      <c r="CQ2096" s="1"/>
      <c r="CR2096" s="1"/>
      <c r="CS2096" s="1"/>
      <c r="CT2096" s="1"/>
      <c r="CU2096" s="1"/>
      <c r="CV2096" s="1"/>
      <c r="CW2096" s="1"/>
      <c r="CX2096" s="1"/>
      <c r="CY2096" s="1"/>
      <c r="CZ2096" s="1"/>
      <c r="DA2096" s="1"/>
      <c r="DB2096" s="1"/>
      <c r="DC2096" s="1"/>
    </row>
    <row r="2097" spans="1:10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  <c r="BR2097" s="1"/>
      <c r="BS2097" s="1"/>
      <c r="BT2097" s="1"/>
      <c r="BU2097" s="1"/>
      <c r="BV2097" s="1"/>
      <c r="BW2097" s="1"/>
      <c r="BX2097" s="1"/>
      <c r="BY2097" s="1"/>
      <c r="BZ2097" s="1"/>
      <c r="CA2097" s="1"/>
      <c r="CB2097" s="1"/>
      <c r="CC2097" s="1"/>
      <c r="CD2097" s="1"/>
      <c r="CE2097" s="1"/>
      <c r="CF2097" s="1"/>
      <c r="CG2097" s="1"/>
      <c r="CH2097" s="1"/>
      <c r="CI2097" s="1"/>
      <c r="CJ2097" s="1"/>
      <c r="CK2097" s="1"/>
      <c r="CL2097" s="1"/>
      <c r="CM2097" s="1"/>
      <c r="CN2097" s="1"/>
      <c r="CO2097" s="1"/>
      <c r="CP2097" s="1"/>
      <c r="CQ2097" s="1"/>
      <c r="CR2097" s="1"/>
      <c r="CS2097" s="1"/>
      <c r="CT2097" s="1"/>
      <c r="CU2097" s="1"/>
      <c r="CV2097" s="1"/>
      <c r="CW2097" s="1"/>
      <c r="CX2097" s="1"/>
      <c r="CY2097" s="1"/>
      <c r="CZ2097" s="1"/>
      <c r="DA2097" s="1"/>
      <c r="DB2097" s="1"/>
      <c r="DC2097" s="1"/>
    </row>
    <row r="2098" spans="1:107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  <c r="BR2098" s="1"/>
      <c r="BS2098" s="1"/>
      <c r="BT2098" s="1"/>
      <c r="BU2098" s="1"/>
      <c r="BV2098" s="1"/>
      <c r="BW2098" s="1"/>
      <c r="BX2098" s="1"/>
      <c r="BY2098" s="1"/>
      <c r="BZ2098" s="1"/>
      <c r="CA2098" s="1"/>
      <c r="CB2098" s="1"/>
      <c r="CC2098" s="1"/>
      <c r="CD2098" s="1"/>
      <c r="CE2098" s="1"/>
      <c r="CF2098" s="1"/>
      <c r="CG2098" s="1"/>
      <c r="CH2098" s="1"/>
      <c r="CI2098" s="1"/>
      <c r="CJ2098" s="1"/>
      <c r="CK2098" s="1"/>
      <c r="CL2098" s="1"/>
      <c r="CM2098" s="1"/>
      <c r="CN2098" s="1"/>
      <c r="CO2098" s="1"/>
      <c r="CP2098" s="1"/>
      <c r="CQ2098" s="1"/>
      <c r="CR2098" s="1"/>
      <c r="CS2098" s="1"/>
      <c r="CT2098" s="1"/>
      <c r="CU2098" s="1"/>
      <c r="CV2098" s="1"/>
      <c r="CW2098" s="1"/>
      <c r="CX2098" s="1"/>
      <c r="CY2098" s="1"/>
      <c r="CZ2098" s="1"/>
      <c r="DA2098" s="1"/>
      <c r="DB2098" s="1"/>
      <c r="DC2098" s="1"/>
    </row>
    <row r="2099" spans="1:107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/>
      <c r="BR2099" s="1"/>
      <c r="BS2099" s="1"/>
      <c r="BT2099" s="1"/>
      <c r="BU2099" s="1"/>
      <c r="BV2099" s="1"/>
      <c r="BW2099" s="1"/>
      <c r="BX2099" s="1"/>
      <c r="BY2099" s="1"/>
      <c r="BZ2099" s="1"/>
      <c r="CA2099" s="1"/>
      <c r="CB2099" s="1"/>
      <c r="CC2099" s="1"/>
      <c r="CD2099" s="1"/>
      <c r="CE2099" s="1"/>
      <c r="CF2099" s="1"/>
      <c r="CG2099" s="1"/>
      <c r="CH2099" s="1"/>
      <c r="CI2099" s="1"/>
      <c r="CJ2099" s="1"/>
      <c r="CK2099" s="1"/>
      <c r="CL2099" s="1"/>
      <c r="CM2099" s="1"/>
      <c r="CN2099" s="1"/>
      <c r="CO2099" s="1"/>
      <c r="CP2099" s="1"/>
      <c r="CQ2099" s="1"/>
      <c r="CR2099" s="1"/>
      <c r="CS2099" s="1"/>
      <c r="CT2099" s="1"/>
      <c r="CU2099" s="1"/>
      <c r="CV2099" s="1"/>
      <c r="CW2099" s="1"/>
      <c r="CX2099" s="1"/>
      <c r="CY2099" s="1"/>
      <c r="CZ2099" s="1"/>
      <c r="DA2099" s="1"/>
      <c r="DB2099" s="1"/>
      <c r="DC2099" s="1"/>
    </row>
    <row r="2100" spans="1:107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  <c r="BR2100" s="1"/>
      <c r="BS2100" s="1"/>
      <c r="BT2100" s="1"/>
      <c r="BU2100" s="1"/>
      <c r="BV2100" s="1"/>
      <c r="BW2100" s="1"/>
      <c r="BX2100" s="1"/>
      <c r="BY2100" s="1"/>
      <c r="BZ2100" s="1"/>
      <c r="CA2100" s="1"/>
      <c r="CB2100" s="1"/>
      <c r="CC2100" s="1"/>
      <c r="CD2100" s="1"/>
      <c r="CE2100" s="1"/>
      <c r="CF2100" s="1"/>
      <c r="CG2100" s="1"/>
      <c r="CH2100" s="1"/>
      <c r="CI2100" s="1"/>
      <c r="CJ2100" s="1"/>
      <c r="CK2100" s="1"/>
      <c r="CL2100" s="1"/>
      <c r="CM2100" s="1"/>
      <c r="CN2100" s="1"/>
      <c r="CO2100" s="1"/>
      <c r="CP2100" s="1"/>
      <c r="CQ2100" s="1"/>
      <c r="CR2100" s="1"/>
      <c r="CS2100" s="1"/>
      <c r="CT2100" s="1"/>
      <c r="CU2100" s="1"/>
      <c r="CV2100" s="1"/>
      <c r="CW2100" s="1"/>
      <c r="CX2100" s="1"/>
      <c r="CY2100" s="1"/>
      <c r="CZ2100" s="1"/>
      <c r="DA2100" s="1"/>
      <c r="DB2100" s="1"/>
      <c r="DC2100" s="1"/>
    </row>
    <row r="2101" spans="1:107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  <c r="BS2101" s="1"/>
      <c r="BT2101" s="1"/>
      <c r="BU2101" s="1"/>
      <c r="BV2101" s="1"/>
      <c r="BW2101" s="1"/>
      <c r="BX2101" s="1"/>
      <c r="BY2101" s="1"/>
      <c r="BZ2101" s="1"/>
      <c r="CA2101" s="1"/>
      <c r="CB2101" s="1"/>
      <c r="CC2101" s="1"/>
      <c r="CD2101" s="1"/>
      <c r="CE2101" s="1"/>
      <c r="CF2101" s="1"/>
      <c r="CG2101" s="1"/>
      <c r="CH2101" s="1"/>
      <c r="CI2101" s="1"/>
      <c r="CJ2101" s="1"/>
      <c r="CK2101" s="1"/>
      <c r="CL2101" s="1"/>
      <c r="CM2101" s="1"/>
      <c r="CN2101" s="1"/>
      <c r="CO2101" s="1"/>
      <c r="CP2101" s="1"/>
      <c r="CQ2101" s="1"/>
      <c r="CR2101" s="1"/>
      <c r="CS2101" s="1"/>
      <c r="CT2101" s="1"/>
      <c r="CU2101" s="1"/>
      <c r="CV2101" s="1"/>
      <c r="CW2101" s="1"/>
      <c r="CX2101" s="1"/>
      <c r="CY2101" s="1"/>
      <c r="CZ2101" s="1"/>
      <c r="DA2101" s="1"/>
      <c r="DB2101" s="1"/>
      <c r="DC2101" s="1"/>
    </row>
    <row r="2102" spans="1:107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  <c r="BR2102" s="1"/>
      <c r="BS2102" s="1"/>
      <c r="BT2102" s="1"/>
      <c r="BU2102" s="1"/>
      <c r="BV2102" s="1"/>
      <c r="BW2102" s="1"/>
      <c r="BX2102" s="1"/>
      <c r="BY2102" s="1"/>
      <c r="BZ2102" s="1"/>
      <c r="CA2102" s="1"/>
      <c r="CB2102" s="1"/>
      <c r="CC2102" s="1"/>
      <c r="CD2102" s="1"/>
      <c r="CE2102" s="1"/>
      <c r="CF2102" s="1"/>
      <c r="CG2102" s="1"/>
      <c r="CH2102" s="1"/>
      <c r="CI2102" s="1"/>
      <c r="CJ2102" s="1"/>
      <c r="CK2102" s="1"/>
      <c r="CL2102" s="1"/>
      <c r="CM2102" s="1"/>
      <c r="CN2102" s="1"/>
      <c r="CO2102" s="1"/>
      <c r="CP2102" s="1"/>
      <c r="CQ2102" s="1"/>
      <c r="CR2102" s="1"/>
      <c r="CS2102" s="1"/>
      <c r="CT2102" s="1"/>
      <c r="CU2102" s="1"/>
      <c r="CV2102" s="1"/>
      <c r="CW2102" s="1"/>
      <c r="CX2102" s="1"/>
      <c r="CY2102" s="1"/>
      <c r="CZ2102" s="1"/>
      <c r="DA2102" s="1"/>
      <c r="DB2102" s="1"/>
      <c r="DC2102" s="1"/>
    </row>
    <row r="2103" spans="1:107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  <c r="BS2103" s="1"/>
      <c r="BT2103" s="1"/>
      <c r="BU2103" s="1"/>
      <c r="BV2103" s="1"/>
      <c r="BW2103" s="1"/>
      <c r="BX2103" s="1"/>
      <c r="BY2103" s="1"/>
      <c r="BZ2103" s="1"/>
      <c r="CA2103" s="1"/>
      <c r="CB2103" s="1"/>
      <c r="CC2103" s="1"/>
      <c r="CD2103" s="1"/>
      <c r="CE2103" s="1"/>
      <c r="CF2103" s="1"/>
      <c r="CG2103" s="1"/>
      <c r="CH2103" s="1"/>
      <c r="CI2103" s="1"/>
      <c r="CJ2103" s="1"/>
      <c r="CK2103" s="1"/>
      <c r="CL2103" s="1"/>
      <c r="CM2103" s="1"/>
      <c r="CN2103" s="1"/>
      <c r="CO2103" s="1"/>
      <c r="CP2103" s="1"/>
      <c r="CQ2103" s="1"/>
      <c r="CR2103" s="1"/>
      <c r="CS2103" s="1"/>
      <c r="CT2103" s="1"/>
      <c r="CU2103" s="1"/>
      <c r="CV2103" s="1"/>
      <c r="CW2103" s="1"/>
      <c r="CX2103" s="1"/>
      <c r="CY2103" s="1"/>
      <c r="CZ2103" s="1"/>
      <c r="DA2103" s="1"/>
      <c r="DB2103" s="1"/>
      <c r="DC2103" s="1"/>
    </row>
    <row r="2104" spans="1:107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  <c r="BR2104" s="1"/>
      <c r="BS2104" s="1"/>
      <c r="BT2104" s="1"/>
      <c r="BU2104" s="1"/>
      <c r="BV2104" s="1"/>
      <c r="BW2104" s="1"/>
      <c r="BX2104" s="1"/>
      <c r="BY2104" s="1"/>
      <c r="BZ2104" s="1"/>
      <c r="CA2104" s="1"/>
      <c r="CB2104" s="1"/>
      <c r="CC2104" s="1"/>
      <c r="CD2104" s="1"/>
      <c r="CE2104" s="1"/>
      <c r="CF2104" s="1"/>
      <c r="CG2104" s="1"/>
      <c r="CH2104" s="1"/>
      <c r="CI2104" s="1"/>
      <c r="CJ2104" s="1"/>
      <c r="CK2104" s="1"/>
      <c r="CL2104" s="1"/>
      <c r="CM2104" s="1"/>
      <c r="CN2104" s="1"/>
      <c r="CO2104" s="1"/>
      <c r="CP2104" s="1"/>
      <c r="CQ2104" s="1"/>
      <c r="CR2104" s="1"/>
      <c r="CS2104" s="1"/>
      <c r="CT2104" s="1"/>
      <c r="CU2104" s="1"/>
      <c r="CV2104" s="1"/>
      <c r="CW2104" s="1"/>
      <c r="CX2104" s="1"/>
      <c r="CY2104" s="1"/>
      <c r="CZ2104" s="1"/>
      <c r="DA2104" s="1"/>
      <c r="DB2104" s="1"/>
      <c r="DC2104" s="1"/>
    </row>
    <row r="2105" spans="1:107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  <c r="BS2105" s="1"/>
      <c r="BT2105" s="1"/>
      <c r="BU2105" s="1"/>
      <c r="BV2105" s="1"/>
      <c r="BW2105" s="1"/>
      <c r="BX2105" s="1"/>
      <c r="BY2105" s="1"/>
      <c r="BZ2105" s="1"/>
      <c r="CA2105" s="1"/>
      <c r="CB2105" s="1"/>
      <c r="CC2105" s="1"/>
      <c r="CD2105" s="1"/>
      <c r="CE2105" s="1"/>
      <c r="CF2105" s="1"/>
      <c r="CG2105" s="1"/>
      <c r="CH2105" s="1"/>
      <c r="CI2105" s="1"/>
      <c r="CJ2105" s="1"/>
      <c r="CK2105" s="1"/>
      <c r="CL2105" s="1"/>
      <c r="CM2105" s="1"/>
      <c r="CN2105" s="1"/>
      <c r="CO2105" s="1"/>
      <c r="CP2105" s="1"/>
      <c r="CQ2105" s="1"/>
      <c r="CR2105" s="1"/>
      <c r="CS2105" s="1"/>
      <c r="CT2105" s="1"/>
      <c r="CU2105" s="1"/>
      <c r="CV2105" s="1"/>
      <c r="CW2105" s="1"/>
      <c r="CX2105" s="1"/>
      <c r="CY2105" s="1"/>
      <c r="CZ2105" s="1"/>
      <c r="DA2105" s="1"/>
      <c r="DB2105" s="1"/>
      <c r="DC2105" s="1"/>
    </row>
    <row r="2106" spans="1:107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  <c r="BX2106" s="1"/>
      <c r="BY2106" s="1"/>
      <c r="BZ2106" s="1"/>
      <c r="CA2106" s="1"/>
      <c r="CB2106" s="1"/>
      <c r="CC2106" s="1"/>
      <c r="CD2106" s="1"/>
      <c r="CE2106" s="1"/>
      <c r="CF2106" s="1"/>
      <c r="CG2106" s="1"/>
      <c r="CH2106" s="1"/>
      <c r="CI2106" s="1"/>
      <c r="CJ2106" s="1"/>
      <c r="CK2106" s="1"/>
      <c r="CL2106" s="1"/>
      <c r="CM2106" s="1"/>
      <c r="CN2106" s="1"/>
      <c r="CO2106" s="1"/>
      <c r="CP2106" s="1"/>
      <c r="CQ2106" s="1"/>
      <c r="CR2106" s="1"/>
      <c r="CS2106" s="1"/>
      <c r="CT2106" s="1"/>
      <c r="CU2106" s="1"/>
      <c r="CV2106" s="1"/>
      <c r="CW2106" s="1"/>
      <c r="CX2106" s="1"/>
      <c r="CY2106" s="1"/>
      <c r="CZ2106" s="1"/>
      <c r="DA2106" s="1"/>
      <c r="DB2106" s="1"/>
      <c r="DC2106" s="1"/>
    </row>
    <row r="2107" spans="1:10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  <c r="BX2107" s="1"/>
      <c r="BY2107" s="1"/>
      <c r="BZ2107" s="1"/>
      <c r="CA2107" s="1"/>
      <c r="CB2107" s="1"/>
      <c r="CC2107" s="1"/>
      <c r="CD2107" s="1"/>
      <c r="CE2107" s="1"/>
      <c r="CF2107" s="1"/>
      <c r="CG2107" s="1"/>
      <c r="CH2107" s="1"/>
      <c r="CI2107" s="1"/>
      <c r="CJ2107" s="1"/>
      <c r="CK2107" s="1"/>
      <c r="CL2107" s="1"/>
      <c r="CM2107" s="1"/>
      <c r="CN2107" s="1"/>
      <c r="CO2107" s="1"/>
      <c r="CP2107" s="1"/>
      <c r="CQ2107" s="1"/>
      <c r="CR2107" s="1"/>
      <c r="CS2107" s="1"/>
      <c r="CT2107" s="1"/>
      <c r="CU2107" s="1"/>
      <c r="CV2107" s="1"/>
      <c r="CW2107" s="1"/>
      <c r="CX2107" s="1"/>
      <c r="CY2107" s="1"/>
      <c r="CZ2107" s="1"/>
      <c r="DA2107" s="1"/>
      <c r="DB2107" s="1"/>
      <c r="DC2107" s="1"/>
    </row>
    <row r="2108" spans="1:107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1"/>
      <c r="BU2108" s="1"/>
      <c r="BV2108" s="1"/>
      <c r="BW2108" s="1"/>
      <c r="BX2108" s="1"/>
      <c r="BY2108" s="1"/>
      <c r="BZ2108" s="1"/>
      <c r="CA2108" s="1"/>
      <c r="CB2108" s="1"/>
      <c r="CC2108" s="1"/>
      <c r="CD2108" s="1"/>
      <c r="CE2108" s="1"/>
      <c r="CF2108" s="1"/>
      <c r="CG2108" s="1"/>
      <c r="CH2108" s="1"/>
      <c r="CI2108" s="1"/>
      <c r="CJ2108" s="1"/>
      <c r="CK2108" s="1"/>
      <c r="CL2108" s="1"/>
      <c r="CM2108" s="1"/>
      <c r="CN2108" s="1"/>
      <c r="CO2108" s="1"/>
      <c r="CP2108" s="1"/>
      <c r="CQ2108" s="1"/>
      <c r="CR2108" s="1"/>
      <c r="CS2108" s="1"/>
      <c r="CT2108" s="1"/>
      <c r="CU2108" s="1"/>
      <c r="CV2108" s="1"/>
      <c r="CW2108" s="1"/>
      <c r="CX2108" s="1"/>
      <c r="CY2108" s="1"/>
      <c r="CZ2108" s="1"/>
      <c r="DA2108" s="1"/>
      <c r="DB2108" s="1"/>
      <c r="DC2108" s="1"/>
    </row>
    <row r="2109" spans="1:107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1"/>
      <c r="BY2109" s="1"/>
      <c r="BZ2109" s="1"/>
      <c r="CA2109" s="1"/>
      <c r="CB2109" s="1"/>
      <c r="CC2109" s="1"/>
      <c r="CD2109" s="1"/>
      <c r="CE2109" s="1"/>
      <c r="CF2109" s="1"/>
      <c r="CG2109" s="1"/>
      <c r="CH2109" s="1"/>
      <c r="CI2109" s="1"/>
      <c r="CJ2109" s="1"/>
      <c r="CK2109" s="1"/>
      <c r="CL2109" s="1"/>
      <c r="CM2109" s="1"/>
      <c r="CN2109" s="1"/>
      <c r="CO2109" s="1"/>
      <c r="CP2109" s="1"/>
      <c r="CQ2109" s="1"/>
      <c r="CR2109" s="1"/>
      <c r="CS2109" s="1"/>
      <c r="CT2109" s="1"/>
      <c r="CU2109" s="1"/>
      <c r="CV2109" s="1"/>
      <c r="CW2109" s="1"/>
      <c r="CX2109" s="1"/>
      <c r="CY2109" s="1"/>
      <c r="CZ2109" s="1"/>
      <c r="DA2109" s="1"/>
      <c r="DB2109" s="1"/>
      <c r="DC2109" s="1"/>
    </row>
    <row r="2110" spans="1:107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  <c r="BR2110" s="1"/>
      <c r="BS2110" s="1"/>
      <c r="BT2110" s="1"/>
      <c r="BU2110" s="1"/>
      <c r="BV2110" s="1"/>
      <c r="BW2110" s="1"/>
      <c r="BX2110" s="1"/>
      <c r="BY2110" s="1"/>
      <c r="BZ2110" s="1"/>
      <c r="CA2110" s="1"/>
      <c r="CB2110" s="1"/>
      <c r="CC2110" s="1"/>
      <c r="CD2110" s="1"/>
      <c r="CE2110" s="1"/>
      <c r="CF2110" s="1"/>
      <c r="CG2110" s="1"/>
      <c r="CH2110" s="1"/>
      <c r="CI2110" s="1"/>
      <c r="CJ2110" s="1"/>
      <c r="CK2110" s="1"/>
      <c r="CL2110" s="1"/>
      <c r="CM2110" s="1"/>
      <c r="CN2110" s="1"/>
      <c r="CO2110" s="1"/>
      <c r="CP2110" s="1"/>
      <c r="CQ2110" s="1"/>
      <c r="CR2110" s="1"/>
      <c r="CS2110" s="1"/>
      <c r="CT2110" s="1"/>
      <c r="CU2110" s="1"/>
      <c r="CV2110" s="1"/>
      <c r="CW2110" s="1"/>
      <c r="CX2110" s="1"/>
      <c r="CY2110" s="1"/>
      <c r="CZ2110" s="1"/>
      <c r="DA2110" s="1"/>
      <c r="DB2110" s="1"/>
      <c r="DC2110" s="1"/>
    </row>
    <row r="2111" spans="1:107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  <c r="BS2111" s="1"/>
      <c r="BT2111" s="1"/>
      <c r="BU2111" s="1"/>
      <c r="BV2111" s="1"/>
      <c r="BW2111" s="1"/>
      <c r="BX2111" s="1"/>
      <c r="BY2111" s="1"/>
      <c r="BZ2111" s="1"/>
      <c r="CA2111" s="1"/>
      <c r="CB2111" s="1"/>
      <c r="CC2111" s="1"/>
      <c r="CD2111" s="1"/>
      <c r="CE2111" s="1"/>
      <c r="CF2111" s="1"/>
      <c r="CG2111" s="1"/>
      <c r="CH2111" s="1"/>
      <c r="CI2111" s="1"/>
      <c r="CJ2111" s="1"/>
      <c r="CK2111" s="1"/>
      <c r="CL2111" s="1"/>
      <c r="CM2111" s="1"/>
      <c r="CN2111" s="1"/>
      <c r="CO2111" s="1"/>
      <c r="CP2111" s="1"/>
      <c r="CQ2111" s="1"/>
      <c r="CR2111" s="1"/>
      <c r="CS2111" s="1"/>
      <c r="CT2111" s="1"/>
      <c r="CU2111" s="1"/>
      <c r="CV2111" s="1"/>
      <c r="CW2111" s="1"/>
      <c r="CX2111" s="1"/>
      <c r="CY2111" s="1"/>
      <c r="CZ2111" s="1"/>
      <c r="DA2111" s="1"/>
      <c r="DB2111" s="1"/>
      <c r="DC2111" s="1"/>
    </row>
    <row r="2112" spans="1:107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  <c r="BR2112" s="1"/>
      <c r="BS2112" s="1"/>
      <c r="BT2112" s="1"/>
      <c r="BU2112" s="1"/>
      <c r="BV2112" s="1"/>
      <c r="BW2112" s="1"/>
      <c r="BX2112" s="1"/>
      <c r="BY2112" s="1"/>
      <c r="BZ2112" s="1"/>
      <c r="CA2112" s="1"/>
      <c r="CB2112" s="1"/>
      <c r="CC2112" s="1"/>
      <c r="CD2112" s="1"/>
      <c r="CE2112" s="1"/>
      <c r="CF2112" s="1"/>
      <c r="CG2112" s="1"/>
      <c r="CH2112" s="1"/>
      <c r="CI2112" s="1"/>
      <c r="CJ2112" s="1"/>
      <c r="CK2112" s="1"/>
      <c r="CL2112" s="1"/>
      <c r="CM2112" s="1"/>
      <c r="CN2112" s="1"/>
      <c r="CO2112" s="1"/>
      <c r="CP2112" s="1"/>
      <c r="CQ2112" s="1"/>
      <c r="CR2112" s="1"/>
      <c r="CS2112" s="1"/>
      <c r="CT2112" s="1"/>
      <c r="CU2112" s="1"/>
      <c r="CV2112" s="1"/>
      <c r="CW2112" s="1"/>
      <c r="CX2112" s="1"/>
      <c r="CY2112" s="1"/>
      <c r="CZ2112" s="1"/>
      <c r="DA2112" s="1"/>
      <c r="DB2112" s="1"/>
      <c r="DC2112" s="1"/>
    </row>
    <row r="2113" spans="1:107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1"/>
      <c r="BU2113" s="1"/>
      <c r="BV2113" s="1"/>
      <c r="BW2113" s="1"/>
      <c r="BX2113" s="1"/>
      <c r="BY2113" s="1"/>
      <c r="BZ2113" s="1"/>
      <c r="CA2113" s="1"/>
      <c r="CB2113" s="1"/>
      <c r="CC2113" s="1"/>
      <c r="CD2113" s="1"/>
      <c r="CE2113" s="1"/>
      <c r="CF2113" s="1"/>
      <c r="CG2113" s="1"/>
      <c r="CH2113" s="1"/>
      <c r="CI2113" s="1"/>
      <c r="CJ2113" s="1"/>
      <c r="CK2113" s="1"/>
      <c r="CL2113" s="1"/>
      <c r="CM2113" s="1"/>
      <c r="CN2113" s="1"/>
      <c r="CO2113" s="1"/>
      <c r="CP2113" s="1"/>
      <c r="CQ2113" s="1"/>
      <c r="CR2113" s="1"/>
      <c r="CS2113" s="1"/>
      <c r="CT2113" s="1"/>
      <c r="CU2113" s="1"/>
      <c r="CV2113" s="1"/>
      <c r="CW2113" s="1"/>
      <c r="CX2113" s="1"/>
      <c r="CY2113" s="1"/>
      <c r="CZ2113" s="1"/>
      <c r="DA2113" s="1"/>
      <c r="DB2113" s="1"/>
      <c r="DC2113" s="1"/>
    </row>
    <row r="2114" spans="1:107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  <c r="BS2114" s="1"/>
      <c r="BT2114" s="1"/>
      <c r="BU2114" s="1"/>
      <c r="BV2114" s="1"/>
      <c r="BW2114" s="1"/>
      <c r="BX2114" s="1"/>
      <c r="BY2114" s="1"/>
      <c r="BZ2114" s="1"/>
      <c r="CA2114" s="1"/>
      <c r="CB2114" s="1"/>
      <c r="CC2114" s="1"/>
      <c r="CD2114" s="1"/>
      <c r="CE2114" s="1"/>
      <c r="CF2114" s="1"/>
      <c r="CG2114" s="1"/>
      <c r="CH2114" s="1"/>
      <c r="CI2114" s="1"/>
      <c r="CJ2114" s="1"/>
      <c r="CK2114" s="1"/>
      <c r="CL2114" s="1"/>
      <c r="CM2114" s="1"/>
      <c r="CN2114" s="1"/>
      <c r="CO2114" s="1"/>
      <c r="CP2114" s="1"/>
      <c r="CQ2114" s="1"/>
      <c r="CR2114" s="1"/>
      <c r="CS2114" s="1"/>
      <c r="CT2114" s="1"/>
      <c r="CU2114" s="1"/>
      <c r="CV2114" s="1"/>
      <c r="CW2114" s="1"/>
      <c r="CX2114" s="1"/>
      <c r="CY2114" s="1"/>
      <c r="CZ2114" s="1"/>
      <c r="DA2114" s="1"/>
      <c r="DB2114" s="1"/>
      <c r="DC2114" s="1"/>
    </row>
    <row r="2115" spans="1:107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  <c r="BS2115" s="1"/>
      <c r="BT2115" s="1"/>
      <c r="BU2115" s="1"/>
      <c r="BV2115" s="1"/>
      <c r="BW2115" s="1"/>
      <c r="BX2115" s="1"/>
      <c r="BY2115" s="1"/>
      <c r="BZ2115" s="1"/>
      <c r="CA2115" s="1"/>
      <c r="CB2115" s="1"/>
      <c r="CC2115" s="1"/>
      <c r="CD2115" s="1"/>
      <c r="CE2115" s="1"/>
      <c r="CF2115" s="1"/>
      <c r="CG2115" s="1"/>
      <c r="CH2115" s="1"/>
      <c r="CI2115" s="1"/>
      <c r="CJ2115" s="1"/>
      <c r="CK2115" s="1"/>
      <c r="CL2115" s="1"/>
      <c r="CM2115" s="1"/>
      <c r="CN2115" s="1"/>
      <c r="CO2115" s="1"/>
      <c r="CP2115" s="1"/>
      <c r="CQ2115" s="1"/>
      <c r="CR2115" s="1"/>
      <c r="CS2115" s="1"/>
      <c r="CT2115" s="1"/>
      <c r="CU2115" s="1"/>
      <c r="CV2115" s="1"/>
      <c r="CW2115" s="1"/>
      <c r="CX2115" s="1"/>
      <c r="CY2115" s="1"/>
      <c r="CZ2115" s="1"/>
      <c r="DA2115" s="1"/>
      <c r="DB2115" s="1"/>
      <c r="DC2115" s="1"/>
    </row>
    <row r="2116" spans="1:107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  <c r="BR2116" s="1"/>
      <c r="BS2116" s="1"/>
      <c r="BT2116" s="1"/>
      <c r="BU2116" s="1"/>
      <c r="BV2116" s="1"/>
      <c r="BW2116" s="1"/>
      <c r="BX2116" s="1"/>
      <c r="BY2116" s="1"/>
      <c r="BZ2116" s="1"/>
      <c r="CA2116" s="1"/>
      <c r="CB2116" s="1"/>
      <c r="CC2116" s="1"/>
      <c r="CD2116" s="1"/>
      <c r="CE2116" s="1"/>
      <c r="CF2116" s="1"/>
      <c r="CG2116" s="1"/>
      <c r="CH2116" s="1"/>
      <c r="CI2116" s="1"/>
      <c r="CJ2116" s="1"/>
      <c r="CK2116" s="1"/>
      <c r="CL2116" s="1"/>
      <c r="CM2116" s="1"/>
      <c r="CN2116" s="1"/>
      <c r="CO2116" s="1"/>
      <c r="CP2116" s="1"/>
      <c r="CQ2116" s="1"/>
      <c r="CR2116" s="1"/>
      <c r="CS2116" s="1"/>
      <c r="CT2116" s="1"/>
      <c r="CU2116" s="1"/>
      <c r="CV2116" s="1"/>
      <c r="CW2116" s="1"/>
      <c r="CX2116" s="1"/>
      <c r="CY2116" s="1"/>
      <c r="CZ2116" s="1"/>
      <c r="DA2116" s="1"/>
      <c r="DB2116" s="1"/>
      <c r="DC2116" s="1"/>
    </row>
    <row r="2117" spans="1:107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  <c r="BR2117" s="1"/>
      <c r="BS2117" s="1"/>
      <c r="BT2117" s="1"/>
      <c r="BU2117" s="1"/>
      <c r="BV2117" s="1"/>
      <c r="BW2117" s="1"/>
      <c r="BX2117" s="1"/>
      <c r="BY2117" s="1"/>
      <c r="BZ2117" s="1"/>
      <c r="CA2117" s="1"/>
      <c r="CB2117" s="1"/>
      <c r="CC2117" s="1"/>
      <c r="CD2117" s="1"/>
      <c r="CE2117" s="1"/>
      <c r="CF2117" s="1"/>
      <c r="CG2117" s="1"/>
      <c r="CH2117" s="1"/>
      <c r="CI2117" s="1"/>
      <c r="CJ2117" s="1"/>
      <c r="CK2117" s="1"/>
      <c r="CL2117" s="1"/>
      <c r="CM2117" s="1"/>
      <c r="CN2117" s="1"/>
      <c r="CO2117" s="1"/>
      <c r="CP2117" s="1"/>
      <c r="CQ2117" s="1"/>
      <c r="CR2117" s="1"/>
      <c r="CS2117" s="1"/>
      <c r="CT2117" s="1"/>
      <c r="CU2117" s="1"/>
      <c r="CV2117" s="1"/>
      <c r="CW2117" s="1"/>
      <c r="CX2117" s="1"/>
      <c r="CY2117" s="1"/>
      <c r="CZ2117" s="1"/>
      <c r="DA2117" s="1"/>
      <c r="DB2117" s="1"/>
      <c r="DC2117" s="1"/>
    </row>
    <row r="2118" spans="1:107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  <c r="BK2118" s="1"/>
      <c r="BL2118" s="1"/>
      <c r="BM2118" s="1"/>
      <c r="BN2118" s="1"/>
      <c r="BO2118" s="1"/>
      <c r="BP2118" s="1"/>
      <c r="BQ2118" s="1"/>
      <c r="BR2118" s="1"/>
      <c r="BS2118" s="1"/>
      <c r="BT2118" s="1"/>
      <c r="BU2118" s="1"/>
      <c r="BV2118" s="1"/>
      <c r="BW2118" s="1"/>
      <c r="BX2118" s="1"/>
      <c r="BY2118" s="1"/>
      <c r="BZ2118" s="1"/>
      <c r="CA2118" s="1"/>
      <c r="CB2118" s="1"/>
      <c r="CC2118" s="1"/>
      <c r="CD2118" s="1"/>
      <c r="CE2118" s="1"/>
      <c r="CF2118" s="1"/>
      <c r="CG2118" s="1"/>
      <c r="CH2118" s="1"/>
      <c r="CI2118" s="1"/>
      <c r="CJ2118" s="1"/>
      <c r="CK2118" s="1"/>
      <c r="CL2118" s="1"/>
      <c r="CM2118" s="1"/>
      <c r="CN2118" s="1"/>
      <c r="CO2118" s="1"/>
      <c r="CP2118" s="1"/>
      <c r="CQ2118" s="1"/>
      <c r="CR2118" s="1"/>
      <c r="CS2118" s="1"/>
      <c r="CT2118" s="1"/>
      <c r="CU2118" s="1"/>
      <c r="CV2118" s="1"/>
      <c r="CW2118" s="1"/>
      <c r="CX2118" s="1"/>
      <c r="CY2118" s="1"/>
      <c r="CZ2118" s="1"/>
      <c r="DA2118" s="1"/>
      <c r="DB2118" s="1"/>
      <c r="DC2118" s="1"/>
    </row>
    <row r="2119" spans="1:107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  <c r="BJ2119" s="1"/>
      <c r="BK2119" s="1"/>
      <c r="BL2119" s="1"/>
      <c r="BM2119" s="1"/>
      <c r="BN2119" s="1"/>
      <c r="BO2119" s="1"/>
      <c r="BP2119" s="1"/>
      <c r="BQ2119" s="1"/>
      <c r="BR2119" s="1"/>
      <c r="BS2119" s="1"/>
      <c r="BT2119" s="1"/>
      <c r="BU2119" s="1"/>
      <c r="BV2119" s="1"/>
      <c r="BW2119" s="1"/>
      <c r="BX2119" s="1"/>
      <c r="BY2119" s="1"/>
      <c r="BZ2119" s="1"/>
      <c r="CA2119" s="1"/>
      <c r="CB2119" s="1"/>
      <c r="CC2119" s="1"/>
      <c r="CD2119" s="1"/>
      <c r="CE2119" s="1"/>
      <c r="CF2119" s="1"/>
      <c r="CG2119" s="1"/>
      <c r="CH2119" s="1"/>
      <c r="CI2119" s="1"/>
      <c r="CJ2119" s="1"/>
      <c r="CK2119" s="1"/>
      <c r="CL2119" s="1"/>
      <c r="CM2119" s="1"/>
      <c r="CN2119" s="1"/>
      <c r="CO2119" s="1"/>
      <c r="CP2119" s="1"/>
      <c r="CQ2119" s="1"/>
      <c r="CR2119" s="1"/>
      <c r="CS2119" s="1"/>
      <c r="CT2119" s="1"/>
      <c r="CU2119" s="1"/>
      <c r="CV2119" s="1"/>
      <c r="CW2119" s="1"/>
      <c r="CX2119" s="1"/>
      <c r="CY2119" s="1"/>
      <c r="CZ2119" s="1"/>
      <c r="DA2119" s="1"/>
      <c r="DB2119" s="1"/>
      <c r="DC2119" s="1"/>
    </row>
    <row r="2120" spans="1:107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  <c r="BM2120" s="1"/>
      <c r="BN2120" s="1"/>
      <c r="BO2120" s="1"/>
      <c r="BP2120" s="1"/>
      <c r="BQ2120" s="1"/>
      <c r="BR2120" s="1"/>
      <c r="BS2120" s="1"/>
      <c r="BT2120" s="1"/>
      <c r="BU2120" s="1"/>
      <c r="BV2120" s="1"/>
      <c r="BW2120" s="1"/>
      <c r="BX2120" s="1"/>
      <c r="BY2120" s="1"/>
      <c r="BZ2120" s="1"/>
      <c r="CA2120" s="1"/>
      <c r="CB2120" s="1"/>
      <c r="CC2120" s="1"/>
      <c r="CD2120" s="1"/>
      <c r="CE2120" s="1"/>
      <c r="CF2120" s="1"/>
      <c r="CG2120" s="1"/>
      <c r="CH2120" s="1"/>
      <c r="CI2120" s="1"/>
      <c r="CJ2120" s="1"/>
      <c r="CK2120" s="1"/>
      <c r="CL2120" s="1"/>
      <c r="CM2120" s="1"/>
      <c r="CN2120" s="1"/>
      <c r="CO2120" s="1"/>
      <c r="CP2120" s="1"/>
      <c r="CQ2120" s="1"/>
      <c r="CR2120" s="1"/>
      <c r="CS2120" s="1"/>
      <c r="CT2120" s="1"/>
      <c r="CU2120" s="1"/>
      <c r="CV2120" s="1"/>
      <c r="CW2120" s="1"/>
      <c r="CX2120" s="1"/>
      <c r="CY2120" s="1"/>
      <c r="CZ2120" s="1"/>
      <c r="DA2120" s="1"/>
      <c r="DB2120" s="1"/>
      <c r="DC2120" s="1"/>
    </row>
    <row r="2121" spans="1:107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  <c r="BQ2121" s="1"/>
      <c r="BR2121" s="1"/>
      <c r="BS2121" s="1"/>
      <c r="BT2121" s="1"/>
      <c r="BU2121" s="1"/>
      <c r="BV2121" s="1"/>
      <c r="BW2121" s="1"/>
      <c r="BX2121" s="1"/>
      <c r="BY2121" s="1"/>
      <c r="BZ2121" s="1"/>
      <c r="CA2121" s="1"/>
      <c r="CB2121" s="1"/>
      <c r="CC2121" s="1"/>
      <c r="CD2121" s="1"/>
      <c r="CE2121" s="1"/>
      <c r="CF2121" s="1"/>
      <c r="CG2121" s="1"/>
      <c r="CH2121" s="1"/>
      <c r="CI2121" s="1"/>
      <c r="CJ2121" s="1"/>
      <c r="CK2121" s="1"/>
      <c r="CL2121" s="1"/>
      <c r="CM2121" s="1"/>
      <c r="CN2121" s="1"/>
      <c r="CO2121" s="1"/>
      <c r="CP2121" s="1"/>
      <c r="CQ2121" s="1"/>
      <c r="CR2121" s="1"/>
      <c r="CS2121" s="1"/>
      <c r="CT2121" s="1"/>
      <c r="CU2121" s="1"/>
      <c r="CV2121" s="1"/>
      <c r="CW2121" s="1"/>
      <c r="CX2121" s="1"/>
      <c r="CY2121" s="1"/>
      <c r="CZ2121" s="1"/>
      <c r="DA2121" s="1"/>
      <c r="DB2121" s="1"/>
      <c r="DC2121" s="1"/>
    </row>
    <row r="2122" spans="1:107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/>
      <c r="BJ2122" s="1"/>
      <c r="BK2122" s="1"/>
      <c r="BL2122" s="1"/>
      <c r="BM2122" s="1"/>
      <c r="BN2122" s="1"/>
      <c r="BO2122" s="1"/>
      <c r="BP2122" s="1"/>
      <c r="BQ2122" s="1"/>
      <c r="BR2122" s="1"/>
      <c r="BS2122" s="1"/>
      <c r="BT2122" s="1"/>
      <c r="BU2122" s="1"/>
      <c r="BV2122" s="1"/>
      <c r="BW2122" s="1"/>
      <c r="BX2122" s="1"/>
      <c r="BY2122" s="1"/>
      <c r="BZ2122" s="1"/>
      <c r="CA2122" s="1"/>
      <c r="CB2122" s="1"/>
      <c r="CC2122" s="1"/>
      <c r="CD2122" s="1"/>
      <c r="CE2122" s="1"/>
      <c r="CF2122" s="1"/>
      <c r="CG2122" s="1"/>
      <c r="CH2122" s="1"/>
      <c r="CI2122" s="1"/>
      <c r="CJ2122" s="1"/>
      <c r="CK2122" s="1"/>
      <c r="CL2122" s="1"/>
      <c r="CM2122" s="1"/>
      <c r="CN2122" s="1"/>
      <c r="CO2122" s="1"/>
      <c r="CP2122" s="1"/>
      <c r="CQ2122" s="1"/>
      <c r="CR2122" s="1"/>
      <c r="CS2122" s="1"/>
      <c r="CT2122" s="1"/>
      <c r="CU2122" s="1"/>
      <c r="CV2122" s="1"/>
      <c r="CW2122" s="1"/>
      <c r="CX2122" s="1"/>
      <c r="CY2122" s="1"/>
      <c r="CZ2122" s="1"/>
      <c r="DA2122" s="1"/>
      <c r="DB2122" s="1"/>
      <c r="DC2122" s="1"/>
    </row>
    <row r="2123" spans="1:107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  <c r="BM2123" s="1"/>
      <c r="BN2123" s="1"/>
      <c r="BO2123" s="1"/>
      <c r="BP2123" s="1"/>
      <c r="BQ2123" s="1"/>
      <c r="BR2123" s="1"/>
      <c r="BS2123" s="1"/>
      <c r="BT2123" s="1"/>
      <c r="BU2123" s="1"/>
      <c r="BV2123" s="1"/>
      <c r="BW2123" s="1"/>
      <c r="BX2123" s="1"/>
      <c r="BY2123" s="1"/>
      <c r="BZ2123" s="1"/>
      <c r="CA2123" s="1"/>
      <c r="CB2123" s="1"/>
      <c r="CC2123" s="1"/>
      <c r="CD2123" s="1"/>
      <c r="CE2123" s="1"/>
      <c r="CF2123" s="1"/>
      <c r="CG2123" s="1"/>
      <c r="CH2123" s="1"/>
      <c r="CI2123" s="1"/>
      <c r="CJ2123" s="1"/>
      <c r="CK2123" s="1"/>
      <c r="CL2123" s="1"/>
      <c r="CM2123" s="1"/>
      <c r="CN2123" s="1"/>
      <c r="CO2123" s="1"/>
      <c r="CP2123" s="1"/>
      <c r="CQ2123" s="1"/>
      <c r="CR2123" s="1"/>
      <c r="CS2123" s="1"/>
      <c r="CT2123" s="1"/>
      <c r="CU2123" s="1"/>
      <c r="CV2123" s="1"/>
      <c r="CW2123" s="1"/>
      <c r="CX2123" s="1"/>
      <c r="CY2123" s="1"/>
      <c r="CZ2123" s="1"/>
      <c r="DA2123" s="1"/>
      <c r="DB2123" s="1"/>
      <c r="DC2123" s="1"/>
    </row>
    <row r="2124" spans="1:107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  <c r="BK2124" s="1"/>
      <c r="BL2124" s="1"/>
      <c r="BM2124" s="1"/>
      <c r="BN2124" s="1"/>
      <c r="BO2124" s="1"/>
      <c r="BP2124" s="1"/>
      <c r="BQ2124" s="1"/>
      <c r="BR2124" s="1"/>
      <c r="BS2124" s="1"/>
      <c r="BT2124" s="1"/>
      <c r="BU2124" s="1"/>
      <c r="BV2124" s="1"/>
      <c r="BW2124" s="1"/>
      <c r="BX2124" s="1"/>
      <c r="BY2124" s="1"/>
      <c r="BZ2124" s="1"/>
      <c r="CA2124" s="1"/>
      <c r="CB2124" s="1"/>
      <c r="CC2124" s="1"/>
      <c r="CD2124" s="1"/>
      <c r="CE2124" s="1"/>
      <c r="CF2124" s="1"/>
      <c r="CG2124" s="1"/>
      <c r="CH2124" s="1"/>
      <c r="CI2124" s="1"/>
      <c r="CJ2124" s="1"/>
      <c r="CK2124" s="1"/>
      <c r="CL2124" s="1"/>
      <c r="CM2124" s="1"/>
      <c r="CN2124" s="1"/>
      <c r="CO2124" s="1"/>
      <c r="CP2124" s="1"/>
      <c r="CQ2124" s="1"/>
      <c r="CR2124" s="1"/>
      <c r="CS2124" s="1"/>
      <c r="CT2124" s="1"/>
      <c r="CU2124" s="1"/>
      <c r="CV2124" s="1"/>
      <c r="CW2124" s="1"/>
      <c r="CX2124" s="1"/>
      <c r="CY2124" s="1"/>
      <c r="CZ2124" s="1"/>
      <c r="DA2124" s="1"/>
      <c r="DB2124" s="1"/>
      <c r="DC2124" s="1"/>
    </row>
    <row r="2125" spans="1:107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  <c r="BR2125" s="1"/>
      <c r="BS2125" s="1"/>
      <c r="BT2125" s="1"/>
      <c r="BU2125" s="1"/>
      <c r="BV2125" s="1"/>
      <c r="BW2125" s="1"/>
      <c r="BX2125" s="1"/>
      <c r="BY2125" s="1"/>
      <c r="BZ2125" s="1"/>
      <c r="CA2125" s="1"/>
      <c r="CB2125" s="1"/>
      <c r="CC2125" s="1"/>
      <c r="CD2125" s="1"/>
      <c r="CE2125" s="1"/>
      <c r="CF2125" s="1"/>
      <c r="CG2125" s="1"/>
      <c r="CH2125" s="1"/>
      <c r="CI2125" s="1"/>
      <c r="CJ2125" s="1"/>
      <c r="CK2125" s="1"/>
      <c r="CL2125" s="1"/>
      <c r="CM2125" s="1"/>
      <c r="CN2125" s="1"/>
      <c r="CO2125" s="1"/>
      <c r="CP2125" s="1"/>
      <c r="CQ2125" s="1"/>
      <c r="CR2125" s="1"/>
      <c r="CS2125" s="1"/>
      <c r="CT2125" s="1"/>
      <c r="CU2125" s="1"/>
      <c r="CV2125" s="1"/>
      <c r="CW2125" s="1"/>
      <c r="CX2125" s="1"/>
      <c r="CY2125" s="1"/>
      <c r="CZ2125" s="1"/>
      <c r="DA2125" s="1"/>
      <c r="DB2125" s="1"/>
      <c r="DC2125" s="1"/>
    </row>
    <row r="2126" spans="1:107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  <c r="BM2126" s="1"/>
      <c r="BN2126" s="1"/>
      <c r="BO2126" s="1"/>
      <c r="BP2126" s="1"/>
      <c r="BQ2126" s="1"/>
      <c r="BR2126" s="1"/>
      <c r="BS2126" s="1"/>
      <c r="BT2126" s="1"/>
      <c r="BU2126" s="1"/>
      <c r="BV2126" s="1"/>
      <c r="BW2126" s="1"/>
      <c r="BX2126" s="1"/>
      <c r="BY2126" s="1"/>
      <c r="BZ2126" s="1"/>
      <c r="CA2126" s="1"/>
      <c r="CB2126" s="1"/>
      <c r="CC2126" s="1"/>
      <c r="CD2126" s="1"/>
      <c r="CE2126" s="1"/>
      <c r="CF2126" s="1"/>
      <c r="CG2126" s="1"/>
      <c r="CH2126" s="1"/>
      <c r="CI2126" s="1"/>
      <c r="CJ2126" s="1"/>
      <c r="CK2126" s="1"/>
      <c r="CL2126" s="1"/>
      <c r="CM2126" s="1"/>
      <c r="CN2126" s="1"/>
      <c r="CO2126" s="1"/>
      <c r="CP2126" s="1"/>
      <c r="CQ2126" s="1"/>
      <c r="CR2126" s="1"/>
      <c r="CS2126" s="1"/>
      <c r="CT2126" s="1"/>
      <c r="CU2126" s="1"/>
      <c r="CV2126" s="1"/>
      <c r="CW2126" s="1"/>
      <c r="CX2126" s="1"/>
      <c r="CY2126" s="1"/>
      <c r="CZ2126" s="1"/>
      <c r="DA2126" s="1"/>
      <c r="DB2126" s="1"/>
      <c r="DC2126" s="1"/>
    </row>
    <row r="2127" spans="1:10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  <c r="BR2127" s="1"/>
      <c r="BS2127" s="1"/>
      <c r="BT2127" s="1"/>
      <c r="BU2127" s="1"/>
      <c r="BV2127" s="1"/>
      <c r="BW2127" s="1"/>
      <c r="BX2127" s="1"/>
      <c r="BY2127" s="1"/>
      <c r="BZ2127" s="1"/>
      <c r="CA2127" s="1"/>
      <c r="CB2127" s="1"/>
      <c r="CC2127" s="1"/>
      <c r="CD2127" s="1"/>
      <c r="CE2127" s="1"/>
      <c r="CF2127" s="1"/>
      <c r="CG2127" s="1"/>
      <c r="CH2127" s="1"/>
      <c r="CI2127" s="1"/>
      <c r="CJ2127" s="1"/>
      <c r="CK2127" s="1"/>
      <c r="CL2127" s="1"/>
      <c r="CM2127" s="1"/>
      <c r="CN2127" s="1"/>
      <c r="CO2127" s="1"/>
      <c r="CP2127" s="1"/>
      <c r="CQ2127" s="1"/>
      <c r="CR2127" s="1"/>
      <c r="CS2127" s="1"/>
      <c r="CT2127" s="1"/>
      <c r="CU2127" s="1"/>
      <c r="CV2127" s="1"/>
      <c r="CW2127" s="1"/>
      <c r="CX2127" s="1"/>
      <c r="CY2127" s="1"/>
      <c r="CZ2127" s="1"/>
      <c r="DA2127" s="1"/>
      <c r="DB2127" s="1"/>
      <c r="DC2127" s="1"/>
    </row>
    <row r="2128" spans="1:107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  <c r="BK2128" s="1"/>
      <c r="BL2128" s="1"/>
      <c r="BM2128" s="1"/>
      <c r="BN2128" s="1"/>
      <c r="BO2128" s="1"/>
      <c r="BP2128" s="1"/>
      <c r="BQ2128" s="1"/>
      <c r="BR2128" s="1"/>
      <c r="BS2128" s="1"/>
      <c r="BT2128" s="1"/>
      <c r="BU2128" s="1"/>
      <c r="BV2128" s="1"/>
      <c r="BW2128" s="1"/>
      <c r="BX2128" s="1"/>
      <c r="BY2128" s="1"/>
      <c r="BZ2128" s="1"/>
      <c r="CA2128" s="1"/>
      <c r="CB2128" s="1"/>
      <c r="CC2128" s="1"/>
      <c r="CD2128" s="1"/>
      <c r="CE2128" s="1"/>
      <c r="CF2128" s="1"/>
      <c r="CG2128" s="1"/>
      <c r="CH2128" s="1"/>
      <c r="CI2128" s="1"/>
      <c r="CJ2128" s="1"/>
      <c r="CK2128" s="1"/>
      <c r="CL2128" s="1"/>
      <c r="CM2128" s="1"/>
      <c r="CN2128" s="1"/>
      <c r="CO2128" s="1"/>
      <c r="CP2128" s="1"/>
      <c r="CQ2128" s="1"/>
      <c r="CR2128" s="1"/>
      <c r="CS2128" s="1"/>
      <c r="CT2128" s="1"/>
      <c r="CU2128" s="1"/>
      <c r="CV2128" s="1"/>
      <c r="CW2128" s="1"/>
      <c r="CX2128" s="1"/>
      <c r="CY2128" s="1"/>
      <c r="CZ2128" s="1"/>
      <c r="DA2128" s="1"/>
      <c r="DB2128" s="1"/>
      <c r="DC2128" s="1"/>
    </row>
    <row r="2129" spans="1:107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  <c r="BR2129" s="1"/>
      <c r="BS2129" s="1"/>
      <c r="BT2129" s="1"/>
      <c r="BU2129" s="1"/>
      <c r="BV2129" s="1"/>
      <c r="BW2129" s="1"/>
      <c r="BX2129" s="1"/>
      <c r="BY2129" s="1"/>
      <c r="BZ2129" s="1"/>
      <c r="CA2129" s="1"/>
      <c r="CB2129" s="1"/>
      <c r="CC2129" s="1"/>
      <c r="CD2129" s="1"/>
      <c r="CE2129" s="1"/>
      <c r="CF2129" s="1"/>
      <c r="CG2129" s="1"/>
      <c r="CH2129" s="1"/>
      <c r="CI2129" s="1"/>
      <c r="CJ2129" s="1"/>
      <c r="CK2129" s="1"/>
      <c r="CL2129" s="1"/>
      <c r="CM2129" s="1"/>
      <c r="CN2129" s="1"/>
      <c r="CO2129" s="1"/>
      <c r="CP2129" s="1"/>
      <c r="CQ2129" s="1"/>
      <c r="CR2129" s="1"/>
      <c r="CS2129" s="1"/>
      <c r="CT2129" s="1"/>
      <c r="CU2129" s="1"/>
      <c r="CV2129" s="1"/>
      <c r="CW2129" s="1"/>
      <c r="CX2129" s="1"/>
      <c r="CY2129" s="1"/>
      <c r="CZ2129" s="1"/>
      <c r="DA2129" s="1"/>
      <c r="DB2129" s="1"/>
      <c r="DC2129" s="1"/>
    </row>
    <row r="2130" spans="1:107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  <c r="BM2130" s="1"/>
      <c r="BN2130" s="1"/>
      <c r="BO2130" s="1"/>
      <c r="BP2130" s="1"/>
      <c r="BQ2130" s="1"/>
      <c r="BR2130" s="1"/>
      <c r="BS2130" s="1"/>
      <c r="BT2130" s="1"/>
      <c r="BU2130" s="1"/>
      <c r="BV2130" s="1"/>
      <c r="BW2130" s="1"/>
      <c r="BX2130" s="1"/>
      <c r="BY2130" s="1"/>
      <c r="BZ2130" s="1"/>
      <c r="CA2130" s="1"/>
      <c r="CB2130" s="1"/>
      <c r="CC2130" s="1"/>
      <c r="CD2130" s="1"/>
      <c r="CE2130" s="1"/>
      <c r="CF2130" s="1"/>
      <c r="CG2130" s="1"/>
      <c r="CH2130" s="1"/>
      <c r="CI2130" s="1"/>
      <c r="CJ2130" s="1"/>
      <c r="CK2130" s="1"/>
      <c r="CL2130" s="1"/>
      <c r="CM2130" s="1"/>
      <c r="CN2130" s="1"/>
      <c r="CO2130" s="1"/>
      <c r="CP2130" s="1"/>
      <c r="CQ2130" s="1"/>
      <c r="CR2130" s="1"/>
      <c r="CS2130" s="1"/>
      <c r="CT2130" s="1"/>
      <c r="CU2130" s="1"/>
      <c r="CV2130" s="1"/>
      <c r="CW2130" s="1"/>
      <c r="CX2130" s="1"/>
      <c r="CY2130" s="1"/>
      <c r="CZ2130" s="1"/>
      <c r="DA2130" s="1"/>
      <c r="DB2130" s="1"/>
      <c r="DC2130" s="1"/>
    </row>
    <row r="2131" spans="1:107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  <c r="BR2131" s="1"/>
      <c r="BS2131" s="1"/>
      <c r="BT2131" s="1"/>
      <c r="BU2131" s="1"/>
      <c r="BV2131" s="1"/>
      <c r="BW2131" s="1"/>
      <c r="BX2131" s="1"/>
      <c r="BY2131" s="1"/>
      <c r="BZ2131" s="1"/>
      <c r="CA2131" s="1"/>
      <c r="CB2131" s="1"/>
      <c r="CC2131" s="1"/>
      <c r="CD2131" s="1"/>
      <c r="CE2131" s="1"/>
      <c r="CF2131" s="1"/>
      <c r="CG2131" s="1"/>
      <c r="CH2131" s="1"/>
      <c r="CI2131" s="1"/>
      <c r="CJ2131" s="1"/>
      <c r="CK2131" s="1"/>
      <c r="CL2131" s="1"/>
      <c r="CM2131" s="1"/>
      <c r="CN2131" s="1"/>
      <c r="CO2131" s="1"/>
      <c r="CP2131" s="1"/>
      <c r="CQ2131" s="1"/>
      <c r="CR2131" s="1"/>
      <c r="CS2131" s="1"/>
      <c r="CT2131" s="1"/>
      <c r="CU2131" s="1"/>
      <c r="CV2131" s="1"/>
      <c r="CW2131" s="1"/>
      <c r="CX2131" s="1"/>
      <c r="CY2131" s="1"/>
      <c r="CZ2131" s="1"/>
      <c r="DA2131" s="1"/>
      <c r="DB2131" s="1"/>
      <c r="DC2131" s="1"/>
    </row>
    <row r="2132" spans="1:107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/>
      <c r="BQ2132" s="1"/>
      <c r="BR2132" s="1"/>
      <c r="BS2132" s="1"/>
      <c r="BT2132" s="1"/>
      <c r="BU2132" s="1"/>
      <c r="BV2132" s="1"/>
      <c r="BW2132" s="1"/>
      <c r="BX2132" s="1"/>
      <c r="BY2132" s="1"/>
      <c r="BZ2132" s="1"/>
      <c r="CA2132" s="1"/>
      <c r="CB2132" s="1"/>
      <c r="CC2132" s="1"/>
      <c r="CD2132" s="1"/>
      <c r="CE2132" s="1"/>
      <c r="CF2132" s="1"/>
      <c r="CG2132" s="1"/>
      <c r="CH2132" s="1"/>
      <c r="CI2132" s="1"/>
      <c r="CJ2132" s="1"/>
      <c r="CK2132" s="1"/>
      <c r="CL2132" s="1"/>
      <c r="CM2132" s="1"/>
      <c r="CN2132" s="1"/>
      <c r="CO2132" s="1"/>
      <c r="CP2132" s="1"/>
      <c r="CQ2132" s="1"/>
      <c r="CR2132" s="1"/>
      <c r="CS2132" s="1"/>
      <c r="CT2132" s="1"/>
      <c r="CU2132" s="1"/>
      <c r="CV2132" s="1"/>
      <c r="CW2132" s="1"/>
      <c r="CX2132" s="1"/>
      <c r="CY2132" s="1"/>
      <c r="CZ2132" s="1"/>
      <c r="DA2132" s="1"/>
      <c r="DB2132" s="1"/>
      <c r="DC2132" s="1"/>
    </row>
    <row r="2133" spans="1:107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  <c r="BK2133" s="1"/>
      <c r="BL2133" s="1"/>
      <c r="BM2133" s="1"/>
      <c r="BN2133" s="1"/>
      <c r="BO2133" s="1"/>
      <c r="BP2133" s="1"/>
      <c r="BQ2133" s="1"/>
      <c r="BR2133" s="1"/>
      <c r="BS2133" s="1"/>
      <c r="BT2133" s="1"/>
      <c r="BU2133" s="1"/>
      <c r="BV2133" s="1"/>
      <c r="BW2133" s="1"/>
      <c r="BX2133" s="1"/>
      <c r="BY2133" s="1"/>
      <c r="BZ2133" s="1"/>
      <c r="CA2133" s="1"/>
      <c r="CB2133" s="1"/>
      <c r="CC2133" s="1"/>
      <c r="CD2133" s="1"/>
      <c r="CE2133" s="1"/>
      <c r="CF2133" s="1"/>
      <c r="CG2133" s="1"/>
      <c r="CH2133" s="1"/>
      <c r="CI2133" s="1"/>
      <c r="CJ2133" s="1"/>
      <c r="CK2133" s="1"/>
      <c r="CL2133" s="1"/>
      <c r="CM2133" s="1"/>
      <c r="CN2133" s="1"/>
      <c r="CO2133" s="1"/>
      <c r="CP2133" s="1"/>
      <c r="CQ2133" s="1"/>
      <c r="CR2133" s="1"/>
      <c r="CS2133" s="1"/>
      <c r="CT2133" s="1"/>
      <c r="CU2133" s="1"/>
      <c r="CV2133" s="1"/>
      <c r="CW2133" s="1"/>
      <c r="CX2133" s="1"/>
      <c r="CY2133" s="1"/>
      <c r="CZ2133" s="1"/>
      <c r="DA2133" s="1"/>
      <c r="DB2133" s="1"/>
      <c r="DC2133" s="1"/>
    </row>
    <row r="2134" spans="1:107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  <c r="BR2134" s="1"/>
      <c r="BS2134" s="1"/>
      <c r="BT2134" s="1"/>
      <c r="BU2134" s="1"/>
      <c r="BV2134" s="1"/>
      <c r="BW2134" s="1"/>
      <c r="BX2134" s="1"/>
      <c r="BY2134" s="1"/>
      <c r="BZ2134" s="1"/>
      <c r="CA2134" s="1"/>
      <c r="CB2134" s="1"/>
      <c r="CC2134" s="1"/>
      <c r="CD2134" s="1"/>
      <c r="CE2134" s="1"/>
      <c r="CF2134" s="1"/>
      <c r="CG2134" s="1"/>
      <c r="CH2134" s="1"/>
      <c r="CI2134" s="1"/>
      <c r="CJ2134" s="1"/>
      <c r="CK2134" s="1"/>
      <c r="CL2134" s="1"/>
      <c r="CM2134" s="1"/>
      <c r="CN2134" s="1"/>
      <c r="CO2134" s="1"/>
      <c r="CP2134" s="1"/>
      <c r="CQ2134" s="1"/>
      <c r="CR2134" s="1"/>
      <c r="CS2134" s="1"/>
      <c r="CT2134" s="1"/>
      <c r="CU2134" s="1"/>
      <c r="CV2134" s="1"/>
      <c r="CW2134" s="1"/>
      <c r="CX2134" s="1"/>
      <c r="CY2134" s="1"/>
      <c r="CZ2134" s="1"/>
      <c r="DA2134" s="1"/>
      <c r="DB2134" s="1"/>
      <c r="DC2134" s="1"/>
    </row>
    <row r="2135" spans="1:107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  <c r="BR2135" s="1"/>
      <c r="BS2135" s="1"/>
      <c r="BT2135" s="1"/>
      <c r="BU2135" s="1"/>
      <c r="BV2135" s="1"/>
      <c r="BW2135" s="1"/>
      <c r="BX2135" s="1"/>
      <c r="BY2135" s="1"/>
      <c r="BZ2135" s="1"/>
      <c r="CA2135" s="1"/>
      <c r="CB2135" s="1"/>
      <c r="CC2135" s="1"/>
      <c r="CD2135" s="1"/>
      <c r="CE2135" s="1"/>
      <c r="CF2135" s="1"/>
      <c r="CG2135" s="1"/>
      <c r="CH2135" s="1"/>
      <c r="CI2135" s="1"/>
      <c r="CJ2135" s="1"/>
      <c r="CK2135" s="1"/>
      <c r="CL2135" s="1"/>
      <c r="CM2135" s="1"/>
      <c r="CN2135" s="1"/>
      <c r="CO2135" s="1"/>
      <c r="CP2135" s="1"/>
      <c r="CQ2135" s="1"/>
      <c r="CR2135" s="1"/>
      <c r="CS2135" s="1"/>
      <c r="CT2135" s="1"/>
      <c r="CU2135" s="1"/>
      <c r="CV2135" s="1"/>
      <c r="CW2135" s="1"/>
      <c r="CX2135" s="1"/>
      <c r="CY2135" s="1"/>
      <c r="CZ2135" s="1"/>
      <c r="DA2135" s="1"/>
      <c r="DB2135" s="1"/>
      <c r="DC2135" s="1"/>
    </row>
    <row r="2136" spans="1:107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  <c r="BM2136" s="1"/>
      <c r="BN2136" s="1"/>
      <c r="BO2136" s="1"/>
      <c r="BP2136" s="1"/>
      <c r="BQ2136" s="1"/>
      <c r="BR2136" s="1"/>
      <c r="BS2136" s="1"/>
      <c r="BT2136" s="1"/>
      <c r="BU2136" s="1"/>
      <c r="BV2136" s="1"/>
      <c r="BW2136" s="1"/>
      <c r="BX2136" s="1"/>
      <c r="BY2136" s="1"/>
      <c r="BZ2136" s="1"/>
      <c r="CA2136" s="1"/>
      <c r="CB2136" s="1"/>
      <c r="CC2136" s="1"/>
      <c r="CD2136" s="1"/>
      <c r="CE2136" s="1"/>
      <c r="CF2136" s="1"/>
      <c r="CG2136" s="1"/>
      <c r="CH2136" s="1"/>
      <c r="CI2136" s="1"/>
      <c r="CJ2136" s="1"/>
      <c r="CK2136" s="1"/>
      <c r="CL2136" s="1"/>
      <c r="CM2136" s="1"/>
      <c r="CN2136" s="1"/>
      <c r="CO2136" s="1"/>
      <c r="CP2136" s="1"/>
      <c r="CQ2136" s="1"/>
      <c r="CR2136" s="1"/>
      <c r="CS2136" s="1"/>
      <c r="CT2136" s="1"/>
      <c r="CU2136" s="1"/>
      <c r="CV2136" s="1"/>
      <c r="CW2136" s="1"/>
      <c r="CX2136" s="1"/>
      <c r="CY2136" s="1"/>
      <c r="CZ2136" s="1"/>
      <c r="DA2136" s="1"/>
      <c r="DB2136" s="1"/>
      <c r="DC2136" s="1"/>
    </row>
    <row r="2137" spans="1:107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  <c r="BR2137" s="1"/>
      <c r="BS2137" s="1"/>
      <c r="BT2137" s="1"/>
      <c r="BU2137" s="1"/>
      <c r="BV2137" s="1"/>
      <c r="BW2137" s="1"/>
      <c r="BX2137" s="1"/>
      <c r="BY2137" s="1"/>
      <c r="BZ2137" s="1"/>
      <c r="CA2137" s="1"/>
      <c r="CB2137" s="1"/>
      <c r="CC2137" s="1"/>
      <c r="CD2137" s="1"/>
      <c r="CE2137" s="1"/>
      <c r="CF2137" s="1"/>
      <c r="CG2137" s="1"/>
      <c r="CH2137" s="1"/>
      <c r="CI2137" s="1"/>
      <c r="CJ2137" s="1"/>
      <c r="CK2137" s="1"/>
      <c r="CL2137" s="1"/>
      <c r="CM2137" s="1"/>
      <c r="CN2137" s="1"/>
      <c r="CO2137" s="1"/>
      <c r="CP2137" s="1"/>
      <c r="CQ2137" s="1"/>
      <c r="CR2137" s="1"/>
      <c r="CS2137" s="1"/>
      <c r="CT2137" s="1"/>
      <c r="CU2137" s="1"/>
      <c r="CV2137" s="1"/>
      <c r="CW2137" s="1"/>
      <c r="CX2137" s="1"/>
      <c r="CY2137" s="1"/>
      <c r="CZ2137" s="1"/>
      <c r="DA2137" s="1"/>
      <c r="DB2137" s="1"/>
      <c r="DC2137" s="1"/>
    </row>
    <row r="2138" spans="1:107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  <c r="BM2138" s="1"/>
      <c r="BN2138" s="1"/>
      <c r="BO2138" s="1"/>
      <c r="BP2138" s="1"/>
      <c r="BQ2138" s="1"/>
      <c r="BR2138" s="1"/>
      <c r="BS2138" s="1"/>
      <c r="BT2138" s="1"/>
      <c r="BU2138" s="1"/>
      <c r="BV2138" s="1"/>
      <c r="BW2138" s="1"/>
      <c r="BX2138" s="1"/>
      <c r="BY2138" s="1"/>
      <c r="BZ2138" s="1"/>
      <c r="CA2138" s="1"/>
      <c r="CB2138" s="1"/>
      <c r="CC2138" s="1"/>
      <c r="CD2138" s="1"/>
      <c r="CE2138" s="1"/>
      <c r="CF2138" s="1"/>
      <c r="CG2138" s="1"/>
      <c r="CH2138" s="1"/>
      <c r="CI2138" s="1"/>
      <c r="CJ2138" s="1"/>
      <c r="CK2138" s="1"/>
      <c r="CL2138" s="1"/>
      <c r="CM2138" s="1"/>
      <c r="CN2138" s="1"/>
      <c r="CO2138" s="1"/>
      <c r="CP2138" s="1"/>
      <c r="CQ2138" s="1"/>
      <c r="CR2138" s="1"/>
      <c r="CS2138" s="1"/>
      <c r="CT2138" s="1"/>
      <c r="CU2138" s="1"/>
      <c r="CV2138" s="1"/>
      <c r="CW2138" s="1"/>
      <c r="CX2138" s="1"/>
      <c r="CY2138" s="1"/>
      <c r="CZ2138" s="1"/>
      <c r="DA2138" s="1"/>
      <c r="DB2138" s="1"/>
      <c r="DC2138" s="1"/>
    </row>
    <row r="2139" spans="1:107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  <c r="BM2139" s="1"/>
      <c r="BN2139" s="1"/>
      <c r="BO2139" s="1"/>
      <c r="BP2139" s="1"/>
      <c r="BQ2139" s="1"/>
      <c r="BR2139" s="1"/>
      <c r="BS2139" s="1"/>
      <c r="BT2139" s="1"/>
      <c r="BU2139" s="1"/>
      <c r="BV2139" s="1"/>
      <c r="BW2139" s="1"/>
      <c r="BX2139" s="1"/>
      <c r="BY2139" s="1"/>
      <c r="BZ2139" s="1"/>
      <c r="CA2139" s="1"/>
      <c r="CB2139" s="1"/>
      <c r="CC2139" s="1"/>
      <c r="CD2139" s="1"/>
      <c r="CE2139" s="1"/>
      <c r="CF2139" s="1"/>
      <c r="CG2139" s="1"/>
      <c r="CH2139" s="1"/>
      <c r="CI2139" s="1"/>
      <c r="CJ2139" s="1"/>
      <c r="CK2139" s="1"/>
      <c r="CL2139" s="1"/>
      <c r="CM2139" s="1"/>
      <c r="CN2139" s="1"/>
      <c r="CO2139" s="1"/>
      <c r="CP2139" s="1"/>
      <c r="CQ2139" s="1"/>
      <c r="CR2139" s="1"/>
      <c r="CS2139" s="1"/>
      <c r="CT2139" s="1"/>
      <c r="CU2139" s="1"/>
      <c r="CV2139" s="1"/>
      <c r="CW2139" s="1"/>
      <c r="CX2139" s="1"/>
      <c r="CY2139" s="1"/>
      <c r="CZ2139" s="1"/>
      <c r="DA2139" s="1"/>
      <c r="DB2139" s="1"/>
      <c r="DC2139" s="1"/>
    </row>
    <row r="2140" spans="1:107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  <c r="BM2140" s="1"/>
      <c r="BN2140" s="1"/>
      <c r="BO2140" s="1"/>
      <c r="BP2140" s="1"/>
      <c r="BQ2140" s="1"/>
      <c r="BR2140" s="1"/>
      <c r="BS2140" s="1"/>
      <c r="BT2140" s="1"/>
      <c r="BU2140" s="1"/>
      <c r="BV2140" s="1"/>
      <c r="BW2140" s="1"/>
      <c r="BX2140" s="1"/>
      <c r="BY2140" s="1"/>
      <c r="BZ2140" s="1"/>
      <c r="CA2140" s="1"/>
      <c r="CB2140" s="1"/>
      <c r="CC2140" s="1"/>
      <c r="CD2140" s="1"/>
      <c r="CE2140" s="1"/>
      <c r="CF2140" s="1"/>
      <c r="CG2140" s="1"/>
      <c r="CH2140" s="1"/>
      <c r="CI2140" s="1"/>
      <c r="CJ2140" s="1"/>
      <c r="CK2140" s="1"/>
      <c r="CL2140" s="1"/>
      <c r="CM2140" s="1"/>
      <c r="CN2140" s="1"/>
      <c r="CO2140" s="1"/>
      <c r="CP2140" s="1"/>
      <c r="CQ2140" s="1"/>
      <c r="CR2140" s="1"/>
      <c r="CS2140" s="1"/>
      <c r="CT2140" s="1"/>
      <c r="CU2140" s="1"/>
      <c r="CV2140" s="1"/>
      <c r="CW2140" s="1"/>
      <c r="CX2140" s="1"/>
      <c r="CY2140" s="1"/>
      <c r="CZ2140" s="1"/>
      <c r="DA2140" s="1"/>
      <c r="DB2140" s="1"/>
      <c r="DC2140" s="1"/>
    </row>
    <row r="2141" spans="1:107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  <c r="BR2141" s="1"/>
      <c r="BS2141" s="1"/>
      <c r="BT2141" s="1"/>
      <c r="BU2141" s="1"/>
      <c r="BV2141" s="1"/>
      <c r="BW2141" s="1"/>
      <c r="BX2141" s="1"/>
      <c r="BY2141" s="1"/>
      <c r="BZ2141" s="1"/>
      <c r="CA2141" s="1"/>
      <c r="CB2141" s="1"/>
      <c r="CC2141" s="1"/>
      <c r="CD2141" s="1"/>
      <c r="CE2141" s="1"/>
      <c r="CF2141" s="1"/>
      <c r="CG2141" s="1"/>
      <c r="CH2141" s="1"/>
      <c r="CI2141" s="1"/>
      <c r="CJ2141" s="1"/>
      <c r="CK2141" s="1"/>
      <c r="CL2141" s="1"/>
      <c r="CM2141" s="1"/>
      <c r="CN2141" s="1"/>
      <c r="CO2141" s="1"/>
      <c r="CP2141" s="1"/>
      <c r="CQ2141" s="1"/>
      <c r="CR2141" s="1"/>
      <c r="CS2141" s="1"/>
      <c r="CT2141" s="1"/>
      <c r="CU2141" s="1"/>
      <c r="CV2141" s="1"/>
      <c r="CW2141" s="1"/>
      <c r="CX2141" s="1"/>
      <c r="CY2141" s="1"/>
      <c r="CZ2141" s="1"/>
      <c r="DA2141" s="1"/>
      <c r="DB2141" s="1"/>
      <c r="DC2141" s="1"/>
    </row>
    <row r="2142" spans="1:107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  <c r="BM2142" s="1"/>
      <c r="BN2142" s="1"/>
      <c r="BO2142" s="1"/>
      <c r="BP2142" s="1"/>
      <c r="BQ2142" s="1"/>
      <c r="BR2142" s="1"/>
      <c r="BS2142" s="1"/>
      <c r="BT2142" s="1"/>
      <c r="BU2142" s="1"/>
      <c r="BV2142" s="1"/>
      <c r="BW2142" s="1"/>
      <c r="BX2142" s="1"/>
      <c r="BY2142" s="1"/>
      <c r="BZ2142" s="1"/>
      <c r="CA2142" s="1"/>
      <c r="CB2142" s="1"/>
      <c r="CC2142" s="1"/>
      <c r="CD2142" s="1"/>
      <c r="CE2142" s="1"/>
      <c r="CF2142" s="1"/>
      <c r="CG2142" s="1"/>
      <c r="CH2142" s="1"/>
      <c r="CI2142" s="1"/>
      <c r="CJ2142" s="1"/>
      <c r="CK2142" s="1"/>
      <c r="CL2142" s="1"/>
      <c r="CM2142" s="1"/>
      <c r="CN2142" s="1"/>
      <c r="CO2142" s="1"/>
      <c r="CP2142" s="1"/>
      <c r="CQ2142" s="1"/>
      <c r="CR2142" s="1"/>
      <c r="CS2142" s="1"/>
      <c r="CT2142" s="1"/>
      <c r="CU2142" s="1"/>
      <c r="CV2142" s="1"/>
      <c r="CW2142" s="1"/>
      <c r="CX2142" s="1"/>
      <c r="CY2142" s="1"/>
      <c r="CZ2142" s="1"/>
      <c r="DA2142" s="1"/>
      <c r="DB2142" s="1"/>
      <c r="DC2142" s="1"/>
    </row>
    <row r="2143" spans="1:107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  <c r="BR2143" s="1"/>
      <c r="BS2143" s="1"/>
      <c r="BT2143" s="1"/>
      <c r="BU2143" s="1"/>
      <c r="BV2143" s="1"/>
      <c r="BW2143" s="1"/>
      <c r="BX2143" s="1"/>
      <c r="BY2143" s="1"/>
      <c r="BZ2143" s="1"/>
      <c r="CA2143" s="1"/>
      <c r="CB2143" s="1"/>
      <c r="CC2143" s="1"/>
      <c r="CD2143" s="1"/>
      <c r="CE2143" s="1"/>
      <c r="CF2143" s="1"/>
      <c r="CG2143" s="1"/>
      <c r="CH2143" s="1"/>
      <c r="CI2143" s="1"/>
      <c r="CJ2143" s="1"/>
      <c r="CK2143" s="1"/>
      <c r="CL2143" s="1"/>
      <c r="CM2143" s="1"/>
      <c r="CN2143" s="1"/>
      <c r="CO2143" s="1"/>
      <c r="CP2143" s="1"/>
      <c r="CQ2143" s="1"/>
      <c r="CR2143" s="1"/>
      <c r="CS2143" s="1"/>
      <c r="CT2143" s="1"/>
      <c r="CU2143" s="1"/>
      <c r="CV2143" s="1"/>
      <c r="CW2143" s="1"/>
      <c r="CX2143" s="1"/>
      <c r="CY2143" s="1"/>
      <c r="CZ2143" s="1"/>
      <c r="DA2143" s="1"/>
      <c r="DB2143" s="1"/>
      <c r="DC2143" s="1"/>
    </row>
    <row r="2144" spans="1:107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  <c r="BQ2144" s="1"/>
      <c r="BR2144" s="1"/>
      <c r="BS2144" s="1"/>
      <c r="BT2144" s="1"/>
      <c r="BU2144" s="1"/>
      <c r="BV2144" s="1"/>
      <c r="BW2144" s="1"/>
      <c r="BX2144" s="1"/>
      <c r="BY2144" s="1"/>
      <c r="BZ2144" s="1"/>
      <c r="CA2144" s="1"/>
      <c r="CB2144" s="1"/>
      <c r="CC2144" s="1"/>
      <c r="CD2144" s="1"/>
      <c r="CE2144" s="1"/>
      <c r="CF2144" s="1"/>
      <c r="CG2144" s="1"/>
      <c r="CH2144" s="1"/>
      <c r="CI2144" s="1"/>
      <c r="CJ2144" s="1"/>
      <c r="CK2144" s="1"/>
      <c r="CL2144" s="1"/>
      <c r="CM2144" s="1"/>
      <c r="CN2144" s="1"/>
      <c r="CO2144" s="1"/>
      <c r="CP2144" s="1"/>
      <c r="CQ2144" s="1"/>
      <c r="CR2144" s="1"/>
      <c r="CS2144" s="1"/>
      <c r="CT2144" s="1"/>
      <c r="CU2144" s="1"/>
      <c r="CV2144" s="1"/>
      <c r="CW2144" s="1"/>
      <c r="CX2144" s="1"/>
      <c r="CY2144" s="1"/>
      <c r="CZ2144" s="1"/>
      <c r="DA2144" s="1"/>
      <c r="DB2144" s="1"/>
      <c r="DC2144" s="1"/>
    </row>
    <row r="2145" spans="1:107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  <c r="BK2145" s="1"/>
      <c r="BL2145" s="1"/>
      <c r="BM2145" s="1"/>
      <c r="BN2145" s="1"/>
      <c r="BO2145" s="1"/>
      <c r="BP2145" s="1"/>
      <c r="BQ2145" s="1"/>
      <c r="BR2145" s="1"/>
      <c r="BS2145" s="1"/>
      <c r="BT2145" s="1"/>
      <c r="BU2145" s="1"/>
      <c r="BV2145" s="1"/>
      <c r="BW2145" s="1"/>
      <c r="BX2145" s="1"/>
      <c r="BY2145" s="1"/>
      <c r="BZ2145" s="1"/>
      <c r="CA2145" s="1"/>
      <c r="CB2145" s="1"/>
      <c r="CC2145" s="1"/>
      <c r="CD2145" s="1"/>
      <c r="CE2145" s="1"/>
      <c r="CF2145" s="1"/>
      <c r="CG2145" s="1"/>
      <c r="CH2145" s="1"/>
      <c r="CI2145" s="1"/>
      <c r="CJ2145" s="1"/>
      <c r="CK2145" s="1"/>
      <c r="CL2145" s="1"/>
      <c r="CM2145" s="1"/>
      <c r="CN2145" s="1"/>
      <c r="CO2145" s="1"/>
      <c r="CP2145" s="1"/>
      <c r="CQ2145" s="1"/>
      <c r="CR2145" s="1"/>
      <c r="CS2145" s="1"/>
      <c r="CT2145" s="1"/>
      <c r="CU2145" s="1"/>
      <c r="CV2145" s="1"/>
      <c r="CW2145" s="1"/>
      <c r="CX2145" s="1"/>
      <c r="CY2145" s="1"/>
      <c r="CZ2145" s="1"/>
      <c r="DA2145" s="1"/>
      <c r="DB2145" s="1"/>
      <c r="DC2145" s="1"/>
    </row>
    <row r="2146" spans="1:107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  <c r="BM2146" s="1"/>
      <c r="BN2146" s="1"/>
      <c r="BO2146" s="1"/>
      <c r="BP2146" s="1"/>
      <c r="BQ2146" s="1"/>
      <c r="BR2146" s="1"/>
      <c r="BS2146" s="1"/>
      <c r="BT2146" s="1"/>
      <c r="BU2146" s="1"/>
      <c r="BV2146" s="1"/>
      <c r="BW2146" s="1"/>
      <c r="BX2146" s="1"/>
      <c r="BY2146" s="1"/>
      <c r="BZ2146" s="1"/>
      <c r="CA2146" s="1"/>
      <c r="CB2146" s="1"/>
      <c r="CC2146" s="1"/>
      <c r="CD2146" s="1"/>
      <c r="CE2146" s="1"/>
      <c r="CF2146" s="1"/>
      <c r="CG2146" s="1"/>
      <c r="CH2146" s="1"/>
      <c r="CI2146" s="1"/>
      <c r="CJ2146" s="1"/>
      <c r="CK2146" s="1"/>
      <c r="CL2146" s="1"/>
      <c r="CM2146" s="1"/>
      <c r="CN2146" s="1"/>
      <c r="CO2146" s="1"/>
      <c r="CP2146" s="1"/>
      <c r="CQ2146" s="1"/>
      <c r="CR2146" s="1"/>
      <c r="CS2146" s="1"/>
      <c r="CT2146" s="1"/>
      <c r="CU2146" s="1"/>
      <c r="CV2146" s="1"/>
      <c r="CW2146" s="1"/>
      <c r="CX2146" s="1"/>
      <c r="CY2146" s="1"/>
      <c r="CZ2146" s="1"/>
      <c r="DA2146" s="1"/>
      <c r="DB2146" s="1"/>
      <c r="DC2146" s="1"/>
    </row>
    <row r="2147" spans="1:10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  <c r="BR2147" s="1"/>
      <c r="BS2147" s="1"/>
      <c r="BT2147" s="1"/>
      <c r="BU2147" s="1"/>
      <c r="BV2147" s="1"/>
      <c r="BW2147" s="1"/>
      <c r="BX2147" s="1"/>
      <c r="BY2147" s="1"/>
      <c r="BZ2147" s="1"/>
      <c r="CA2147" s="1"/>
      <c r="CB2147" s="1"/>
      <c r="CC2147" s="1"/>
      <c r="CD2147" s="1"/>
      <c r="CE2147" s="1"/>
      <c r="CF2147" s="1"/>
      <c r="CG2147" s="1"/>
      <c r="CH2147" s="1"/>
      <c r="CI2147" s="1"/>
      <c r="CJ2147" s="1"/>
      <c r="CK2147" s="1"/>
      <c r="CL2147" s="1"/>
      <c r="CM2147" s="1"/>
      <c r="CN2147" s="1"/>
      <c r="CO2147" s="1"/>
      <c r="CP2147" s="1"/>
      <c r="CQ2147" s="1"/>
      <c r="CR2147" s="1"/>
      <c r="CS2147" s="1"/>
      <c r="CT2147" s="1"/>
      <c r="CU2147" s="1"/>
      <c r="CV2147" s="1"/>
      <c r="CW2147" s="1"/>
      <c r="CX2147" s="1"/>
      <c r="CY2147" s="1"/>
      <c r="CZ2147" s="1"/>
      <c r="DA2147" s="1"/>
      <c r="DB2147" s="1"/>
      <c r="DC2147" s="1"/>
    </row>
    <row r="2148" spans="1:107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  <c r="BM2148" s="1"/>
      <c r="BN2148" s="1"/>
      <c r="BO2148" s="1"/>
      <c r="BP2148" s="1"/>
      <c r="BQ2148" s="1"/>
      <c r="BR2148" s="1"/>
      <c r="BS2148" s="1"/>
      <c r="BT2148" s="1"/>
      <c r="BU2148" s="1"/>
      <c r="BV2148" s="1"/>
      <c r="BW2148" s="1"/>
      <c r="BX2148" s="1"/>
      <c r="BY2148" s="1"/>
      <c r="BZ2148" s="1"/>
      <c r="CA2148" s="1"/>
      <c r="CB2148" s="1"/>
      <c r="CC2148" s="1"/>
      <c r="CD2148" s="1"/>
      <c r="CE2148" s="1"/>
      <c r="CF2148" s="1"/>
      <c r="CG2148" s="1"/>
      <c r="CH2148" s="1"/>
      <c r="CI2148" s="1"/>
      <c r="CJ2148" s="1"/>
      <c r="CK2148" s="1"/>
      <c r="CL2148" s="1"/>
      <c r="CM2148" s="1"/>
      <c r="CN2148" s="1"/>
      <c r="CO2148" s="1"/>
      <c r="CP2148" s="1"/>
      <c r="CQ2148" s="1"/>
      <c r="CR2148" s="1"/>
      <c r="CS2148" s="1"/>
      <c r="CT2148" s="1"/>
      <c r="CU2148" s="1"/>
      <c r="CV2148" s="1"/>
      <c r="CW2148" s="1"/>
      <c r="CX2148" s="1"/>
      <c r="CY2148" s="1"/>
      <c r="CZ2148" s="1"/>
      <c r="DA2148" s="1"/>
      <c r="DB2148" s="1"/>
      <c r="DC2148" s="1"/>
    </row>
    <row r="2149" spans="1:107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  <c r="BR2149" s="1"/>
      <c r="BS2149" s="1"/>
      <c r="BT2149" s="1"/>
      <c r="BU2149" s="1"/>
      <c r="BV2149" s="1"/>
      <c r="BW2149" s="1"/>
      <c r="BX2149" s="1"/>
      <c r="BY2149" s="1"/>
      <c r="BZ2149" s="1"/>
      <c r="CA2149" s="1"/>
      <c r="CB2149" s="1"/>
      <c r="CC2149" s="1"/>
      <c r="CD2149" s="1"/>
      <c r="CE2149" s="1"/>
      <c r="CF2149" s="1"/>
      <c r="CG2149" s="1"/>
      <c r="CH2149" s="1"/>
      <c r="CI2149" s="1"/>
      <c r="CJ2149" s="1"/>
      <c r="CK2149" s="1"/>
      <c r="CL2149" s="1"/>
      <c r="CM2149" s="1"/>
      <c r="CN2149" s="1"/>
      <c r="CO2149" s="1"/>
      <c r="CP2149" s="1"/>
      <c r="CQ2149" s="1"/>
      <c r="CR2149" s="1"/>
      <c r="CS2149" s="1"/>
      <c r="CT2149" s="1"/>
      <c r="CU2149" s="1"/>
      <c r="CV2149" s="1"/>
      <c r="CW2149" s="1"/>
      <c r="CX2149" s="1"/>
      <c r="CY2149" s="1"/>
      <c r="CZ2149" s="1"/>
      <c r="DA2149" s="1"/>
      <c r="DB2149" s="1"/>
      <c r="DC2149" s="1"/>
    </row>
    <row r="2150" spans="1:107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  <c r="BM2150" s="1"/>
      <c r="BN2150" s="1"/>
      <c r="BO2150" s="1"/>
      <c r="BP2150" s="1"/>
      <c r="BQ2150" s="1"/>
      <c r="BR2150" s="1"/>
      <c r="BS2150" s="1"/>
      <c r="BT2150" s="1"/>
      <c r="BU2150" s="1"/>
      <c r="BV2150" s="1"/>
      <c r="BW2150" s="1"/>
      <c r="BX2150" s="1"/>
      <c r="BY2150" s="1"/>
      <c r="BZ2150" s="1"/>
      <c r="CA2150" s="1"/>
      <c r="CB2150" s="1"/>
      <c r="CC2150" s="1"/>
      <c r="CD2150" s="1"/>
      <c r="CE2150" s="1"/>
      <c r="CF2150" s="1"/>
      <c r="CG2150" s="1"/>
      <c r="CH2150" s="1"/>
      <c r="CI2150" s="1"/>
      <c r="CJ2150" s="1"/>
      <c r="CK2150" s="1"/>
      <c r="CL2150" s="1"/>
      <c r="CM2150" s="1"/>
      <c r="CN2150" s="1"/>
      <c r="CO2150" s="1"/>
      <c r="CP2150" s="1"/>
      <c r="CQ2150" s="1"/>
      <c r="CR2150" s="1"/>
      <c r="CS2150" s="1"/>
      <c r="CT2150" s="1"/>
      <c r="CU2150" s="1"/>
      <c r="CV2150" s="1"/>
      <c r="CW2150" s="1"/>
      <c r="CX2150" s="1"/>
      <c r="CY2150" s="1"/>
      <c r="CZ2150" s="1"/>
      <c r="DA2150" s="1"/>
      <c r="DB2150" s="1"/>
      <c r="DC2150" s="1"/>
    </row>
    <row r="2151" spans="1:107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  <c r="BR2151" s="1"/>
      <c r="BS2151" s="1"/>
      <c r="BT2151" s="1"/>
      <c r="BU2151" s="1"/>
      <c r="BV2151" s="1"/>
      <c r="BW2151" s="1"/>
      <c r="BX2151" s="1"/>
      <c r="BY2151" s="1"/>
      <c r="BZ2151" s="1"/>
      <c r="CA2151" s="1"/>
      <c r="CB2151" s="1"/>
      <c r="CC2151" s="1"/>
      <c r="CD2151" s="1"/>
      <c r="CE2151" s="1"/>
      <c r="CF2151" s="1"/>
      <c r="CG2151" s="1"/>
      <c r="CH2151" s="1"/>
      <c r="CI2151" s="1"/>
      <c r="CJ2151" s="1"/>
      <c r="CK2151" s="1"/>
      <c r="CL2151" s="1"/>
      <c r="CM2151" s="1"/>
      <c r="CN2151" s="1"/>
      <c r="CO2151" s="1"/>
      <c r="CP2151" s="1"/>
      <c r="CQ2151" s="1"/>
      <c r="CR2151" s="1"/>
      <c r="CS2151" s="1"/>
      <c r="CT2151" s="1"/>
      <c r="CU2151" s="1"/>
      <c r="CV2151" s="1"/>
      <c r="CW2151" s="1"/>
      <c r="CX2151" s="1"/>
      <c r="CY2151" s="1"/>
      <c r="CZ2151" s="1"/>
      <c r="DA2151" s="1"/>
      <c r="DB2151" s="1"/>
      <c r="DC2151" s="1"/>
    </row>
    <row r="2152" spans="1:107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  <c r="BM2152" s="1"/>
      <c r="BN2152" s="1"/>
      <c r="BO2152" s="1"/>
      <c r="BP2152" s="1"/>
      <c r="BQ2152" s="1"/>
      <c r="BR2152" s="1"/>
      <c r="BS2152" s="1"/>
      <c r="BT2152" s="1"/>
      <c r="BU2152" s="1"/>
      <c r="BV2152" s="1"/>
      <c r="BW2152" s="1"/>
      <c r="BX2152" s="1"/>
      <c r="BY2152" s="1"/>
      <c r="BZ2152" s="1"/>
      <c r="CA2152" s="1"/>
      <c r="CB2152" s="1"/>
      <c r="CC2152" s="1"/>
      <c r="CD2152" s="1"/>
      <c r="CE2152" s="1"/>
      <c r="CF2152" s="1"/>
      <c r="CG2152" s="1"/>
      <c r="CH2152" s="1"/>
      <c r="CI2152" s="1"/>
      <c r="CJ2152" s="1"/>
      <c r="CK2152" s="1"/>
      <c r="CL2152" s="1"/>
      <c r="CM2152" s="1"/>
      <c r="CN2152" s="1"/>
      <c r="CO2152" s="1"/>
      <c r="CP2152" s="1"/>
      <c r="CQ2152" s="1"/>
      <c r="CR2152" s="1"/>
      <c r="CS2152" s="1"/>
      <c r="CT2152" s="1"/>
      <c r="CU2152" s="1"/>
      <c r="CV2152" s="1"/>
      <c r="CW2152" s="1"/>
      <c r="CX2152" s="1"/>
      <c r="CY2152" s="1"/>
      <c r="CZ2152" s="1"/>
      <c r="DA2152" s="1"/>
      <c r="DB2152" s="1"/>
      <c r="DC2152" s="1"/>
    </row>
    <row r="2153" spans="1:107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/>
      <c r="BP2153" s="1"/>
      <c r="BQ2153" s="1"/>
      <c r="BR2153" s="1"/>
      <c r="BS2153" s="1"/>
      <c r="BT2153" s="1"/>
      <c r="BU2153" s="1"/>
      <c r="BV2153" s="1"/>
      <c r="BW2153" s="1"/>
      <c r="BX2153" s="1"/>
      <c r="BY2153" s="1"/>
      <c r="BZ2153" s="1"/>
      <c r="CA2153" s="1"/>
      <c r="CB2153" s="1"/>
      <c r="CC2153" s="1"/>
      <c r="CD2153" s="1"/>
      <c r="CE2153" s="1"/>
      <c r="CF2153" s="1"/>
      <c r="CG2153" s="1"/>
      <c r="CH2153" s="1"/>
      <c r="CI2153" s="1"/>
      <c r="CJ2153" s="1"/>
      <c r="CK2153" s="1"/>
      <c r="CL2153" s="1"/>
      <c r="CM2153" s="1"/>
      <c r="CN2153" s="1"/>
      <c r="CO2153" s="1"/>
      <c r="CP2153" s="1"/>
      <c r="CQ2153" s="1"/>
      <c r="CR2153" s="1"/>
      <c r="CS2153" s="1"/>
      <c r="CT2153" s="1"/>
      <c r="CU2153" s="1"/>
      <c r="CV2153" s="1"/>
      <c r="CW2153" s="1"/>
      <c r="CX2153" s="1"/>
      <c r="CY2153" s="1"/>
      <c r="CZ2153" s="1"/>
      <c r="DA2153" s="1"/>
      <c r="DB2153" s="1"/>
      <c r="DC2153" s="1"/>
    </row>
    <row r="2154" spans="1:107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  <c r="BK2154" s="1"/>
      <c r="BL2154" s="1"/>
      <c r="BM2154" s="1"/>
      <c r="BN2154" s="1"/>
      <c r="BO2154" s="1"/>
      <c r="BP2154" s="1"/>
      <c r="BQ2154" s="1"/>
      <c r="BR2154" s="1"/>
      <c r="BS2154" s="1"/>
      <c r="BT2154" s="1"/>
      <c r="BU2154" s="1"/>
      <c r="BV2154" s="1"/>
      <c r="BW2154" s="1"/>
      <c r="BX2154" s="1"/>
      <c r="BY2154" s="1"/>
      <c r="BZ2154" s="1"/>
      <c r="CA2154" s="1"/>
      <c r="CB2154" s="1"/>
      <c r="CC2154" s="1"/>
      <c r="CD2154" s="1"/>
      <c r="CE2154" s="1"/>
      <c r="CF2154" s="1"/>
      <c r="CG2154" s="1"/>
      <c r="CH2154" s="1"/>
      <c r="CI2154" s="1"/>
      <c r="CJ2154" s="1"/>
      <c r="CK2154" s="1"/>
      <c r="CL2154" s="1"/>
      <c r="CM2154" s="1"/>
      <c r="CN2154" s="1"/>
      <c r="CO2154" s="1"/>
      <c r="CP2154" s="1"/>
      <c r="CQ2154" s="1"/>
      <c r="CR2154" s="1"/>
      <c r="CS2154" s="1"/>
      <c r="CT2154" s="1"/>
      <c r="CU2154" s="1"/>
      <c r="CV2154" s="1"/>
      <c r="CW2154" s="1"/>
      <c r="CX2154" s="1"/>
      <c r="CY2154" s="1"/>
      <c r="CZ2154" s="1"/>
      <c r="DA2154" s="1"/>
      <c r="DB2154" s="1"/>
      <c r="DC2154" s="1"/>
    </row>
    <row r="2155" spans="1:107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  <c r="BR2155" s="1"/>
      <c r="BS2155" s="1"/>
      <c r="BT2155" s="1"/>
      <c r="BU2155" s="1"/>
      <c r="BV2155" s="1"/>
      <c r="BW2155" s="1"/>
      <c r="BX2155" s="1"/>
      <c r="BY2155" s="1"/>
      <c r="BZ2155" s="1"/>
      <c r="CA2155" s="1"/>
      <c r="CB2155" s="1"/>
      <c r="CC2155" s="1"/>
      <c r="CD2155" s="1"/>
      <c r="CE2155" s="1"/>
      <c r="CF2155" s="1"/>
      <c r="CG2155" s="1"/>
      <c r="CH2155" s="1"/>
      <c r="CI2155" s="1"/>
      <c r="CJ2155" s="1"/>
      <c r="CK2155" s="1"/>
      <c r="CL2155" s="1"/>
      <c r="CM2155" s="1"/>
      <c r="CN2155" s="1"/>
      <c r="CO2155" s="1"/>
      <c r="CP2155" s="1"/>
      <c r="CQ2155" s="1"/>
      <c r="CR2155" s="1"/>
      <c r="CS2155" s="1"/>
      <c r="CT2155" s="1"/>
      <c r="CU2155" s="1"/>
      <c r="CV2155" s="1"/>
      <c r="CW2155" s="1"/>
      <c r="CX2155" s="1"/>
      <c r="CY2155" s="1"/>
      <c r="CZ2155" s="1"/>
      <c r="DA2155" s="1"/>
      <c r="DB2155" s="1"/>
      <c r="DC2155" s="1"/>
    </row>
    <row r="2156" spans="1:107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  <c r="BM2156" s="1"/>
      <c r="BN2156" s="1"/>
      <c r="BO2156" s="1"/>
      <c r="BP2156" s="1"/>
      <c r="BQ2156" s="1"/>
      <c r="BR2156" s="1"/>
      <c r="BS2156" s="1"/>
      <c r="BT2156" s="1"/>
      <c r="BU2156" s="1"/>
      <c r="BV2156" s="1"/>
      <c r="BW2156" s="1"/>
      <c r="BX2156" s="1"/>
      <c r="BY2156" s="1"/>
      <c r="BZ2156" s="1"/>
      <c r="CA2156" s="1"/>
      <c r="CB2156" s="1"/>
      <c r="CC2156" s="1"/>
      <c r="CD2156" s="1"/>
      <c r="CE2156" s="1"/>
      <c r="CF2156" s="1"/>
      <c r="CG2156" s="1"/>
      <c r="CH2156" s="1"/>
      <c r="CI2156" s="1"/>
      <c r="CJ2156" s="1"/>
      <c r="CK2156" s="1"/>
      <c r="CL2156" s="1"/>
      <c r="CM2156" s="1"/>
      <c r="CN2156" s="1"/>
      <c r="CO2156" s="1"/>
      <c r="CP2156" s="1"/>
      <c r="CQ2156" s="1"/>
      <c r="CR2156" s="1"/>
      <c r="CS2156" s="1"/>
      <c r="CT2156" s="1"/>
      <c r="CU2156" s="1"/>
      <c r="CV2156" s="1"/>
      <c r="CW2156" s="1"/>
      <c r="CX2156" s="1"/>
      <c r="CY2156" s="1"/>
      <c r="CZ2156" s="1"/>
      <c r="DA2156" s="1"/>
      <c r="DB2156" s="1"/>
      <c r="DC2156" s="1"/>
    </row>
    <row r="2157" spans="1:10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  <c r="BM2157" s="1"/>
      <c r="BN2157" s="1"/>
      <c r="BO2157" s="1"/>
      <c r="BP2157" s="1"/>
      <c r="BQ2157" s="1"/>
      <c r="BR2157" s="1"/>
      <c r="BS2157" s="1"/>
      <c r="BT2157" s="1"/>
      <c r="BU2157" s="1"/>
      <c r="BV2157" s="1"/>
      <c r="BW2157" s="1"/>
      <c r="BX2157" s="1"/>
      <c r="BY2157" s="1"/>
      <c r="BZ2157" s="1"/>
      <c r="CA2157" s="1"/>
      <c r="CB2157" s="1"/>
      <c r="CC2157" s="1"/>
      <c r="CD2157" s="1"/>
      <c r="CE2157" s="1"/>
      <c r="CF2157" s="1"/>
      <c r="CG2157" s="1"/>
      <c r="CH2157" s="1"/>
      <c r="CI2157" s="1"/>
      <c r="CJ2157" s="1"/>
      <c r="CK2157" s="1"/>
      <c r="CL2157" s="1"/>
      <c r="CM2157" s="1"/>
      <c r="CN2157" s="1"/>
      <c r="CO2157" s="1"/>
      <c r="CP2157" s="1"/>
      <c r="CQ2157" s="1"/>
      <c r="CR2157" s="1"/>
      <c r="CS2157" s="1"/>
      <c r="CT2157" s="1"/>
      <c r="CU2157" s="1"/>
      <c r="CV2157" s="1"/>
      <c r="CW2157" s="1"/>
      <c r="CX2157" s="1"/>
      <c r="CY2157" s="1"/>
      <c r="CZ2157" s="1"/>
      <c r="DA2157" s="1"/>
      <c r="DB2157" s="1"/>
      <c r="DC2157" s="1"/>
    </row>
    <row r="2158" spans="1:107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  <c r="BK2158" s="1"/>
      <c r="BL2158" s="1"/>
      <c r="BM2158" s="1"/>
      <c r="BN2158" s="1"/>
      <c r="BO2158" s="1"/>
      <c r="BP2158" s="1"/>
      <c r="BQ2158" s="1"/>
      <c r="BR2158" s="1"/>
      <c r="BS2158" s="1"/>
      <c r="BT2158" s="1"/>
      <c r="BU2158" s="1"/>
      <c r="BV2158" s="1"/>
      <c r="BW2158" s="1"/>
      <c r="BX2158" s="1"/>
      <c r="BY2158" s="1"/>
      <c r="BZ2158" s="1"/>
      <c r="CA2158" s="1"/>
      <c r="CB2158" s="1"/>
      <c r="CC2158" s="1"/>
      <c r="CD2158" s="1"/>
      <c r="CE2158" s="1"/>
      <c r="CF2158" s="1"/>
      <c r="CG2158" s="1"/>
      <c r="CH2158" s="1"/>
      <c r="CI2158" s="1"/>
      <c r="CJ2158" s="1"/>
      <c r="CK2158" s="1"/>
      <c r="CL2158" s="1"/>
      <c r="CM2158" s="1"/>
      <c r="CN2158" s="1"/>
      <c r="CO2158" s="1"/>
      <c r="CP2158" s="1"/>
      <c r="CQ2158" s="1"/>
      <c r="CR2158" s="1"/>
      <c r="CS2158" s="1"/>
      <c r="CT2158" s="1"/>
      <c r="CU2158" s="1"/>
      <c r="CV2158" s="1"/>
      <c r="CW2158" s="1"/>
      <c r="CX2158" s="1"/>
      <c r="CY2158" s="1"/>
      <c r="CZ2158" s="1"/>
      <c r="DA2158" s="1"/>
      <c r="DB2158" s="1"/>
      <c r="DC2158" s="1"/>
    </row>
    <row r="2159" spans="1:107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  <c r="BM2159" s="1"/>
      <c r="BN2159" s="1"/>
      <c r="BO2159" s="1"/>
      <c r="BP2159" s="1"/>
      <c r="BQ2159" s="1"/>
      <c r="BR2159" s="1"/>
      <c r="BS2159" s="1"/>
      <c r="BT2159" s="1"/>
      <c r="BU2159" s="1"/>
      <c r="BV2159" s="1"/>
      <c r="BW2159" s="1"/>
      <c r="BX2159" s="1"/>
      <c r="BY2159" s="1"/>
      <c r="BZ2159" s="1"/>
      <c r="CA2159" s="1"/>
      <c r="CB2159" s="1"/>
      <c r="CC2159" s="1"/>
      <c r="CD2159" s="1"/>
      <c r="CE2159" s="1"/>
      <c r="CF2159" s="1"/>
      <c r="CG2159" s="1"/>
      <c r="CH2159" s="1"/>
      <c r="CI2159" s="1"/>
      <c r="CJ2159" s="1"/>
      <c r="CK2159" s="1"/>
      <c r="CL2159" s="1"/>
      <c r="CM2159" s="1"/>
      <c r="CN2159" s="1"/>
      <c r="CO2159" s="1"/>
      <c r="CP2159" s="1"/>
      <c r="CQ2159" s="1"/>
      <c r="CR2159" s="1"/>
      <c r="CS2159" s="1"/>
      <c r="CT2159" s="1"/>
      <c r="CU2159" s="1"/>
      <c r="CV2159" s="1"/>
      <c r="CW2159" s="1"/>
      <c r="CX2159" s="1"/>
      <c r="CY2159" s="1"/>
      <c r="CZ2159" s="1"/>
      <c r="DA2159" s="1"/>
      <c r="DB2159" s="1"/>
      <c r="DC2159" s="1"/>
    </row>
    <row r="2160" spans="1:107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  <c r="BK2160" s="1"/>
      <c r="BL2160" s="1"/>
      <c r="BM2160" s="1"/>
      <c r="BN2160" s="1"/>
      <c r="BO2160" s="1"/>
      <c r="BP2160" s="1"/>
      <c r="BQ2160" s="1"/>
      <c r="BR2160" s="1"/>
      <c r="BS2160" s="1"/>
      <c r="BT2160" s="1"/>
      <c r="BU2160" s="1"/>
      <c r="BV2160" s="1"/>
      <c r="BW2160" s="1"/>
      <c r="BX2160" s="1"/>
      <c r="BY2160" s="1"/>
      <c r="BZ2160" s="1"/>
      <c r="CA2160" s="1"/>
      <c r="CB2160" s="1"/>
      <c r="CC2160" s="1"/>
      <c r="CD2160" s="1"/>
      <c r="CE2160" s="1"/>
      <c r="CF2160" s="1"/>
      <c r="CG2160" s="1"/>
      <c r="CH2160" s="1"/>
      <c r="CI2160" s="1"/>
      <c r="CJ2160" s="1"/>
      <c r="CK2160" s="1"/>
      <c r="CL2160" s="1"/>
      <c r="CM2160" s="1"/>
      <c r="CN2160" s="1"/>
      <c r="CO2160" s="1"/>
      <c r="CP2160" s="1"/>
      <c r="CQ2160" s="1"/>
      <c r="CR2160" s="1"/>
      <c r="CS2160" s="1"/>
      <c r="CT2160" s="1"/>
      <c r="CU2160" s="1"/>
      <c r="CV2160" s="1"/>
      <c r="CW2160" s="1"/>
      <c r="CX2160" s="1"/>
      <c r="CY2160" s="1"/>
      <c r="CZ2160" s="1"/>
      <c r="DA2160" s="1"/>
      <c r="DB2160" s="1"/>
      <c r="DC2160" s="1"/>
    </row>
    <row r="2161" spans="1:107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  <c r="BR2161" s="1"/>
      <c r="BS2161" s="1"/>
      <c r="BT2161" s="1"/>
      <c r="BU2161" s="1"/>
      <c r="BV2161" s="1"/>
      <c r="BW2161" s="1"/>
      <c r="BX2161" s="1"/>
      <c r="BY2161" s="1"/>
      <c r="BZ2161" s="1"/>
      <c r="CA2161" s="1"/>
      <c r="CB2161" s="1"/>
      <c r="CC2161" s="1"/>
      <c r="CD2161" s="1"/>
      <c r="CE2161" s="1"/>
      <c r="CF2161" s="1"/>
      <c r="CG2161" s="1"/>
      <c r="CH2161" s="1"/>
      <c r="CI2161" s="1"/>
      <c r="CJ2161" s="1"/>
      <c r="CK2161" s="1"/>
      <c r="CL2161" s="1"/>
      <c r="CM2161" s="1"/>
      <c r="CN2161" s="1"/>
      <c r="CO2161" s="1"/>
      <c r="CP2161" s="1"/>
      <c r="CQ2161" s="1"/>
      <c r="CR2161" s="1"/>
      <c r="CS2161" s="1"/>
      <c r="CT2161" s="1"/>
      <c r="CU2161" s="1"/>
      <c r="CV2161" s="1"/>
      <c r="CW2161" s="1"/>
      <c r="CX2161" s="1"/>
      <c r="CY2161" s="1"/>
      <c r="CZ2161" s="1"/>
      <c r="DA2161" s="1"/>
      <c r="DB2161" s="1"/>
      <c r="DC2161" s="1"/>
    </row>
    <row r="2162" spans="1:107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  <c r="BM2162" s="1"/>
      <c r="BN2162" s="1"/>
      <c r="BO2162" s="1"/>
      <c r="BP2162" s="1"/>
      <c r="BQ2162" s="1"/>
      <c r="BR2162" s="1"/>
      <c r="BS2162" s="1"/>
      <c r="BT2162" s="1"/>
      <c r="BU2162" s="1"/>
      <c r="BV2162" s="1"/>
      <c r="BW2162" s="1"/>
      <c r="BX2162" s="1"/>
      <c r="BY2162" s="1"/>
      <c r="BZ2162" s="1"/>
      <c r="CA2162" s="1"/>
      <c r="CB2162" s="1"/>
      <c r="CC2162" s="1"/>
      <c r="CD2162" s="1"/>
      <c r="CE2162" s="1"/>
      <c r="CF2162" s="1"/>
      <c r="CG2162" s="1"/>
      <c r="CH2162" s="1"/>
      <c r="CI2162" s="1"/>
      <c r="CJ2162" s="1"/>
      <c r="CK2162" s="1"/>
      <c r="CL2162" s="1"/>
      <c r="CM2162" s="1"/>
      <c r="CN2162" s="1"/>
      <c r="CO2162" s="1"/>
      <c r="CP2162" s="1"/>
      <c r="CQ2162" s="1"/>
      <c r="CR2162" s="1"/>
      <c r="CS2162" s="1"/>
      <c r="CT2162" s="1"/>
      <c r="CU2162" s="1"/>
      <c r="CV2162" s="1"/>
      <c r="CW2162" s="1"/>
      <c r="CX2162" s="1"/>
      <c r="CY2162" s="1"/>
      <c r="CZ2162" s="1"/>
      <c r="DA2162" s="1"/>
      <c r="DB2162" s="1"/>
      <c r="DC2162" s="1"/>
    </row>
    <row r="2163" spans="1:107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  <c r="BR2163" s="1"/>
      <c r="BS2163" s="1"/>
      <c r="BT2163" s="1"/>
      <c r="BU2163" s="1"/>
      <c r="BV2163" s="1"/>
      <c r="BW2163" s="1"/>
      <c r="BX2163" s="1"/>
      <c r="BY2163" s="1"/>
      <c r="BZ2163" s="1"/>
      <c r="CA2163" s="1"/>
      <c r="CB2163" s="1"/>
      <c r="CC2163" s="1"/>
      <c r="CD2163" s="1"/>
      <c r="CE2163" s="1"/>
      <c r="CF2163" s="1"/>
      <c r="CG2163" s="1"/>
      <c r="CH2163" s="1"/>
      <c r="CI2163" s="1"/>
      <c r="CJ2163" s="1"/>
      <c r="CK2163" s="1"/>
      <c r="CL2163" s="1"/>
      <c r="CM2163" s="1"/>
      <c r="CN2163" s="1"/>
      <c r="CO2163" s="1"/>
      <c r="CP2163" s="1"/>
      <c r="CQ2163" s="1"/>
      <c r="CR2163" s="1"/>
      <c r="CS2163" s="1"/>
      <c r="CT2163" s="1"/>
      <c r="CU2163" s="1"/>
      <c r="CV2163" s="1"/>
      <c r="CW2163" s="1"/>
      <c r="CX2163" s="1"/>
      <c r="CY2163" s="1"/>
      <c r="CZ2163" s="1"/>
      <c r="DA2163" s="1"/>
      <c r="DB2163" s="1"/>
      <c r="DC2163" s="1"/>
    </row>
    <row r="2164" spans="1:107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  <c r="BM2164" s="1"/>
      <c r="BN2164" s="1"/>
      <c r="BO2164" s="1"/>
      <c r="BP2164" s="1"/>
      <c r="BQ2164" s="1"/>
      <c r="BR2164" s="1"/>
      <c r="BS2164" s="1"/>
      <c r="BT2164" s="1"/>
      <c r="BU2164" s="1"/>
      <c r="BV2164" s="1"/>
      <c r="BW2164" s="1"/>
      <c r="BX2164" s="1"/>
      <c r="BY2164" s="1"/>
      <c r="BZ2164" s="1"/>
      <c r="CA2164" s="1"/>
      <c r="CB2164" s="1"/>
      <c r="CC2164" s="1"/>
      <c r="CD2164" s="1"/>
      <c r="CE2164" s="1"/>
      <c r="CF2164" s="1"/>
      <c r="CG2164" s="1"/>
      <c r="CH2164" s="1"/>
      <c r="CI2164" s="1"/>
      <c r="CJ2164" s="1"/>
      <c r="CK2164" s="1"/>
      <c r="CL2164" s="1"/>
      <c r="CM2164" s="1"/>
      <c r="CN2164" s="1"/>
      <c r="CO2164" s="1"/>
      <c r="CP2164" s="1"/>
      <c r="CQ2164" s="1"/>
      <c r="CR2164" s="1"/>
      <c r="CS2164" s="1"/>
      <c r="CT2164" s="1"/>
      <c r="CU2164" s="1"/>
      <c r="CV2164" s="1"/>
      <c r="CW2164" s="1"/>
      <c r="CX2164" s="1"/>
      <c r="CY2164" s="1"/>
      <c r="CZ2164" s="1"/>
      <c r="DA2164" s="1"/>
      <c r="DB2164" s="1"/>
      <c r="DC2164" s="1"/>
    </row>
    <row r="2165" spans="1:107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  <c r="BR2165" s="1"/>
      <c r="BS2165" s="1"/>
      <c r="BT2165" s="1"/>
      <c r="BU2165" s="1"/>
      <c r="BV2165" s="1"/>
      <c r="BW2165" s="1"/>
      <c r="BX2165" s="1"/>
      <c r="BY2165" s="1"/>
      <c r="BZ2165" s="1"/>
      <c r="CA2165" s="1"/>
      <c r="CB2165" s="1"/>
      <c r="CC2165" s="1"/>
      <c r="CD2165" s="1"/>
      <c r="CE2165" s="1"/>
      <c r="CF2165" s="1"/>
      <c r="CG2165" s="1"/>
      <c r="CH2165" s="1"/>
      <c r="CI2165" s="1"/>
      <c r="CJ2165" s="1"/>
      <c r="CK2165" s="1"/>
      <c r="CL2165" s="1"/>
      <c r="CM2165" s="1"/>
      <c r="CN2165" s="1"/>
      <c r="CO2165" s="1"/>
      <c r="CP2165" s="1"/>
      <c r="CQ2165" s="1"/>
      <c r="CR2165" s="1"/>
      <c r="CS2165" s="1"/>
      <c r="CT2165" s="1"/>
      <c r="CU2165" s="1"/>
      <c r="CV2165" s="1"/>
      <c r="CW2165" s="1"/>
      <c r="CX2165" s="1"/>
      <c r="CY2165" s="1"/>
      <c r="CZ2165" s="1"/>
      <c r="DA2165" s="1"/>
      <c r="DB2165" s="1"/>
      <c r="DC2165" s="1"/>
    </row>
    <row r="2166" spans="1:107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  <c r="BR2166" s="1"/>
      <c r="BS2166" s="1"/>
      <c r="BT2166" s="1"/>
      <c r="BU2166" s="1"/>
      <c r="BV2166" s="1"/>
      <c r="BW2166" s="1"/>
      <c r="BX2166" s="1"/>
      <c r="BY2166" s="1"/>
      <c r="BZ2166" s="1"/>
      <c r="CA2166" s="1"/>
      <c r="CB2166" s="1"/>
      <c r="CC2166" s="1"/>
      <c r="CD2166" s="1"/>
      <c r="CE2166" s="1"/>
      <c r="CF2166" s="1"/>
      <c r="CG2166" s="1"/>
      <c r="CH2166" s="1"/>
      <c r="CI2166" s="1"/>
      <c r="CJ2166" s="1"/>
      <c r="CK2166" s="1"/>
      <c r="CL2166" s="1"/>
      <c r="CM2166" s="1"/>
      <c r="CN2166" s="1"/>
      <c r="CO2166" s="1"/>
      <c r="CP2166" s="1"/>
      <c r="CQ2166" s="1"/>
      <c r="CR2166" s="1"/>
      <c r="CS2166" s="1"/>
      <c r="CT2166" s="1"/>
      <c r="CU2166" s="1"/>
      <c r="CV2166" s="1"/>
      <c r="CW2166" s="1"/>
      <c r="CX2166" s="1"/>
      <c r="CY2166" s="1"/>
      <c r="CZ2166" s="1"/>
      <c r="DA2166" s="1"/>
      <c r="DB2166" s="1"/>
      <c r="DC2166" s="1"/>
    </row>
    <row r="2167" spans="1:107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/>
      <c r="BR2167" s="1"/>
      <c r="BS2167" s="1"/>
      <c r="BT2167" s="1"/>
      <c r="BU2167" s="1"/>
      <c r="BV2167" s="1"/>
      <c r="BW2167" s="1"/>
      <c r="BX2167" s="1"/>
      <c r="BY2167" s="1"/>
      <c r="BZ2167" s="1"/>
      <c r="CA2167" s="1"/>
      <c r="CB2167" s="1"/>
      <c r="CC2167" s="1"/>
      <c r="CD2167" s="1"/>
      <c r="CE2167" s="1"/>
      <c r="CF2167" s="1"/>
      <c r="CG2167" s="1"/>
      <c r="CH2167" s="1"/>
      <c r="CI2167" s="1"/>
      <c r="CJ2167" s="1"/>
      <c r="CK2167" s="1"/>
      <c r="CL2167" s="1"/>
      <c r="CM2167" s="1"/>
      <c r="CN2167" s="1"/>
      <c r="CO2167" s="1"/>
      <c r="CP2167" s="1"/>
      <c r="CQ2167" s="1"/>
      <c r="CR2167" s="1"/>
      <c r="CS2167" s="1"/>
      <c r="CT2167" s="1"/>
      <c r="CU2167" s="1"/>
      <c r="CV2167" s="1"/>
      <c r="CW2167" s="1"/>
      <c r="CX2167" s="1"/>
      <c r="CY2167" s="1"/>
      <c r="CZ2167" s="1"/>
      <c r="DA2167" s="1"/>
      <c r="DB2167" s="1"/>
      <c r="DC2167" s="1"/>
    </row>
    <row r="2168" spans="1:107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  <c r="BM2168" s="1"/>
      <c r="BN2168" s="1"/>
      <c r="BO2168" s="1"/>
      <c r="BP2168" s="1"/>
      <c r="BQ2168" s="1"/>
      <c r="BR2168" s="1"/>
      <c r="BS2168" s="1"/>
      <c r="BT2168" s="1"/>
      <c r="BU2168" s="1"/>
      <c r="BV2168" s="1"/>
      <c r="BW2168" s="1"/>
      <c r="BX2168" s="1"/>
      <c r="BY2168" s="1"/>
      <c r="BZ2168" s="1"/>
      <c r="CA2168" s="1"/>
      <c r="CB2168" s="1"/>
      <c r="CC2168" s="1"/>
      <c r="CD2168" s="1"/>
      <c r="CE2168" s="1"/>
      <c r="CF2168" s="1"/>
      <c r="CG2168" s="1"/>
      <c r="CH2168" s="1"/>
      <c r="CI2168" s="1"/>
      <c r="CJ2168" s="1"/>
      <c r="CK2168" s="1"/>
      <c r="CL2168" s="1"/>
      <c r="CM2168" s="1"/>
      <c r="CN2168" s="1"/>
      <c r="CO2168" s="1"/>
      <c r="CP2168" s="1"/>
      <c r="CQ2168" s="1"/>
      <c r="CR2168" s="1"/>
      <c r="CS2168" s="1"/>
      <c r="CT2168" s="1"/>
      <c r="CU2168" s="1"/>
      <c r="CV2168" s="1"/>
      <c r="CW2168" s="1"/>
      <c r="CX2168" s="1"/>
      <c r="CY2168" s="1"/>
      <c r="CZ2168" s="1"/>
      <c r="DA2168" s="1"/>
      <c r="DB2168" s="1"/>
      <c r="DC2168" s="1"/>
    </row>
    <row r="2169" spans="1:107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  <c r="BR2169" s="1"/>
      <c r="BS2169" s="1"/>
      <c r="BT2169" s="1"/>
      <c r="BU2169" s="1"/>
      <c r="BV2169" s="1"/>
      <c r="BW2169" s="1"/>
      <c r="BX2169" s="1"/>
      <c r="BY2169" s="1"/>
      <c r="BZ2169" s="1"/>
      <c r="CA2169" s="1"/>
      <c r="CB2169" s="1"/>
      <c r="CC2169" s="1"/>
      <c r="CD2169" s="1"/>
      <c r="CE2169" s="1"/>
      <c r="CF2169" s="1"/>
      <c r="CG2169" s="1"/>
      <c r="CH2169" s="1"/>
      <c r="CI2169" s="1"/>
      <c r="CJ2169" s="1"/>
      <c r="CK2169" s="1"/>
      <c r="CL2169" s="1"/>
      <c r="CM2169" s="1"/>
      <c r="CN2169" s="1"/>
      <c r="CO2169" s="1"/>
      <c r="CP2169" s="1"/>
      <c r="CQ2169" s="1"/>
      <c r="CR2169" s="1"/>
      <c r="CS2169" s="1"/>
      <c r="CT2169" s="1"/>
      <c r="CU2169" s="1"/>
      <c r="CV2169" s="1"/>
      <c r="CW2169" s="1"/>
      <c r="CX2169" s="1"/>
      <c r="CY2169" s="1"/>
      <c r="CZ2169" s="1"/>
      <c r="DA2169" s="1"/>
      <c r="DB2169" s="1"/>
      <c r="DC2169" s="1"/>
    </row>
    <row r="2170" spans="1:107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  <c r="BM2170" s="1"/>
      <c r="BN2170" s="1"/>
      <c r="BO2170" s="1"/>
      <c r="BP2170" s="1"/>
      <c r="BQ2170" s="1"/>
      <c r="BR2170" s="1"/>
      <c r="BS2170" s="1"/>
      <c r="BT2170" s="1"/>
      <c r="BU2170" s="1"/>
      <c r="BV2170" s="1"/>
      <c r="BW2170" s="1"/>
      <c r="BX2170" s="1"/>
      <c r="BY2170" s="1"/>
      <c r="BZ2170" s="1"/>
      <c r="CA2170" s="1"/>
      <c r="CB2170" s="1"/>
      <c r="CC2170" s="1"/>
      <c r="CD2170" s="1"/>
      <c r="CE2170" s="1"/>
      <c r="CF2170" s="1"/>
      <c r="CG2170" s="1"/>
      <c r="CH2170" s="1"/>
      <c r="CI2170" s="1"/>
      <c r="CJ2170" s="1"/>
      <c r="CK2170" s="1"/>
      <c r="CL2170" s="1"/>
      <c r="CM2170" s="1"/>
      <c r="CN2170" s="1"/>
      <c r="CO2170" s="1"/>
      <c r="CP2170" s="1"/>
      <c r="CQ2170" s="1"/>
      <c r="CR2170" s="1"/>
      <c r="CS2170" s="1"/>
      <c r="CT2170" s="1"/>
      <c r="CU2170" s="1"/>
      <c r="CV2170" s="1"/>
      <c r="CW2170" s="1"/>
      <c r="CX2170" s="1"/>
      <c r="CY2170" s="1"/>
      <c r="CZ2170" s="1"/>
      <c r="DA2170" s="1"/>
      <c r="DB2170" s="1"/>
      <c r="DC2170" s="1"/>
    </row>
    <row r="2171" spans="1:107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  <c r="BX2171" s="1"/>
      <c r="BY2171" s="1"/>
      <c r="BZ2171" s="1"/>
      <c r="CA2171" s="1"/>
      <c r="CB2171" s="1"/>
      <c r="CC2171" s="1"/>
      <c r="CD2171" s="1"/>
      <c r="CE2171" s="1"/>
      <c r="CF2171" s="1"/>
      <c r="CG2171" s="1"/>
      <c r="CH2171" s="1"/>
      <c r="CI2171" s="1"/>
      <c r="CJ2171" s="1"/>
      <c r="CK2171" s="1"/>
      <c r="CL2171" s="1"/>
      <c r="CM2171" s="1"/>
      <c r="CN2171" s="1"/>
      <c r="CO2171" s="1"/>
      <c r="CP2171" s="1"/>
      <c r="CQ2171" s="1"/>
      <c r="CR2171" s="1"/>
      <c r="CS2171" s="1"/>
      <c r="CT2171" s="1"/>
      <c r="CU2171" s="1"/>
      <c r="CV2171" s="1"/>
      <c r="CW2171" s="1"/>
      <c r="CX2171" s="1"/>
      <c r="CY2171" s="1"/>
      <c r="CZ2171" s="1"/>
      <c r="DA2171" s="1"/>
      <c r="DB2171" s="1"/>
      <c r="DC2171" s="1"/>
    </row>
    <row r="2172" spans="1:107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  <c r="BM2172" s="1"/>
      <c r="BN2172" s="1"/>
      <c r="BO2172" s="1"/>
      <c r="BP2172" s="1"/>
      <c r="BQ2172" s="1"/>
      <c r="BR2172" s="1"/>
      <c r="BS2172" s="1"/>
      <c r="BT2172" s="1"/>
      <c r="BU2172" s="1"/>
      <c r="BV2172" s="1"/>
      <c r="BW2172" s="1"/>
      <c r="BX2172" s="1"/>
      <c r="BY2172" s="1"/>
      <c r="BZ2172" s="1"/>
      <c r="CA2172" s="1"/>
      <c r="CB2172" s="1"/>
      <c r="CC2172" s="1"/>
      <c r="CD2172" s="1"/>
      <c r="CE2172" s="1"/>
      <c r="CF2172" s="1"/>
      <c r="CG2172" s="1"/>
      <c r="CH2172" s="1"/>
      <c r="CI2172" s="1"/>
      <c r="CJ2172" s="1"/>
      <c r="CK2172" s="1"/>
      <c r="CL2172" s="1"/>
      <c r="CM2172" s="1"/>
      <c r="CN2172" s="1"/>
      <c r="CO2172" s="1"/>
      <c r="CP2172" s="1"/>
      <c r="CQ2172" s="1"/>
      <c r="CR2172" s="1"/>
      <c r="CS2172" s="1"/>
      <c r="CT2172" s="1"/>
      <c r="CU2172" s="1"/>
      <c r="CV2172" s="1"/>
      <c r="CW2172" s="1"/>
      <c r="CX2172" s="1"/>
      <c r="CY2172" s="1"/>
      <c r="CZ2172" s="1"/>
      <c r="DA2172" s="1"/>
      <c r="DB2172" s="1"/>
      <c r="DC2172" s="1"/>
    </row>
    <row r="2173" spans="1:107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  <c r="BR2173" s="1"/>
      <c r="BS2173" s="1"/>
      <c r="BT2173" s="1"/>
      <c r="BU2173" s="1"/>
      <c r="BV2173" s="1"/>
      <c r="BW2173" s="1"/>
      <c r="BX2173" s="1"/>
      <c r="BY2173" s="1"/>
      <c r="BZ2173" s="1"/>
      <c r="CA2173" s="1"/>
      <c r="CB2173" s="1"/>
      <c r="CC2173" s="1"/>
      <c r="CD2173" s="1"/>
      <c r="CE2173" s="1"/>
      <c r="CF2173" s="1"/>
      <c r="CG2173" s="1"/>
      <c r="CH2173" s="1"/>
      <c r="CI2173" s="1"/>
      <c r="CJ2173" s="1"/>
      <c r="CK2173" s="1"/>
      <c r="CL2173" s="1"/>
      <c r="CM2173" s="1"/>
      <c r="CN2173" s="1"/>
      <c r="CO2173" s="1"/>
      <c r="CP2173" s="1"/>
      <c r="CQ2173" s="1"/>
      <c r="CR2173" s="1"/>
      <c r="CS2173" s="1"/>
      <c r="CT2173" s="1"/>
      <c r="CU2173" s="1"/>
      <c r="CV2173" s="1"/>
      <c r="CW2173" s="1"/>
      <c r="CX2173" s="1"/>
      <c r="CY2173" s="1"/>
      <c r="CZ2173" s="1"/>
      <c r="DA2173" s="1"/>
      <c r="DB2173" s="1"/>
      <c r="DC2173" s="1"/>
    </row>
    <row r="2174" spans="1:107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/>
      <c r="BQ2174" s="1"/>
      <c r="BR2174" s="1"/>
      <c r="BS2174" s="1"/>
      <c r="BT2174" s="1"/>
      <c r="BU2174" s="1"/>
      <c r="BV2174" s="1"/>
      <c r="BW2174" s="1"/>
      <c r="BX2174" s="1"/>
      <c r="BY2174" s="1"/>
      <c r="BZ2174" s="1"/>
      <c r="CA2174" s="1"/>
      <c r="CB2174" s="1"/>
      <c r="CC2174" s="1"/>
      <c r="CD2174" s="1"/>
      <c r="CE2174" s="1"/>
      <c r="CF2174" s="1"/>
      <c r="CG2174" s="1"/>
      <c r="CH2174" s="1"/>
      <c r="CI2174" s="1"/>
      <c r="CJ2174" s="1"/>
      <c r="CK2174" s="1"/>
      <c r="CL2174" s="1"/>
      <c r="CM2174" s="1"/>
      <c r="CN2174" s="1"/>
      <c r="CO2174" s="1"/>
      <c r="CP2174" s="1"/>
      <c r="CQ2174" s="1"/>
      <c r="CR2174" s="1"/>
      <c r="CS2174" s="1"/>
      <c r="CT2174" s="1"/>
      <c r="CU2174" s="1"/>
      <c r="CV2174" s="1"/>
      <c r="CW2174" s="1"/>
      <c r="CX2174" s="1"/>
      <c r="CY2174" s="1"/>
      <c r="CZ2174" s="1"/>
      <c r="DA2174" s="1"/>
      <c r="DB2174" s="1"/>
      <c r="DC2174" s="1"/>
    </row>
    <row r="2175" spans="1:107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  <c r="BR2175" s="1"/>
      <c r="BS2175" s="1"/>
      <c r="BT2175" s="1"/>
      <c r="BU2175" s="1"/>
      <c r="BV2175" s="1"/>
      <c r="BW2175" s="1"/>
      <c r="BX2175" s="1"/>
      <c r="BY2175" s="1"/>
      <c r="BZ2175" s="1"/>
      <c r="CA2175" s="1"/>
      <c r="CB2175" s="1"/>
      <c r="CC2175" s="1"/>
      <c r="CD2175" s="1"/>
      <c r="CE2175" s="1"/>
      <c r="CF2175" s="1"/>
      <c r="CG2175" s="1"/>
      <c r="CH2175" s="1"/>
      <c r="CI2175" s="1"/>
      <c r="CJ2175" s="1"/>
      <c r="CK2175" s="1"/>
      <c r="CL2175" s="1"/>
      <c r="CM2175" s="1"/>
      <c r="CN2175" s="1"/>
      <c r="CO2175" s="1"/>
      <c r="CP2175" s="1"/>
      <c r="CQ2175" s="1"/>
      <c r="CR2175" s="1"/>
      <c r="CS2175" s="1"/>
      <c r="CT2175" s="1"/>
      <c r="CU2175" s="1"/>
      <c r="CV2175" s="1"/>
      <c r="CW2175" s="1"/>
      <c r="CX2175" s="1"/>
      <c r="CY2175" s="1"/>
      <c r="CZ2175" s="1"/>
      <c r="DA2175" s="1"/>
      <c r="DB2175" s="1"/>
      <c r="DC2175" s="1"/>
    </row>
    <row r="2176" spans="1:107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  <c r="BM2176" s="1"/>
      <c r="BN2176" s="1"/>
      <c r="BO2176" s="1"/>
      <c r="BP2176" s="1"/>
      <c r="BQ2176" s="1"/>
      <c r="BR2176" s="1"/>
      <c r="BS2176" s="1"/>
      <c r="BT2176" s="1"/>
      <c r="BU2176" s="1"/>
      <c r="BV2176" s="1"/>
      <c r="BW2176" s="1"/>
      <c r="BX2176" s="1"/>
      <c r="BY2176" s="1"/>
      <c r="BZ2176" s="1"/>
      <c r="CA2176" s="1"/>
      <c r="CB2176" s="1"/>
      <c r="CC2176" s="1"/>
      <c r="CD2176" s="1"/>
      <c r="CE2176" s="1"/>
      <c r="CF2176" s="1"/>
      <c r="CG2176" s="1"/>
      <c r="CH2176" s="1"/>
      <c r="CI2176" s="1"/>
      <c r="CJ2176" s="1"/>
      <c r="CK2176" s="1"/>
      <c r="CL2176" s="1"/>
      <c r="CM2176" s="1"/>
      <c r="CN2176" s="1"/>
      <c r="CO2176" s="1"/>
      <c r="CP2176" s="1"/>
      <c r="CQ2176" s="1"/>
      <c r="CR2176" s="1"/>
      <c r="CS2176" s="1"/>
      <c r="CT2176" s="1"/>
      <c r="CU2176" s="1"/>
      <c r="CV2176" s="1"/>
      <c r="CW2176" s="1"/>
      <c r="CX2176" s="1"/>
      <c r="CY2176" s="1"/>
      <c r="CZ2176" s="1"/>
      <c r="DA2176" s="1"/>
      <c r="DB2176" s="1"/>
      <c r="DC2176" s="1"/>
    </row>
    <row r="2177" spans="1:10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  <c r="BM2177" s="1"/>
      <c r="BN2177" s="1"/>
      <c r="BO2177" s="1"/>
      <c r="BP2177" s="1"/>
      <c r="BQ2177" s="1"/>
      <c r="BR2177" s="1"/>
      <c r="BS2177" s="1"/>
      <c r="BT2177" s="1"/>
      <c r="BU2177" s="1"/>
      <c r="BV2177" s="1"/>
      <c r="BW2177" s="1"/>
      <c r="BX2177" s="1"/>
      <c r="BY2177" s="1"/>
      <c r="BZ2177" s="1"/>
      <c r="CA2177" s="1"/>
      <c r="CB2177" s="1"/>
      <c r="CC2177" s="1"/>
      <c r="CD2177" s="1"/>
      <c r="CE2177" s="1"/>
      <c r="CF2177" s="1"/>
      <c r="CG2177" s="1"/>
      <c r="CH2177" s="1"/>
      <c r="CI2177" s="1"/>
      <c r="CJ2177" s="1"/>
      <c r="CK2177" s="1"/>
      <c r="CL2177" s="1"/>
      <c r="CM2177" s="1"/>
      <c r="CN2177" s="1"/>
      <c r="CO2177" s="1"/>
      <c r="CP2177" s="1"/>
      <c r="CQ2177" s="1"/>
      <c r="CR2177" s="1"/>
      <c r="CS2177" s="1"/>
      <c r="CT2177" s="1"/>
      <c r="CU2177" s="1"/>
      <c r="CV2177" s="1"/>
      <c r="CW2177" s="1"/>
      <c r="CX2177" s="1"/>
      <c r="CY2177" s="1"/>
      <c r="CZ2177" s="1"/>
      <c r="DA2177" s="1"/>
      <c r="DB2177" s="1"/>
      <c r="DC2177" s="1"/>
    </row>
    <row r="2178" spans="1:107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s="1"/>
      <c r="BO2178" s="1"/>
      <c r="BP2178" s="1"/>
      <c r="BQ2178" s="1"/>
      <c r="BR2178" s="1"/>
      <c r="BS2178" s="1"/>
      <c r="BT2178" s="1"/>
      <c r="BU2178" s="1"/>
      <c r="BV2178" s="1"/>
      <c r="BW2178" s="1"/>
      <c r="BX2178" s="1"/>
      <c r="BY2178" s="1"/>
      <c r="BZ2178" s="1"/>
      <c r="CA2178" s="1"/>
      <c r="CB2178" s="1"/>
      <c r="CC2178" s="1"/>
      <c r="CD2178" s="1"/>
      <c r="CE2178" s="1"/>
      <c r="CF2178" s="1"/>
      <c r="CG2178" s="1"/>
      <c r="CH2178" s="1"/>
      <c r="CI2178" s="1"/>
      <c r="CJ2178" s="1"/>
      <c r="CK2178" s="1"/>
      <c r="CL2178" s="1"/>
      <c r="CM2178" s="1"/>
      <c r="CN2178" s="1"/>
      <c r="CO2178" s="1"/>
      <c r="CP2178" s="1"/>
      <c r="CQ2178" s="1"/>
      <c r="CR2178" s="1"/>
      <c r="CS2178" s="1"/>
      <c r="CT2178" s="1"/>
      <c r="CU2178" s="1"/>
      <c r="CV2178" s="1"/>
      <c r="CW2178" s="1"/>
      <c r="CX2178" s="1"/>
      <c r="CY2178" s="1"/>
      <c r="CZ2178" s="1"/>
      <c r="DA2178" s="1"/>
      <c r="DB2178" s="1"/>
      <c r="DC2178" s="1"/>
    </row>
    <row r="2179" spans="1:107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  <c r="BR2179" s="1"/>
      <c r="BS2179" s="1"/>
      <c r="BT2179" s="1"/>
      <c r="BU2179" s="1"/>
      <c r="BV2179" s="1"/>
      <c r="BW2179" s="1"/>
      <c r="BX2179" s="1"/>
      <c r="BY2179" s="1"/>
      <c r="BZ2179" s="1"/>
      <c r="CA2179" s="1"/>
      <c r="CB2179" s="1"/>
      <c r="CC2179" s="1"/>
      <c r="CD2179" s="1"/>
      <c r="CE2179" s="1"/>
      <c r="CF2179" s="1"/>
      <c r="CG2179" s="1"/>
      <c r="CH2179" s="1"/>
      <c r="CI2179" s="1"/>
      <c r="CJ2179" s="1"/>
      <c r="CK2179" s="1"/>
      <c r="CL2179" s="1"/>
      <c r="CM2179" s="1"/>
      <c r="CN2179" s="1"/>
      <c r="CO2179" s="1"/>
      <c r="CP2179" s="1"/>
      <c r="CQ2179" s="1"/>
      <c r="CR2179" s="1"/>
      <c r="CS2179" s="1"/>
      <c r="CT2179" s="1"/>
      <c r="CU2179" s="1"/>
      <c r="CV2179" s="1"/>
      <c r="CW2179" s="1"/>
      <c r="CX2179" s="1"/>
      <c r="CY2179" s="1"/>
      <c r="CZ2179" s="1"/>
      <c r="DA2179" s="1"/>
      <c r="DB2179" s="1"/>
      <c r="DC2179" s="1"/>
    </row>
    <row r="2180" spans="1:107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  <c r="BM2180" s="1"/>
      <c r="BN2180" s="1"/>
      <c r="BO2180" s="1"/>
      <c r="BP2180" s="1"/>
      <c r="BQ2180" s="1"/>
      <c r="BR2180" s="1"/>
      <c r="BS2180" s="1"/>
      <c r="BT2180" s="1"/>
      <c r="BU2180" s="1"/>
      <c r="BV2180" s="1"/>
      <c r="BW2180" s="1"/>
      <c r="BX2180" s="1"/>
      <c r="BY2180" s="1"/>
      <c r="BZ2180" s="1"/>
      <c r="CA2180" s="1"/>
      <c r="CB2180" s="1"/>
      <c r="CC2180" s="1"/>
      <c r="CD2180" s="1"/>
      <c r="CE2180" s="1"/>
      <c r="CF2180" s="1"/>
      <c r="CG2180" s="1"/>
      <c r="CH2180" s="1"/>
      <c r="CI2180" s="1"/>
      <c r="CJ2180" s="1"/>
      <c r="CK2180" s="1"/>
      <c r="CL2180" s="1"/>
      <c r="CM2180" s="1"/>
      <c r="CN2180" s="1"/>
      <c r="CO2180" s="1"/>
      <c r="CP2180" s="1"/>
      <c r="CQ2180" s="1"/>
      <c r="CR2180" s="1"/>
      <c r="CS2180" s="1"/>
      <c r="CT2180" s="1"/>
      <c r="CU2180" s="1"/>
      <c r="CV2180" s="1"/>
      <c r="CW2180" s="1"/>
      <c r="CX2180" s="1"/>
      <c r="CY2180" s="1"/>
      <c r="CZ2180" s="1"/>
      <c r="DA2180" s="1"/>
      <c r="DB2180" s="1"/>
      <c r="DC2180" s="1"/>
    </row>
    <row r="2181" spans="1:107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  <c r="BR2181" s="1"/>
      <c r="BS2181" s="1"/>
      <c r="BT2181" s="1"/>
      <c r="BU2181" s="1"/>
      <c r="BV2181" s="1"/>
      <c r="BW2181" s="1"/>
      <c r="BX2181" s="1"/>
      <c r="BY2181" s="1"/>
      <c r="BZ2181" s="1"/>
      <c r="CA2181" s="1"/>
      <c r="CB2181" s="1"/>
      <c r="CC2181" s="1"/>
      <c r="CD2181" s="1"/>
      <c r="CE2181" s="1"/>
      <c r="CF2181" s="1"/>
      <c r="CG2181" s="1"/>
      <c r="CH2181" s="1"/>
      <c r="CI2181" s="1"/>
      <c r="CJ2181" s="1"/>
      <c r="CK2181" s="1"/>
      <c r="CL2181" s="1"/>
      <c r="CM2181" s="1"/>
      <c r="CN2181" s="1"/>
      <c r="CO2181" s="1"/>
      <c r="CP2181" s="1"/>
      <c r="CQ2181" s="1"/>
      <c r="CR2181" s="1"/>
      <c r="CS2181" s="1"/>
      <c r="CT2181" s="1"/>
      <c r="CU2181" s="1"/>
      <c r="CV2181" s="1"/>
      <c r="CW2181" s="1"/>
      <c r="CX2181" s="1"/>
      <c r="CY2181" s="1"/>
      <c r="CZ2181" s="1"/>
      <c r="DA2181" s="1"/>
      <c r="DB2181" s="1"/>
      <c r="DC2181" s="1"/>
    </row>
    <row r="2182" spans="1:107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  <c r="BK2182" s="1"/>
      <c r="BL2182" s="1"/>
      <c r="BM2182" s="1"/>
      <c r="BN2182" s="1"/>
      <c r="BO2182" s="1"/>
      <c r="BP2182" s="1"/>
      <c r="BQ2182" s="1"/>
      <c r="BR2182" s="1"/>
      <c r="BS2182" s="1"/>
      <c r="BT2182" s="1"/>
      <c r="BU2182" s="1"/>
      <c r="BV2182" s="1"/>
      <c r="BW2182" s="1"/>
      <c r="BX2182" s="1"/>
      <c r="BY2182" s="1"/>
      <c r="BZ2182" s="1"/>
      <c r="CA2182" s="1"/>
      <c r="CB2182" s="1"/>
      <c r="CC2182" s="1"/>
      <c r="CD2182" s="1"/>
      <c r="CE2182" s="1"/>
      <c r="CF2182" s="1"/>
      <c r="CG2182" s="1"/>
      <c r="CH2182" s="1"/>
      <c r="CI2182" s="1"/>
      <c r="CJ2182" s="1"/>
      <c r="CK2182" s="1"/>
      <c r="CL2182" s="1"/>
      <c r="CM2182" s="1"/>
      <c r="CN2182" s="1"/>
      <c r="CO2182" s="1"/>
      <c r="CP2182" s="1"/>
      <c r="CQ2182" s="1"/>
      <c r="CR2182" s="1"/>
      <c r="CS2182" s="1"/>
      <c r="CT2182" s="1"/>
      <c r="CU2182" s="1"/>
      <c r="CV2182" s="1"/>
      <c r="CW2182" s="1"/>
      <c r="CX2182" s="1"/>
      <c r="CY2182" s="1"/>
      <c r="CZ2182" s="1"/>
      <c r="DA2182" s="1"/>
      <c r="DB2182" s="1"/>
      <c r="DC2182" s="1"/>
    </row>
    <row r="2183" spans="1:107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  <c r="BR2183" s="1"/>
      <c r="BS2183" s="1"/>
      <c r="BT2183" s="1"/>
      <c r="BU2183" s="1"/>
      <c r="BV2183" s="1"/>
      <c r="BW2183" s="1"/>
      <c r="BX2183" s="1"/>
      <c r="BY2183" s="1"/>
      <c r="BZ2183" s="1"/>
      <c r="CA2183" s="1"/>
      <c r="CB2183" s="1"/>
      <c r="CC2183" s="1"/>
      <c r="CD2183" s="1"/>
      <c r="CE2183" s="1"/>
      <c r="CF2183" s="1"/>
      <c r="CG2183" s="1"/>
      <c r="CH2183" s="1"/>
      <c r="CI2183" s="1"/>
      <c r="CJ2183" s="1"/>
      <c r="CK2183" s="1"/>
      <c r="CL2183" s="1"/>
      <c r="CM2183" s="1"/>
      <c r="CN2183" s="1"/>
      <c r="CO2183" s="1"/>
      <c r="CP2183" s="1"/>
      <c r="CQ2183" s="1"/>
      <c r="CR2183" s="1"/>
      <c r="CS2183" s="1"/>
      <c r="CT2183" s="1"/>
      <c r="CU2183" s="1"/>
      <c r="CV2183" s="1"/>
      <c r="CW2183" s="1"/>
      <c r="CX2183" s="1"/>
      <c r="CY2183" s="1"/>
      <c r="CZ2183" s="1"/>
      <c r="DA2183" s="1"/>
      <c r="DB2183" s="1"/>
      <c r="DC2183" s="1"/>
    </row>
    <row r="2184" spans="1:107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  <c r="BM2184" s="1"/>
      <c r="BN2184" s="1"/>
      <c r="BO2184" s="1"/>
      <c r="BP2184" s="1"/>
      <c r="BQ2184" s="1"/>
      <c r="BR2184" s="1"/>
      <c r="BS2184" s="1"/>
      <c r="BT2184" s="1"/>
      <c r="BU2184" s="1"/>
      <c r="BV2184" s="1"/>
      <c r="BW2184" s="1"/>
      <c r="BX2184" s="1"/>
      <c r="BY2184" s="1"/>
      <c r="BZ2184" s="1"/>
      <c r="CA2184" s="1"/>
      <c r="CB2184" s="1"/>
      <c r="CC2184" s="1"/>
      <c r="CD2184" s="1"/>
      <c r="CE2184" s="1"/>
      <c r="CF2184" s="1"/>
      <c r="CG2184" s="1"/>
      <c r="CH2184" s="1"/>
      <c r="CI2184" s="1"/>
      <c r="CJ2184" s="1"/>
      <c r="CK2184" s="1"/>
      <c r="CL2184" s="1"/>
      <c r="CM2184" s="1"/>
      <c r="CN2184" s="1"/>
      <c r="CO2184" s="1"/>
      <c r="CP2184" s="1"/>
      <c r="CQ2184" s="1"/>
      <c r="CR2184" s="1"/>
      <c r="CS2184" s="1"/>
      <c r="CT2184" s="1"/>
      <c r="CU2184" s="1"/>
      <c r="CV2184" s="1"/>
      <c r="CW2184" s="1"/>
      <c r="CX2184" s="1"/>
      <c r="CY2184" s="1"/>
      <c r="CZ2184" s="1"/>
      <c r="DA2184" s="1"/>
      <c r="DB2184" s="1"/>
      <c r="DC2184" s="1"/>
    </row>
    <row r="2185" spans="1:107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  <c r="BX2185" s="1"/>
      <c r="BY2185" s="1"/>
      <c r="BZ2185" s="1"/>
      <c r="CA2185" s="1"/>
      <c r="CB2185" s="1"/>
      <c r="CC2185" s="1"/>
      <c r="CD2185" s="1"/>
      <c r="CE2185" s="1"/>
      <c r="CF2185" s="1"/>
      <c r="CG2185" s="1"/>
      <c r="CH2185" s="1"/>
      <c r="CI2185" s="1"/>
      <c r="CJ2185" s="1"/>
      <c r="CK2185" s="1"/>
      <c r="CL2185" s="1"/>
      <c r="CM2185" s="1"/>
      <c r="CN2185" s="1"/>
      <c r="CO2185" s="1"/>
      <c r="CP2185" s="1"/>
      <c r="CQ2185" s="1"/>
      <c r="CR2185" s="1"/>
      <c r="CS2185" s="1"/>
      <c r="CT2185" s="1"/>
      <c r="CU2185" s="1"/>
      <c r="CV2185" s="1"/>
      <c r="CW2185" s="1"/>
      <c r="CX2185" s="1"/>
      <c r="CY2185" s="1"/>
      <c r="CZ2185" s="1"/>
      <c r="DA2185" s="1"/>
      <c r="DB2185" s="1"/>
      <c r="DC2185" s="1"/>
    </row>
    <row r="2186" spans="1:107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  <c r="BQ2186" s="1"/>
      <c r="BR2186" s="1"/>
      <c r="BS2186" s="1"/>
      <c r="BT2186" s="1"/>
      <c r="BU2186" s="1"/>
      <c r="BV2186" s="1"/>
      <c r="BW2186" s="1"/>
      <c r="BX2186" s="1"/>
      <c r="BY2186" s="1"/>
      <c r="BZ2186" s="1"/>
      <c r="CA2186" s="1"/>
      <c r="CB2186" s="1"/>
      <c r="CC2186" s="1"/>
      <c r="CD2186" s="1"/>
      <c r="CE2186" s="1"/>
      <c r="CF2186" s="1"/>
      <c r="CG2186" s="1"/>
      <c r="CH2186" s="1"/>
      <c r="CI2186" s="1"/>
      <c r="CJ2186" s="1"/>
      <c r="CK2186" s="1"/>
      <c r="CL2186" s="1"/>
      <c r="CM2186" s="1"/>
      <c r="CN2186" s="1"/>
      <c r="CO2186" s="1"/>
      <c r="CP2186" s="1"/>
      <c r="CQ2186" s="1"/>
      <c r="CR2186" s="1"/>
      <c r="CS2186" s="1"/>
      <c r="CT2186" s="1"/>
      <c r="CU2186" s="1"/>
      <c r="CV2186" s="1"/>
      <c r="CW2186" s="1"/>
      <c r="CX2186" s="1"/>
      <c r="CY2186" s="1"/>
      <c r="CZ2186" s="1"/>
      <c r="DA2186" s="1"/>
      <c r="DB2186" s="1"/>
      <c r="DC2186" s="1"/>
    </row>
    <row r="2187" spans="1:10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  <c r="BS2187" s="1"/>
      <c r="BT2187" s="1"/>
      <c r="BU2187" s="1"/>
      <c r="BV2187" s="1"/>
      <c r="BW2187" s="1"/>
      <c r="BX2187" s="1"/>
      <c r="BY2187" s="1"/>
      <c r="BZ2187" s="1"/>
      <c r="CA2187" s="1"/>
      <c r="CB2187" s="1"/>
      <c r="CC2187" s="1"/>
      <c r="CD2187" s="1"/>
      <c r="CE2187" s="1"/>
      <c r="CF2187" s="1"/>
      <c r="CG2187" s="1"/>
      <c r="CH2187" s="1"/>
      <c r="CI2187" s="1"/>
      <c r="CJ2187" s="1"/>
      <c r="CK2187" s="1"/>
      <c r="CL2187" s="1"/>
      <c r="CM2187" s="1"/>
      <c r="CN2187" s="1"/>
      <c r="CO2187" s="1"/>
      <c r="CP2187" s="1"/>
      <c r="CQ2187" s="1"/>
      <c r="CR2187" s="1"/>
      <c r="CS2187" s="1"/>
      <c r="CT2187" s="1"/>
      <c r="CU2187" s="1"/>
      <c r="CV2187" s="1"/>
      <c r="CW2187" s="1"/>
      <c r="CX2187" s="1"/>
      <c r="CY2187" s="1"/>
      <c r="CZ2187" s="1"/>
      <c r="DA2187" s="1"/>
      <c r="DB2187" s="1"/>
      <c r="DC2187" s="1"/>
    </row>
    <row r="2188" spans="1:107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  <c r="BM2188" s="1"/>
      <c r="BN2188" s="1"/>
      <c r="BO2188" s="1"/>
      <c r="BP2188" s="1"/>
      <c r="BQ2188" s="1"/>
      <c r="BR2188" s="1"/>
      <c r="BS2188" s="1"/>
      <c r="BT2188" s="1"/>
      <c r="BU2188" s="1"/>
      <c r="BV2188" s="1"/>
      <c r="BW2188" s="1"/>
      <c r="BX2188" s="1"/>
      <c r="BY2188" s="1"/>
      <c r="BZ2188" s="1"/>
      <c r="CA2188" s="1"/>
      <c r="CB2188" s="1"/>
      <c r="CC2188" s="1"/>
      <c r="CD2188" s="1"/>
      <c r="CE2188" s="1"/>
      <c r="CF2188" s="1"/>
      <c r="CG2188" s="1"/>
      <c r="CH2188" s="1"/>
      <c r="CI2188" s="1"/>
      <c r="CJ2188" s="1"/>
      <c r="CK2188" s="1"/>
      <c r="CL2188" s="1"/>
      <c r="CM2188" s="1"/>
      <c r="CN2188" s="1"/>
      <c r="CO2188" s="1"/>
      <c r="CP2188" s="1"/>
      <c r="CQ2188" s="1"/>
      <c r="CR2188" s="1"/>
      <c r="CS2188" s="1"/>
      <c r="CT2188" s="1"/>
      <c r="CU2188" s="1"/>
      <c r="CV2188" s="1"/>
      <c r="CW2188" s="1"/>
      <c r="CX2188" s="1"/>
      <c r="CY2188" s="1"/>
      <c r="CZ2188" s="1"/>
      <c r="DA2188" s="1"/>
      <c r="DB2188" s="1"/>
      <c r="DC2188" s="1"/>
    </row>
    <row r="2189" spans="1:107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  <c r="BR2189" s="1"/>
      <c r="BS2189" s="1"/>
      <c r="BT2189" s="1"/>
      <c r="BU2189" s="1"/>
      <c r="BV2189" s="1"/>
      <c r="BW2189" s="1"/>
      <c r="BX2189" s="1"/>
      <c r="BY2189" s="1"/>
      <c r="BZ2189" s="1"/>
      <c r="CA2189" s="1"/>
      <c r="CB2189" s="1"/>
      <c r="CC2189" s="1"/>
      <c r="CD2189" s="1"/>
      <c r="CE2189" s="1"/>
      <c r="CF2189" s="1"/>
      <c r="CG2189" s="1"/>
      <c r="CH2189" s="1"/>
      <c r="CI2189" s="1"/>
      <c r="CJ2189" s="1"/>
      <c r="CK2189" s="1"/>
      <c r="CL2189" s="1"/>
      <c r="CM2189" s="1"/>
      <c r="CN2189" s="1"/>
      <c r="CO2189" s="1"/>
      <c r="CP2189" s="1"/>
      <c r="CQ2189" s="1"/>
      <c r="CR2189" s="1"/>
      <c r="CS2189" s="1"/>
      <c r="CT2189" s="1"/>
      <c r="CU2189" s="1"/>
      <c r="CV2189" s="1"/>
      <c r="CW2189" s="1"/>
      <c r="CX2189" s="1"/>
      <c r="CY2189" s="1"/>
      <c r="CZ2189" s="1"/>
      <c r="DA2189" s="1"/>
      <c r="DB2189" s="1"/>
      <c r="DC2189" s="1"/>
    </row>
    <row r="2190" spans="1:107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  <c r="BK2190" s="1"/>
      <c r="BL2190" s="1"/>
      <c r="BM2190" s="1"/>
      <c r="BN2190" s="1"/>
      <c r="BO2190" s="1"/>
      <c r="BP2190" s="1"/>
      <c r="BQ2190" s="1"/>
      <c r="BR2190" s="1"/>
      <c r="BS2190" s="1"/>
      <c r="BT2190" s="1"/>
      <c r="BU2190" s="1"/>
      <c r="BV2190" s="1"/>
      <c r="BW2190" s="1"/>
      <c r="BX2190" s="1"/>
      <c r="BY2190" s="1"/>
      <c r="BZ2190" s="1"/>
      <c r="CA2190" s="1"/>
      <c r="CB2190" s="1"/>
      <c r="CC2190" s="1"/>
      <c r="CD2190" s="1"/>
      <c r="CE2190" s="1"/>
      <c r="CF2190" s="1"/>
      <c r="CG2190" s="1"/>
      <c r="CH2190" s="1"/>
      <c r="CI2190" s="1"/>
      <c r="CJ2190" s="1"/>
      <c r="CK2190" s="1"/>
      <c r="CL2190" s="1"/>
      <c r="CM2190" s="1"/>
      <c r="CN2190" s="1"/>
      <c r="CO2190" s="1"/>
      <c r="CP2190" s="1"/>
      <c r="CQ2190" s="1"/>
      <c r="CR2190" s="1"/>
      <c r="CS2190" s="1"/>
      <c r="CT2190" s="1"/>
      <c r="CU2190" s="1"/>
      <c r="CV2190" s="1"/>
      <c r="CW2190" s="1"/>
      <c r="CX2190" s="1"/>
      <c r="CY2190" s="1"/>
      <c r="CZ2190" s="1"/>
      <c r="DA2190" s="1"/>
      <c r="DB2190" s="1"/>
      <c r="DC2190" s="1"/>
    </row>
    <row r="2191" spans="1:107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  <c r="BR2191" s="1"/>
      <c r="BS2191" s="1"/>
      <c r="BT2191" s="1"/>
      <c r="BU2191" s="1"/>
      <c r="BV2191" s="1"/>
      <c r="BW2191" s="1"/>
      <c r="BX2191" s="1"/>
      <c r="BY2191" s="1"/>
      <c r="BZ2191" s="1"/>
      <c r="CA2191" s="1"/>
      <c r="CB2191" s="1"/>
      <c r="CC2191" s="1"/>
      <c r="CD2191" s="1"/>
      <c r="CE2191" s="1"/>
      <c r="CF2191" s="1"/>
      <c r="CG2191" s="1"/>
      <c r="CH2191" s="1"/>
      <c r="CI2191" s="1"/>
      <c r="CJ2191" s="1"/>
      <c r="CK2191" s="1"/>
      <c r="CL2191" s="1"/>
      <c r="CM2191" s="1"/>
      <c r="CN2191" s="1"/>
      <c r="CO2191" s="1"/>
      <c r="CP2191" s="1"/>
      <c r="CQ2191" s="1"/>
      <c r="CR2191" s="1"/>
      <c r="CS2191" s="1"/>
      <c r="CT2191" s="1"/>
      <c r="CU2191" s="1"/>
      <c r="CV2191" s="1"/>
      <c r="CW2191" s="1"/>
      <c r="CX2191" s="1"/>
      <c r="CY2191" s="1"/>
      <c r="CZ2191" s="1"/>
      <c r="DA2191" s="1"/>
      <c r="DB2191" s="1"/>
      <c r="DC2191" s="1"/>
    </row>
    <row r="2192" spans="1:107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  <c r="BM2192" s="1"/>
      <c r="BN2192" s="1"/>
      <c r="BO2192" s="1"/>
      <c r="BP2192" s="1"/>
      <c r="BQ2192" s="1"/>
      <c r="BR2192" s="1"/>
      <c r="BS2192" s="1"/>
      <c r="BT2192" s="1"/>
      <c r="BU2192" s="1"/>
      <c r="BV2192" s="1"/>
      <c r="BW2192" s="1"/>
      <c r="BX2192" s="1"/>
      <c r="BY2192" s="1"/>
      <c r="BZ2192" s="1"/>
      <c r="CA2192" s="1"/>
      <c r="CB2192" s="1"/>
      <c r="CC2192" s="1"/>
      <c r="CD2192" s="1"/>
      <c r="CE2192" s="1"/>
      <c r="CF2192" s="1"/>
      <c r="CG2192" s="1"/>
      <c r="CH2192" s="1"/>
      <c r="CI2192" s="1"/>
      <c r="CJ2192" s="1"/>
      <c r="CK2192" s="1"/>
      <c r="CL2192" s="1"/>
      <c r="CM2192" s="1"/>
      <c r="CN2192" s="1"/>
      <c r="CO2192" s="1"/>
      <c r="CP2192" s="1"/>
      <c r="CQ2192" s="1"/>
      <c r="CR2192" s="1"/>
      <c r="CS2192" s="1"/>
      <c r="CT2192" s="1"/>
      <c r="CU2192" s="1"/>
      <c r="CV2192" s="1"/>
      <c r="CW2192" s="1"/>
      <c r="CX2192" s="1"/>
      <c r="CY2192" s="1"/>
      <c r="CZ2192" s="1"/>
      <c r="DA2192" s="1"/>
      <c r="DB2192" s="1"/>
      <c r="DC2192" s="1"/>
    </row>
    <row r="2193" spans="1:107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  <c r="BR2193" s="1"/>
      <c r="BS2193" s="1"/>
      <c r="BT2193" s="1"/>
      <c r="BU2193" s="1"/>
      <c r="BV2193" s="1"/>
      <c r="BW2193" s="1"/>
      <c r="BX2193" s="1"/>
      <c r="BY2193" s="1"/>
      <c r="BZ2193" s="1"/>
      <c r="CA2193" s="1"/>
      <c r="CB2193" s="1"/>
      <c r="CC2193" s="1"/>
      <c r="CD2193" s="1"/>
      <c r="CE2193" s="1"/>
      <c r="CF2193" s="1"/>
      <c r="CG2193" s="1"/>
      <c r="CH2193" s="1"/>
      <c r="CI2193" s="1"/>
      <c r="CJ2193" s="1"/>
      <c r="CK2193" s="1"/>
      <c r="CL2193" s="1"/>
      <c r="CM2193" s="1"/>
      <c r="CN2193" s="1"/>
      <c r="CO2193" s="1"/>
      <c r="CP2193" s="1"/>
      <c r="CQ2193" s="1"/>
      <c r="CR2193" s="1"/>
      <c r="CS2193" s="1"/>
      <c r="CT2193" s="1"/>
      <c r="CU2193" s="1"/>
      <c r="CV2193" s="1"/>
      <c r="CW2193" s="1"/>
      <c r="CX2193" s="1"/>
      <c r="CY2193" s="1"/>
      <c r="CZ2193" s="1"/>
      <c r="DA2193" s="1"/>
      <c r="DB2193" s="1"/>
      <c r="DC2193" s="1"/>
    </row>
    <row r="2194" spans="1:107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  <c r="BK2194" s="1"/>
      <c r="BL2194" s="1"/>
      <c r="BM2194" s="1"/>
      <c r="BN2194" s="1"/>
      <c r="BO2194" s="1"/>
      <c r="BP2194" s="1"/>
      <c r="BQ2194" s="1"/>
      <c r="BR2194" s="1"/>
      <c r="BS2194" s="1"/>
      <c r="BT2194" s="1"/>
      <c r="BU2194" s="1"/>
      <c r="BV2194" s="1"/>
      <c r="BW2194" s="1"/>
      <c r="BX2194" s="1"/>
      <c r="BY2194" s="1"/>
      <c r="BZ2194" s="1"/>
      <c r="CA2194" s="1"/>
      <c r="CB2194" s="1"/>
      <c r="CC2194" s="1"/>
      <c r="CD2194" s="1"/>
      <c r="CE2194" s="1"/>
      <c r="CF2194" s="1"/>
      <c r="CG2194" s="1"/>
      <c r="CH2194" s="1"/>
      <c r="CI2194" s="1"/>
      <c r="CJ2194" s="1"/>
      <c r="CK2194" s="1"/>
      <c r="CL2194" s="1"/>
      <c r="CM2194" s="1"/>
      <c r="CN2194" s="1"/>
      <c r="CO2194" s="1"/>
      <c r="CP2194" s="1"/>
      <c r="CQ2194" s="1"/>
      <c r="CR2194" s="1"/>
      <c r="CS2194" s="1"/>
      <c r="CT2194" s="1"/>
      <c r="CU2194" s="1"/>
      <c r="CV2194" s="1"/>
      <c r="CW2194" s="1"/>
      <c r="CX2194" s="1"/>
      <c r="CY2194" s="1"/>
      <c r="CZ2194" s="1"/>
      <c r="DA2194" s="1"/>
      <c r="DB2194" s="1"/>
      <c r="DC2194" s="1"/>
    </row>
    <row r="2195" spans="1:107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  <c r="BR2195" s="1"/>
      <c r="BS2195" s="1"/>
      <c r="BT2195" s="1"/>
      <c r="BU2195" s="1"/>
      <c r="BV2195" s="1"/>
      <c r="BW2195" s="1"/>
      <c r="BX2195" s="1"/>
      <c r="BY2195" s="1"/>
      <c r="BZ2195" s="1"/>
      <c r="CA2195" s="1"/>
      <c r="CB2195" s="1"/>
      <c r="CC2195" s="1"/>
      <c r="CD2195" s="1"/>
      <c r="CE2195" s="1"/>
      <c r="CF2195" s="1"/>
      <c r="CG2195" s="1"/>
      <c r="CH2195" s="1"/>
      <c r="CI2195" s="1"/>
      <c r="CJ2195" s="1"/>
      <c r="CK2195" s="1"/>
      <c r="CL2195" s="1"/>
      <c r="CM2195" s="1"/>
      <c r="CN2195" s="1"/>
      <c r="CO2195" s="1"/>
      <c r="CP2195" s="1"/>
      <c r="CQ2195" s="1"/>
      <c r="CR2195" s="1"/>
      <c r="CS2195" s="1"/>
      <c r="CT2195" s="1"/>
      <c r="CU2195" s="1"/>
      <c r="CV2195" s="1"/>
      <c r="CW2195" s="1"/>
      <c r="CX2195" s="1"/>
      <c r="CY2195" s="1"/>
      <c r="CZ2195" s="1"/>
      <c r="DA2195" s="1"/>
      <c r="DB2195" s="1"/>
      <c r="DC2195" s="1"/>
    </row>
    <row r="2196" spans="1:107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/>
      <c r="BQ2196" s="1"/>
      <c r="BR2196" s="1"/>
      <c r="BS2196" s="1"/>
      <c r="BT2196" s="1"/>
      <c r="BU2196" s="1"/>
      <c r="BV2196" s="1"/>
      <c r="BW2196" s="1"/>
      <c r="BX2196" s="1"/>
      <c r="BY2196" s="1"/>
      <c r="BZ2196" s="1"/>
      <c r="CA2196" s="1"/>
      <c r="CB2196" s="1"/>
      <c r="CC2196" s="1"/>
      <c r="CD2196" s="1"/>
      <c r="CE2196" s="1"/>
      <c r="CF2196" s="1"/>
      <c r="CG2196" s="1"/>
      <c r="CH2196" s="1"/>
      <c r="CI2196" s="1"/>
      <c r="CJ2196" s="1"/>
      <c r="CK2196" s="1"/>
      <c r="CL2196" s="1"/>
      <c r="CM2196" s="1"/>
      <c r="CN2196" s="1"/>
      <c r="CO2196" s="1"/>
      <c r="CP2196" s="1"/>
      <c r="CQ2196" s="1"/>
      <c r="CR2196" s="1"/>
      <c r="CS2196" s="1"/>
      <c r="CT2196" s="1"/>
      <c r="CU2196" s="1"/>
      <c r="CV2196" s="1"/>
      <c r="CW2196" s="1"/>
      <c r="CX2196" s="1"/>
      <c r="CY2196" s="1"/>
      <c r="CZ2196" s="1"/>
      <c r="DA2196" s="1"/>
      <c r="DB2196" s="1"/>
      <c r="DC2196" s="1"/>
    </row>
    <row r="2197" spans="1:107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  <c r="BR2197" s="1"/>
      <c r="BS2197" s="1"/>
      <c r="BT2197" s="1"/>
      <c r="BU2197" s="1"/>
      <c r="BV2197" s="1"/>
      <c r="BW2197" s="1"/>
      <c r="BX2197" s="1"/>
      <c r="BY2197" s="1"/>
      <c r="BZ2197" s="1"/>
      <c r="CA2197" s="1"/>
      <c r="CB2197" s="1"/>
      <c r="CC2197" s="1"/>
      <c r="CD2197" s="1"/>
      <c r="CE2197" s="1"/>
      <c r="CF2197" s="1"/>
      <c r="CG2197" s="1"/>
      <c r="CH2197" s="1"/>
      <c r="CI2197" s="1"/>
      <c r="CJ2197" s="1"/>
      <c r="CK2197" s="1"/>
      <c r="CL2197" s="1"/>
      <c r="CM2197" s="1"/>
      <c r="CN2197" s="1"/>
      <c r="CO2197" s="1"/>
      <c r="CP2197" s="1"/>
      <c r="CQ2197" s="1"/>
      <c r="CR2197" s="1"/>
      <c r="CS2197" s="1"/>
      <c r="CT2197" s="1"/>
      <c r="CU2197" s="1"/>
      <c r="CV2197" s="1"/>
      <c r="CW2197" s="1"/>
      <c r="CX2197" s="1"/>
      <c r="CY2197" s="1"/>
      <c r="CZ2197" s="1"/>
      <c r="DA2197" s="1"/>
      <c r="DB2197" s="1"/>
      <c r="DC2197" s="1"/>
    </row>
    <row r="2198" spans="1:107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/>
      <c r="BQ2198" s="1"/>
      <c r="BR2198" s="1"/>
      <c r="BS2198" s="1"/>
      <c r="BT2198" s="1"/>
      <c r="BU2198" s="1"/>
      <c r="BV2198" s="1"/>
      <c r="BW2198" s="1"/>
      <c r="BX2198" s="1"/>
      <c r="BY2198" s="1"/>
      <c r="BZ2198" s="1"/>
      <c r="CA2198" s="1"/>
      <c r="CB2198" s="1"/>
      <c r="CC2198" s="1"/>
      <c r="CD2198" s="1"/>
      <c r="CE2198" s="1"/>
      <c r="CF2198" s="1"/>
      <c r="CG2198" s="1"/>
      <c r="CH2198" s="1"/>
      <c r="CI2198" s="1"/>
      <c r="CJ2198" s="1"/>
      <c r="CK2198" s="1"/>
      <c r="CL2198" s="1"/>
      <c r="CM2198" s="1"/>
      <c r="CN2198" s="1"/>
      <c r="CO2198" s="1"/>
      <c r="CP2198" s="1"/>
      <c r="CQ2198" s="1"/>
      <c r="CR2198" s="1"/>
      <c r="CS2198" s="1"/>
      <c r="CT2198" s="1"/>
      <c r="CU2198" s="1"/>
      <c r="CV2198" s="1"/>
      <c r="CW2198" s="1"/>
      <c r="CX2198" s="1"/>
      <c r="CY2198" s="1"/>
      <c r="CZ2198" s="1"/>
      <c r="DA2198" s="1"/>
      <c r="DB2198" s="1"/>
      <c r="DC2198" s="1"/>
    </row>
    <row r="2199" spans="1:107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  <c r="BR2199" s="1"/>
      <c r="BS2199" s="1"/>
      <c r="BT2199" s="1"/>
      <c r="BU2199" s="1"/>
      <c r="BV2199" s="1"/>
      <c r="BW2199" s="1"/>
      <c r="BX2199" s="1"/>
      <c r="BY2199" s="1"/>
      <c r="BZ2199" s="1"/>
      <c r="CA2199" s="1"/>
      <c r="CB2199" s="1"/>
      <c r="CC2199" s="1"/>
      <c r="CD2199" s="1"/>
      <c r="CE2199" s="1"/>
      <c r="CF2199" s="1"/>
      <c r="CG2199" s="1"/>
      <c r="CH2199" s="1"/>
      <c r="CI2199" s="1"/>
      <c r="CJ2199" s="1"/>
      <c r="CK2199" s="1"/>
      <c r="CL2199" s="1"/>
      <c r="CM2199" s="1"/>
      <c r="CN2199" s="1"/>
      <c r="CO2199" s="1"/>
      <c r="CP2199" s="1"/>
      <c r="CQ2199" s="1"/>
      <c r="CR2199" s="1"/>
      <c r="CS2199" s="1"/>
      <c r="CT2199" s="1"/>
      <c r="CU2199" s="1"/>
      <c r="CV2199" s="1"/>
      <c r="CW2199" s="1"/>
      <c r="CX2199" s="1"/>
      <c r="CY2199" s="1"/>
      <c r="CZ2199" s="1"/>
      <c r="DA2199" s="1"/>
      <c r="DB2199" s="1"/>
      <c r="DC2199" s="1"/>
    </row>
    <row r="2200" spans="1:107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  <c r="BM2200" s="1"/>
      <c r="BN2200" s="1"/>
      <c r="BO2200" s="1"/>
      <c r="BP2200" s="1"/>
      <c r="BQ2200" s="1"/>
      <c r="BR2200" s="1"/>
      <c r="BS2200" s="1"/>
      <c r="BT2200" s="1"/>
      <c r="BU2200" s="1"/>
      <c r="BV2200" s="1"/>
      <c r="BW2200" s="1"/>
      <c r="BX2200" s="1"/>
      <c r="BY2200" s="1"/>
      <c r="BZ2200" s="1"/>
      <c r="CA2200" s="1"/>
      <c r="CB2200" s="1"/>
      <c r="CC2200" s="1"/>
      <c r="CD2200" s="1"/>
      <c r="CE2200" s="1"/>
      <c r="CF2200" s="1"/>
      <c r="CG2200" s="1"/>
      <c r="CH2200" s="1"/>
      <c r="CI2200" s="1"/>
      <c r="CJ2200" s="1"/>
      <c r="CK2200" s="1"/>
      <c r="CL2200" s="1"/>
      <c r="CM2200" s="1"/>
      <c r="CN2200" s="1"/>
      <c r="CO2200" s="1"/>
      <c r="CP2200" s="1"/>
      <c r="CQ2200" s="1"/>
      <c r="CR2200" s="1"/>
      <c r="CS2200" s="1"/>
      <c r="CT2200" s="1"/>
      <c r="CU2200" s="1"/>
      <c r="CV2200" s="1"/>
      <c r="CW2200" s="1"/>
      <c r="CX2200" s="1"/>
      <c r="CY2200" s="1"/>
      <c r="CZ2200" s="1"/>
      <c r="DA2200" s="1"/>
      <c r="DB2200" s="1"/>
      <c r="DC2200" s="1"/>
    </row>
    <row r="2201" spans="1:107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  <c r="BM2201" s="1"/>
      <c r="BN2201" s="1"/>
      <c r="BO2201" s="1"/>
      <c r="BP2201" s="1"/>
      <c r="BQ2201" s="1"/>
      <c r="BR2201" s="1"/>
      <c r="BS2201" s="1"/>
      <c r="BT2201" s="1"/>
      <c r="BU2201" s="1"/>
      <c r="BV2201" s="1"/>
      <c r="BW2201" s="1"/>
      <c r="BX2201" s="1"/>
      <c r="BY2201" s="1"/>
      <c r="BZ2201" s="1"/>
      <c r="CA2201" s="1"/>
      <c r="CB2201" s="1"/>
      <c r="CC2201" s="1"/>
      <c r="CD2201" s="1"/>
      <c r="CE2201" s="1"/>
      <c r="CF2201" s="1"/>
      <c r="CG2201" s="1"/>
      <c r="CH2201" s="1"/>
      <c r="CI2201" s="1"/>
      <c r="CJ2201" s="1"/>
      <c r="CK2201" s="1"/>
      <c r="CL2201" s="1"/>
      <c r="CM2201" s="1"/>
      <c r="CN2201" s="1"/>
      <c r="CO2201" s="1"/>
      <c r="CP2201" s="1"/>
      <c r="CQ2201" s="1"/>
      <c r="CR2201" s="1"/>
      <c r="CS2201" s="1"/>
      <c r="CT2201" s="1"/>
      <c r="CU2201" s="1"/>
      <c r="CV2201" s="1"/>
      <c r="CW2201" s="1"/>
      <c r="CX2201" s="1"/>
      <c r="CY2201" s="1"/>
      <c r="CZ2201" s="1"/>
      <c r="DA2201" s="1"/>
      <c r="DB2201" s="1"/>
      <c r="DC2201" s="1"/>
    </row>
    <row r="2202" spans="1:107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  <c r="BM2202" s="1"/>
      <c r="BN2202" s="1"/>
      <c r="BO2202" s="1"/>
      <c r="BP2202" s="1"/>
      <c r="BQ2202" s="1"/>
      <c r="BR2202" s="1"/>
      <c r="BS2202" s="1"/>
      <c r="BT2202" s="1"/>
      <c r="BU2202" s="1"/>
      <c r="BV2202" s="1"/>
      <c r="BW2202" s="1"/>
      <c r="BX2202" s="1"/>
      <c r="BY2202" s="1"/>
      <c r="BZ2202" s="1"/>
      <c r="CA2202" s="1"/>
      <c r="CB2202" s="1"/>
      <c r="CC2202" s="1"/>
      <c r="CD2202" s="1"/>
      <c r="CE2202" s="1"/>
      <c r="CF2202" s="1"/>
      <c r="CG2202" s="1"/>
      <c r="CH2202" s="1"/>
      <c r="CI2202" s="1"/>
      <c r="CJ2202" s="1"/>
      <c r="CK2202" s="1"/>
      <c r="CL2202" s="1"/>
      <c r="CM2202" s="1"/>
      <c r="CN2202" s="1"/>
      <c r="CO2202" s="1"/>
      <c r="CP2202" s="1"/>
      <c r="CQ2202" s="1"/>
      <c r="CR2202" s="1"/>
      <c r="CS2202" s="1"/>
      <c r="CT2202" s="1"/>
      <c r="CU2202" s="1"/>
      <c r="CV2202" s="1"/>
      <c r="CW2202" s="1"/>
      <c r="CX2202" s="1"/>
      <c r="CY2202" s="1"/>
      <c r="CZ2202" s="1"/>
      <c r="DA2202" s="1"/>
      <c r="DB2202" s="1"/>
      <c r="DC2202" s="1"/>
    </row>
    <row r="2203" spans="1:107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/>
      <c r="BT2203" s="1"/>
      <c r="BU2203" s="1"/>
      <c r="BV2203" s="1"/>
      <c r="BW2203" s="1"/>
      <c r="BX2203" s="1"/>
      <c r="BY2203" s="1"/>
      <c r="BZ2203" s="1"/>
      <c r="CA2203" s="1"/>
      <c r="CB2203" s="1"/>
      <c r="CC2203" s="1"/>
      <c r="CD2203" s="1"/>
      <c r="CE2203" s="1"/>
      <c r="CF2203" s="1"/>
      <c r="CG2203" s="1"/>
      <c r="CH2203" s="1"/>
      <c r="CI2203" s="1"/>
      <c r="CJ2203" s="1"/>
      <c r="CK2203" s="1"/>
      <c r="CL2203" s="1"/>
      <c r="CM2203" s="1"/>
      <c r="CN2203" s="1"/>
      <c r="CO2203" s="1"/>
      <c r="CP2203" s="1"/>
      <c r="CQ2203" s="1"/>
      <c r="CR2203" s="1"/>
      <c r="CS2203" s="1"/>
      <c r="CT2203" s="1"/>
      <c r="CU2203" s="1"/>
      <c r="CV2203" s="1"/>
      <c r="CW2203" s="1"/>
      <c r="CX2203" s="1"/>
      <c r="CY2203" s="1"/>
      <c r="CZ2203" s="1"/>
      <c r="DA2203" s="1"/>
      <c r="DB2203" s="1"/>
      <c r="DC2203" s="1"/>
    </row>
    <row r="2204" spans="1:107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  <c r="BK2204" s="1"/>
      <c r="BL2204" s="1"/>
      <c r="BM2204" s="1"/>
      <c r="BN2204" s="1"/>
      <c r="BO2204" s="1"/>
      <c r="BP2204" s="1"/>
      <c r="BQ2204" s="1"/>
      <c r="BR2204" s="1"/>
      <c r="BS2204" s="1"/>
      <c r="BT2204" s="1"/>
      <c r="BU2204" s="1"/>
      <c r="BV2204" s="1"/>
      <c r="BW2204" s="1"/>
      <c r="BX2204" s="1"/>
      <c r="BY2204" s="1"/>
      <c r="BZ2204" s="1"/>
      <c r="CA2204" s="1"/>
      <c r="CB2204" s="1"/>
      <c r="CC2204" s="1"/>
      <c r="CD2204" s="1"/>
      <c r="CE2204" s="1"/>
      <c r="CF2204" s="1"/>
      <c r="CG2204" s="1"/>
      <c r="CH2204" s="1"/>
      <c r="CI2204" s="1"/>
      <c r="CJ2204" s="1"/>
      <c r="CK2204" s="1"/>
      <c r="CL2204" s="1"/>
      <c r="CM2204" s="1"/>
      <c r="CN2204" s="1"/>
      <c r="CO2204" s="1"/>
      <c r="CP2204" s="1"/>
      <c r="CQ2204" s="1"/>
      <c r="CR2204" s="1"/>
      <c r="CS2204" s="1"/>
      <c r="CT2204" s="1"/>
      <c r="CU2204" s="1"/>
      <c r="CV2204" s="1"/>
      <c r="CW2204" s="1"/>
      <c r="CX2204" s="1"/>
      <c r="CY2204" s="1"/>
      <c r="CZ2204" s="1"/>
      <c r="DA2204" s="1"/>
      <c r="DB2204" s="1"/>
      <c r="DC2204" s="1"/>
    </row>
    <row r="2205" spans="1:107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  <c r="BR2205" s="1"/>
      <c r="BS2205" s="1"/>
      <c r="BT2205" s="1"/>
      <c r="BU2205" s="1"/>
      <c r="BV2205" s="1"/>
      <c r="BW2205" s="1"/>
      <c r="BX2205" s="1"/>
      <c r="BY2205" s="1"/>
      <c r="BZ2205" s="1"/>
      <c r="CA2205" s="1"/>
      <c r="CB2205" s="1"/>
      <c r="CC2205" s="1"/>
      <c r="CD2205" s="1"/>
      <c r="CE2205" s="1"/>
      <c r="CF2205" s="1"/>
      <c r="CG2205" s="1"/>
      <c r="CH2205" s="1"/>
      <c r="CI2205" s="1"/>
      <c r="CJ2205" s="1"/>
      <c r="CK2205" s="1"/>
      <c r="CL2205" s="1"/>
      <c r="CM2205" s="1"/>
      <c r="CN2205" s="1"/>
      <c r="CO2205" s="1"/>
      <c r="CP2205" s="1"/>
      <c r="CQ2205" s="1"/>
      <c r="CR2205" s="1"/>
      <c r="CS2205" s="1"/>
      <c r="CT2205" s="1"/>
      <c r="CU2205" s="1"/>
      <c r="CV2205" s="1"/>
      <c r="CW2205" s="1"/>
      <c r="CX2205" s="1"/>
      <c r="CY2205" s="1"/>
      <c r="CZ2205" s="1"/>
      <c r="DA2205" s="1"/>
      <c r="DB2205" s="1"/>
      <c r="DC2205" s="1"/>
    </row>
    <row r="2206" spans="1:107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/>
      <c r="BQ2206" s="1"/>
      <c r="BR2206" s="1"/>
      <c r="BS2206" s="1"/>
      <c r="BT2206" s="1"/>
      <c r="BU2206" s="1"/>
      <c r="BV2206" s="1"/>
      <c r="BW2206" s="1"/>
      <c r="BX2206" s="1"/>
      <c r="BY2206" s="1"/>
      <c r="BZ2206" s="1"/>
      <c r="CA2206" s="1"/>
      <c r="CB2206" s="1"/>
      <c r="CC2206" s="1"/>
      <c r="CD2206" s="1"/>
      <c r="CE2206" s="1"/>
      <c r="CF2206" s="1"/>
      <c r="CG2206" s="1"/>
      <c r="CH2206" s="1"/>
      <c r="CI2206" s="1"/>
      <c r="CJ2206" s="1"/>
      <c r="CK2206" s="1"/>
      <c r="CL2206" s="1"/>
      <c r="CM2206" s="1"/>
      <c r="CN2206" s="1"/>
      <c r="CO2206" s="1"/>
      <c r="CP2206" s="1"/>
      <c r="CQ2206" s="1"/>
      <c r="CR2206" s="1"/>
      <c r="CS2206" s="1"/>
      <c r="CT2206" s="1"/>
      <c r="CU2206" s="1"/>
      <c r="CV2206" s="1"/>
      <c r="CW2206" s="1"/>
      <c r="CX2206" s="1"/>
      <c r="CY2206" s="1"/>
      <c r="CZ2206" s="1"/>
      <c r="DA2206" s="1"/>
      <c r="DB2206" s="1"/>
      <c r="DC2206" s="1"/>
    </row>
    <row r="2207" spans="1:107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  <c r="BR2207" s="1"/>
      <c r="BS2207" s="1"/>
      <c r="BT2207" s="1"/>
      <c r="BU2207" s="1"/>
      <c r="BV2207" s="1"/>
      <c r="BW2207" s="1"/>
      <c r="BX2207" s="1"/>
      <c r="BY2207" s="1"/>
      <c r="BZ2207" s="1"/>
      <c r="CA2207" s="1"/>
      <c r="CB2207" s="1"/>
      <c r="CC2207" s="1"/>
      <c r="CD2207" s="1"/>
      <c r="CE2207" s="1"/>
      <c r="CF2207" s="1"/>
      <c r="CG2207" s="1"/>
      <c r="CH2207" s="1"/>
      <c r="CI2207" s="1"/>
      <c r="CJ2207" s="1"/>
      <c r="CK2207" s="1"/>
      <c r="CL2207" s="1"/>
      <c r="CM2207" s="1"/>
      <c r="CN2207" s="1"/>
      <c r="CO2207" s="1"/>
      <c r="CP2207" s="1"/>
      <c r="CQ2207" s="1"/>
      <c r="CR2207" s="1"/>
      <c r="CS2207" s="1"/>
      <c r="CT2207" s="1"/>
      <c r="CU2207" s="1"/>
      <c r="CV2207" s="1"/>
      <c r="CW2207" s="1"/>
      <c r="CX2207" s="1"/>
      <c r="CY2207" s="1"/>
      <c r="CZ2207" s="1"/>
      <c r="DA2207" s="1"/>
      <c r="DB2207" s="1"/>
      <c r="DC2207" s="1"/>
    </row>
    <row r="2208" spans="1:107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  <c r="BM2208" s="1"/>
      <c r="BN2208" s="1"/>
      <c r="BO2208" s="1"/>
      <c r="BP2208" s="1"/>
      <c r="BQ2208" s="1"/>
      <c r="BR2208" s="1"/>
      <c r="BS2208" s="1"/>
      <c r="BT2208" s="1"/>
      <c r="BU2208" s="1"/>
      <c r="BV2208" s="1"/>
      <c r="BW2208" s="1"/>
      <c r="BX2208" s="1"/>
      <c r="BY2208" s="1"/>
      <c r="BZ2208" s="1"/>
      <c r="CA2208" s="1"/>
      <c r="CB2208" s="1"/>
      <c r="CC2208" s="1"/>
      <c r="CD2208" s="1"/>
      <c r="CE2208" s="1"/>
      <c r="CF2208" s="1"/>
      <c r="CG2208" s="1"/>
      <c r="CH2208" s="1"/>
      <c r="CI2208" s="1"/>
      <c r="CJ2208" s="1"/>
      <c r="CK2208" s="1"/>
      <c r="CL2208" s="1"/>
      <c r="CM2208" s="1"/>
      <c r="CN2208" s="1"/>
      <c r="CO2208" s="1"/>
      <c r="CP2208" s="1"/>
      <c r="CQ2208" s="1"/>
      <c r="CR2208" s="1"/>
      <c r="CS2208" s="1"/>
      <c r="CT2208" s="1"/>
      <c r="CU2208" s="1"/>
      <c r="CV2208" s="1"/>
      <c r="CW2208" s="1"/>
      <c r="CX2208" s="1"/>
      <c r="CY2208" s="1"/>
      <c r="CZ2208" s="1"/>
      <c r="DA2208" s="1"/>
      <c r="DB2208" s="1"/>
      <c r="DC2208" s="1"/>
    </row>
    <row r="2209" spans="1:107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  <c r="BR2209" s="1"/>
      <c r="BS2209" s="1"/>
      <c r="BT2209" s="1"/>
      <c r="BU2209" s="1"/>
      <c r="BV2209" s="1"/>
      <c r="BW2209" s="1"/>
      <c r="BX2209" s="1"/>
      <c r="BY2209" s="1"/>
      <c r="BZ2209" s="1"/>
      <c r="CA2209" s="1"/>
      <c r="CB2209" s="1"/>
      <c r="CC2209" s="1"/>
      <c r="CD2209" s="1"/>
      <c r="CE2209" s="1"/>
      <c r="CF2209" s="1"/>
      <c r="CG2209" s="1"/>
      <c r="CH2209" s="1"/>
      <c r="CI2209" s="1"/>
      <c r="CJ2209" s="1"/>
      <c r="CK2209" s="1"/>
      <c r="CL2209" s="1"/>
      <c r="CM2209" s="1"/>
      <c r="CN2209" s="1"/>
      <c r="CO2209" s="1"/>
      <c r="CP2209" s="1"/>
      <c r="CQ2209" s="1"/>
      <c r="CR2209" s="1"/>
      <c r="CS2209" s="1"/>
      <c r="CT2209" s="1"/>
      <c r="CU2209" s="1"/>
      <c r="CV2209" s="1"/>
      <c r="CW2209" s="1"/>
      <c r="CX2209" s="1"/>
      <c r="CY2209" s="1"/>
      <c r="CZ2209" s="1"/>
      <c r="DA2209" s="1"/>
      <c r="DB2209" s="1"/>
      <c r="DC2209" s="1"/>
    </row>
    <row r="2210" spans="1:107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/>
      <c r="BP2210" s="1"/>
      <c r="BQ2210" s="1"/>
      <c r="BR2210" s="1"/>
      <c r="BS2210" s="1"/>
      <c r="BT2210" s="1"/>
      <c r="BU2210" s="1"/>
      <c r="BV2210" s="1"/>
      <c r="BW2210" s="1"/>
      <c r="BX2210" s="1"/>
      <c r="BY2210" s="1"/>
      <c r="BZ2210" s="1"/>
      <c r="CA2210" s="1"/>
      <c r="CB2210" s="1"/>
      <c r="CC2210" s="1"/>
      <c r="CD2210" s="1"/>
      <c r="CE2210" s="1"/>
      <c r="CF2210" s="1"/>
      <c r="CG2210" s="1"/>
      <c r="CH2210" s="1"/>
      <c r="CI2210" s="1"/>
      <c r="CJ2210" s="1"/>
      <c r="CK2210" s="1"/>
      <c r="CL2210" s="1"/>
      <c r="CM2210" s="1"/>
      <c r="CN2210" s="1"/>
      <c r="CO2210" s="1"/>
      <c r="CP2210" s="1"/>
      <c r="CQ2210" s="1"/>
      <c r="CR2210" s="1"/>
      <c r="CS2210" s="1"/>
      <c r="CT2210" s="1"/>
      <c r="CU2210" s="1"/>
      <c r="CV2210" s="1"/>
      <c r="CW2210" s="1"/>
      <c r="CX2210" s="1"/>
      <c r="CY2210" s="1"/>
      <c r="CZ2210" s="1"/>
      <c r="DA2210" s="1"/>
      <c r="DB2210" s="1"/>
      <c r="DC2210" s="1"/>
    </row>
    <row r="2211" spans="1:107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/>
      <c r="BR2211" s="1"/>
      <c r="BS2211" s="1"/>
      <c r="BT2211" s="1"/>
      <c r="BU2211" s="1"/>
      <c r="BV2211" s="1"/>
      <c r="BW2211" s="1"/>
      <c r="BX2211" s="1"/>
      <c r="BY2211" s="1"/>
      <c r="BZ2211" s="1"/>
      <c r="CA2211" s="1"/>
      <c r="CB2211" s="1"/>
      <c r="CC2211" s="1"/>
      <c r="CD2211" s="1"/>
      <c r="CE2211" s="1"/>
      <c r="CF2211" s="1"/>
      <c r="CG2211" s="1"/>
      <c r="CH2211" s="1"/>
      <c r="CI2211" s="1"/>
      <c r="CJ2211" s="1"/>
      <c r="CK2211" s="1"/>
      <c r="CL2211" s="1"/>
      <c r="CM2211" s="1"/>
      <c r="CN2211" s="1"/>
      <c r="CO2211" s="1"/>
      <c r="CP2211" s="1"/>
      <c r="CQ2211" s="1"/>
      <c r="CR2211" s="1"/>
      <c r="CS2211" s="1"/>
      <c r="CT2211" s="1"/>
      <c r="CU2211" s="1"/>
      <c r="CV2211" s="1"/>
      <c r="CW2211" s="1"/>
      <c r="CX2211" s="1"/>
      <c r="CY2211" s="1"/>
      <c r="CZ2211" s="1"/>
      <c r="DA2211" s="1"/>
      <c r="DB2211" s="1"/>
      <c r="DC2211" s="1"/>
    </row>
    <row r="2212" spans="1:107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  <c r="BO2212" s="1"/>
      <c r="BP2212" s="1"/>
      <c r="BQ2212" s="1"/>
      <c r="BR2212" s="1"/>
      <c r="BS2212" s="1"/>
      <c r="BT2212" s="1"/>
      <c r="BU2212" s="1"/>
      <c r="BV2212" s="1"/>
      <c r="BW2212" s="1"/>
      <c r="BX2212" s="1"/>
      <c r="BY2212" s="1"/>
      <c r="BZ2212" s="1"/>
      <c r="CA2212" s="1"/>
      <c r="CB2212" s="1"/>
      <c r="CC2212" s="1"/>
      <c r="CD2212" s="1"/>
      <c r="CE2212" s="1"/>
      <c r="CF2212" s="1"/>
      <c r="CG2212" s="1"/>
      <c r="CH2212" s="1"/>
      <c r="CI2212" s="1"/>
      <c r="CJ2212" s="1"/>
      <c r="CK2212" s="1"/>
      <c r="CL2212" s="1"/>
      <c r="CM2212" s="1"/>
      <c r="CN2212" s="1"/>
      <c r="CO2212" s="1"/>
      <c r="CP2212" s="1"/>
      <c r="CQ2212" s="1"/>
      <c r="CR2212" s="1"/>
      <c r="CS2212" s="1"/>
      <c r="CT2212" s="1"/>
      <c r="CU2212" s="1"/>
      <c r="CV2212" s="1"/>
      <c r="CW2212" s="1"/>
      <c r="CX2212" s="1"/>
      <c r="CY2212" s="1"/>
      <c r="CZ2212" s="1"/>
      <c r="DA2212" s="1"/>
      <c r="DB2212" s="1"/>
      <c r="DC2212" s="1"/>
    </row>
    <row r="2213" spans="1:107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1"/>
      <c r="BU2213" s="1"/>
      <c r="BV2213" s="1"/>
      <c r="BW2213" s="1"/>
      <c r="BX2213" s="1"/>
      <c r="BY2213" s="1"/>
      <c r="BZ2213" s="1"/>
      <c r="CA2213" s="1"/>
      <c r="CB2213" s="1"/>
      <c r="CC2213" s="1"/>
      <c r="CD2213" s="1"/>
      <c r="CE2213" s="1"/>
      <c r="CF2213" s="1"/>
      <c r="CG2213" s="1"/>
      <c r="CH2213" s="1"/>
      <c r="CI2213" s="1"/>
      <c r="CJ2213" s="1"/>
      <c r="CK2213" s="1"/>
      <c r="CL2213" s="1"/>
      <c r="CM2213" s="1"/>
      <c r="CN2213" s="1"/>
      <c r="CO2213" s="1"/>
      <c r="CP2213" s="1"/>
      <c r="CQ2213" s="1"/>
      <c r="CR2213" s="1"/>
      <c r="CS2213" s="1"/>
      <c r="CT2213" s="1"/>
      <c r="CU2213" s="1"/>
      <c r="CV2213" s="1"/>
      <c r="CW2213" s="1"/>
      <c r="CX2213" s="1"/>
      <c r="CY2213" s="1"/>
      <c r="CZ2213" s="1"/>
      <c r="DA2213" s="1"/>
      <c r="DB2213" s="1"/>
      <c r="DC2213" s="1"/>
    </row>
    <row r="2214" spans="1:107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s="1"/>
      <c r="BO2214" s="1"/>
      <c r="BP2214" s="1"/>
      <c r="BQ2214" s="1"/>
      <c r="BR2214" s="1"/>
      <c r="BS2214" s="1"/>
      <c r="BT2214" s="1"/>
      <c r="BU2214" s="1"/>
      <c r="BV2214" s="1"/>
      <c r="BW2214" s="1"/>
      <c r="BX2214" s="1"/>
      <c r="BY2214" s="1"/>
      <c r="BZ2214" s="1"/>
      <c r="CA2214" s="1"/>
      <c r="CB2214" s="1"/>
      <c r="CC2214" s="1"/>
      <c r="CD2214" s="1"/>
      <c r="CE2214" s="1"/>
      <c r="CF2214" s="1"/>
      <c r="CG2214" s="1"/>
      <c r="CH2214" s="1"/>
      <c r="CI2214" s="1"/>
      <c r="CJ2214" s="1"/>
      <c r="CK2214" s="1"/>
      <c r="CL2214" s="1"/>
      <c r="CM2214" s="1"/>
      <c r="CN2214" s="1"/>
      <c r="CO2214" s="1"/>
      <c r="CP2214" s="1"/>
      <c r="CQ2214" s="1"/>
      <c r="CR2214" s="1"/>
      <c r="CS2214" s="1"/>
      <c r="CT2214" s="1"/>
      <c r="CU2214" s="1"/>
      <c r="CV2214" s="1"/>
      <c r="CW2214" s="1"/>
      <c r="CX2214" s="1"/>
      <c r="CY2214" s="1"/>
      <c r="CZ2214" s="1"/>
      <c r="DA2214" s="1"/>
      <c r="DB2214" s="1"/>
      <c r="DC2214" s="1"/>
    </row>
    <row r="2215" spans="1:107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  <c r="BR2215" s="1"/>
      <c r="BS2215" s="1"/>
      <c r="BT2215" s="1"/>
      <c r="BU2215" s="1"/>
      <c r="BV2215" s="1"/>
      <c r="BW2215" s="1"/>
      <c r="BX2215" s="1"/>
      <c r="BY2215" s="1"/>
      <c r="BZ2215" s="1"/>
      <c r="CA2215" s="1"/>
      <c r="CB2215" s="1"/>
      <c r="CC2215" s="1"/>
      <c r="CD2215" s="1"/>
      <c r="CE2215" s="1"/>
      <c r="CF2215" s="1"/>
      <c r="CG2215" s="1"/>
      <c r="CH2215" s="1"/>
      <c r="CI2215" s="1"/>
      <c r="CJ2215" s="1"/>
      <c r="CK2215" s="1"/>
      <c r="CL2215" s="1"/>
      <c r="CM2215" s="1"/>
      <c r="CN2215" s="1"/>
      <c r="CO2215" s="1"/>
      <c r="CP2215" s="1"/>
      <c r="CQ2215" s="1"/>
      <c r="CR2215" s="1"/>
      <c r="CS2215" s="1"/>
      <c r="CT2215" s="1"/>
      <c r="CU2215" s="1"/>
      <c r="CV2215" s="1"/>
      <c r="CW2215" s="1"/>
      <c r="CX2215" s="1"/>
      <c r="CY2215" s="1"/>
      <c r="CZ2215" s="1"/>
      <c r="DA2215" s="1"/>
      <c r="DB2215" s="1"/>
      <c r="DC2215" s="1"/>
    </row>
    <row r="2216" spans="1:107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s="1"/>
      <c r="BQ2216" s="1"/>
      <c r="BR2216" s="1"/>
      <c r="BS2216" s="1"/>
      <c r="BT2216" s="1"/>
      <c r="BU2216" s="1"/>
      <c r="BV2216" s="1"/>
      <c r="BW2216" s="1"/>
      <c r="BX2216" s="1"/>
      <c r="BY2216" s="1"/>
      <c r="BZ2216" s="1"/>
      <c r="CA2216" s="1"/>
      <c r="CB2216" s="1"/>
      <c r="CC2216" s="1"/>
      <c r="CD2216" s="1"/>
      <c r="CE2216" s="1"/>
      <c r="CF2216" s="1"/>
      <c r="CG2216" s="1"/>
      <c r="CH2216" s="1"/>
      <c r="CI2216" s="1"/>
      <c r="CJ2216" s="1"/>
      <c r="CK2216" s="1"/>
      <c r="CL2216" s="1"/>
      <c r="CM2216" s="1"/>
      <c r="CN2216" s="1"/>
      <c r="CO2216" s="1"/>
      <c r="CP2216" s="1"/>
      <c r="CQ2216" s="1"/>
      <c r="CR2216" s="1"/>
      <c r="CS2216" s="1"/>
      <c r="CT2216" s="1"/>
      <c r="CU2216" s="1"/>
      <c r="CV2216" s="1"/>
      <c r="CW2216" s="1"/>
      <c r="CX2216" s="1"/>
      <c r="CY2216" s="1"/>
      <c r="CZ2216" s="1"/>
      <c r="DA2216" s="1"/>
      <c r="DB2216" s="1"/>
      <c r="DC2216" s="1"/>
    </row>
    <row r="2217" spans="1:107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  <c r="BR2217" s="1"/>
      <c r="BS2217" s="1"/>
      <c r="BT2217" s="1"/>
      <c r="BU2217" s="1"/>
      <c r="BV2217" s="1"/>
      <c r="BW2217" s="1"/>
      <c r="BX2217" s="1"/>
      <c r="BY2217" s="1"/>
      <c r="BZ2217" s="1"/>
      <c r="CA2217" s="1"/>
      <c r="CB2217" s="1"/>
      <c r="CC2217" s="1"/>
      <c r="CD2217" s="1"/>
      <c r="CE2217" s="1"/>
      <c r="CF2217" s="1"/>
      <c r="CG2217" s="1"/>
      <c r="CH2217" s="1"/>
      <c r="CI2217" s="1"/>
      <c r="CJ2217" s="1"/>
      <c r="CK2217" s="1"/>
      <c r="CL2217" s="1"/>
      <c r="CM2217" s="1"/>
      <c r="CN2217" s="1"/>
      <c r="CO2217" s="1"/>
      <c r="CP2217" s="1"/>
      <c r="CQ2217" s="1"/>
      <c r="CR2217" s="1"/>
      <c r="CS2217" s="1"/>
      <c r="CT2217" s="1"/>
      <c r="CU2217" s="1"/>
      <c r="CV2217" s="1"/>
      <c r="CW2217" s="1"/>
      <c r="CX2217" s="1"/>
      <c r="CY2217" s="1"/>
      <c r="CZ2217" s="1"/>
      <c r="DA2217" s="1"/>
      <c r="DB2217" s="1"/>
      <c r="DC2217" s="1"/>
    </row>
    <row r="2218" spans="1:107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  <c r="BM2218" s="1"/>
      <c r="BN2218" s="1"/>
      <c r="BO2218" s="1"/>
      <c r="BP2218" s="1"/>
      <c r="BQ2218" s="1"/>
      <c r="BR2218" s="1"/>
      <c r="BS2218" s="1"/>
      <c r="BT2218" s="1"/>
      <c r="BU2218" s="1"/>
      <c r="BV2218" s="1"/>
      <c r="BW2218" s="1"/>
      <c r="BX2218" s="1"/>
      <c r="BY2218" s="1"/>
      <c r="BZ2218" s="1"/>
      <c r="CA2218" s="1"/>
      <c r="CB2218" s="1"/>
      <c r="CC2218" s="1"/>
      <c r="CD2218" s="1"/>
      <c r="CE2218" s="1"/>
      <c r="CF2218" s="1"/>
      <c r="CG2218" s="1"/>
      <c r="CH2218" s="1"/>
      <c r="CI2218" s="1"/>
      <c r="CJ2218" s="1"/>
      <c r="CK2218" s="1"/>
      <c r="CL2218" s="1"/>
      <c r="CM2218" s="1"/>
      <c r="CN2218" s="1"/>
      <c r="CO2218" s="1"/>
      <c r="CP2218" s="1"/>
      <c r="CQ2218" s="1"/>
      <c r="CR2218" s="1"/>
      <c r="CS2218" s="1"/>
      <c r="CT2218" s="1"/>
      <c r="CU2218" s="1"/>
      <c r="CV2218" s="1"/>
      <c r="CW2218" s="1"/>
      <c r="CX2218" s="1"/>
      <c r="CY2218" s="1"/>
      <c r="CZ2218" s="1"/>
      <c r="DA2218" s="1"/>
      <c r="DB2218" s="1"/>
      <c r="DC2218" s="1"/>
    </row>
    <row r="2219" spans="1:107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  <c r="BR2219" s="1"/>
      <c r="BS2219" s="1"/>
      <c r="BT2219" s="1"/>
      <c r="BU2219" s="1"/>
      <c r="BV2219" s="1"/>
      <c r="BW2219" s="1"/>
      <c r="BX2219" s="1"/>
      <c r="BY2219" s="1"/>
      <c r="BZ2219" s="1"/>
      <c r="CA2219" s="1"/>
      <c r="CB2219" s="1"/>
      <c r="CC2219" s="1"/>
      <c r="CD2219" s="1"/>
      <c r="CE2219" s="1"/>
      <c r="CF2219" s="1"/>
      <c r="CG2219" s="1"/>
      <c r="CH2219" s="1"/>
      <c r="CI2219" s="1"/>
      <c r="CJ2219" s="1"/>
      <c r="CK2219" s="1"/>
      <c r="CL2219" s="1"/>
      <c r="CM2219" s="1"/>
      <c r="CN2219" s="1"/>
      <c r="CO2219" s="1"/>
      <c r="CP2219" s="1"/>
      <c r="CQ2219" s="1"/>
      <c r="CR2219" s="1"/>
      <c r="CS2219" s="1"/>
      <c r="CT2219" s="1"/>
      <c r="CU2219" s="1"/>
      <c r="CV2219" s="1"/>
      <c r="CW2219" s="1"/>
      <c r="CX2219" s="1"/>
      <c r="CY2219" s="1"/>
      <c r="CZ2219" s="1"/>
      <c r="DA2219" s="1"/>
      <c r="DB2219" s="1"/>
      <c r="DC2219" s="1"/>
    </row>
    <row r="2220" spans="1:107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  <c r="BM2220" s="1"/>
      <c r="BN2220" s="1"/>
      <c r="BO2220" s="1"/>
      <c r="BP2220" s="1"/>
      <c r="BQ2220" s="1"/>
      <c r="BR2220" s="1"/>
      <c r="BS2220" s="1"/>
      <c r="BT2220" s="1"/>
      <c r="BU2220" s="1"/>
      <c r="BV2220" s="1"/>
      <c r="BW2220" s="1"/>
      <c r="BX2220" s="1"/>
      <c r="BY2220" s="1"/>
      <c r="BZ2220" s="1"/>
      <c r="CA2220" s="1"/>
      <c r="CB2220" s="1"/>
      <c r="CC2220" s="1"/>
      <c r="CD2220" s="1"/>
      <c r="CE2220" s="1"/>
      <c r="CF2220" s="1"/>
      <c r="CG2220" s="1"/>
      <c r="CH2220" s="1"/>
      <c r="CI2220" s="1"/>
      <c r="CJ2220" s="1"/>
      <c r="CK2220" s="1"/>
      <c r="CL2220" s="1"/>
      <c r="CM2220" s="1"/>
      <c r="CN2220" s="1"/>
      <c r="CO2220" s="1"/>
      <c r="CP2220" s="1"/>
      <c r="CQ2220" s="1"/>
      <c r="CR2220" s="1"/>
      <c r="CS2220" s="1"/>
      <c r="CT2220" s="1"/>
      <c r="CU2220" s="1"/>
      <c r="CV2220" s="1"/>
      <c r="CW2220" s="1"/>
      <c r="CX2220" s="1"/>
      <c r="CY2220" s="1"/>
      <c r="CZ2220" s="1"/>
      <c r="DA2220" s="1"/>
      <c r="DB2220" s="1"/>
      <c r="DC2220" s="1"/>
    </row>
    <row r="2221" spans="1:107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  <c r="BK2221" s="1"/>
      <c r="BL2221" s="1"/>
      <c r="BM2221" s="1"/>
      <c r="BN2221" s="1"/>
      <c r="BO2221" s="1"/>
      <c r="BP2221" s="1"/>
      <c r="BQ2221" s="1"/>
      <c r="BR2221" s="1"/>
      <c r="BS2221" s="1"/>
      <c r="BT2221" s="1"/>
      <c r="BU2221" s="1"/>
      <c r="BV2221" s="1"/>
      <c r="BW2221" s="1"/>
      <c r="BX2221" s="1"/>
      <c r="BY2221" s="1"/>
      <c r="BZ2221" s="1"/>
      <c r="CA2221" s="1"/>
      <c r="CB2221" s="1"/>
      <c r="CC2221" s="1"/>
      <c r="CD2221" s="1"/>
      <c r="CE2221" s="1"/>
      <c r="CF2221" s="1"/>
      <c r="CG2221" s="1"/>
      <c r="CH2221" s="1"/>
      <c r="CI2221" s="1"/>
      <c r="CJ2221" s="1"/>
      <c r="CK2221" s="1"/>
      <c r="CL2221" s="1"/>
      <c r="CM2221" s="1"/>
      <c r="CN2221" s="1"/>
      <c r="CO2221" s="1"/>
      <c r="CP2221" s="1"/>
      <c r="CQ2221" s="1"/>
      <c r="CR2221" s="1"/>
      <c r="CS2221" s="1"/>
      <c r="CT2221" s="1"/>
      <c r="CU2221" s="1"/>
      <c r="CV2221" s="1"/>
      <c r="CW2221" s="1"/>
      <c r="CX2221" s="1"/>
      <c r="CY2221" s="1"/>
      <c r="CZ2221" s="1"/>
      <c r="DA2221" s="1"/>
      <c r="DB2221" s="1"/>
      <c r="DC2221" s="1"/>
    </row>
    <row r="2222" spans="1:107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  <c r="BM2222" s="1"/>
      <c r="BN2222" s="1"/>
      <c r="BO2222" s="1"/>
      <c r="BP2222" s="1"/>
      <c r="BQ2222" s="1"/>
      <c r="BR2222" s="1"/>
      <c r="BS2222" s="1"/>
      <c r="BT2222" s="1"/>
      <c r="BU2222" s="1"/>
      <c r="BV2222" s="1"/>
      <c r="BW2222" s="1"/>
      <c r="BX2222" s="1"/>
      <c r="BY2222" s="1"/>
      <c r="BZ2222" s="1"/>
      <c r="CA2222" s="1"/>
      <c r="CB2222" s="1"/>
      <c r="CC2222" s="1"/>
      <c r="CD2222" s="1"/>
      <c r="CE2222" s="1"/>
      <c r="CF2222" s="1"/>
      <c r="CG2222" s="1"/>
      <c r="CH2222" s="1"/>
      <c r="CI2222" s="1"/>
      <c r="CJ2222" s="1"/>
      <c r="CK2222" s="1"/>
      <c r="CL2222" s="1"/>
      <c r="CM2222" s="1"/>
      <c r="CN2222" s="1"/>
      <c r="CO2222" s="1"/>
      <c r="CP2222" s="1"/>
      <c r="CQ2222" s="1"/>
      <c r="CR2222" s="1"/>
      <c r="CS2222" s="1"/>
      <c r="CT2222" s="1"/>
      <c r="CU2222" s="1"/>
      <c r="CV2222" s="1"/>
      <c r="CW2222" s="1"/>
      <c r="CX2222" s="1"/>
      <c r="CY2222" s="1"/>
      <c r="CZ2222" s="1"/>
      <c r="DA2222" s="1"/>
      <c r="DB2222" s="1"/>
      <c r="DC2222" s="1"/>
    </row>
    <row r="2223" spans="1:107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/>
      <c r="BR2223" s="1"/>
      <c r="BS2223" s="1"/>
      <c r="BT2223" s="1"/>
      <c r="BU2223" s="1"/>
      <c r="BV2223" s="1"/>
      <c r="BW2223" s="1"/>
      <c r="BX2223" s="1"/>
      <c r="BY2223" s="1"/>
      <c r="BZ2223" s="1"/>
      <c r="CA2223" s="1"/>
      <c r="CB2223" s="1"/>
      <c r="CC2223" s="1"/>
      <c r="CD2223" s="1"/>
      <c r="CE2223" s="1"/>
      <c r="CF2223" s="1"/>
      <c r="CG2223" s="1"/>
      <c r="CH2223" s="1"/>
      <c r="CI2223" s="1"/>
      <c r="CJ2223" s="1"/>
      <c r="CK2223" s="1"/>
      <c r="CL2223" s="1"/>
      <c r="CM2223" s="1"/>
      <c r="CN2223" s="1"/>
      <c r="CO2223" s="1"/>
      <c r="CP2223" s="1"/>
      <c r="CQ2223" s="1"/>
      <c r="CR2223" s="1"/>
      <c r="CS2223" s="1"/>
      <c r="CT2223" s="1"/>
      <c r="CU2223" s="1"/>
      <c r="CV2223" s="1"/>
      <c r="CW2223" s="1"/>
      <c r="CX2223" s="1"/>
      <c r="CY2223" s="1"/>
      <c r="CZ2223" s="1"/>
      <c r="DA2223" s="1"/>
      <c r="DB2223" s="1"/>
      <c r="DC2223" s="1"/>
    </row>
    <row r="2224" spans="1:107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  <c r="BM2224" s="1"/>
      <c r="BN2224" s="1"/>
      <c r="BO2224" s="1"/>
      <c r="BP2224" s="1"/>
      <c r="BQ2224" s="1"/>
      <c r="BR2224" s="1"/>
      <c r="BS2224" s="1"/>
      <c r="BT2224" s="1"/>
      <c r="BU2224" s="1"/>
      <c r="BV2224" s="1"/>
      <c r="BW2224" s="1"/>
      <c r="BX2224" s="1"/>
      <c r="BY2224" s="1"/>
      <c r="BZ2224" s="1"/>
      <c r="CA2224" s="1"/>
      <c r="CB2224" s="1"/>
      <c r="CC2224" s="1"/>
      <c r="CD2224" s="1"/>
      <c r="CE2224" s="1"/>
      <c r="CF2224" s="1"/>
      <c r="CG2224" s="1"/>
      <c r="CH2224" s="1"/>
      <c r="CI2224" s="1"/>
      <c r="CJ2224" s="1"/>
      <c r="CK2224" s="1"/>
      <c r="CL2224" s="1"/>
      <c r="CM2224" s="1"/>
      <c r="CN2224" s="1"/>
      <c r="CO2224" s="1"/>
      <c r="CP2224" s="1"/>
      <c r="CQ2224" s="1"/>
      <c r="CR2224" s="1"/>
      <c r="CS2224" s="1"/>
      <c r="CT2224" s="1"/>
      <c r="CU2224" s="1"/>
      <c r="CV2224" s="1"/>
      <c r="CW2224" s="1"/>
      <c r="CX2224" s="1"/>
      <c r="CY2224" s="1"/>
      <c r="CZ2224" s="1"/>
      <c r="DA2224" s="1"/>
      <c r="DB2224" s="1"/>
      <c r="DC2224" s="1"/>
    </row>
    <row r="2225" spans="1:107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  <c r="BR2225" s="1"/>
      <c r="BS2225" s="1"/>
      <c r="BT2225" s="1"/>
      <c r="BU2225" s="1"/>
      <c r="BV2225" s="1"/>
      <c r="BW2225" s="1"/>
      <c r="BX2225" s="1"/>
      <c r="BY2225" s="1"/>
      <c r="BZ2225" s="1"/>
      <c r="CA2225" s="1"/>
      <c r="CB2225" s="1"/>
      <c r="CC2225" s="1"/>
      <c r="CD2225" s="1"/>
      <c r="CE2225" s="1"/>
      <c r="CF2225" s="1"/>
      <c r="CG2225" s="1"/>
      <c r="CH2225" s="1"/>
      <c r="CI2225" s="1"/>
      <c r="CJ2225" s="1"/>
      <c r="CK2225" s="1"/>
      <c r="CL2225" s="1"/>
      <c r="CM2225" s="1"/>
      <c r="CN2225" s="1"/>
      <c r="CO2225" s="1"/>
      <c r="CP2225" s="1"/>
      <c r="CQ2225" s="1"/>
      <c r="CR2225" s="1"/>
      <c r="CS2225" s="1"/>
      <c r="CT2225" s="1"/>
      <c r="CU2225" s="1"/>
      <c r="CV2225" s="1"/>
      <c r="CW2225" s="1"/>
      <c r="CX2225" s="1"/>
      <c r="CY2225" s="1"/>
      <c r="CZ2225" s="1"/>
      <c r="DA2225" s="1"/>
      <c r="DB2225" s="1"/>
      <c r="DC2225" s="1"/>
    </row>
    <row r="2226" spans="1:107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/>
      <c r="BQ2226" s="1"/>
      <c r="BR2226" s="1"/>
      <c r="BS2226" s="1"/>
      <c r="BT2226" s="1"/>
      <c r="BU2226" s="1"/>
      <c r="BV2226" s="1"/>
      <c r="BW2226" s="1"/>
      <c r="BX2226" s="1"/>
      <c r="BY2226" s="1"/>
      <c r="BZ2226" s="1"/>
      <c r="CA2226" s="1"/>
      <c r="CB2226" s="1"/>
      <c r="CC2226" s="1"/>
      <c r="CD2226" s="1"/>
      <c r="CE2226" s="1"/>
      <c r="CF2226" s="1"/>
      <c r="CG2226" s="1"/>
      <c r="CH2226" s="1"/>
      <c r="CI2226" s="1"/>
      <c r="CJ2226" s="1"/>
      <c r="CK2226" s="1"/>
      <c r="CL2226" s="1"/>
      <c r="CM2226" s="1"/>
      <c r="CN2226" s="1"/>
      <c r="CO2226" s="1"/>
      <c r="CP2226" s="1"/>
      <c r="CQ2226" s="1"/>
      <c r="CR2226" s="1"/>
      <c r="CS2226" s="1"/>
      <c r="CT2226" s="1"/>
      <c r="CU2226" s="1"/>
      <c r="CV2226" s="1"/>
      <c r="CW2226" s="1"/>
      <c r="CX2226" s="1"/>
      <c r="CY2226" s="1"/>
      <c r="CZ2226" s="1"/>
      <c r="DA2226" s="1"/>
      <c r="DB2226" s="1"/>
      <c r="DC2226" s="1"/>
    </row>
    <row r="2227" spans="1:107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  <c r="BR2227" s="1"/>
      <c r="BS2227" s="1"/>
      <c r="BT2227" s="1"/>
      <c r="BU2227" s="1"/>
      <c r="BV2227" s="1"/>
      <c r="BW2227" s="1"/>
      <c r="BX2227" s="1"/>
      <c r="BY2227" s="1"/>
      <c r="BZ2227" s="1"/>
      <c r="CA2227" s="1"/>
      <c r="CB2227" s="1"/>
      <c r="CC2227" s="1"/>
      <c r="CD2227" s="1"/>
      <c r="CE2227" s="1"/>
      <c r="CF2227" s="1"/>
      <c r="CG2227" s="1"/>
      <c r="CH2227" s="1"/>
      <c r="CI2227" s="1"/>
      <c r="CJ2227" s="1"/>
      <c r="CK2227" s="1"/>
      <c r="CL2227" s="1"/>
      <c r="CM2227" s="1"/>
      <c r="CN2227" s="1"/>
      <c r="CO2227" s="1"/>
      <c r="CP2227" s="1"/>
      <c r="CQ2227" s="1"/>
      <c r="CR2227" s="1"/>
      <c r="CS2227" s="1"/>
      <c r="CT2227" s="1"/>
      <c r="CU2227" s="1"/>
      <c r="CV2227" s="1"/>
      <c r="CW2227" s="1"/>
      <c r="CX2227" s="1"/>
      <c r="CY2227" s="1"/>
      <c r="CZ2227" s="1"/>
      <c r="DA2227" s="1"/>
      <c r="DB2227" s="1"/>
      <c r="DC2227" s="1"/>
    </row>
    <row r="2228" spans="1:107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  <c r="BQ2228" s="1"/>
      <c r="BR2228" s="1"/>
      <c r="BS2228" s="1"/>
      <c r="BT2228" s="1"/>
      <c r="BU2228" s="1"/>
      <c r="BV2228" s="1"/>
      <c r="BW2228" s="1"/>
      <c r="BX2228" s="1"/>
      <c r="BY2228" s="1"/>
      <c r="BZ2228" s="1"/>
      <c r="CA2228" s="1"/>
      <c r="CB2228" s="1"/>
      <c r="CC2228" s="1"/>
      <c r="CD2228" s="1"/>
      <c r="CE2228" s="1"/>
      <c r="CF2228" s="1"/>
      <c r="CG2228" s="1"/>
      <c r="CH2228" s="1"/>
      <c r="CI2228" s="1"/>
      <c r="CJ2228" s="1"/>
      <c r="CK2228" s="1"/>
      <c r="CL2228" s="1"/>
      <c r="CM2228" s="1"/>
      <c r="CN2228" s="1"/>
      <c r="CO2228" s="1"/>
      <c r="CP2228" s="1"/>
      <c r="CQ2228" s="1"/>
      <c r="CR2228" s="1"/>
      <c r="CS2228" s="1"/>
      <c r="CT2228" s="1"/>
      <c r="CU2228" s="1"/>
      <c r="CV2228" s="1"/>
      <c r="CW2228" s="1"/>
      <c r="CX2228" s="1"/>
      <c r="CY2228" s="1"/>
      <c r="CZ2228" s="1"/>
      <c r="DA2228" s="1"/>
      <c r="DB2228" s="1"/>
      <c r="DC2228" s="1"/>
    </row>
    <row r="2229" spans="1:107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  <c r="BR2229" s="1"/>
      <c r="BS2229" s="1"/>
      <c r="BT2229" s="1"/>
      <c r="BU2229" s="1"/>
      <c r="BV2229" s="1"/>
      <c r="BW2229" s="1"/>
      <c r="BX2229" s="1"/>
      <c r="BY2229" s="1"/>
      <c r="BZ2229" s="1"/>
      <c r="CA2229" s="1"/>
      <c r="CB2229" s="1"/>
      <c r="CC2229" s="1"/>
      <c r="CD2229" s="1"/>
      <c r="CE2229" s="1"/>
      <c r="CF2229" s="1"/>
      <c r="CG2229" s="1"/>
      <c r="CH2229" s="1"/>
      <c r="CI2229" s="1"/>
      <c r="CJ2229" s="1"/>
      <c r="CK2229" s="1"/>
      <c r="CL2229" s="1"/>
      <c r="CM2229" s="1"/>
      <c r="CN2229" s="1"/>
      <c r="CO2229" s="1"/>
      <c r="CP2229" s="1"/>
      <c r="CQ2229" s="1"/>
      <c r="CR2229" s="1"/>
      <c r="CS2229" s="1"/>
      <c r="CT2229" s="1"/>
      <c r="CU2229" s="1"/>
      <c r="CV2229" s="1"/>
      <c r="CW2229" s="1"/>
      <c r="CX2229" s="1"/>
      <c r="CY2229" s="1"/>
      <c r="CZ2229" s="1"/>
      <c r="DA2229" s="1"/>
      <c r="DB2229" s="1"/>
      <c r="DC2229" s="1"/>
    </row>
    <row r="2230" spans="1:107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/>
      <c r="BQ2230" s="1"/>
      <c r="BR2230" s="1"/>
      <c r="BS2230" s="1"/>
      <c r="BT2230" s="1"/>
      <c r="BU2230" s="1"/>
      <c r="BV2230" s="1"/>
      <c r="BW2230" s="1"/>
      <c r="BX2230" s="1"/>
      <c r="BY2230" s="1"/>
      <c r="BZ2230" s="1"/>
      <c r="CA2230" s="1"/>
      <c r="CB2230" s="1"/>
      <c r="CC2230" s="1"/>
      <c r="CD2230" s="1"/>
      <c r="CE2230" s="1"/>
      <c r="CF2230" s="1"/>
      <c r="CG2230" s="1"/>
      <c r="CH2230" s="1"/>
      <c r="CI2230" s="1"/>
      <c r="CJ2230" s="1"/>
      <c r="CK2230" s="1"/>
      <c r="CL2230" s="1"/>
      <c r="CM2230" s="1"/>
      <c r="CN2230" s="1"/>
      <c r="CO2230" s="1"/>
      <c r="CP2230" s="1"/>
      <c r="CQ2230" s="1"/>
      <c r="CR2230" s="1"/>
      <c r="CS2230" s="1"/>
      <c r="CT2230" s="1"/>
      <c r="CU2230" s="1"/>
      <c r="CV2230" s="1"/>
      <c r="CW2230" s="1"/>
      <c r="CX2230" s="1"/>
      <c r="CY2230" s="1"/>
      <c r="CZ2230" s="1"/>
      <c r="DA2230" s="1"/>
      <c r="DB2230" s="1"/>
      <c r="DC2230" s="1"/>
    </row>
    <row r="2231" spans="1:107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  <c r="BX2231" s="1"/>
      <c r="BY2231" s="1"/>
      <c r="BZ2231" s="1"/>
      <c r="CA2231" s="1"/>
      <c r="CB2231" s="1"/>
      <c r="CC2231" s="1"/>
      <c r="CD2231" s="1"/>
      <c r="CE2231" s="1"/>
      <c r="CF2231" s="1"/>
      <c r="CG2231" s="1"/>
      <c r="CH2231" s="1"/>
      <c r="CI2231" s="1"/>
      <c r="CJ2231" s="1"/>
      <c r="CK2231" s="1"/>
      <c r="CL2231" s="1"/>
      <c r="CM2231" s="1"/>
      <c r="CN2231" s="1"/>
      <c r="CO2231" s="1"/>
      <c r="CP2231" s="1"/>
      <c r="CQ2231" s="1"/>
      <c r="CR2231" s="1"/>
      <c r="CS2231" s="1"/>
      <c r="CT2231" s="1"/>
      <c r="CU2231" s="1"/>
      <c r="CV2231" s="1"/>
      <c r="CW2231" s="1"/>
      <c r="CX2231" s="1"/>
      <c r="CY2231" s="1"/>
      <c r="CZ2231" s="1"/>
      <c r="DA2231" s="1"/>
      <c r="DB2231" s="1"/>
      <c r="DC2231" s="1"/>
    </row>
    <row r="2232" spans="1:107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/>
      <c r="BQ2232" s="1"/>
      <c r="BR2232" s="1"/>
      <c r="BS2232" s="1"/>
      <c r="BT2232" s="1"/>
      <c r="BU2232" s="1"/>
      <c r="BV2232" s="1"/>
      <c r="BW2232" s="1"/>
      <c r="BX2232" s="1"/>
      <c r="BY2232" s="1"/>
      <c r="BZ2232" s="1"/>
      <c r="CA2232" s="1"/>
      <c r="CB2232" s="1"/>
      <c r="CC2232" s="1"/>
      <c r="CD2232" s="1"/>
      <c r="CE2232" s="1"/>
      <c r="CF2232" s="1"/>
      <c r="CG2232" s="1"/>
      <c r="CH2232" s="1"/>
      <c r="CI2232" s="1"/>
      <c r="CJ2232" s="1"/>
      <c r="CK2232" s="1"/>
      <c r="CL2232" s="1"/>
      <c r="CM2232" s="1"/>
      <c r="CN2232" s="1"/>
      <c r="CO2232" s="1"/>
      <c r="CP2232" s="1"/>
      <c r="CQ2232" s="1"/>
      <c r="CR2232" s="1"/>
      <c r="CS2232" s="1"/>
      <c r="CT2232" s="1"/>
      <c r="CU2232" s="1"/>
      <c r="CV2232" s="1"/>
      <c r="CW2232" s="1"/>
      <c r="CX2232" s="1"/>
      <c r="CY2232" s="1"/>
      <c r="CZ2232" s="1"/>
      <c r="DA2232" s="1"/>
      <c r="DB2232" s="1"/>
      <c r="DC2232" s="1"/>
    </row>
    <row r="2233" spans="1:107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  <c r="BR2233" s="1"/>
      <c r="BS2233" s="1"/>
      <c r="BT2233" s="1"/>
      <c r="BU2233" s="1"/>
      <c r="BV2233" s="1"/>
      <c r="BW2233" s="1"/>
      <c r="BX2233" s="1"/>
      <c r="BY2233" s="1"/>
      <c r="BZ2233" s="1"/>
      <c r="CA2233" s="1"/>
      <c r="CB2233" s="1"/>
      <c r="CC2233" s="1"/>
      <c r="CD2233" s="1"/>
      <c r="CE2233" s="1"/>
      <c r="CF2233" s="1"/>
      <c r="CG2233" s="1"/>
      <c r="CH2233" s="1"/>
      <c r="CI2233" s="1"/>
      <c r="CJ2233" s="1"/>
      <c r="CK2233" s="1"/>
      <c r="CL2233" s="1"/>
      <c r="CM2233" s="1"/>
      <c r="CN2233" s="1"/>
      <c r="CO2233" s="1"/>
      <c r="CP2233" s="1"/>
      <c r="CQ2233" s="1"/>
      <c r="CR2233" s="1"/>
      <c r="CS2233" s="1"/>
      <c r="CT2233" s="1"/>
      <c r="CU2233" s="1"/>
      <c r="CV2233" s="1"/>
      <c r="CW2233" s="1"/>
      <c r="CX2233" s="1"/>
      <c r="CY2233" s="1"/>
      <c r="CZ2233" s="1"/>
      <c r="DA2233" s="1"/>
      <c r="DB2233" s="1"/>
      <c r="DC2233" s="1"/>
    </row>
    <row r="2234" spans="1:107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/>
      <c r="BQ2234" s="1"/>
      <c r="BR2234" s="1"/>
      <c r="BS2234" s="1"/>
      <c r="BT2234" s="1"/>
      <c r="BU2234" s="1"/>
      <c r="BV2234" s="1"/>
      <c r="BW2234" s="1"/>
      <c r="BX2234" s="1"/>
      <c r="BY2234" s="1"/>
      <c r="BZ2234" s="1"/>
      <c r="CA2234" s="1"/>
      <c r="CB2234" s="1"/>
      <c r="CC2234" s="1"/>
      <c r="CD2234" s="1"/>
      <c r="CE2234" s="1"/>
      <c r="CF2234" s="1"/>
      <c r="CG2234" s="1"/>
      <c r="CH2234" s="1"/>
      <c r="CI2234" s="1"/>
      <c r="CJ2234" s="1"/>
      <c r="CK2234" s="1"/>
      <c r="CL2234" s="1"/>
      <c r="CM2234" s="1"/>
      <c r="CN2234" s="1"/>
      <c r="CO2234" s="1"/>
      <c r="CP2234" s="1"/>
      <c r="CQ2234" s="1"/>
      <c r="CR2234" s="1"/>
      <c r="CS2234" s="1"/>
      <c r="CT2234" s="1"/>
      <c r="CU2234" s="1"/>
      <c r="CV2234" s="1"/>
      <c r="CW2234" s="1"/>
      <c r="CX2234" s="1"/>
      <c r="CY2234" s="1"/>
      <c r="CZ2234" s="1"/>
      <c r="DA2234" s="1"/>
      <c r="DB2234" s="1"/>
      <c r="DC2234" s="1"/>
    </row>
    <row r="2235" spans="1:107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  <c r="BR2235" s="1"/>
      <c r="BS2235" s="1"/>
      <c r="BT2235" s="1"/>
      <c r="BU2235" s="1"/>
      <c r="BV2235" s="1"/>
      <c r="BW2235" s="1"/>
      <c r="BX2235" s="1"/>
      <c r="BY2235" s="1"/>
      <c r="BZ2235" s="1"/>
      <c r="CA2235" s="1"/>
      <c r="CB2235" s="1"/>
      <c r="CC2235" s="1"/>
      <c r="CD2235" s="1"/>
      <c r="CE2235" s="1"/>
      <c r="CF2235" s="1"/>
      <c r="CG2235" s="1"/>
      <c r="CH2235" s="1"/>
      <c r="CI2235" s="1"/>
      <c r="CJ2235" s="1"/>
      <c r="CK2235" s="1"/>
      <c r="CL2235" s="1"/>
      <c r="CM2235" s="1"/>
      <c r="CN2235" s="1"/>
      <c r="CO2235" s="1"/>
      <c r="CP2235" s="1"/>
      <c r="CQ2235" s="1"/>
      <c r="CR2235" s="1"/>
      <c r="CS2235" s="1"/>
      <c r="CT2235" s="1"/>
      <c r="CU2235" s="1"/>
      <c r="CV2235" s="1"/>
      <c r="CW2235" s="1"/>
      <c r="CX2235" s="1"/>
      <c r="CY2235" s="1"/>
      <c r="CZ2235" s="1"/>
      <c r="DA2235" s="1"/>
      <c r="DB2235" s="1"/>
      <c r="DC2235" s="1"/>
    </row>
    <row r="2236" spans="1:107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/>
      <c r="BQ2236" s="1"/>
      <c r="BR2236" s="1"/>
      <c r="BS2236" s="1"/>
      <c r="BT2236" s="1"/>
      <c r="BU2236" s="1"/>
      <c r="BV2236" s="1"/>
      <c r="BW2236" s="1"/>
      <c r="BX2236" s="1"/>
      <c r="BY2236" s="1"/>
      <c r="BZ2236" s="1"/>
      <c r="CA2236" s="1"/>
      <c r="CB2236" s="1"/>
      <c r="CC2236" s="1"/>
      <c r="CD2236" s="1"/>
      <c r="CE2236" s="1"/>
      <c r="CF2236" s="1"/>
      <c r="CG2236" s="1"/>
      <c r="CH2236" s="1"/>
      <c r="CI2236" s="1"/>
      <c r="CJ2236" s="1"/>
      <c r="CK2236" s="1"/>
      <c r="CL2236" s="1"/>
      <c r="CM2236" s="1"/>
      <c r="CN2236" s="1"/>
      <c r="CO2236" s="1"/>
      <c r="CP2236" s="1"/>
      <c r="CQ2236" s="1"/>
      <c r="CR2236" s="1"/>
      <c r="CS2236" s="1"/>
      <c r="CT2236" s="1"/>
      <c r="CU2236" s="1"/>
      <c r="CV2236" s="1"/>
      <c r="CW2236" s="1"/>
      <c r="CX2236" s="1"/>
      <c r="CY2236" s="1"/>
      <c r="CZ2236" s="1"/>
      <c r="DA2236" s="1"/>
      <c r="DB2236" s="1"/>
      <c r="DC2236" s="1"/>
    </row>
    <row r="2237" spans="1:107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  <c r="BR2237" s="1"/>
      <c r="BS2237" s="1"/>
      <c r="BT2237" s="1"/>
      <c r="BU2237" s="1"/>
      <c r="BV2237" s="1"/>
      <c r="BW2237" s="1"/>
      <c r="BX2237" s="1"/>
      <c r="BY2237" s="1"/>
      <c r="BZ2237" s="1"/>
      <c r="CA2237" s="1"/>
      <c r="CB2237" s="1"/>
      <c r="CC2237" s="1"/>
      <c r="CD2237" s="1"/>
      <c r="CE2237" s="1"/>
      <c r="CF2237" s="1"/>
      <c r="CG2237" s="1"/>
      <c r="CH2237" s="1"/>
      <c r="CI2237" s="1"/>
      <c r="CJ2237" s="1"/>
      <c r="CK2237" s="1"/>
      <c r="CL2237" s="1"/>
      <c r="CM2237" s="1"/>
      <c r="CN2237" s="1"/>
      <c r="CO2237" s="1"/>
      <c r="CP2237" s="1"/>
      <c r="CQ2237" s="1"/>
      <c r="CR2237" s="1"/>
      <c r="CS2237" s="1"/>
      <c r="CT2237" s="1"/>
      <c r="CU2237" s="1"/>
      <c r="CV2237" s="1"/>
      <c r="CW2237" s="1"/>
      <c r="CX2237" s="1"/>
      <c r="CY2237" s="1"/>
      <c r="CZ2237" s="1"/>
      <c r="DA2237" s="1"/>
      <c r="DB2237" s="1"/>
      <c r="DC2237" s="1"/>
    </row>
    <row r="2238" spans="1:107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/>
      <c r="BQ2238" s="1"/>
      <c r="BR2238" s="1"/>
      <c r="BS2238" s="1"/>
      <c r="BT2238" s="1"/>
      <c r="BU2238" s="1"/>
      <c r="BV2238" s="1"/>
      <c r="BW2238" s="1"/>
      <c r="BX2238" s="1"/>
      <c r="BY2238" s="1"/>
      <c r="BZ2238" s="1"/>
      <c r="CA2238" s="1"/>
      <c r="CB2238" s="1"/>
      <c r="CC2238" s="1"/>
      <c r="CD2238" s="1"/>
      <c r="CE2238" s="1"/>
      <c r="CF2238" s="1"/>
      <c r="CG2238" s="1"/>
      <c r="CH2238" s="1"/>
      <c r="CI2238" s="1"/>
      <c r="CJ2238" s="1"/>
      <c r="CK2238" s="1"/>
      <c r="CL2238" s="1"/>
      <c r="CM2238" s="1"/>
      <c r="CN2238" s="1"/>
      <c r="CO2238" s="1"/>
      <c r="CP2238" s="1"/>
      <c r="CQ2238" s="1"/>
      <c r="CR2238" s="1"/>
      <c r="CS2238" s="1"/>
      <c r="CT2238" s="1"/>
      <c r="CU2238" s="1"/>
      <c r="CV2238" s="1"/>
      <c r="CW2238" s="1"/>
      <c r="CX2238" s="1"/>
      <c r="CY2238" s="1"/>
      <c r="CZ2238" s="1"/>
      <c r="DA2238" s="1"/>
      <c r="DB2238" s="1"/>
      <c r="DC2238" s="1"/>
    </row>
    <row r="2239" spans="1:107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  <c r="BR2239" s="1"/>
      <c r="BS2239" s="1"/>
      <c r="BT2239" s="1"/>
      <c r="BU2239" s="1"/>
      <c r="BV2239" s="1"/>
      <c r="BW2239" s="1"/>
      <c r="BX2239" s="1"/>
      <c r="BY2239" s="1"/>
      <c r="BZ2239" s="1"/>
      <c r="CA2239" s="1"/>
      <c r="CB2239" s="1"/>
      <c r="CC2239" s="1"/>
      <c r="CD2239" s="1"/>
      <c r="CE2239" s="1"/>
      <c r="CF2239" s="1"/>
      <c r="CG2239" s="1"/>
      <c r="CH2239" s="1"/>
      <c r="CI2239" s="1"/>
      <c r="CJ2239" s="1"/>
      <c r="CK2239" s="1"/>
      <c r="CL2239" s="1"/>
      <c r="CM2239" s="1"/>
      <c r="CN2239" s="1"/>
      <c r="CO2239" s="1"/>
      <c r="CP2239" s="1"/>
      <c r="CQ2239" s="1"/>
      <c r="CR2239" s="1"/>
      <c r="CS2239" s="1"/>
      <c r="CT2239" s="1"/>
      <c r="CU2239" s="1"/>
      <c r="CV2239" s="1"/>
      <c r="CW2239" s="1"/>
      <c r="CX2239" s="1"/>
      <c r="CY2239" s="1"/>
      <c r="CZ2239" s="1"/>
      <c r="DA2239" s="1"/>
      <c r="DB2239" s="1"/>
      <c r="DC2239" s="1"/>
    </row>
    <row r="2240" spans="1:107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  <c r="BK2240" s="1"/>
      <c r="BL2240" s="1"/>
      <c r="BM2240" s="1"/>
      <c r="BN2240" s="1"/>
      <c r="BO2240" s="1"/>
      <c r="BP2240" s="1"/>
      <c r="BQ2240" s="1"/>
      <c r="BR2240" s="1"/>
      <c r="BS2240" s="1"/>
      <c r="BT2240" s="1"/>
      <c r="BU2240" s="1"/>
      <c r="BV2240" s="1"/>
      <c r="BW2240" s="1"/>
      <c r="BX2240" s="1"/>
      <c r="BY2240" s="1"/>
      <c r="BZ2240" s="1"/>
      <c r="CA2240" s="1"/>
      <c r="CB2240" s="1"/>
      <c r="CC2240" s="1"/>
      <c r="CD2240" s="1"/>
      <c r="CE2240" s="1"/>
      <c r="CF2240" s="1"/>
      <c r="CG2240" s="1"/>
      <c r="CH2240" s="1"/>
      <c r="CI2240" s="1"/>
      <c r="CJ2240" s="1"/>
      <c r="CK2240" s="1"/>
      <c r="CL2240" s="1"/>
      <c r="CM2240" s="1"/>
      <c r="CN2240" s="1"/>
      <c r="CO2240" s="1"/>
      <c r="CP2240" s="1"/>
      <c r="CQ2240" s="1"/>
      <c r="CR2240" s="1"/>
      <c r="CS2240" s="1"/>
      <c r="CT2240" s="1"/>
      <c r="CU2240" s="1"/>
      <c r="CV2240" s="1"/>
      <c r="CW2240" s="1"/>
      <c r="CX2240" s="1"/>
      <c r="CY2240" s="1"/>
      <c r="CZ2240" s="1"/>
      <c r="DA2240" s="1"/>
      <c r="DB2240" s="1"/>
      <c r="DC2240" s="1"/>
    </row>
    <row r="2241" spans="1:107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  <c r="BX2241" s="1"/>
      <c r="BY2241" s="1"/>
      <c r="BZ2241" s="1"/>
      <c r="CA2241" s="1"/>
      <c r="CB2241" s="1"/>
      <c r="CC2241" s="1"/>
      <c r="CD2241" s="1"/>
      <c r="CE2241" s="1"/>
      <c r="CF2241" s="1"/>
      <c r="CG2241" s="1"/>
      <c r="CH2241" s="1"/>
      <c r="CI2241" s="1"/>
      <c r="CJ2241" s="1"/>
      <c r="CK2241" s="1"/>
      <c r="CL2241" s="1"/>
      <c r="CM2241" s="1"/>
      <c r="CN2241" s="1"/>
      <c r="CO2241" s="1"/>
      <c r="CP2241" s="1"/>
      <c r="CQ2241" s="1"/>
      <c r="CR2241" s="1"/>
      <c r="CS2241" s="1"/>
      <c r="CT2241" s="1"/>
      <c r="CU2241" s="1"/>
      <c r="CV2241" s="1"/>
      <c r="CW2241" s="1"/>
      <c r="CX2241" s="1"/>
      <c r="CY2241" s="1"/>
      <c r="CZ2241" s="1"/>
      <c r="DA2241" s="1"/>
      <c r="DB2241" s="1"/>
      <c r="DC2241" s="1"/>
    </row>
    <row r="2242" spans="1:107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  <c r="BK2242" s="1"/>
      <c r="BL2242" s="1"/>
      <c r="BM2242" s="1"/>
      <c r="BN2242" s="1"/>
      <c r="BO2242" s="1"/>
      <c r="BP2242" s="1"/>
      <c r="BQ2242" s="1"/>
      <c r="BR2242" s="1"/>
      <c r="BS2242" s="1"/>
      <c r="BT2242" s="1"/>
      <c r="BU2242" s="1"/>
      <c r="BV2242" s="1"/>
      <c r="BW2242" s="1"/>
      <c r="BX2242" s="1"/>
      <c r="BY2242" s="1"/>
      <c r="BZ2242" s="1"/>
      <c r="CA2242" s="1"/>
      <c r="CB2242" s="1"/>
      <c r="CC2242" s="1"/>
      <c r="CD2242" s="1"/>
      <c r="CE2242" s="1"/>
      <c r="CF2242" s="1"/>
      <c r="CG2242" s="1"/>
      <c r="CH2242" s="1"/>
      <c r="CI2242" s="1"/>
      <c r="CJ2242" s="1"/>
      <c r="CK2242" s="1"/>
      <c r="CL2242" s="1"/>
      <c r="CM2242" s="1"/>
      <c r="CN2242" s="1"/>
      <c r="CO2242" s="1"/>
      <c r="CP2242" s="1"/>
      <c r="CQ2242" s="1"/>
      <c r="CR2242" s="1"/>
      <c r="CS2242" s="1"/>
      <c r="CT2242" s="1"/>
      <c r="CU2242" s="1"/>
      <c r="CV2242" s="1"/>
      <c r="CW2242" s="1"/>
      <c r="CX2242" s="1"/>
      <c r="CY2242" s="1"/>
      <c r="CZ2242" s="1"/>
      <c r="DA2242" s="1"/>
      <c r="DB2242" s="1"/>
      <c r="DC2242" s="1"/>
    </row>
    <row r="2243" spans="1:107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  <c r="BX2243" s="1"/>
      <c r="BY2243" s="1"/>
      <c r="BZ2243" s="1"/>
      <c r="CA2243" s="1"/>
      <c r="CB2243" s="1"/>
      <c r="CC2243" s="1"/>
      <c r="CD2243" s="1"/>
      <c r="CE2243" s="1"/>
      <c r="CF2243" s="1"/>
      <c r="CG2243" s="1"/>
      <c r="CH2243" s="1"/>
      <c r="CI2243" s="1"/>
      <c r="CJ2243" s="1"/>
      <c r="CK2243" s="1"/>
      <c r="CL2243" s="1"/>
      <c r="CM2243" s="1"/>
      <c r="CN2243" s="1"/>
      <c r="CO2243" s="1"/>
      <c r="CP2243" s="1"/>
      <c r="CQ2243" s="1"/>
      <c r="CR2243" s="1"/>
      <c r="CS2243" s="1"/>
      <c r="CT2243" s="1"/>
      <c r="CU2243" s="1"/>
      <c r="CV2243" s="1"/>
      <c r="CW2243" s="1"/>
      <c r="CX2243" s="1"/>
      <c r="CY2243" s="1"/>
      <c r="CZ2243" s="1"/>
      <c r="DA2243" s="1"/>
      <c r="DB2243" s="1"/>
      <c r="DC2243" s="1"/>
    </row>
    <row r="2244" spans="1:107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  <c r="BK2244" s="1"/>
      <c r="BL2244" s="1"/>
      <c r="BM2244" s="1"/>
      <c r="BN2244" s="1"/>
      <c r="BO2244" s="1"/>
      <c r="BP2244" s="1"/>
      <c r="BQ2244" s="1"/>
      <c r="BR2244" s="1"/>
      <c r="BS2244" s="1"/>
      <c r="BT2244" s="1"/>
      <c r="BU2244" s="1"/>
      <c r="BV2244" s="1"/>
      <c r="BW2244" s="1"/>
      <c r="BX2244" s="1"/>
      <c r="BY2244" s="1"/>
      <c r="BZ2244" s="1"/>
      <c r="CA2244" s="1"/>
      <c r="CB2244" s="1"/>
      <c r="CC2244" s="1"/>
      <c r="CD2244" s="1"/>
      <c r="CE2244" s="1"/>
      <c r="CF2244" s="1"/>
      <c r="CG2244" s="1"/>
      <c r="CH2244" s="1"/>
      <c r="CI2244" s="1"/>
      <c r="CJ2244" s="1"/>
      <c r="CK2244" s="1"/>
      <c r="CL2244" s="1"/>
      <c r="CM2244" s="1"/>
      <c r="CN2244" s="1"/>
      <c r="CO2244" s="1"/>
      <c r="CP2244" s="1"/>
      <c r="CQ2244" s="1"/>
      <c r="CR2244" s="1"/>
      <c r="CS2244" s="1"/>
      <c r="CT2244" s="1"/>
      <c r="CU2244" s="1"/>
      <c r="CV2244" s="1"/>
      <c r="CW2244" s="1"/>
      <c r="CX2244" s="1"/>
      <c r="CY2244" s="1"/>
      <c r="CZ2244" s="1"/>
      <c r="DA2244" s="1"/>
      <c r="DB2244" s="1"/>
      <c r="DC2244" s="1"/>
    </row>
    <row r="2245" spans="1:107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  <c r="BX2245" s="1"/>
      <c r="BY2245" s="1"/>
      <c r="BZ2245" s="1"/>
      <c r="CA2245" s="1"/>
      <c r="CB2245" s="1"/>
      <c r="CC2245" s="1"/>
      <c r="CD2245" s="1"/>
      <c r="CE2245" s="1"/>
      <c r="CF2245" s="1"/>
      <c r="CG2245" s="1"/>
      <c r="CH2245" s="1"/>
      <c r="CI2245" s="1"/>
      <c r="CJ2245" s="1"/>
      <c r="CK2245" s="1"/>
      <c r="CL2245" s="1"/>
      <c r="CM2245" s="1"/>
      <c r="CN2245" s="1"/>
      <c r="CO2245" s="1"/>
      <c r="CP2245" s="1"/>
      <c r="CQ2245" s="1"/>
      <c r="CR2245" s="1"/>
      <c r="CS2245" s="1"/>
      <c r="CT2245" s="1"/>
      <c r="CU2245" s="1"/>
      <c r="CV2245" s="1"/>
      <c r="CW2245" s="1"/>
      <c r="CX2245" s="1"/>
      <c r="CY2245" s="1"/>
      <c r="CZ2245" s="1"/>
      <c r="DA2245" s="1"/>
      <c r="DB2245" s="1"/>
      <c r="DC2245" s="1"/>
    </row>
    <row r="2246" spans="1:107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  <c r="BM2246" s="1"/>
      <c r="BN2246" s="1"/>
      <c r="BO2246" s="1"/>
      <c r="BP2246" s="1"/>
      <c r="BQ2246" s="1"/>
      <c r="BR2246" s="1"/>
      <c r="BS2246" s="1"/>
      <c r="BT2246" s="1"/>
      <c r="BU2246" s="1"/>
      <c r="BV2246" s="1"/>
      <c r="BW2246" s="1"/>
      <c r="BX2246" s="1"/>
      <c r="BY2246" s="1"/>
      <c r="BZ2246" s="1"/>
      <c r="CA2246" s="1"/>
      <c r="CB2246" s="1"/>
      <c r="CC2246" s="1"/>
      <c r="CD2246" s="1"/>
      <c r="CE2246" s="1"/>
      <c r="CF2246" s="1"/>
      <c r="CG2246" s="1"/>
      <c r="CH2246" s="1"/>
      <c r="CI2246" s="1"/>
      <c r="CJ2246" s="1"/>
      <c r="CK2246" s="1"/>
      <c r="CL2246" s="1"/>
      <c r="CM2246" s="1"/>
      <c r="CN2246" s="1"/>
      <c r="CO2246" s="1"/>
      <c r="CP2246" s="1"/>
      <c r="CQ2246" s="1"/>
      <c r="CR2246" s="1"/>
      <c r="CS2246" s="1"/>
      <c r="CT2246" s="1"/>
      <c r="CU2246" s="1"/>
      <c r="CV2246" s="1"/>
      <c r="CW2246" s="1"/>
      <c r="CX2246" s="1"/>
      <c r="CY2246" s="1"/>
      <c r="CZ2246" s="1"/>
      <c r="DA2246" s="1"/>
      <c r="DB2246" s="1"/>
      <c r="DC2246" s="1"/>
    </row>
    <row r="2247" spans="1:107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  <c r="BS2247" s="1"/>
      <c r="BT2247" s="1"/>
      <c r="BU2247" s="1"/>
      <c r="BV2247" s="1"/>
      <c r="BW2247" s="1"/>
      <c r="BX2247" s="1"/>
      <c r="BY2247" s="1"/>
      <c r="BZ2247" s="1"/>
      <c r="CA2247" s="1"/>
      <c r="CB2247" s="1"/>
      <c r="CC2247" s="1"/>
      <c r="CD2247" s="1"/>
      <c r="CE2247" s="1"/>
      <c r="CF2247" s="1"/>
      <c r="CG2247" s="1"/>
      <c r="CH2247" s="1"/>
      <c r="CI2247" s="1"/>
      <c r="CJ2247" s="1"/>
      <c r="CK2247" s="1"/>
      <c r="CL2247" s="1"/>
      <c r="CM2247" s="1"/>
      <c r="CN2247" s="1"/>
      <c r="CO2247" s="1"/>
      <c r="CP2247" s="1"/>
      <c r="CQ2247" s="1"/>
      <c r="CR2247" s="1"/>
      <c r="CS2247" s="1"/>
      <c r="CT2247" s="1"/>
      <c r="CU2247" s="1"/>
      <c r="CV2247" s="1"/>
      <c r="CW2247" s="1"/>
      <c r="CX2247" s="1"/>
      <c r="CY2247" s="1"/>
      <c r="CZ2247" s="1"/>
      <c r="DA2247" s="1"/>
      <c r="DB2247" s="1"/>
      <c r="DC2247" s="1"/>
    </row>
    <row r="2248" spans="1:107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  <c r="BK2248" s="1"/>
      <c r="BL2248" s="1"/>
      <c r="BM2248" s="1"/>
      <c r="BN2248" s="1"/>
      <c r="BO2248" s="1"/>
      <c r="BP2248" s="1"/>
      <c r="BQ2248" s="1"/>
      <c r="BR2248" s="1"/>
      <c r="BS2248" s="1"/>
      <c r="BT2248" s="1"/>
      <c r="BU2248" s="1"/>
      <c r="BV2248" s="1"/>
      <c r="BW2248" s="1"/>
      <c r="BX2248" s="1"/>
      <c r="BY2248" s="1"/>
      <c r="BZ2248" s="1"/>
      <c r="CA2248" s="1"/>
      <c r="CB2248" s="1"/>
      <c r="CC2248" s="1"/>
      <c r="CD2248" s="1"/>
      <c r="CE2248" s="1"/>
      <c r="CF2248" s="1"/>
      <c r="CG2248" s="1"/>
      <c r="CH2248" s="1"/>
      <c r="CI2248" s="1"/>
      <c r="CJ2248" s="1"/>
      <c r="CK2248" s="1"/>
      <c r="CL2248" s="1"/>
      <c r="CM2248" s="1"/>
      <c r="CN2248" s="1"/>
      <c r="CO2248" s="1"/>
      <c r="CP2248" s="1"/>
      <c r="CQ2248" s="1"/>
      <c r="CR2248" s="1"/>
      <c r="CS2248" s="1"/>
      <c r="CT2248" s="1"/>
      <c r="CU2248" s="1"/>
      <c r="CV2248" s="1"/>
      <c r="CW2248" s="1"/>
      <c r="CX2248" s="1"/>
      <c r="CY2248" s="1"/>
      <c r="CZ2248" s="1"/>
      <c r="DA2248" s="1"/>
      <c r="DB2248" s="1"/>
      <c r="DC2248" s="1"/>
    </row>
    <row r="2249" spans="1:107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  <c r="BR2249" s="1"/>
      <c r="BS2249" s="1"/>
      <c r="BT2249" s="1"/>
      <c r="BU2249" s="1"/>
      <c r="BV2249" s="1"/>
      <c r="BW2249" s="1"/>
      <c r="BX2249" s="1"/>
      <c r="BY2249" s="1"/>
      <c r="BZ2249" s="1"/>
      <c r="CA2249" s="1"/>
      <c r="CB2249" s="1"/>
      <c r="CC2249" s="1"/>
      <c r="CD2249" s="1"/>
      <c r="CE2249" s="1"/>
      <c r="CF2249" s="1"/>
      <c r="CG2249" s="1"/>
      <c r="CH2249" s="1"/>
      <c r="CI2249" s="1"/>
      <c r="CJ2249" s="1"/>
      <c r="CK2249" s="1"/>
      <c r="CL2249" s="1"/>
      <c r="CM2249" s="1"/>
      <c r="CN2249" s="1"/>
      <c r="CO2249" s="1"/>
      <c r="CP2249" s="1"/>
      <c r="CQ2249" s="1"/>
      <c r="CR2249" s="1"/>
      <c r="CS2249" s="1"/>
      <c r="CT2249" s="1"/>
      <c r="CU2249" s="1"/>
      <c r="CV2249" s="1"/>
      <c r="CW2249" s="1"/>
      <c r="CX2249" s="1"/>
      <c r="CY2249" s="1"/>
      <c r="CZ2249" s="1"/>
      <c r="DA2249" s="1"/>
      <c r="DB2249" s="1"/>
      <c r="DC2249" s="1"/>
    </row>
    <row r="2250" spans="1:107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  <c r="BK2250" s="1"/>
      <c r="BL2250" s="1"/>
      <c r="BM2250" s="1"/>
      <c r="BN2250" s="1"/>
      <c r="BO2250" s="1"/>
      <c r="BP2250" s="1"/>
      <c r="BQ2250" s="1"/>
      <c r="BR2250" s="1"/>
      <c r="BS2250" s="1"/>
      <c r="BT2250" s="1"/>
      <c r="BU2250" s="1"/>
      <c r="BV2250" s="1"/>
      <c r="BW2250" s="1"/>
      <c r="BX2250" s="1"/>
      <c r="BY2250" s="1"/>
      <c r="BZ2250" s="1"/>
      <c r="CA2250" s="1"/>
      <c r="CB2250" s="1"/>
      <c r="CC2250" s="1"/>
      <c r="CD2250" s="1"/>
      <c r="CE2250" s="1"/>
      <c r="CF2250" s="1"/>
      <c r="CG2250" s="1"/>
      <c r="CH2250" s="1"/>
      <c r="CI2250" s="1"/>
      <c r="CJ2250" s="1"/>
      <c r="CK2250" s="1"/>
      <c r="CL2250" s="1"/>
      <c r="CM2250" s="1"/>
      <c r="CN2250" s="1"/>
      <c r="CO2250" s="1"/>
      <c r="CP2250" s="1"/>
      <c r="CQ2250" s="1"/>
      <c r="CR2250" s="1"/>
      <c r="CS2250" s="1"/>
      <c r="CT2250" s="1"/>
      <c r="CU2250" s="1"/>
      <c r="CV2250" s="1"/>
      <c r="CW2250" s="1"/>
      <c r="CX2250" s="1"/>
      <c r="CY2250" s="1"/>
      <c r="CZ2250" s="1"/>
      <c r="DA2250" s="1"/>
      <c r="DB2250" s="1"/>
      <c r="DC2250" s="1"/>
    </row>
    <row r="2251" spans="1:107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  <c r="BR2251" s="1"/>
      <c r="BS2251" s="1"/>
      <c r="BT2251" s="1"/>
      <c r="BU2251" s="1"/>
      <c r="BV2251" s="1"/>
      <c r="BW2251" s="1"/>
      <c r="BX2251" s="1"/>
      <c r="BY2251" s="1"/>
      <c r="BZ2251" s="1"/>
      <c r="CA2251" s="1"/>
      <c r="CB2251" s="1"/>
      <c r="CC2251" s="1"/>
      <c r="CD2251" s="1"/>
      <c r="CE2251" s="1"/>
      <c r="CF2251" s="1"/>
      <c r="CG2251" s="1"/>
      <c r="CH2251" s="1"/>
      <c r="CI2251" s="1"/>
      <c r="CJ2251" s="1"/>
      <c r="CK2251" s="1"/>
      <c r="CL2251" s="1"/>
      <c r="CM2251" s="1"/>
      <c r="CN2251" s="1"/>
      <c r="CO2251" s="1"/>
      <c r="CP2251" s="1"/>
      <c r="CQ2251" s="1"/>
      <c r="CR2251" s="1"/>
      <c r="CS2251" s="1"/>
      <c r="CT2251" s="1"/>
      <c r="CU2251" s="1"/>
      <c r="CV2251" s="1"/>
      <c r="CW2251" s="1"/>
      <c r="CX2251" s="1"/>
      <c r="CY2251" s="1"/>
      <c r="CZ2251" s="1"/>
      <c r="DA2251" s="1"/>
      <c r="DB2251" s="1"/>
      <c r="DC2251" s="1"/>
    </row>
    <row r="2252" spans="1:107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/>
      <c r="BQ2252" s="1"/>
      <c r="BR2252" s="1"/>
      <c r="BS2252" s="1"/>
      <c r="BT2252" s="1"/>
      <c r="BU2252" s="1"/>
      <c r="BV2252" s="1"/>
      <c r="BW2252" s="1"/>
      <c r="BX2252" s="1"/>
      <c r="BY2252" s="1"/>
      <c r="BZ2252" s="1"/>
      <c r="CA2252" s="1"/>
      <c r="CB2252" s="1"/>
      <c r="CC2252" s="1"/>
      <c r="CD2252" s="1"/>
      <c r="CE2252" s="1"/>
      <c r="CF2252" s="1"/>
      <c r="CG2252" s="1"/>
      <c r="CH2252" s="1"/>
      <c r="CI2252" s="1"/>
      <c r="CJ2252" s="1"/>
      <c r="CK2252" s="1"/>
      <c r="CL2252" s="1"/>
      <c r="CM2252" s="1"/>
      <c r="CN2252" s="1"/>
      <c r="CO2252" s="1"/>
      <c r="CP2252" s="1"/>
      <c r="CQ2252" s="1"/>
      <c r="CR2252" s="1"/>
      <c r="CS2252" s="1"/>
      <c r="CT2252" s="1"/>
      <c r="CU2252" s="1"/>
      <c r="CV2252" s="1"/>
      <c r="CW2252" s="1"/>
      <c r="CX2252" s="1"/>
      <c r="CY2252" s="1"/>
      <c r="CZ2252" s="1"/>
      <c r="DA2252" s="1"/>
      <c r="DB2252" s="1"/>
      <c r="DC2252" s="1"/>
    </row>
    <row r="2253" spans="1:107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  <c r="BR2253" s="1"/>
      <c r="BS2253" s="1"/>
      <c r="BT2253" s="1"/>
      <c r="BU2253" s="1"/>
      <c r="BV2253" s="1"/>
      <c r="BW2253" s="1"/>
      <c r="BX2253" s="1"/>
      <c r="BY2253" s="1"/>
      <c r="BZ2253" s="1"/>
      <c r="CA2253" s="1"/>
      <c r="CB2253" s="1"/>
      <c r="CC2253" s="1"/>
      <c r="CD2253" s="1"/>
      <c r="CE2253" s="1"/>
      <c r="CF2253" s="1"/>
      <c r="CG2253" s="1"/>
      <c r="CH2253" s="1"/>
      <c r="CI2253" s="1"/>
      <c r="CJ2253" s="1"/>
      <c r="CK2253" s="1"/>
      <c r="CL2253" s="1"/>
      <c r="CM2253" s="1"/>
      <c r="CN2253" s="1"/>
      <c r="CO2253" s="1"/>
      <c r="CP2253" s="1"/>
      <c r="CQ2253" s="1"/>
      <c r="CR2253" s="1"/>
      <c r="CS2253" s="1"/>
      <c r="CT2253" s="1"/>
      <c r="CU2253" s="1"/>
      <c r="CV2253" s="1"/>
      <c r="CW2253" s="1"/>
      <c r="CX2253" s="1"/>
      <c r="CY2253" s="1"/>
      <c r="CZ2253" s="1"/>
      <c r="DA2253" s="1"/>
      <c r="DB2253" s="1"/>
      <c r="DC2253" s="1"/>
    </row>
    <row r="2254" spans="1:107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/>
      <c r="BQ2254" s="1"/>
      <c r="BR2254" s="1"/>
      <c r="BS2254" s="1"/>
      <c r="BT2254" s="1"/>
      <c r="BU2254" s="1"/>
      <c r="BV2254" s="1"/>
      <c r="BW2254" s="1"/>
      <c r="BX2254" s="1"/>
      <c r="BY2254" s="1"/>
      <c r="BZ2254" s="1"/>
      <c r="CA2254" s="1"/>
      <c r="CB2254" s="1"/>
      <c r="CC2254" s="1"/>
      <c r="CD2254" s="1"/>
      <c r="CE2254" s="1"/>
      <c r="CF2254" s="1"/>
      <c r="CG2254" s="1"/>
      <c r="CH2254" s="1"/>
      <c r="CI2254" s="1"/>
      <c r="CJ2254" s="1"/>
      <c r="CK2254" s="1"/>
      <c r="CL2254" s="1"/>
      <c r="CM2254" s="1"/>
      <c r="CN2254" s="1"/>
      <c r="CO2254" s="1"/>
      <c r="CP2254" s="1"/>
      <c r="CQ2254" s="1"/>
      <c r="CR2254" s="1"/>
      <c r="CS2254" s="1"/>
      <c r="CT2254" s="1"/>
      <c r="CU2254" s="1"/>
      <c r="CV2254" s="1"/>
      <c r="CW2254" s="1"/>
      <c r="CX2254" s="1"/>
      <c r="CY2254" s="1"/>
      <c r="CZ2254" s="1"/>
      <c r="DA2254" s="1"/>
      <c r="DB2254" s="1"/>
      <c r="DC2254" s="1"/>
    </row>
    <row r="2255" spans="1:107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  <c r="BR2255" s="1"/>
      <c r="BS2255" s="1"/>
      <c r="BT2255" s="1"/>
      <c r="BU2255" s="1"/>
      <c r="BV2255" s="1"/>
      <c r="BW2255" s="1"/>
      <c r="BX2255" s="1"/>
      <c r="BY2255" s="1"/>
      <c r="BZ2255" s="1"/>
      <c r="CA2255" s="1"/>
      <c r="CB2255" s="1"/>
      <c r="CC2255" s="1"/>
      <c r="CD2255" s="1"/>
      <c r="CE2255" s="1"/>
      <c r="CF2255" s="1"/>
      <c r="CG2255" s="1"/>
      <c r="CH2255" s="1"/>
      <c r="CI2255" s="1"/>
      <c r="CJ2255" s="1"/>
      <c r="CK2255" s="1"/>
      <c r="CL2255" s="1"/>
      <c r="CM2255" s="1"/>
      <c r="CN2255" s="1"/>
      <c r="CO2255" s="1"/>
      <c r="CP2255" s="1"/>
      <c r="CQ2255" s="1"/>
      <c r="CR2255" s="1"/>
      <c r="CS2255" s="1"/>
      <c r="CT2255" s="1"/>
      <c r="CU2255" s="1"/>
      <c r="CV2255" s="1"/>
      <c r="CW2255" s="1"/>
      <c r="CX2255" s="1"/>
      <c r="CY2255" s="1"/>
      <c r="CZ2255" s="1"/>
      <c r="DA2255" s="1"/>
      <c r="DB2255" s="1"/>
      <c r="DC2255" s="1"/>
    </row>
    <row r="2256" spans="1:107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/>
      <c r="BQ2256" s="1"/>
      <c r="BR2256" s="1"/>
      <c r="BS2256" s="1"/>
      <c r="BT2256" s="1"/>
      <c r="BU2256" s="1"/>
      <c r="BV2256" s="1"/>
      <c r="BW2256" s="1"/>
      <c r="BX2256" s="1"/>
      <c r="BY2256" s="1"/>
      <c r="BZ2256" s="1"/>
      <c r="CA2256" s="1"/>
      <c r="CB2256" s="1"/>
      <c r="CC2256" s="1"/>
      <c r="CD2256" s="1"/>
      <c r="CE2256" s="1"/>
      <c r="CF2256" s="1"/>
      <c r="CG2256" s="1"/>
      <c r="CH2256" s="1"/>
      <c r="CI2256" s="1"/>
      <c r="CJ2256" s="1"/>
      <c r="CK2256" s="1"/>
      <c r="CL2256" s="1"/>
      <c r="CM2256" s="1"/>
      <c r="CN2256" s="1"/>
      <c r="CO2256" s="1"/>
      <c r="CP2256" s="1"/>
      <c r="CQ2256" s="1"/>
      <c r="CR2256" s="1"/>
      <c r="CS2256" s="1"/>
      <c r="CT2256" s="1"/>
      <c r="CU2256" s="1"/>
      <c r="CV2256" s="1"/>
      <c r="CW2256" s="1"/>
      <c r="CX2256" s="1"/>
      <c r="CY2256" s="1"/>
      <c r="CZ2256" s="1"/>
      <c r="DA2256" s="1"/>
      <c r="DB2256" s="1"/>
      <c r="DC2256" s="1"/>
    </row>
    <row r="2257" spans="1:107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  <c r="BR2257" s="1"/>
      <c r="BS2257" s="1"/>
      <c r="BT2257" s="1"/>
      <c r="BU2257" s="1"/>
      <c r="BV2257" s="1"/>
      <c r="BW2257" s="1"/>
      <c r="BX2257" s="1"/>
      <c r="BY2257" s="1"/>
      <c r="BZ2257" s="1"/>
      <c r="CA2257" s="1"/>
      <c r="CB2257" s="1"/>
      <c r="CC2257" s="1"/>
      <c r="CD2257" s="1"/>
      <c r="CE2257" s="1"/>
      <c r="CF2257" s="1"/>
      <c r="CG2257" s="1"/>
      <c r="CH2257" s="1"/>
      <c r="CI2257" s="1"/>
      <c r="CJ2257" s="1"/>
      <c r="CK2257" s="1"/>
      <c r="CL2257" s="1"/>
      <c r="CM2257" s="1"/>
      <c r="CN2257" s="1"/>
      <c r="CO2257" s="1"/>
      <c r="CP2257" s="1"/>
      <c r="CQ2257" s="1"/>
      <c r="CR2257" s="1"/>
      <c r="CS2257" s="1"/>
      <c r="CT2257" s="1"/>
      <c r="CU2257" s="1"/>
      <c r="CV2257" s="1"/>
      <c r="CW2257" s="1"/>
      <c r="CX2257" s="1"/>
      <c r="CY2257" s="1"/>
      <c r="CZ2257" s="1"/>
      <c r="DA2257" s="1"/>
      <c r="DB2257" s="1"/>
      <c r="DC2257" s="1"/>
    </row>
    <row r="2258" spans="1:107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/>
      <c r="BQ2258" s="1"/>
      <c r="BR2258" s="1"/>
      <c r="BS2258" s="1"/>
      <c r="BT2258" s="1"/>
      <c r="BU2258" s="1"/>
      <c r="BV2258" s="1"/>
      <c r="BW2258" s="1"/>
      <c r="BX2258" s="1"/>
      <c r="BY2258" s="1"/>
      <c r="BZ2258" s="1"/>
      <c r="CA2258" s="1"/>
      <c r="CB2258" s="1"/>
      <c r="CC2258" s="1"/>
      <c r="CD2258" s="1"/>
      <c r="CE2258" s="1"/>
      <c r="CF2258" s="1"/>
      <c r="CG2258" s="1"/>
      <c r="CH2258" s="1"/>
      <c r="CI2258" s="1"/>
      <c r="CJ2258" s="1"/>
      <c r="CK2258" s="1"/>
      <c r="CL2258" s="1"/>
      <c r="CM2258" s="1"/>
      <c r="CN2258" s="1"/>
      <c r="CO2258" s="1"/>
      <c r="CP2258" s="1"/>
      <c r="CQ2258" s="1"/>
      <c r="CR2258" s="1"/>
      <c r="CS2258" s="1"/>
      <c r="CT2258" s="1"/>
      <c r="CU2258" s="1"/>
      <c r="CV2258" s="1"/>
      <c r="CW2258" s="1"/>
      <c r="CX2258" s="1"/>
      <c r="CY2258" s="1"/>
      <c r="CZ2258" s="1"/>
      <c r="DA2258" s="1"/>
      <c r="DB2258" s="1"/>
      <c r="DC2258" s="1"/>
    </row>
    <row r="2259" spans="1:107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  <c r="BR2259" s="1"/>
      <c r="BS2259" s="1"/>
      <c r="BT2259" s="1"/>
      <c r="BU2259" s="1"/>
      <c r="BV2259" s="1"/>
      <c r="BW2259" s="1"/>
      <c r="BX2259" s="1"/>
      <c r="BY2259" s="1"/>
      <c r="BZ2259" s="1"/>
      <c r="CA2259" s="1"/>
      <c r="CB2259" s="1"/>
      <c r="CC2259" s="1"/>
      <c r="CD2259" s="1"/>
      <c r="CE2259" s="1"/>
      <c r="CF2259" s="1"/>
      <c r="CG2259" s="1"/>
      <c r="CH2259" s="1"/>
      <c r="CI2259" s="1"/>
      <c r="CJ2259" s="1"/>
      <c r="CK2259" s="1"/>
      <c r="CL2259" s="1"/>
      <c r="CM2259" s="1"/>
      <c r="CN2259" s="1"/>
      <c r="CO2259" s="1"/>
      <c r="CP2259" s="1"/>
      <c r="CQ2259" s="1"/>
      <c r="CR2259" s="1"/>
      <c r="CS2259" s="1"/>
      <c r="CT2259" s="1"/>
      <c r="CU2259" s="1"/>
      <c r="CV2259" s="1"/>
      <c r="CW2259" s="1"/>
      <c r="CX2259" s="1"/>
      <c r="CY2259" s="1"/>
      <c r="CZ2259" s="1"/>
      <c r="DA2259" s="1"/>
      <c r="DB2259" s="1"/>
      <c r="DC2259" s="1"/>
    </row>
    <row r="2260" spans="1:107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/>
      <c r="BQ2260" s="1"/>
      <c r="BR2260" s="1"/>
      <c r="BS2260" s="1"/>
      <c r="BT2260" s="1"/>
      <c r="BU2260" s="1"/>
      <c r="BV2260" s="1"/>
      <c r="BW2260" s="1"/>
      <c r="BX2260" s="1"/>
      <c r="BY2260" s="1"/>
      <c r="BZ2260" s="1"/>
      <c r="CA2260" s="1"/>
      <c r="CB2260" s="1"/>
      <c r="CC2260" s="1"/>
      <c r="CD2260" s="1"/>
      <c r="CE2260" s="1"/>
      <c r="CF2260" s="1"/>
      <c r="CG2260" s="1"/>
      <c r="CH2260" s="1"/>
      <c r="CI2260" s="1"/>
      <c r="CJ2260" s="1"/>
      <c r="CK2260" s="1"/>
      <c r="CL2260" s="1"/>
      <c r="CM2260" s="1"/>
      <c r="CN2260" s="1"/>
      <c r="CO2260" s="1"/>
      <c r="CP2260" s="1"/>
      <c r="CQ2260" s="1"/>
      <c r="CR2260" s="1"/>
      <c r="CS2260" s="1"/>
      <c r="CT2260" s="1"/>
      <c r="CU2260" s="1"/>
      <c r="CV2260" s="1"/>
      <c r="CW2260" s="1"/>
      <c r="CX2260" s="1"/>
      <c r="CY2260" s="1"/>
      <c r="CZ2260" s="1"/>
      <c r="DA2260" s="1"/>
      <c r="DB2260" s="1"/>
      <c r="DC2260" s="1"/>
    </row>
    <row r="2261" spans="1:107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  <c r="BR2261" s="1"/>
      <c r="BS2261" s="1"/>
      <c r="BT2261" s="1"/>
      <c r="BU2261" s="1"/>
      <c r="BV2261" s="1"/>
      <c r="BW2261" s="1"/>
      <c r="BX2261" s="1"/>
      <c r="BY2261" s="1"/>
      <c r="BZ2261" s="1"/>
      <c r="CA2261" s="1"/>
      <c r="CB2261" s="1"/>
      <c r="CC2261" s="1"/>
      <c r="CD2261" s="1"/>
      <c r="CE2261" s="1"/>
      <c r="CF2261" s="1"/>
      <c r="CG2261" s="1"/>
      <c r="CH2261" s="1"/>
      <c r="CI2261" s="1"/>
      <c r="CJ2261" s="1"/>
      <c r="CK2261" s="1"/>
      <c r="CL2261" s="1"/>
      <c r="CM2261" s="1"/>
      <c r="CN2261" s="1"/>
      <c r="CO2261" s="1"/>
      <c r="CP2261" s="1"/>
      <c r="CQ2261" s="1"/>
      <c r="CR2261" s="1"/>
      <c r="CS2261" s="1"/>
      <c r="CT2261" s="1"/>
      <c r="CU2261" s="1"/>
      <c r="CV2261" s="1"/>
      <c r="CW2261" s="1"/>
      <c r="CX2261" s="1"/>
      <c r="CY2261" s="1"/>
      <c r="CZ2261" s="1"/>
      <c r="DA2261" s="1"/>
      <c r="DB2261" s="1"/>
      <c r="DC2261" s="1"/>
    </row>
    <row r="2262" spans="1:107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  <c r="BK2262" s="1"/>
      <c r="BL2262" s="1"/>
      <c r="BM2262" s="1"/>
      <c r="BN2262" s="1"/>
      <c r="BO2262" s="1"/>
      <c r="BP2262" s="1"/>
      <c r="BQ2262" s="1"/>
      <c r="BR2262" s="1"/>
      <c r="BS2262" s="1"/>
      <c r="BT2262" s="1"/>
      <c r="BU2262" s="1"/>
      <c r="BV2262" s="1"/>
      <c r="BW2262" s="1"/>
      <c r="BX2262" s="1"/>
      <c r="BY2262" s="1"/>
      <c r="BZ2262" s="1"/>
      <c r="CA2262" s="1"/>
      <c r="CB2262" s="1"/>
      <c r="CC2262" s="1"/>
      <c r="CD2262" s="1"/>
      <c r="CE2262" s="1"/>
      <c r="CF2262" s="1"/>
      <c r="CG2262" s="1"/>
      <c r="CH2262" s="1"/>
      <c r="CI2262" s="1"/>
      <c r="CJ2262" s="1"/>
      <c r="CK2262" s="1"/>
      <c r="CL2262" s="1"/>
      <c r="CM2262" s="1"/>
      <c r="CN2262" s="1"/>
      <c r="CO2262" s="1"/>
      <c r="CP2262" s="1"/>
      <c r="CQ2262" s="1"/>
      <c r="CR2262" s="1"/>
      <c r="CS2262" s="1"/>
      <c r="CT2262" s="1"/>
      <c r="CU2262" s="1"/>
      <c r="CV2262" s="1"/>
      <c r="CW2262" s="1"/>
      <c r="CX2262" s="1"/>
      <c r="CY2262" s="1"/>
      <c r="CZ2262" s="1"/>
      <c r="DA2262" s="1"/>
      <c r="DB2262" s="1"/>
      <c r="DC2262" s="1"/>
    </row>
    <row r="2263" spans="1:107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  <c r="BX2263" s="1"/>
      <c r="BY2263" s="1"/>
      <c r="BZ2263" s="1"/>
      <c r="CA2263" s="1"/>
      <c r="CB2263" s="1"/>
      <c r="CC2263" s="1"/>
      <c r="CD2263" s="1"/>
      <c r="CE2263" s="1"/>
      <c r="CF2263" s="1"/>
      <c r="CG2263" s="1"/>
      <c r="CH2263" s="1"/>
      <c r="CI2263" s="1"/>
      <c r="CJ2263" s="1"/>
      <c r="CK2263" s="1"/>
      <c r="CL2263" s="1"/>
      <c r="CM2263" s="1"/>
      <c r="CN2263" s="1"/>
      <c r="CO2263" s="1"/>
      <c r="CP2263" s="1"/>
      <c r="CQ2263" s="1"/>
      <c r="CR2263" s="1"/>
      <c r="CS2263" s="1"/>
      <c r="CT2263" s="1"/>
      <c r="CU2263" s="1"/>
      <c r="CV2263" s="1"/>
      <c r="CW2263" s="1"/>
      <c r="CX2263" s="1"/>
      <c r="CY2263" s="1"/>
      <c r="CZ2263" s="1"/>
      <c r="DA2263" s="1"/>
      <c r="DB2263" s="1"/>
      <c r="DC2263" s="1"/>
    </row>
    <row r="2264" spans="1:107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  <c r="BK2264" s="1"/>
      <c r="BL2264" s="1"/>
      <c r="BM2264" s="1"/>
      <c r="BN2264" s="1"/>
      <c r="BO2264" s="1"/>
      <c r="BP2264" s="1"/>
      <c r="BQ2264" s="1"/>
      <c r="BR2264" s="1"/>
      <c r="BS2264" s="1"/>
      <c r="BT2264" s="1"/>
      <c r="BU2264" s="1"/>
      <c r="BV2264" s="1"/>
      <c r="BW2264" s="1"/>
      <c r="BX2264" s="1"/>
      <c r="BY2264" s="1"/>
      <c r="BZ2264" s="1"/>
      <c r="CA2264" s="1"/>
      <c r="CB2264" s="1"/>
      <c r="CC2264" s="1"/>
      <c r="CD2264" s="1"/>
      <c r="CE2264" s="1"/>
      <c r="CF2264" s="1"/>
      <c r="CG2264" s="1"/>
      <c r="CH2264" s="1"/>
      <c r="CI2264" s="1"/>
      <c r="CJ2264" s="1"/>
      <c r="CK2264" s="1"/>
      <c r="CL2264" s="1"/>
      <c r="CM2264" s="1"/>
      <c r="CN2264" s="1"/>
      <c r="CO2264" s="1"/>
      <c r="CP2264" s="1"/>
      <c r="CQ2264" s="1"/>
      <c r="CR2264" s="1"/>
      <c r="CS2264" s="1"/>
      <c r="CT2264" s="1"/>
      <c r="CU2264" s="1"/>
      <c r="CV2264" s="1"/>
      <c r="CW2264" s="1"/>
      <c r="CX2264" s="1"/>
      <c r="CY2264" s="1"/>
      <c r="CZ2264" s="1"/>
      <c r="DA2264" s="1"/>
      <c r="DB2264" s="1"/>
      <c r="DC2264" s="1"/>
    </row>
    <row r="2265" spans="1:107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  <c r="BX2265" s="1"/>
      <c r="BY2265" s="1"/>
      <c r="BZ2265" s="1"/>
      <c r="CA2265" s="1"/>
      <c r="CB2265" s="1"/>
      <c r="CC2265" s="1"/>
      <c r="CD2265" s="1"/>
      <c r="CE2265" s="1"/>
      <c r="CF2265" s="1"/>
      <c r="CG2265" s="1"/>
      <c r="CH2265" s="1"/>
      <c r="CI2265" s="1"/>
      <c r="CJ2265" s="1"/>
      <c r="CK2265" s="1"/>
      <c r="CL2265" s="1"/>
      <c r="CM2265" s="1"/>
      <c r="CN2265" s="1"/>
      <c r="CO2265" s="1"/>
      <c r="CP2265" s="1"/>
      <c r="CQ2265" s="1"/>
      <c r="CR2265" s="1"/>
      <c r="CS2265" s="1"/>
      <c r="CT2265" s="1"/>
      <c r="CU2265" s="1"/>
      <c r="CV2265" s="1"/>
      <c r="CW2265" s="1"/>
      <c r="CX2265" s="1"/>
      <c r="CY2265" s="1"/>
      <c r="CZ2265" s="1"/>
      <c r="DA2265" s="1"/>
      <c r="DB2265" s="1"/>
      <c r="DC2265" s="1"/>
    </row>
    <row r="2266" spans="1:107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  <c r="BM2266" s="1"/>
      <c r="BN2266" s="1"/>
      <c r="BO2266" s="1"/>
      <c r="BP2266" s="1"/>
      <c r="BQ2266" s="1"/>
      <c r="BR2266" s="1"/>
      <c r="BS2266" s="1"/>
      <c r="BT2266" s="1"/>
      <c r="BU2266" s="1"/>
      <c r="BV2266" s="1"/>
      <c r="BW2266" s="1"/>
      <c r="BX2266" s="1"/>
      <c r="BY2266" s="1"/>
      <c r="BZ2266" s="1"/>
      <c r="CA2266" s="1"/>
      <c r="CB2266" s="1"/>
      <c r="CC2266" s="1"/>
      <c r="CD2266" s="1"/>
      <c r="CE2266" s="1"/>
      <c r="CF2266" s="1"/>
      <c r="CG2266" s="1"/>
      <c r="CH2266" s="1"/>
      <c r="CI2266" s="1"/>
      <c r="CJ2266" s="1"/>
      <c r="CK2266" s="1"/>
      <c r="CL2266" s="1"/>
      <c r="CM2266" s="1"/>
      <c r="CN2266" s="1"/>
      <c r="CO2266" s="1"/>
      <c r="CP2266" s="1"/>
      <c r="CQ2266" s="1"/>
      <c r="CR2266" s="1"/>
      <c r="CS2266" s="1"/>
      <c r="CT2266" s="1"/>
      <c r="CU2266" s="1"/>
      <c r="CV2266" s="1"/>
      <c r="CW2266" s="1"/>
      <c r="CX2266" s="1"/>
      <c r="CY2266" s="1"/>
      <c r="CZ2266" s="1"/>
      <c r="DA2266" s="1"/>
      <c r="DB2266" s="1"/>
      <c r="DC2266" s="1"/>
    </row>
    <row r="2267" spans="1:107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  <c r="BR2267" s="1"/>
      <c r="BS2267" s="1"/>
      <c r="BT2267" s="1"/>
      <c r="BU2267" s="1"/>
      <c r="BV2267" s="1"/>
      <c r="BW2267" s="1"/>
      <c r="BX2267" s="1"/>
      <c r="BY2267" s="1"/>
      <c r="BZ2267" s="1"/>
      <c r="CA2267" s="1"/>
      <c r="CB2267" s="1"/>
      <c r="CC2267" s="1"/>
      <c r="CD2267" s="1"/>
      <c r="CE2267" s="1"/>
      <c r="CF2267" s="1"/>
      <c r="CG2267" s="1"/>
      <c r="CH2267" s="1"/>
      <c r="CI2267" s="1"/>
      <c r="CJ2267" s="1"/>
      <c r="CK2267" s="1"/>
      <c r="CL2267" s="1"/>
      <c r="CM2267" s="1"/>
      <c r="CN2267" s="1"/>
      <c r="CO2267" s="1"/>
      <c r="CP2267" s="1"/>
      <c r="CQ2267" s="1"/>
      <c r="CR2267" s="1"/>
      <c r="CS2267" s="1"/>
      <c r="CT2267" s="1"/>
      <c r="CU2267" s="1"/>
      <c r="CV2267" s="1"/>
      <c r="CW2267" s="1"/>
      <c r="CX2267" s="1"/>
      <c r="CY2267" s="1"/>
      <c r="CZ2267" s="1"/>
      <c r="DA2267" s="1"/>
      <c r="DB2267" s="1"/>
      <c r="DC2267" s="1"/>
    </row>
    <row r="2268" spans="1:107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  <c r="BR2268" s="1"/>
      <c r="BS2268" s="1"/>
      <c r="BT2268" s="1"/>
      <c r="BU2268" s="1"/>
      <c r="BV2268" s="1"/>
      <c r="BW2268" s="1"/>
      <c r="BX2268" s="1"/>
      <c r="BY2268" s="1"/>
      <c r="BZ2268" s="1"/>
      <c r="CA2268" s="1"/>
      <c r="CB2268" s="1"/>
      <c r="CC2268" s="1"/>
      <c r="CD2268" s="1"/>
      <c r="CE2268" s="1"/>
      <c r="CF2268" s="1"/>
      <c r="CG2268" s="1"/>
      <c r="CH2268" s="1"/>
      <c r="CI2268" s="1"/>
      <c r="CJ2268" s="1"/>
      <c r="CK2268" s="1"/>
      <c r="CL2268" s="1"/>
      <c r="CM2268" s="1"/>
      <c r="CN2268" s="1"/>
      <c r="CO2268" s="1"/>
      <c r="CP2268" s="1"/>
      <c r="CQ2268" s="1"/>
      <c r="CR2268" s="1"/>
      <c r="CS2268" s="1"/>
      <c r="CT2268" s="1"/>
      <c r="CU2268" s="1"/>
      <c r="CV2268" s="1"/>
      <c r="CW2268" s="1"/>
      <c r="CX2268" s="1"/>
      <c r="CY2268" s="1"/>
      <c r="CZ2268" s="1"/>
      <c r="DA2268" s="1"/>
      <c r="DB2268" s="1"/>
      <c r="DC2268" s="1"/>
    </row>
    <row r="2269" spans="1:107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  <c r="BR2269" s="1"/>
      <c r="BS2269" s="1"/>
      <c r="BT2269" s="1"/>
      <c r="BU2269" s="1"/>
      <c r="BV2269" s="1"/>
      <c r="BW2269" s="1"/>
      <c r="BX2269" s="1"/>
      <c r="BY2269" s="1"/>
      <c r="BZ2269" s="1"/>
      <c r="CA2269" s="1"/>
      <c r="CB2269" s="1"/>
      <c r="CC2269" s="1"/>
      <c r="CD2269" s="1"/>
      <c r="CE2269" s="1"/>
      <c r="CF2269" s="1"/>
      <c r="CG2269" s="1"/>
      <c r="CH2269" s="1"/>
      <c r="CI2269" s="1"/>
      <c r="CJ2269" s="1"/>
      <c r="CK2269" s="1"/>
      <c r="CL2269" s="1"/>
      <c r="CM2269" s="1"/>
      <c r="CN2269" s="1"/>
      <c r="CO2269" s="1"/>
      <c r="CP2269" s="1"/>
      <c r="CQ2269" s="1"/>
      <c r="CR2269" s="1"/>
      <c r="CS2269" s="1"/>
      <c r="CT2269" s="1"/>
      <c r="CU2269" s="1"/>
      <c r="CV2269" s="1"/>
      <c r="CW2269" s="1"/>
      <c r="CX2269" s="1"/>
      <c r="CY2269" s="1"/>
      <c r="CZ2269" s="1"/>
      <c r="DA2269" s="1"/>
      <c r="DB2269" s="1"/>
      <c r="DC2269" s="1"/>
    </row>
    <row r="2270" spans="1:107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  <c r="BQ2270" s="1"/>
      <c r="BR2270" s="1"/>
      <c r="BS2270" s="1"/>
      <c r="BT2270" s="1"/>
      <c r="BU2270" s="1"/>
      <c r="BV2270" s="1"/>
      <c r="BW2270" s="1"/>
      <c r="BX2270" s="1"/>
      <c r="BY2270" s="1"/>
      <c r="BZ2270" s="1"/>
      <c r="CA2270" s="1"/>
      <c r="CB2270" s="1"/>
      <c r="CC2270" s="1"/>
      <c r="CD2270" s="1"/>
      <c r="CE2270" s="1"/>
      <c r="CF2270" s="1"/>
      <c r="CG2270" s="1"/>
      <c r="CH2270" s="1"/>
      <c r="CI2270" s="1"/>
      <c r="CJ2270" s="1"/>
      <c r="CK2270" s="1"/>
      <c r="CL2270" s="1"/>
      <c r="CM2270" s="1"/>
      <c r="CN2270" s="1"/>
      <c r="CO2270" s="1"/>
      <c r="CP2270" s="1"/>
      <c r="CQ2270" s="1"/>
      <c r="CR2270" s="1"/>
      <c r="CS2270" s="1"/>
      <c r="CT2270" s="1"/>
      <c r="CU2270" s="1"/>
      <c r="CV2270" s="1"/>
      <c r="CW2270" s="1"/>
      <c r="CX2270" s="1"/>
      <c r="CY2270" s="1"/>
      <c r="CZ2270" s="1"/>
      <c r="DA2270" s="1"/>
      <c r="DB2270" s="1"/>
      <c r="DC2270" s="1"/>
    </row>
    <row r="2271" spans="1:107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  <c r="BR2271" s="1"/>
      <c r="BS2271" s="1"/>
      <c r="BT2271" s="1"/>
      <c r="BU2271" s="1"/>
      <c r="BV2271" s="1"/>
      <c r="BW2271" s="1"/>
      <c r="BX2271" s="1"/>
      <c r="BY2271" s="1"/>
      <c r="BZ2271" s="1"/>
      <c r="CA2271" s="1"/>
      <c r="CB2271" s="1"/>
      <c r="CC2271" s="1"/>
      <c r="CD2271" s="1"/>
      <c r="CE2271" s="1"/>
      <c r="CF2271" s="1"/>
      <c r="CG2271" s="1"/>
      <c r="CH2271" s="1"/>
      <c r="CI2271" s="1"/>
      <c r="CJ2271" s="1"/>
      <c r="CK2271" s="1"/>
      <c r="CL2271" s="1"/>
      <c r="CM2271" s="1"/>
      <c r="CN2271" s="1"/>
      <c r="CO2271" s="1"/>
      <c r="CP2271" s="1"/>
      <c r="CQ2271" s="1"/>
      <c r="CR2271" s="1"/>
      <c r="CS2271" s="1"/>
      <c r="CT2271" s="1"/>
      <c r="CU2271" s="1"/>
      <c r="CV2271" s="1"/>
      <c r="CW2271" s="1"/>
      <c r="CX2271" s="1"/>
      <c r="CY2271" s="1"/>
      <c r="CZ2271" s="1"/>
      <c r="DA2271" s="1"/>
      <c r="DB2271" s="1"/>
      <c r="DC2271" s="1"/>
    </row>
    <row r="2272" spans="1:107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/>
      <c r="BQ2272" s="1"/>
      <c r="BR2272" s="1"/>
      <c r="BS2272" s="1"/>
      <c r="BT2272" s="1"/>
      <c r="BU2272" s="1"/>
      <c r="BV2272" s="1"/>
      <c r="BW2272" s="1"/>
      <c r="BX2272" s="1"/>
      <c r="BY2272" s="1"/>
      <c r="BZ2272" s="1"/>
      <c r="CA2272" s="1"/>
      <c r="CB2272" s="1"/>
      <c r="CC2272" s="1"/>
      <c r="CD2272" s="1"/>
      <c r="CE2272" s="1"/>
      <c r="CF2272" s="1"/>
      <c r="CG2272" s="1"/>
      <c r="CH2272" s="1"/>
      <c r="CI2272" s="1"/>
      <c r="CJ2272" s="1"/>
      <c r="CK2272" s="1"/>
      <c r="CL2272" s="1"/>
      <c r="CM2272" s="1"/>
      <c r="CN2272" s="1"/>
      <c r="CO2272" s="1"/>
      <c r="CP2272" s="1"/>
      <c r="CQ2272" s="1"/>
      <c r="CR2272" s="1"/>
      <c r="CS2272" s="1"/>
      <c r="CT2272" s="1"/>
      <c r="CU2272" s="1"/>
      <c r="CV2272" s="1"/>
      <c r="CW2272" s="1"/>
      <c r="CX2272" s="1"/>
      <c r="CY2272" s="1"/>
      <c r="CZ2272" s="1"/>
      <c r="DA2272" s="1"/>
      <c r="DB2272" s="1"/>
      <c r="DC2272" s="1"/>
    </row>
    <row r="2273" spans="1:107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  <c r="BQ2273" s="1"/>
      <c r="BR2273" s="1"/>
      <c r="BS2273" s="1"/>
      <c r="BT2273" s="1"/>
      <c r="BU2273" s="1"/>
      <c r="BV2273" s="1"/>
      <c r="BW2273" s="1"/>
      <c r="BX2273" s="1"/>
      <c r="BY2273" s="1"/>
      <c r="BZ2273" s="1"/>
      <c r="CA2273" s="1"/>
      <c r="CB2273" s="1"/>
      <c r="CC2273" s="1"/>
      <c r="CD2273" s="1"/>
      <c r="CE2273" s="1"/>
      <c r="CF2273" s="1"/>
      <c r="CG2273" s="1"/>
      <c r="CH2273" s="1"/>
      <c r="CI2273" s="1"/>
      <c r="CJ2273" s="1"/>
      <c r="CK2273" s="1"/>
      <c r="CL2273" s="1"/>
      <c r="CM2273" s="1"/>
      <c r="CN2273" s="1"/>
      <c r="CO2273" s="1"/>
      <c r="CP2273" s="1"/>
      <c r="CQ2273" s="1"/>
      <c r="CR2273" s="1"/>
      <c r="CS2273" s="1"/>
      <c r="CT2273" s="1"/>
      <c r="CU2273" s="1"/>
      <c r="CV2273" s="1"/>
      <c r="CW2273" s="1"/>
      <c r="CX2273" s="1"/>
      <c r="CY2273" s="1"/>
      <c r="CZ2273" s="1"/>
      <c r="DA2273" s="1"/>
      <c r="DB2273" s="1"/>
      <c r="DC2273" s="1"/>
    </row>
    <row r="2274" spans="1:107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/>
      <c r="BQ2274" s="1"/>
      <c r="BR2274" s="1"/>
      <c r="BS2274" s="1"/>
      <c r="BT2274" s="1"/>
      <c r="BU2274" s="1"/>
      <c r="BV2274" s="1"/>
      <c r="BW2274" s="1"/>
      <c r="BX2274" s="1"/>
      <c r="BY2274" s="1"/>
      <c r="BZ2274" s="1"/>
      <c r="CA2274" s="1"/>
      <c r="CB2274" s="1"/>
      <c r="CC2274" s="1"/>
      <c r="CD2274" s="1"/>
      <c r="CE2274" s="1"/>
      <c r="CF2274" s="1"/>
      <c r="CG2274" s="1"/>
      <c r="CH2274" s="1"/>
      <c r="CI2274" s="1"/>
      <c r="CJ2274" s="1"/>
      <c r="CK2274" s="1"/>
      <c r="CL2274" s="1"/>
      <c r="CM2274" s="1"/>
      <c r="CN2274" s="1"/>
      <c r="CO2274" s="1"/>
      <c r="CP2274" s="1"/>
      <c r="CQ2274" s="1"/>
      <c r="CR2274" s="1"/>
      <c r="CS2274" s="1"/>
      <c r="CT2274" s="1"/>
      <c r="CU2274" s="1"/>
      <c r="CV2274" s="1"/>
      <c r="CW2274" s="1"/>
      <c r="CX2274" s="1"/>
      <c r="CY2274" s="1"/>
      <c r="CZ2274" s="1"/>
      <c r="DA2274" s="1"/>
      <c r="DB2274" s="1"/>
      <c r="DC2274" s="1"/>
    </row>
    <row r="2275" spans="1:107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  <c r="BR2275" s="1"/>
      <c r="BS2275" s="1"/>
      <c r="BT2275" s="1"/>
      <c r="BU2275" s="1"/>
      <c r="BV2275" s="1"/>
      <c r="BW2275" s="1"/>
      <c r="BX2275" s="1"/>
      <c r="BY2275" s="1"/>
      <c r="BZ2275" s="1"/>
      <c r="CA2275" s="1"/>
      <c r="CB2275" s="1"/>
      <c r="CC2275" s="1"/>
      <c r="CD2275" s="1"/>
      <c r="CE2275" s="1"/>
      <c r="CF2275" s="1"/>
      <c r="CG2275" s="1"/>
      <c r="CH2275" s="1"/>
      <c r="CI2275" s="1"/>
      <c r="CJ2275" s="1"/>
      <c r="CK2275" s="1"/>
      <c r="CL2275" s="1"/>
      <c r="CM2275" s="1"/>
      <c r="CN2275" s="1"/>
      <c r="CO2275" s="1"/>
      <c r="CP2275" s="1"/>
      <c r="CQ2275" s="1"/>
      <c r="CR2275" s="1"/>
      <c r="CS2275" s="1"/>
      <c r="CT2275" s="1"/>
      <c r="CU2275" s="1"/>
      <c r="CV2275" s="1"/>
      <c r="CW2275" s="1"/>
      <c r="CX2275" s="1"/>
      <c r="CY2275" s="1"/>
      <c r="CZ2275" s="1"/>
      <c r="DA2275" s="1"/>
      <c r="DB2275" s="1"/>
      <c r="DC2275" s="1"/>
    </row>
    <row r="2276" spans="1:107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  <c r="BM2276" s="1"/>
      <c r="BN2276" s="1"/>
      <c r="BO2276" s="1"/>
      <c r="BP2276" s="1"/>
      <c r="BQ2276" s="1"/>
      <c r="BR2276" s="1"/>
      <c r="BS2276" s="1"/>
      <c r="BT2276" s="1"/>
      <c r="BU2276" s="1"/>
      <c r="BV2276" s="1"/>
      <c r="BW2276" s="1"/>
      <c r="BX2276" s="1"/>
      <c r="BY2276" s="1"/>
      <c r="BZ2276" s="1"/>
      <c r="CA2276" s="1"/>
      <c r="CB2276" s="1"/>
      <c r="CC2276" s="1"/>
      <c r="CD2276" s="1"/>
      <c r="CE2276" s="1"/>
      <c r="CF2276" s="1"/>
      <c r="CG2276" s="1"/>
      <c r="CH2276" s="1"/>
      <c r="CI2276" s="1"/>
      <c r="CJ2276" s="1"/>
      <c r="CK2276" s="1"/>
      <c r="CL2276" s="1"/>
      <c r="CM2276" s="1"/>
      <c r="CN2276" s="1"/>
      <c r="CO2276" s="1"/>
      <c r="CP2276" s="1"/>
      <c r="CQ2276" s="1"/>
      <c r="CR2276" s="1"/>
      <c r="CS2276" s="1"/>
      <c r="CT2276" s="1"/>
      <c r="CU2276" s="1"/>
      <c r="CV2276" s="1"/>
      <c r="CW2276" s="1"/>
      <c r="CX2276" s="1"/>
      <c r="CY2276" s="1"/>
      <c r="CZ2276" s="1"/>
      <c r="DA2276" s="1"/>
      <c r="DB2276" s="1"/>
      <c r="DC2276" s="1"/>
    </row>
    <row r="2277" spans="1:10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  <c r="BR2277" s="1"/>
      <c r="BS2277" s="1"/>
      <c r="BT2277" s="1"/>
      <c r="BU2277" s="1"/>
      <c r="BV2277" s="1"/>
      <c r="BW2277" s="1"/>
      <c r="BX2277" s="1"/>
      <c r="BY2277" s="1"/>
      <c r="BZ2277" s="1"/>
      <c r="CA2277" s="1"/>
      <c r="CB2277" s="1"/>
      <c r="CC2277" s="1"/>
      <c r="CD2277" s="1"/>
      <c r="CE2277" s="1"/>
      <c r="CF2277" s="1"/>
      <c r="CG2277" s="1"/>
      <c r="CH2277" s="1"/>
      <c r="CI2277" s="1"/>
      <c r="CJ2277" s="1"/>
      <c r="CK2277" s="1"/>
      <c r="CL2277" s="1"/>
      <c r="CM2277" s="1"/>
      <c r="CN2277" s="1"/>
      <c r="CO2277" s="1"/>
      <c r="CP2277" s="1"/>
      <c r="CQ2277" s="1"/>
      <c r="CR2277" s="1"/>
      <c r="CS2277" s="1"/>
      <c r="CT2277" s="1"/>
      <c r="CU2277" s="1"/>
      <c r="CV2277" s="1"/>
      <c r="CW2277" s="1"/>
      <c r="CX2277" s="1"/>
      <c r="CY2277" s="1"/>
      <c r="CZ2277" s="1"/>
      <c r="DA2277" s="1"/>
      <c r="DB2277" s="1"/>
      <c r="DC2277" s="1"/>
    </row>
    <row r="2278" spans="1:107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/>
      <c r="BQ2278" s="1"/>
      <c r="BR2278" s="1"/>
      <c r="BS2278" s="1"/>
      <c r="BT2278" s="1"/>
      <c r="BU2278" s="1"/>
      <c r="BV2278" s="1"/>
      <c r="BW2278" s="1"/>
      <c r="BX2278" s="1"/>
      <c r="BY2278" s="1"/>
      <c r="BZ2278" s="1"/>
      <c r="CA2278" s="1"/>
      <c r="CB2278" s="1"/>
      <c r="CC2278" s="1"/>
      <c r="CD2278" s="1"/>
      <c r="CE2278" s="1"/>
      <c r="CF2278" s="1"/>
      <c r="CG2278" s="1"/>
      <c r="CH2278" s="1"/>
      <c r="CI2278" s="1"/>
      <c r="CJ2278" s="1"/>
      <c r="CK2278" s="1"/>
      <c r="CL2278" s="1"/>
      <c r="CM2278" s="1"/>
      <c r="CN2278" s="1"/>
      <c r="CO2278" s="1"/>
      <c r="CP2278" s="1"/>
      <c r="CQ2278" s="1"/>
      <c r="CR2278" s="1"/>
      <c r="CS2278" s="1"/>
      <c r="CT2278" s="1"/>
      <c r="CU2278" s="1"/>
      <c r="CV2278" s="1"/>
      <c r="CW2278" s="1"/>
      <c r="CX2278" s="1"/>
      <c r="CY2278" s="1"/>
      <c r="CZ2278" s="1"/>
      <c r="DA2278" s="1"/>
      <c r="DB2278" s="1"/>
      <c r="DC2278" s="1"/>
    </row>
    <row r="2279" spans="1:107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  <c r="BR2279" s="1"/>
      <c r="BS2279" s="1"/>
      <c r="BT2279" s="1"/>
      <c r="BU2279" s="1"/>
      <c r="BV2279" s="1"/>
      <c r="BW2279" s="1"/>
      <c r="BX2279" s="1"/>
      <c r="BY2279" s="1"/>
      <c r="BZ2279" s="1"/>
      <c r="CA2279" s="1"/>
      <c r="CB2279" s="1"/>
      <c r="CC2279" s="1"/>
      <c r="CD2279" s="1"/>
      <c r="CE2279" s="1"/>
      <c r="CF2279" s="1"/>
      <c r="CG2279" s="1"/>
      <c r="CH2279" s="1"/>
      <c r="CI2279" s="1"/>
      <c r="CJ2279" s="1"/>
      <c r="CK2279" s="1"/>
      <c r="CL2279" s="1"/>
      <c r="CM2279" s="1"/>
      <c r="CN2279" s="1"/>
      <c r="CO2279" s="1"/>
      <c r="CP2279" s="1"/>
      <c r="CQ2279" s="1"/>
      <c r="CR2279" s="1"/>
      <c r="CS2279" s="1"/>
      <c r="CT2279" s="1"/>
      <c r="CU2279" s="1"/>
      <c r="CV2279" s="1"/>
      <c r="CW2279" s="1"/>
      <c r="CX2279" s="1"/>
      <c r="CY2279" s="1"/>
      <c r="CZ2279" s="1"/>
      <c r="DA2279" s="1"/>
      <c r="DB2279" s="1"/>
      <c r="DC2279" s="1"/>
    </row>
    <row r="2280" spans="1:107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  <c r="BR2280" s="1"/>
      <c r="BS2280" s="1"/>
      <c r="BT2280" s="1"/>
      <c r="BU2280" s="1"/>
      <c r="BV2280" s="1"/>
      <c r="BW2280" s="1"/>
      <c r="BX2280" s="1"/>
      <c r="BY2280" s="1"/>
      <c r="BZ2280" s="1"/>
      <c r="CA2280" s="1"/>
      <c r="CB2280" s="1"/>
      <c r="CC2280" s="1"/>
      <c r="CD2280" s="1"/>
      <c r="CE2280" s="1"/>
      <c r="CF2280" s="1"/>
      <c r="CG2280" s="1"/>
      <c r="CH2280" s="1"/>
      <c r="CI2280" s="1"/>
      <c r="CJ2280" s="1"/>
      <c r="CK2280" s="1"/>
      <c r="CL2280" s="1"/>
      <c r="CM2280" s="1"/>
      <c r="CN2280" s="1"/>
      <c r="CO2280" s="1"/>
      <c r="CP2280" s="1"/>
      <c r="CQ2280" s="1"/>
      <c r="CR2280" s="1"/>
      <c r="CS2280" s="1"/>
      <c r="CT2280" s="1"/>
      <c r="CU2280" s="1"/>
      <c r="CV2280" s="1"/>
      <c r="CW2280" s="1"/>
      <c r="CX2280" s="1"/>
      <c r="CY2280" s="1"/>
      <c r="CZ2280" s="1"/>
      <c r="DA2280" s="1"/>
      <c r="DB2280" s="1"/>
      <c r="DC2280" s="1"/>
    </row>
    <row r="2281" spans="1:107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  <c r="BR2281" s="1"/>
      <c r="BS2281" s="1"/>
      <c r="BT2281" s="1"/>
      <c r="BU2281" s="1"/>
      <c r="BV2281" s="1"/>
      <c r="BW2281" s="1"/>
      <c r="BX2281" s="1"/>
      <c r="BY2281" s="1"/>
      <c r="BZ2281" s="1"/>
      <c r="CA2281" s="1"/>
      <c r="CB2281" s="1"/>
      <c r="CC2281" s="1"/>
      <c r="CD2281" s="1"/>
      <c r="CE2281" s="1"/>
      <c r="CF2281" s="1"/>
      <c r="CG2281" s="1"/>
      <c r="CH2281" s="1"/>
      <c r="CI2281" s="1"/>
      <c r="CJ2281" s="1"/>
      <c r="CK2281" s="1"/>
      <c r="CL2281" s="1"/>
      <c r="CM2281" s="1"/>
      <c r="CN2281" s="1"/>
      <c r="CO2281" s="1"/>
      <c r="CP2281" s="1"/>
      <c r="CQ2281" s="1"/>
      <c r="CR2281" s="1"/>
      <c r="CS2281" s="1"/>
      <c r="CT2281" s="1"/>
      <c r="CU2281" s="1"/>
      <c r="CV2281" s="1"/>
      <c r="CW2281" s="1"/>
      <c r="CX2281" s="1"/>
      <c r="CY2281" s="1"/>
      <c r="CZ2281" s="1"/>
      <c r="DA2281" s="1"/>
      <c r="DB2281" s="1"/>
      <c r="DC2281" s="1"/>
    </row>
    <row r="2282" spans="1:107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  <c r="BM2282" s="1"/>
      <c r="BN2282" s="1"/>
      <c r="BO2282" s="1"/>
      <c r="BP2282" s="1"/>
      <c r="BQ2282" s="1"/>
      <c r="BR2282" s="1"/>
      <c r="BS2282" s="1"/>
      <c r="BT2282" s="1"/>
      <c r="BU2282" s="1"/>
      <c r="BV2282" s="1"/>
      <c r="BW2282" s="1"/>
      <c r="BX2282" s="1"/>
      <c r="BY2282" s="1"/>
      <c r="BZ2282" s="1"/>
      <c r="CA2282" s="1"/>
      <c r="CB2282" s="1"/>
      <c r="CC2282" s="1"/>
      <c r="CD2282" s="1"/>
      <c r="CE2282" s="1"/>
      <c r="CF2282" s="1"/>
      <c r="CG2282" s="1"/>
      <c r="CH2282" s="1"/>
      <c r="CI2282" s="1"/>
      <c r="CJ2282" s="1"/>
      <c r="CK2282" s="1"/>
      <c r="CL2282" s="1"/>
      <c r="CM2282" s="1"/>
      <c r="CN2282" s="1"/>
      <c r="CO2282" s="1"/>
      <c r="CP2282" s="1"/>
      <c r="CQ2282" s="1"/>
      <c r="CR2282" s="1"/>
      <c r="CS2282" s="1"/>
      <c r="CT2282" s="1"/>
      <c r="CU2282" s="1"/>
      <c r="CV2282" s="1"/>
      <c r="CW2282" s="1"/>
      <c r="CX2282" s="1"/>
      <c r="CY2282" s="1"/>
      <c r="CZ2282" s="1"/>
      <c r="DA2282" s="1"/>
      <c r="DB2282" s="1"/>
      <c r="DC2282" s="1"/>
    </row>
    <row r="2283" spans="1:107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  <c r="BR2283" s="1"/>
      <c r="BS2283" s="1"/>
      <c r="BT2283" s="1"/>
      <c r="BU2283" s="1"/>
      <c r="BV2283" s="1"/>
      <c r="BW2283" s="1"/>
      <c r="BX2283" s="1"/>
      <c r="BY2283" s="1"/>
      <c r="BZ2283" s="1"/>
      <c r="CA2283" s="1"/>
      <c r="CB2283" s="1"/>
      <c r="CC2283" s="1"/>
      <c r="CD2283" s="1"/>
      <c r="CE2283" s="1"/>
      <c r="CF2283" s="1"/>
      <c r="CG2283" s="1"/>
      <c r="CH2283" s="1"/>
      <c r="CI2283" s="1"/>
      <c r="CJ2283" s="1"/>
      <c r="CK2283" s="1"/>
      <c r="CL2283" s="1"/>
      <c r="CM2283" s="1"/>
      <c r="CN2283" s="1"/>
      <c r="CO2283" s="1"/>
      <c r="CP2283" s="1"/>
      <c r="CQ2283" s="1"/>
      <c r="CR2283" s="1"/>
      <c r="CS2283" s="1"/>
      <c r="CT2283" s="1"/>
      <c r="CU2283" s="1"/>
      <c r="CV2283" s="1"/>
      <c r="CW2283" s="1"/>
      <c r="CX2283" s="1"/>
      <c r="CY2283" s="1"/>
      <c r="CZ2283" s="1"/>
      <c r="DA2283" s="1"/>
      <c r="DB2283" s="1"/>
      <c r="DC2283" s="1"/>
    </row>
    <row r="2284" spans="1:107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  <c r="BR2284" s="1"/>
      <c r="BS2284" s="1"/>
      <c r="BT2284" s="1"/>
      <c r="BU2284" s="1"/>
      <c r="BV2284" s="1"/>
      <c r="BW2284" s="1"/>
      <c r="BX2284" s="1"/>
      <c r="BY2284" s="1"/>
      <c r="BZ2284" s="1"/>
      <c r="CA2284" s="1"/>
      <c r="CB2284" s="1"/>
      <c r="CC2284" s="1"/>
      <c r="CD2284" s="1"/>
      <c r="CE2284" s="1"/>
      <c r="CF2284" s="1"/>
      <c r="CG2284" s="1"/>
      <c r="CH2284" s="1"/>
      <c r="CI2284" s="1"/>
      <c r="CJ2284" s="1"/>
      <c r="CK2284" s="1"/>
      <c r="CL2284" s="1"/>
      <c r="CM2284" s="1"/>
      <c r="CN2284" s="1"/>
      <c r="CO2284" s="1"/>
      <c r="CP2284" s="1"/>
      <c r="CQ2284" s="1"/>
      <c r="CR2284" s="1"/>
      <c r="CS2284" s="1"/>
      <c r="CT2284" s="1"/>
      <c r="CU2284" s="1"/>
      <c r="CV2284" s="1"/>
      <c r="CW2284" s="1"/>
      <c r="CX2284" s="1"/>
      <c r="CY2284" s="1"/>
      <c r="CZ2284" s="1"/>
      <c r="DA2284" s="1"/>
      <c r="DB2284" s="1"/>
      <c r="DC2284" s="1"/>
    </row>
    <row r="2285" spans="1:107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  <c r="BR2285" s="1"/>
      <c r="BS2285" s="1"/>
      <c r="BT2285" s="1"/>
      <c r="BU2285" s="1"/>
      <c r="BV2285" s="1"/>
      <c r="BW2285" s="1"/>
      <c r="BX2285" s="1"/>
      <c r="BY2285" s="1"/>
      <c r="BZ2285" s="1"/>
      <c r="CA2285" s="1"/>
      <c r="CB2285" s="1"/>
      <c r="CC2285" s="1"/>
      <c r="CD2285" s="1"/>
      <c r="CE2285" s="1"/>
      <c r="CF2285" s="1"/>
      <c r="CG2285" s="1"/>
      <c r="CH2285" s="1"/>
      <c r="CI2285" s="1"/>
      <c r="CJ2285" s="1"/>
      <c r="CK2285" s="1"/>
      <c r="CL2285" s="1"/>
      <c r="CM2285" s="1"/>
      <c r="CN2285" s="1"/>
      <c r="CO2285" s="1"/>
      <c r="CP2285" s="1"/>
      <c r="CQ2285" s="1"/>
      <c r="CR2285" s="1"/>
      <c r="CS2285" s="1"/>
      <c r="CT2285" s="1"/>
      <c r="CU2285" s="1"/>
      <c r="CV2285" s="1"/>
      <c r="CW2285" s="1"/>
      <c r="CX2285" s="1"/>
      <c r="CY2285" s="1"/>
      <c r="CZ2285" s="1"/>
      <c r="DA2285" s="1"/>
      <c r="DB2285" s="1"/>
      <c r="DC2285" s="1"/>
    </row>
    <row r="2286" spans="1:107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  <c r="BK2286" s="1"/>
      <c r="BL2286" s="1"/>
      <c r="BM2286" s="1"/>
      <c r="BN2286" s="1"/>
      <c r="BO2286" s="1"/>
      <c r="BP2286" s="1"/>
      <c r="BQ2286" s="1"/>
      <c r="BR2286" s="1"/>
      <c r="BS2286" s="1"/>
      <c r="BT2286" s="1"/>
      <c r="BU2286" s="1"/>
      <c r="BV2286" s="1"/>
      <c r="BW2286" s="1"/>
      <c r="BX2286" s="1"/>
      <c r="BY2286" s="1"/>
      <c r="BZ2286" s="1"/>
      <c r="CA2286" s="1"/>
      <c r="CB2286" s="1"/>
      <c r="CC2286" s="1"/>
      <c r="CD2286" s="1"/>
      <c r="CE2286" s="1"/>
      <c r="CF2286" s="1"/>
      <c r="CG2286" s="1"/>
      <c r="CH2286" s="1"/>
      <c r="CI2286" s="1"/>
      <c r="CJ2286" s="1"/>
      <c r="CK2286" s="1"/>
      <c r="CL2286" s="1"/>
      <c r="CM2286" s="1"/>
      <c r="CN2286" s="1"/>
      <c r="CO2286" s="1"/>
      <c r="CP2286" s="1"/>
      <c r="CQ2286" s="1"/>
      <c r="CR2286" s="1"/>
      <c r="CS2286" s="1"/>
      <c r="CT2286" s="1"/>
      <c r="CU2286" s="1"/>
      <c r="CV2286" s="1"/>
      <c r="CW2286" s="1"/>
      <c r="CX2286" s="1"/>
      <c r="CY2286" s="1"/>
      <c r="CZ2286" s="1"/>
      <c r="DA2286" s="1"/>
      <c r="DB2286" s="1"/>
      <c r="DC2286" s="1"/>
    </row>
    <row r="2287" spans="1:107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  <c r="BK2287" s="1"/>
      <c r="BL2287" s="1"/>
      <c r="BM2287" s="1"/>
      <c r="BN2287" s="1"/>
      <c r="BO2287" s="1"/>
      <c r="BP2287" s="1"/>
      <c r="BQ2287" s="1"/>
      <c r="BR2287" s="1"/>
      <c r="BS2287" s="1"/>
      <c r="BT2287" s="1"/>
      <c r="BU2287" s="1"/>
      <c r="BV2287" s="1"/>
      <c r="BW2287" s="1"/>
      <c r="BX2287" s="1"/>
      <c r="BY2287" s="1"/>
      <c r="BZ2287" s="1"/>
      <c r="CA2287" s="1"/>
      <c r="CB2287" s="1"/>
      <c r="CC2287" s="1"/>
      <c r="CD2287" s="1"/>
      <c r="CE2287" s="1"/>
      <c r="CF2287" s="1"/>
      <c r="CG2287" s="1"/>
      <c r="CH2287" s="1"/>
      <c r="CI2287" s="1"/>
      <c r="CJ2287" s="1"/>
      <c r="CK2287" s="1"/>
      <c r="CL2287" s="1"/>
      <c r="CM2287" s="1"/>
      <c r="CN2287" s="1"/>
      <c r="CO2287" s="1"/>
      <c r="CP2287" s="1"/>
      <c r="CQ2287" s="1"/>
      <c r="CR2287" s="1"/>
      <c r="CS2287" s="1"/>
      <c r="CT2287" s="1"/>
      <c r="CU2287" s="1"/>
      <c r="CV2287" s="1"/>
      <c r="CW2287" s="1"/>
      <c r="CX2287" s="1"/>
      <c r="CY2287" s="1"/>
      <c r="CZ2287" s="1"/>
      <c r="DA2287" s="1"/>
      <c r="DB2287" s="1"/>
      <c r="DC2287" s="1"/>
    </row>
    <row r="2288" spans="1:107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  <c r="BK2288" s="1"/>
      <c r="BL2288" s="1"/>
      <c r="BM2288" s="1"/>
      <c r="BN2288" s="1"/>
      <c r="BO2288" s="1"/>
      <c r="BP2288" s="1"/>
      <c r="BQ2288" s="1"/>
      <c r="BR2288" s="1"/>
      <c r="BS2288" s="1"/>
      <c r="BT2288" s="1"/>
      <c r="BU2288" s="1"/>
      <c r="BV2288" s="1"/>
      <c r="BW2288" s="1"/>
      <c r="BX2288" s="1"/>
      <c r="BY2288" s="1"/>
      <c r="BZ2288" s="1"/>
      <c r="CA2288" s="1"/>
      <c r="CB2288" s="1"/>
      <c r="CC2288" s="1"/>
      <c r="CD2288" s="1"/>
      <c r="CE2288" s="1"/>
      <c r="CF2288" s="1"/>
      <c r="CG2288" s="1"/>
      <c r="CH2288" s="1"/>
      <c r="CI2288" s="1"/>
      <c r="CJ2288" s="1"/>
      <c r="CK2288" s="1"/>
      <c r="CL2288" s="1"/>
      <c r="CM2288" s="1"/>
      <c r="CN2288" s="1"/>
      <c r="CO2288" s="1"/>
      <c r="CP2288" s="1"/>
      <c r="CQ2288" s="1"/>
      <c r="CR2288" s="1"/>
      <c r="CS2288" s="1"/>
      <c r="CT2288" s="1"/>
      <c r="CU2288" s="1"/>
      <c r="CV2288" s="1"/>
      <c r="CW2288" s="1"/>
      <c r="CX2288" s="1"/>
      <c r="CY2288" s="1"/>
      <c r="CZ2288" s="1"/>
      <c r="DA2288" s="1"/>
      <c r="DB2288" s="1"/>
      <c r="DC2288" s="1"/>
    </row>
    <row r="2289" spans="1:107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  <c r="BO2289" s="1"/>
      <c r="BP2289" s="1"/>
      <c r="BQ2289" s="1"/>
      <c r="BR2289" s="1"/>
      <c r="BS2289" s="1"/>
      <c r="BT2289" s="1"/>
      <c r="BU2289" s="1"/>
      <c r="BV2289" s="1"/>
      <c r="BW2289" s="1"/>
      <c r="BX2289" s="1"/>
      <c r="BY2289" s="1"/>
      <c r="BZ2289" s="1"/>
      <c r="CA2289" s="1"/>
      <c r="CB2289" s="1"/>
      <c r="CC2289" s="1"/>
      <c r="CD2289" s="1"/>
      <c r="CE2289" s="1"/>
      <c r="CF2289" s="1"/>
      <c r="CG2289" s="1"/>
      <c r="CH2289" s="1"/>
      <c r="CI2289" s="1"/>
      <c r="CJ2289" s="1"/>
      <c r="CK2289" s="1"/>
      <c r="CL2289" s="1"/>
      <c r="CM2289" s="1"/>
      <c r="CN2289" s="1"/>
      <c r="CO2289" s="1"/>
      <c r="CP2289" s="1"/>
      <c r="CQ2289" s="1"/>
      <c r="CR2289" s="1"/>
      <c r="CS2289" s="1"/>
      <c r="CT2289" s="1"/>
      <c r="CU2289" s="1"/>
      <c r="CV2289" s="1"/>
      <c r="CW2289" s="1"/>
      <c r="CX2289" s="1"/>
      <c r="CY2289" s="1"/>
      <c r="CZ2289" s="1"/>
      <c r="DA2289" s="1"/>
      <c r="DB2289" s="1"/>
      <c r="DC2289" s="1"/>
    </row>
    <row r="2290" spans="1:107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  <c r="BK2290" s="1"/>
      <c r="BL2290" s="1"/>
      <c r="BM2290" s="1"/>
      <c r="BN2290" s="1"/>
      <c r="BO2290" s="1"/>
      <c r="BP2290" s="1"/>
      <c r="BQ2290" s="1"/>
      <c r="BR2290" s="1"/>
      <c r="BS2290" s="1"/>
      <c r="BT2290" s="1"/>
      <c r="BU2290" s="1"/>
      <c r="BV2290" s="1"/>
      <c r="BW2290" s="1"/>
      <c r="BX2290" s="1"/>
      <c r="BY2290" s="1"/>
      <c r="BZ2290" s="1"/>
      <c r="CA2290" s="1"/>
      <c r="CB2290" s="1"/>
      <c r="CC2290" s="1"/>
      <c r="CD2290" s="1"/>
      <c r="CE2290" s="1"/>
      <c r="CF2290" s="1"/>
      <c r="CG2290" s="1"/>
      <c r="CH2290" s="1"/>
      <c r="CI2290" s="1"/>
      <c r="CJ2290" s="1"/>
      <c r="CK2290" s="1"/>
      <c r="CL2290" s="1"/>
      <c r="CM2290" s="1"/>
      <c r="CN2290" s="1"/>
      <c r="CO2290" s="1"/>
      <c r="CP2290" s="1"/>
      <c r="CQ2290" s="1"/>
      <c r="CR2290" s="1"/>
      <c r="CS2290" s="1"/>
      <c r="CT2290" s="1"/>
      <c r="CU2290" s="1"/>
      <c r="CV2290" s="1"/>
      <c r="CW2290" s="1"/>
      <c r="CX2290" s="1"/>
      <c r="CY2290" s="1"/>
      <c r="CZ2290" s="1"/>
      <c r="DA2290" s="1"/>
      <c r="DB2290" s="1"/>
      <c r="DC2290" s="1"/>
    </row>
    <row r="2291" spans="1:107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  <c r="BM2291" s="1"/>
      <c r="BN2291" s="1"/>
      <c r="BO2291" s="1"/>
      <c r="BP2291" s="1"/>
      <c r="BQ2291" s="1"/>
      <c r="BR2291" s="1"/>
      <c r="BS2291" s="1"/>
      <c r="BT2291" s="1"/>
      <c r="BU2291" s="1"/>
      <c r="BV2291" s="1"/>
      <c r="BW2291" s="1"/>
      <c r="BX2291" s="1"/>
      <c r="BY2291" s="1"/>
      <c r="BZ2291" s="1"/>
      <c r="CA2291" s="1"/>
      <c r="CB2291" s="1"/>
      <c r="CC2291" s="1"/>
      <c r="CD2291" s="1"/>
      <c r="CE2291" s="1"/>
      <c r="CF2291" s="1"/>
      <c r="CG2291" s="1"/>
      <c r="CH2291" s="1"/>
      <c r="CI2291" s="1"/>
      <c r="CJ2291" s="1"/>
      <c r="CK2291" s="1"/>
      <c r="CL2291" s="1"/>
      <c r="CM2291" s="1"/>
      <c r="CN2291" s="1"/>
      <c r="CO2291" s="1"/>
      <c r="CP2291" s="1"/>
      <c r="CQ2291" s="1"/>
      <c r="CR2291" s="1"/>
      <c r="CS2291" s="1"/>
      <c r="CT2291" s="1"/>
      <c r="CU2291" s="1"/>
      <c r="CV2291" s="1"/>
      <c r="CW2291" s="1"/>
      <c r="CX2291" s="1"/>
      <c r="CY2291" s="1"/>
      <c r="CZ2291" s="1"/>
      <c r="DA2291" s="1"/>
      <c r="DB2291" s="1"/>
      <c r="DC2291" s="1"/>
    </row>
    <row r="2292" spans="1:107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  <c r="BM2292" s="1"/>
      <c r="BN2292" s="1"/>
      <c r="BO2292" s="1"/>
      <c r="BP2292" s="1"/>
      <c r="BQ2292" s="1"/>
      <c r="BR2292" s="1"/>
      <c r="BS2292" s="1"/>
      <c r="BT2292" s="1"/>
      <c r="BU2292" s="1"/>
      <c r="BV2292" s="1"/>
      <c r="BW2292" s="1"/>
      <c r="BX2292" s="1"/>
      <c r="BY2292" s="1"/>
      <c r="BZ2292" s="1"/>
      <c r="CA2292" s="1"/>
      <c r="CB2292" s="1"/>
      <c r="CC2292" s="1"/>
      <c r="CD2292" s="1"/>
      <c r="CE2292" s="1"/>
      <c r="CF2292" s="1"/>
      <c r="CG2292" s="1"/>
      <c r="CH2292" s="1"/>
      <c r="CI2292" s="1"/>
      <c r="CJ2292" s="1"/>
      <c r="CK2292" s="1"/>
      <c r="CL2292" s="1"/>
      <c r="CM2292" s="1"/>
      <c r="CN2292" s="1"/>
      <c r="CO2292" s="1"/>
      <c r="CP2292" s="1"/>
      <c r="CQ2292" s="1"/>
      <c r="CR2292" s="1"/>
      <c r="CS2292" s="1"/>
      <c r="CT2292" s="1"/>
      <c r="CU2292" s="1"/>
      <c r="CV2292" s="1"/>
      <c r="CW2292" s="1"/>
      <c r="CX2292" s="1"/>
      <c r="CY2292" s="1"/>
      <c r="CZ2292" s="1"/>
      <c r="DA2292" s="1"/>
      <c r="DB2292" s="1"/>
      <c r="DC2292" s="1"/>
    </row>
    <row r="2293" spans="1:107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  <c r="BK2293" s="1"/>
      <c r="BL2293" s="1"/>
      <c r="BM2293" s="1"/>
      <c r="BN2293" s="1"/>
      <c r="BO2293" s="1"/>
      <c r="BP2293" s="1"/>
      <c r="BQ2293" s="1"/>
      <c r="BR2293" s="1"/>
      <c r="BS2293" s="1"/>
      <c r="BT2293" s="1"/>
      <c r="BU2293" s="1"/>
      <c r="BV2293" s="1"/>
      <c r="BW2293" s="1"/>
      <c r="BX2293" s="1"/>
      <c r="BY2293" s="1"/>
      <c r="BZ2293" s="1"/>
      <c r="CA2293" s="1"/>
      <c r="CB2293" s="1"/>
      <c r="CC2293" s="1"/>
      <c r="CD2293" s="1"/>
      <c r="CE2293" s="1"/>
      <c r="CF2293" s="1"/>
      <c r="CG2293" s="1"/>
      <c r="CH2293" s="1"/>
      <c r="CI2293" s="1"/>
      <c r="CJ2293" s="1"/>
      <c r="CK2293" s="1"/>
      <c r="CL2293" s="1"/>
      <c r="CM2293" s="1"/>
      <c r="CN2293" s="1"/>
      <c r="CO2293" s="1"/>
      <c r="CP2293" s="1"/>
      <c r="CQ2293" s="1"/>
      <c r="CR2293" s="1"/>
      <c r="CS2293" s="1"/>
      <c r="CT2293" s="1"/>
      <c r="CU2293" s="1"/>
      <c r="CV2293" s="1"/>
      <c r="CW2293" s="1"/>
      <c r="CX2293" s="1"/>
      <c r="CY2293" s="1"/>
      <c r="CZ2293" s="1"/>
      <c r="DA2293" s="1"/>
      <c r="DB2293" s="1"/>
      <c r="DC2293" s="1"/>
    </row>
    <row r="2294" spans="1:107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  <c r="BM2294" s="1"/>
      <c r="BN2294" s="1"/>
      <c r="BO2294" s="1"/>
      <c r="BP2294" s="1"/>
      <c r="BQ2294" s="1"/>
      <c r="BR2294" s="1"/>
      <c r="BS2294" s="1"/>
      <c r="BT2294" s="1"/>
      <c r="BU2294" s="1"/>
      <c r="BV2294" s="1"/>
      <c r="BW2294" s="1"/>
      <c r="BX2294" s="1"/>
      <c r="BY2294" s="1"/>
      <c r="BZ2294" s="1"/>
      <c r="CA2294" s="1"/>
      <c r="CB2294" s="1"/>
      <c r="CC2294" s="1"/>
      <c r="CD2294" s="1"/>
      <c r="CE2294" s="1"/>
      <c r="CF2294" s="1"/>
      <c r="CG2294" s="1"/>
      <c r="CH2294" s="1"/>
      <c r="CI2294" s="1"/>
      <c r="CJ2294" s="1"/>
      <c r="CK2294" s="1"/>
      <c r="CL2294" s="1"/>
      <c r="CM2294" s="1"/>
      <c r="CN2294" s="1"/>
      <c r="CO2294" s="1"/>
      <c r="CP2294" s="1"/>
      <c r="CQ2294" s="1"/>
      <c r="CR2294" s="1"/>
      <c r="CS2294" s="1"/>
      <c r="CT2294" s="1"/>
      <c r="CU2294" s="1"/>
      <c r="CV2294" s="1"/>
      <c r="CW2294" s="1"/>
      <c r="CX2294" s="1"/>
      <c r="CY2294" s="1"/>
      <c r="CZ2294" s="1"/>
      <c r="DA2294" s="1"/>
      <c r="DB2294" s="1"/>
      <c r="DC2294" s="1"/>
    </row>
    <row r="2295" spans="1:107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  <c r="BM2295" s="1"/>
      <c r="BN2295" s="1"/>
      <c r="BO2295" s="1"/>
      <c r="BP2295" s="1"/>
      <c r="BQ2295" s="1"/>
      <c r="BR2295" s="1"/>
      <c r="BS2295" s="1"/>
      <c r="BT2295" s="1"/>
      <c r="BU2295" s="1"/>
      <c r="BV2295" s="1"/>
      <c r="BW2295" s="1"/>
      <c r="BX2295" s="1"/>
      <c r="BY2295" s="1"/>
      <c r="BZ2295" s="1"/>
      <c r="CA2295" s="1"/>
      <c r="CB2295" s="1"/>
      <c r="CC2295" s="1"/>
      <c r="CD2295" s="1"/>
      <c r="CE2295" s="1"/>
      <c r="CF2295" s="1"/>
      <c r="CG2295" s="1"/>
      <c r="CH2295" s="1"/>
      <c r="CI2295" s="1"/>
      <c r="CJ2295" s="1"/>
      <c r="CK2295" s="1"/>
      <c r="CL2295" s="1"/>
      <c r="CM2295" s="1"/>
      <c r="CN2295" s="1"/>
      <c r="CO2295" s="1"/>
      <c r="CP2295" s="1"/>
      <c r="CQ2295" s="1"/>
      <c r="CR2295" s="1"/>
      <c r="CS2295" s="1"/>
      <c r="CT2295" s="1"/>
      <c r="CU2295" s="1"/>
      <c r="CV2295" s="1"/>
      <c r="CW2295" s="1"/>
      <c r="CX2295" s="1"/>
      <c r="CY2295" s="1"/>
      <c r="CZ2295" s="1"/>
      <c r="DA2295" s="1"/>
      <c r="DB2295" s="1"/>
      <c r="DC2295" s="1"/>
    </row>
    <row r="2296" spans="1:107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s="1"/>
      <c r="BO2296" s="1"/>
      <c r="BP2296" s="1"/>
      <c r="BQ2296" s="1"/>
      <c r="BR2296" s="1"/>
      <c r="BS2296" s="1"/>
      <c r="BT2296" s="1"/>
      <c r="BU2296" s="1"/>
      <c r="BV2296" s="1"/>
      <c r="BW2296" s="1"/>
      <c r="BX2296" s="1"/>
      <c r="BY2296" s="1"/>
      <c r="BZ2296" s="1"/>
      <c r="CA2296" s="1"/>
      <c r="CB2296" s="1"/>
      <c r="CC2296" s="1"/>
      <c r="CD2296" s="1"/>
      <c r="CE2296" s="1"/>
      <c r="CF2296" s="1"/>
      <c r="CG2296" s="1"/>
      <c r="CH2296" s="1"/>
      <c r="CI2296" s="1"/>
      <c r="CJ2296" s="1"/>
      <c r="CK2296" s="1"/>
      <c r="CL2296" s="1"/>
      <c r="CM2296" s="1"/>
      <c r="CN2296" s="1"/>
      <c r="CO2296" s="1"/>
      <c r="CP2296" s="1"/>
      <c r="CQ2296" s="1"/>
      <c r="CR2296" s="1"/>
      <c r="CS2296" s="1"/>
      <c r="CT2296" s="1"/>
      <c r="CU2296" s="1"/>
      <c r="CV2296" s="1"/>
      <c r="CW2296" s="1"/>
      <c r="CX2296" s="1"/>
      <c r="CY2296" s="1"/>
      <c r="CZ2296" s="1"/>
      <c r="DA2296" s="1"/>
      <c r="DB2296" s="1"/>
      <c r="DC2296" s="1"/>
    </row>
    <row r="2297" spans="1:107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  <c r="BR2297" s="1"/>
      <c r="BS2297" s="1"/>
      <c r="BT2297" s="1"/>
      <c r="BU2297" s="1"/>
      <c r="BV2297" s="1"/>
      <c r="BW2297" s="1"/>
      <c r="BX2297" s="1"/>
      <c r="BY2297" s="1"/>
      <c r="BZ2297" s="1"/>
      <c r="CA2297" s="1"/>
      <c r="CB2297" s="1"/>
      <c r="CC2297" s="1"/>
      <c r="CD2297" s="1"/>
      <c r="CE2297" s="1"/>
      <c r="CF2297" s="1"/>
      <c r="CG2297" s="1"/>
      <c r="CH2297" s="1"/>
      <c r="CI2297" s="1"/>
      <c r="CJ2297" s="1"/>
      <c r="CK2297" s="1"/>
      <c r="CL2297" s="1"/>
      <c r="CM2297" s="1"/>
      <c r="CN2297" s="1"/>
      <c r="CO2297" s="1"/>
      <c r="CP2297" s="1"/>
      <c r="CQ2297" s="1"/>
      <c r="CR2297" s="1"/>
      <c r="CS2297" s="1"/>
      <c r="CT2297" s="1"/>
      <c r="CU2297" s="1"/>
      <c r="CV2297" s="1"/>
      <c r="CW2297" s="1"/>
      <c r="CX2297" s="1"/>
      <c r="CY2297" s="1"/>
      <c r="CZ2297" s="1"/>
      <c r="DA2297" s="1"/>
      <c r="DB2297" s="1"/>
      <c r="DC2297" s="1"/>
    </row>
    <row r="2298" spans="1:107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/>
      <c r="BQ2298" s="1"/>
      <c r="BR2298" s="1"/>
      <c r="BS2298" s="1"/>
      <c r="BT2298" s="1"/>
      <c r="BU2298" s="1"/>
      <c r="BV2298" s="1"/>
      <c r="BW2298" s="1"/>
      <c r="BX2298" s="1"/>
      <c r="BY2298" s="1"/>
      <c r="BZ2298" s="1"/>
      <c r="CA2298" s="1"/>
      <c r="CB2298" s="1"/>
      <c r="CC2298" s="1"/>
      <c r="CD2298" s="1"/>
      <c r="CE2298" s="1"/>
      <c r="CF2298" s="1"/>
      <c r="CG2298" s="1"/>
      <c r="CH2298" s="1"/>
      <c r="CI2298" s="1"/>
      <c r="CJ2298" s="1"/>
      <c r="CK2298" s="1"/>
      <c r="CL2298" s="1"/>
      <c r="CM2298" s="1"/>
      <c r="CN2298" s="1"/>
      <c r="CO2298" s="1"/>
      <c r="CP2298" s="1"/>
      <c r="CQ2298" s="1"/>
      <c r="CR2298" s="1"/>
      <c r="CS2298" s="1"/>
      <c r="CT2298" s="1"/>
      <c r="CU2298" s="1"/>
      <c r="CV2298" s="1"/>
      <c r="CW2298" s="1"/>
      <c r="CX2298" s="1"/>
      <c r="CY2298" s="1"/>
      <c r="CZ2298" s="1"/>
      <c r="DA2298" s="1"/>
      <c r="DB2298" s="1"/>
      <c r="DC2298" s="1"/>
    </row>
    <row r="2299" spans="1:107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  <c r="BR2299" s="1"/>
      <c r="BS2299" s="1"/>
      <c r="BT2299" s="1"/>
      <c r="BU2299" s="1"/>
      <c r="BV2299" s="1"/>
      <c r="BW2299" s="1"/>
      <c r="BX2299" s="1"/>
      <c r="BY2299" s="1"/>
      <c r="BZ2299" s="1"/>
      <c r="CA2299" s="1"/>
      <c r="CB2299" s="1"/>
      <c r="CC2299" s="1"/>
      <c r="CD2299" s="1"/>
      <c r="CE2299" s="1"/>
      <c r="CF2299" s="1"/>
      <c r="CG2299" s="1"/>
      <c r="CH2299" s="1"/>
      <c r="CI2299" s="1"/>
      <c r="CJ2299" s="1"/>
      <c r="CK2299" s="1"/>
      <c r="CL2299" s="1"/>
      <c r="CM2299" s="1"/>
      <c r="CN2299" s="1"/>
      <c r="CO2299" s="1"/>
      <c r="CP2299" s="1"/>
      <c r="CQ2299" s="1"/>
      <c r="CR2299" s="1"/>
      <c r="CS2299" s="1"/>
      <c r="CT2299" s="1"/>
      <c r="CU2299" s="1"/>
      <c r="CV2299" s="1"/>
      <c r="CW2299" s="1"/>
      <c r="CX2299" s="1"/>
      <c r="CY2299" s="1"/>
      <c r="CZ2299" s="1"/>
      <c r="DA2299" s="1"/>
      <c r="DB2299" s="1"/>
      <c r="DC2299" s="1"/>
    </row>
    <row r="2300" spans="1:107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/>
      <c r="BQ2300" s="1"/>
      <c r="BR2300" s="1"/>
      <c r="BS2300" s="1"/>
      <c r="BT2300" s="1"/>
      <c r="BU2300" s="1"/>
      <c r="BV2300" s="1"/>
      <c r="BW2300" s="1"/>
      <c r="BX2300" s="1"/>
      <c r="BY2300" s="1"/>
      <c r="BZ2300" s="1"/>
      <c r="CA2300" s="1"/>
      <c r="CB2300" s="1"/>
      <c r="CC2300" s="1"/>
      <c r="CD2300" s="1"/>
      <c r="CE2300" s="1"/>
      <c r="CF2300" s="1"/>
      <c r="CG2300" s="1"/>
      <c r="CH2300" s="1"/>
      <c r="CI2300" s="1"/>
      <c r="CJ2300" s="1"/>
      <c r="CK2300" s="1"/>
      <c r="CL2300" s="1"/>
      <c r="CM2300" s="1"/>
      <c r="CN2300" s="1"/>
      <c r="CO2300" s="1"/>
      <c r="CP2300" s="1"/>
      <c r="CQ2300" s="1"/>
      <c r="CR2300" s="1"/>
      <c r="CS2300" s="1"/>
      <c r="CT2300" s="1"/>
      <c r="CU2300" s="1"/>
      <c r="CV2300" s="1"/>
      <c r="CW2300" s="1"/>
      <c r="CX2300" s="1"/>
      <c r="CY2300" s="1"/>
      <c r="CZ2300" s="1"/>
      <c r="DA2300" s="1"/>
      <c r="DB2300" s="1"/>
      <c r="DC2300" s="1"/>
    </row>
    <row r="2301" spans="1:107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  <c r="BR2301" s="1"/>
      <c r="BS2301" s="1"/>
      <c r="BT2301" s="1"/>
      <c r="BU2301" s="1"/>
      <c r="BV2301" s="1"/>
      <c r="BW2301" s="1"/>
      <c r="BX2301" s="1"/>
      <c r="BY2301" s="1"/>
      <c r="BZ2301" s="1"/>
      <c r="CA2301" s="1"/>
      <c r="CB2301" s="1"/>
      <c r="CC2301" s="1"/>
      <c r="CD2301" s="1"/>
      <c r="CE2301" s="1"/>
      <c r="CF2301" s="1"/>
      <c r="CG2301" s="1"/>
      <c r="CH2301" s="1"/>
      <c r="CI2301" s="1"/>
      <c r="CJ2301" s="1"/>
      <c r="CK2301" s="1"/>
      <c r="CL2301" s="1"/>
      <c r="CM2301" s="1"/>
      <c r="CN2301" s="1"/>
      <c r="CO2301" s="1"/>
      <c r="CP2301" s="1"/>
      <c r="CQ2301" s="1"/>
      <c r="CR2301" s="1"/>
      <c r="CS2301" s="1"/>
      <c r="CT2301" s="1"/>
      <c r="CU2301" s="1"/>
      <c r="CV2301" s="1"/>
      <c r="CW2301" s="1"/>
      <c r="CX2301" s="1"/>
      <c r="CY2301" s="1"/>
      <c r="CZ2301" s="1"/>
      <c r="DA2301" s="1"/>
      <c r="DB2301" s="1"/>
      <c r="DC2301" s="1"/>
    </row>
    <row r="2302" spans="1:107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s="1"/>
      <c r="BO2302" s="1"/>
      <c r="BP2302" s="1"/>
      <c r="BQ2302" s="1"/>
      <c r="BR2302" s="1"/>
      <c r="BS2302" s="1"/>
      <c r="BT2302" s="1"/>
      <c r="BU2302" s="1"/>
      <c r="BV2302" s="1"/>
      <c r="BW2302" s="1"/>
      <c r="BX2302" s="1"/>
      <c r="BY2302" s="1"/>
      <c r="BZ2302" s="1"/>
      <c r="CA2302" s="1"/>
      <c r="CB2302" s="1"/>
      <c r="CC2302" s="1"/>
      <c r="CD2302" s="1"/>
      <c r="CE2302" s="1"/>
      <c r="CF2302" s="1"/>
      <c r="CG2302" s="1"/>
      <c r="CH2302" s="1"/>
      <c r="CI2302" s="1"/>
      <c r="CJ2302" s="1"/>
      <c r="CK2302" s="1"/>
      <c r="CL2302" s="1"/>
      <c r="CM2302" s="1"/>
      <c r="CN2302" s="1"/>
      <c r="CO2302" s="1"/>
      <c r="CP2302" s="1"/>
      <c r="CQ2302" s="1"/>
      <c r="CR2302" s="1"/>
      <c r="CS2302" s="1"/>
      <c r="CT2302" s="1"/>
      <c r="CU2302" s="1"/>
      <c r="CV2302" s="1"/>
      <c r="CW2302" s="1"/>
      <c r="CX2302" s="1"/>
      <c r="CY2302" s="1"/>
      <c r="CZ2302" s="1"/>
      <c r="DA2302" s="1"/>
      <c r="DB2302" s="1"/>
      <c r="DC2302" s="1"/>
    </row>
    <row r="2303" spans="1:107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/>
      <c r="BQ2303" s="1"/>
      <c r="BR2303" s="1"/>
      <c r="BS2303" s="1"/>
      <c r="BT2303" s="1"/>
      <c r="BU2303" s="1"/>
      <c r="BV2303" s="1"/>
      <c r="BW2303" s="1"/>
      <c r="BX2303" s="1"/>
      <c r="BY2303" s="1"/>
      <c r="BZ2303" s="1"/>
      <c r="CA2303" s="1"/>
      <c r="CB2303" s="1"/>
      <c r="CC2303" s="1"/>
      <c r="CD2303" s="1"/>
      <c r="CE2303" s="1"/>
      <c r="CF2303" s="1"/>
      <c r="CG2303" s="1"/>
      <c r="CH2303" s="1"/>
      <c r="CI2303" s="1"/>
      <c r="CJ2303" s="1"/>
      <c r="CK2303" s="1"/>
      <c r="CL2303" s="1"/>
      <c r="CM2303" s="1"/>
      <c r="CN2303" s="1"/>
      <c r="CO2303" s="1"/>
      <c r="CP2303" s="1"/>
      <c r="CQ2303" s="1"/>
      <c r="CR2303" s="1"/>
      <c r="CS2303" s="1"/>
      <c r="CT2303" s="1"/>
      <c r="CU2303" s="1"/>
      <c r="CV2303" s="1"/>
      <c r="CW2303" s="1"/>
      <c r="CX2303" s="1"/>
      <c r="CY2303" s="1"/>
      <c r="CZ2303" s="1"/>
      <c r="DA2303" s="1"/>
      <c r="DB2303" s="1"/>
      <c r="DC2303" s="1"/>
    </row>
    <row r="2304" spans="1:107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  <c r="BM2304" s="1"/>
      <c r="BN2304" s="1"/>
      <c r="BO2304" s="1"/>
      <c r="BP2304" s="1"/>
      <c r="BQ2304" s="1"/>
      <c r="BR2304" s="1"/>
      <c r="BS2304" s="1"/>
      <c r="BT2304" s="1"/>
      <c r="BU2304" s="1"/>
      <c r="BV2304" s="1"/>
      <c r="BW2304" s="1"/>
      <c r="BX2304" s="1"/>
      <c r="BY2304" s="1"/>
      <c r="BZ2304" s="1"/>
      <c r="CA2304" s="1"/>
      <c r="CB2304" s="1"/>
      <c r="CC2304" s="1"/>
      <c r="CD2304" s="1"/>
      <c r="CE2304" s="1"/>
      <c r="CF2304" s="1"/>
      <c r="CG2304" s="1"/>
      <c r="CH2304" s="1"/>
      <c r="CI2304" s="1"/>
      <c r="CJ2304" s="1"/>
      <c r="CK2304" s="1"/>
      <c r="CL2304" s="1"/>
      <c r="CM2304" s="1"/>
      <c r="CN2304" s="1"/>
      <c r="CO2304" s="1"/>
      <c r="CP2304" s="1"/>
      <c r="CQ2304" s="1"/>
      <c r="CR2304" s="1"/>
      <c r="CS2304" s="1"/>
      <c r="CT2304" s="1"/>
      <c r="CU2304" s="1"/>
      <c r="CV2304" s="1"/>
      <c r="CW2304" s="1"/>
      <c r="CX2304" s="1"/>
      <c r="CY2304" s="1"/>
      <c r="CZ2304" s="1"/>
      <c r="DA2304" s="1"/>
      <c r="DB2304" s="1"/>
      <c r="DC2304" s="1"/>
    </row>
    <row r="2305" spans="1:107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/>
      <c r="BQ2305" s="1"/>
      <c r="BR2305" s="1"/>
      <c r="BS2305" s="1"/>
      <c r="BT2305" s="1"/>
      <c r="BU2305" s="1"/>
      <c r="BV2305" s="1"/>
      <c r="BW2305" s="1"/>
      <c r="BX2305" s="1"/>
      <c r="BY2305" s="1"/>
      <c r="BZ2305" s="1"/>
      <c r="CA2305" s="1"/>
      <c r="CB2305" s="1"/>
      <c r="CC2305" s="1"/>
      <c r="CD2305" s="1"/>
      <c r="CE2305" s="1"/>
      <c r="CF2305" s="1"/>
      <c r="CG2305" s="1"/>
      <c r="CH2305" s="1"/>
      <c r="CI2305" s="1"/>
      <c r="CJ2305" s="1"/>
      <c r="CK2305" s="1"/>
      <c r="CL2305" s="1"/>
      <c r="CM2305" s="1"/>
      <c r="CN2305" s="1"/>
      <c r="CO2305" s="1"/>
      <c r="CP2305" s="1"/>
      <c r="CQ2305" s="1"/>
      <c r="CR2305" s="1"/>
      <c r="CS2305" s="1"/>
      <c r="CT2305" s="1"/>
      <c r="CU2305" s="1"/>
      <c r="CV2305" s="1"/>
      <c r="CW2305" s="1"/>
      <c r="CX2305" s="1"/>
      <c r="CY2305" s="1"/>
      <c r="CZ2305" s="1"/>
      <c r="DA2305" s="1"/>
      <c r="DB2305" s="1"/>
      <c r="DC2305" s="1"/>
    </row>
    <row r="2306" spans="1:107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  <c r="BM2306" s="1"/>
      <c r="BN2306" s="1"/>
      <c r="BO2306" s="1"/>
      <c r="BP2306" s="1"/>
      <c r="BQ2306" s="1"/>
      <c r="BR2306" s="1"/>
      <c r="BS2306" s="1"/>
      <c r="BT2306" s="1"/>
      <c r="BU2306" s="1"/>
      <c r="BV2306" s="1"/>
      <c r="BW2306" s="1"/>
      <c r="BX2306" s="1"/>
      <c r="BY2306" s="1"/>
      <c r="BZ2306" s="1"/>
      <c r="CA2306" s="1"/>
      <c r="CB2306" s="1"/>
      <c r="CC2306" s="1"/>
      <c r="CD2306" s="1"/>
      <c r="CE2306" s="1"/>
      <c r="CF2306" s="1"/>
      <c r="CG2306" s="1"/>
      <c r="CH2306" s="1"/>
      <c r="CI2306" s="1"/>
      <c r="CJ2306" s="1"/>
      <c r="CK2306" s="1"/>
      <c r="CL2306" s="1"/>
      <c r="CM2306" s="1"/>
      <c r="CN2306" s="1"/>
      <c r="CO2306" s="1"/>
      <c r="CP2306" s="1"/>
      <c r="CQ2306" s="1"/>
      <c r="CR2306" s="1"/>
      <c r="CS2306" s="1"/>
      <c r="CT2306" s="1"/>
      <c r="CU2306" s="1"/>
      <c r="CV2306" s="1"/>
      <c r="CW2306" s="1"/>
      <c r="CX2306" s="1"/>
      <c r="CY2306" s="1"/>
      <c r="CZ2306" s="1"/>
      <c r="DA2306" s="1"/>
      <c r="DB2306" s="1"/>
      <c r="DC2306" s="1"/>
    </row>
    <row r="2307" spans="1:107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  <c r="BR2307" s="1"/>
      <c r="BS2307" s="1"/>
      <c r="BT2307" s="1"/>
      <c r="BU2307" s="1"/>
      <c r="BV2307" s="1"/>
      <c r="BW2307" s="1"/>
      <c r="BX2307" s="1"/>
      <c r="BY2307" s="1"/>
      <c r="BZ2307" s="1"/>
      <c r="CA2307" s="1"/>
      <c r="CB2307" s="1"/>
      <c r="CC2307" s="1"/>
      <c r="CD2307" s="1"/>
      <c r="CE2307" s="1"/>
      <c r="CF2307" s="1"/>
      <c r="CG2307" s="1"/>
      <c r="CH2307" s="1"/>
      <c r="CI2307" s="1"/>
      <c r="CJ2307" s="1"/>
      <c r="CK2307" s="1"/>
      <c r="CL2307" s="1"/>
      <c r="CM2307" s="1"/>
      <c r="CN2307" s="1"/>
      <c r="CO2307" s="1"/>
      <c r="CP2307" s="1"/>
      <c r="CQ2307" s="1"/>
      <c r="CR2307" s="1"/>
      <c r="CS2307" s="1"/>
      <c r="CT2307" s="1"/>
      <c r="CU2307" s="1"/>
      <c r="CV2307" s="1"/>
      <c r="CW2307" s="1"/>
      <c r="CX2307" s="1"/>
      <c r="CY2307" s="1"/>
      <c r="CZ2307" s="1"/>
      <c r="DA2307" s="1"/>
      <c r="DB2307" s="1"/>
      <c r="DC2307" s="1"/>
    </row>
    <row r="2308" spans="1:107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  <c r="BM2308" s="1"/>
      <c r="BN2308" s="1"/>
      <c r="BO2308" s="1"/>
      <c r="BP2308" s="1"/>
      <c r="BQ2308" s="1"/>
      <c r="BR2308" s="1"/>
      <c r="BS2308" s="1"/>
      <c r="BT2308" s="1"/>
      <c r="BU2308" s="1"/>
      <c r="BV2308" s="1"/>
      <c r="BW2308" s="1"/>
      <c r="BX2308" s="1"/>
      <c r="BY2308" s="1"/>
      <c r="BZ2308" s="1"/>
      <c r="CA2308" s="1"/>
      <c r="CB2308" s="1"/>
      <c r="CC2308" s="1"/>
      <c r="CD2308" s="1"/>
      <c r="CE2308" s="1"/>
      <c r="CF2308" s="1"/>
      <c r="CG2308" s="1"/>
      <c r="CH2308" s="1"/>
      <c r="CI2308" s="1"/>
      <c r="CJ2308" s="1"/>
      <c r="CK2308" s="1"/>
      <c r="CL2308" s="1"/>
      <c r="CM2308" s="1"/>
      <c r="CN2308" s="1"/>
      <c r="CO2308" s="1"/>
      <c r="CP2308" s="1"/>
      <c r="CQ2308" s="1"/>
      <c r="CR2308" s="1"/>
      <c r="CS2308" s="1"/>
      <c r="CT2308" s="1"/>
      <c r="CU2308" s="1"/>
      <c r="CV2308" s="1"/>
      <c r="CW2308" s="1"/>
      <c r="CX2308" s="1"/>
      <c r="CY2308" s="1"/>
      <c r="CZ2308" s="1"/>
      <c r="DA2308" s="1"/>
      <c r="DB2308" s="1"/>
      <c r="DC2308" s="1"/>
    </row>
    <row r="2309" spans="1:107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  <c r="BR2309" s="1"/>
      <c r="BS2309" s="1"/>
      <c r="BT2309" s="1"/>
      <c r="BU2309" s="1"/>
      <c r="BV2309" s="1"/>
      <c r="BW2309" s="1"/>
      <c r="BX2309" s="1"/>
      <c r="BY2309" s="1"/>
      <c r="BZ2309" s="1"/>
      <c r="CA2309" s="1"/>
      <c r="CB2309" s="1"/>
      <c r="CC2309" s="1"/>
      <c r="CD2309" s="1"/>
      <c r="CE2309" s="1"/>
      <c r="CF2309" s="1"/>
      <c r="CG2309" s="1"/>
      <c r="CH2309" s="1"/>
      <c r="CI2309" s="1"/>
      <c r="CJ2309" s="1"/>
      <c r="CK2309" s="1"/>
      <c r="CL2309" s="1"/>
      <c r="CM2309" s="1"/>
      <c r="CN2309" s="1"/>
      <c r="CO2309" s="1"/>
      <c r="CP2309" s="1"/>
      <c r="CQ2309" s="1"/>
      <c r="CR2309" s="1"/>
      <c r="CS2309" s="1"/>
      <c r="CT2309" s="1"/>
      <c r="CU2309" s="1"/>
      <c r="CV2309" s="1"/>
      <c r="CW2309" s="1"/>
      <c r="CX2309" s="1"/>
      <c r="CY2309" s="1"/>
      <c r="CZ2309" s="1"/>
      <c r="DA2309" s="1"/>
      <c r="DB2309" s="1"/>
      <c r="DC2309" s="1"/>
    </row>
    <row r="2310" spans="1:107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  <c r="BM2310" s="1"/>
      <c r="BN2310" s="1"/>
      <c r="BO2310" s="1"/>
      <c r="BP2310" s="1"/>
      <c r="BQ2310" s="1"/>
      <c r="BR2310" s="1"/>
      <c r="BS2310" s="1"/>
      <c r="BT2310" s="1"/>
      <c r="BU2310" s="1"/>
      <c r="BV2310" s="1"/>
      <c r="BW2310" s="1"/>
      <c r="BX2310" s="1"/>
      <c r="BY2310" s="1"/>
      <c r="BZ2310" s="1"/>
      <c r="CA2310" s="1"/>
      <c r="CB2310" s="1"/>
      <c r="CC2310" s="1"/>
      <c r="CD2310" s="1"/>
      <c r="CE2310" s="1"/>
      <c r="CF2310" s="1"/>
      <c r="CG2310" s="1"/>
      <c r="CH2310" s="1"/>
      <c r="CI2310" s="1"/>
      <c r="CJ2310" s="1"/>
      <c r="CK2310" s="1"/>
      <c r="CL2310" s="1"/>
      <c r="CM2310" s="1"/>
      <c r="CN2310" s="1"/>
      <c r="CO2310" s="1"/>
      <c r="CP2310" s="1"/>
      <c r="CQ2310" s="1"/>
      <c r="CR2310" s="1"/>
      <c r="CS2310" s="1"/>
      <c r="CT2310" s="1"/>
      <c r="CU2310" s="1"/>
      <c r="CV2310" s="1"/>
      <c r="CW2310" s="1"/>
      <c r="CX2310" s="1"/>
      <c r="CY2310" s="1"/>
      <c r="CZ2310" s="1"/>
      <c r="DA2310" s="1"/>
      <c r="DB2310" s="1"/>
      <c r="DC2310" s="1"/>
    </row>
    <row r="2311" spans="1:107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  <c r="BR2311" s="1"/>
      <c r="BS2311" s="1"/>
      <c r="BT2311" s="1"/>
      <c r="BU2311" s="1"/>
      <c r="BV2311" s="1"/>
      <c r="BW2311" s="1"/>
      <c r="BX2311" s="1"/>
      <c r="BY2311" s="1"/>
      <c r="BZ2311" s="1"/>
      <c r="CA2311" s="1"/>
      <c r="CB2311" s="1"/>
      <c r="CC2311" s="1"/>
      <c r="CD2311" s="1"/>
      <c r="CE2311" s="1"/>
      <c r="CF2311" s="1"/>
      <c r="CG2311" s="1"/>
      <c r="CH2311" s="1"/>
      <c r="CI2311" s="1"/>
      <c r="CJ2311" s="1"/>
      <c r="CK2311" s="1"/>
      <c r="CL2311" s="1"/>
      <c r="CM2311" s="1"/>
      <c r="CN2311" s="1"/>
      <c r="CO2311" s="1"/>
      <c r="CP2311" s="1"/>
      <c r="CQ2311" s="1"/>
      <c r="CR2311" s="1"/>
      <c r="CS2311" s="1"/>
      <c r="CT2311" s="1"/>
      <c r="CU2311" s="1"/>
      <c r="CV2311" s="1"/>
      <c r="CW2311" s="1"/>
      <c r="CX2311" s="1"/>
      <c r="CY2311" s="1"/>
      <c r="CZ2311" s="1"/>
      <c r="DA2311" s="1"/>
      <c r="DB2311" s="1"/>
      <c r="DC2311" s="1"/>
    </row>
    <row r="2312" spans="1:107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  <c r="BQ2312" s="1"/>
      <c r="BR2312" s="1"/>
      <c r="BS2312" s="1"/>
      <c r="BT2312" s="1"/>
      <c r="BU2312" s="1"/>
      <c r="BV2312" s="1"/>
      <c r="BW2312" s="1"/>
      <c r="BX2312" s="1"/>
      <c r="BY2312" s="1"/>
      <c r="BZ2312" s="1"/>
      <c r="CA2312" s="1"/>
      <c r="CB2312" s="1"/>
      <c r="CC2312" s="1"/>
      <c r="CD2312" s="1"/>
      <c r="CE2312" s="1"/>
      <c r="CF2312" s="1"/>
      <c r="CG2312" s="1"/>
      <c r="CH2312" s="1"/>
      <c r="CI2312" s="1"/>
      <c r="CJ2312" s="1"/>
      <c r="CK2312" s="1"/>
      <c r="CL2312" s="1"/>
      <c r="CM2312" s="1"/>
      <c r="CN2312" s="1"/>
      <c r="CO2312" s="1"/>
      <c r="CP2312" s="1"/>
      <c r="CQ2312" s="1"/>
      <c r="CR2312" s="1"/>
      <c r="CS2312" s="1"/>
      <c r="CT2312" s="1"/>
      <c r="CU2312" s="1"/>
      <c r="CV2312" s="1"/>
      <c r="CW2312" s="1"/>
      <c r="CX2312" s="1"/>
      <c r="CY2312" s="1"/>
      <c r="CZ2312" s="1"/>
      <c r="DA2312" s="1"/>
      <c r="DB2312" s="1"/>
      <c r="DC2312" s="1"/>
    </row>
    <row r="2313" spans="1:107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  <c r="BX2313" s="1"/>
      <c r="BY2313" s="1"/>
      <c r="BZ2313" s="1"/>
      <c r="CA2313" s="1"/>
      <c r="CB2313" s="1"/>
      <c r="CC2313" s="1"/>
      <c r="CD2313" s="1"/>
      <c r="CE2313" s="1"/>
      <c r="CF2313" s="1"/>
      <c r="CG2313" s="1"/>
      <c r="CH2313" s="1"/>
      <c r="CI2313" s="1"/>
      <c r="CJ2313" s="1"/>
      <c r="CK2313" s="1"/>
      <c r="CL2313" s="1"/>
      <c r="CM2313" s="1"/>
      <c r="CN2313" s="1"/>
      <c r="CO2313" s="1"/>
      <c r="CP2313" s="1"/>
      <c r="CQ2313" s="1"/>
      <c r="CR2313" s="1"/>
      <c r="CS2313" s="1"/>
      <c r="CT2313" s="1"/>
      <c r="CU2313" s="1"/>
      <c r="CV2313" s="1"/>
      <c r="CW2313" s="1"/>
      <c r="CX2313" s="1"/>
      <c r="CY2313" s="1"/>
      <c r="CZ2313" s="1"/>
      <c r="DA2313" s="1"/>
      <c r="DB2313" s="1"/>
      <c r="DC2313" s="1"/>
    </row>
    <row r="2314" spans="1:107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  <c r="BM2314" s="1"/>
      <c r="BN2314" s="1"/>
      <c r="BO2314" s="1"/>
      <c r="BP2314" s="1"/>
      <c r="BQ2314" s="1"/>
      <c r="BR2314" s="1"/>
      <c r="BS2314" s="1"/>
      <c r="BT2314" s="1"/>
      <c r="BU2314" s="1"/>
      <c r="BV2314" s="1"/>
      <c r="BW2314" s="1"/>
      <c r="BX2314" s="1"/>
      <c r="BY2314" s="1"/>
      <c r="BZ2314" s="1"/>
      <c r="CA2314" s="1"/>
      <c r="CB2314" s="1"/>
      <c r="CC2314" s="1"/>
      <c r="CD2314" s="1"/>
      <c r="CE2314" s="1"/>
      <c r="CF2314" s="1"/>
      <c r="CG2314" s="1"/>
      <c r="CH2314" s="1"/>
      <c r="CI2314" s="1"/>
      <c r="CJ2314" s="1"/>
      <c r="CK2314" s="1"/>
      <c r="CL2314" s="1"/>
      <c r="CM2314" s="1"/>
      <c r="CN2314" s="1"/>
      <c r="CO2314" s="1"/>
      <c r="CP2314" s="1"/>
      <c r="CQ2314" s="1"/>
      <c r="CR2314" s="1"/>
      <c r="CS2314" s="1"/>
      <c r="CT2314" s="1"/>
      <c r="CU2314" s="1"/>
      <c r="CV2314" s="1"/>
      <c r="CW2314" s="1"/>
      <c r="CX2314" s="1"/>
      <c r="CY2314" s="1"/>
      <c r="CZ2314" s="1"/>
      <c r="DA2314" s="1"/>
      <c r="DB2314" s="1"/>
      <c r="DC2314" s="1"/>
    </row>
    <row r="2315" spans="1:107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  <c r="BR2315" s="1"/>
      <c r="BS2315" s="1"/>
      <c r="BT2315" s="1"/>
      <c r="BU2315" s="1"/>
      <c r="BV2315" s="1"/>
      <c r="BW2315" s="1"/>
      <c r="BX2315" s="1"/>
      <c r="BY2315" s="1"/>
      <c r="BZ2315" s="1"/>
      <c r="CA2315" s="1"/>
      <c r="CB2315" s="1"/>
      <c r="CC2315" s="1"/>
      <c r="CD2315" s="1"/>
      <c r="CE2315" s="1"/>
      <c r="CF2315" s="1"/>
      <c r="CG2315" s="1"/>
      <c r="CH2315" s="1"/>
      <c r="CI2315" s="1"/>
      <c r="CJ2315" s="1"/>
      <c r="CK2315" s="1"/>
      <c r="CL2315" s="1"/>
      <c r="CM2315" s="1"/>
      <c r="CN2315" s="1"/>
      <c r="CO2315" s="1"/>
      <c r="CP2315" s="1"/>
      <c r="CQ2315" s="1"/>
      <c r="CR2315" s="1"/>
      <c r="CS2315" s="1"/>
      <c r="CT2315" s="1"/>
      <c r="CU2315" s="1"/>
      <c r="CV2315" s="1"/>
      <c r="CW2315" s="1"/>
      <c r="CX2315" s="1"/>
      <c r="CY2315" s="1"/>
      <c r="CZ2315" s="1"/>
      <c r="DA2315" s="1"/>
      <c r="DB2315" s="1"/>
      <c r="DC2315" s="1"/>
    </row>
    <row r="2316" spans="1:107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  <c r="BM2316" s="1"/>
      <c r="BN2316" s="1"/>
      <c r="BO2316" s="1"/>
      <c r="BP2316" s="1"/>
      <c r="BQ2316" s="1"/>
      <c r="BR2316" s="1"/>
      <c r="BS2316" s="1"/>
      <c r="BT2316" s="1"/>
      <c r="BU2316" s="1"/>
      <c r="BV2316" s="1"/>
      <c r="BW2316" s="1"/>
      <c r="BX2316" s="1"/>
      <c r="BY2316" s="1"/>
      <c r="BZ2316" s="1"/>
      <c r="CA2316" s="1"/>
      <c r="CB2316" s="1"/>
      <c r="CC2316" s="1"/>
      <c r="CD2316" s="1"/>
      <c r="CE2316" s="1"/>
      <c r="CF2316" s="1"/>
      <c r="CG2316" s="1"/>
      <c r="CH2316" s="1"/>
      <c r="CI2316" s="1"/>
      <c r="CJ2316" s="1"/>
      <c r="CK2316" s="1"/>
      <c r="CL2316" s="1"/>
      <c r="CM2316" s="1"/>
      <c r="CN2316" s="1"/>
      <c r="CO2316" s="1"/>
      <c r="CP2316" s="1"/>
      <c r="CQ2316" s="1"/>
      <c r="CR2316" s="1"/>
      <c r="CS2316" s="1"/>
      <c r="CT2316" s="1"/>
      <c r="CU2316" s="1"/>
      <c r="CV2316" s="1"/>
      <c r="CW2316" s="1"/>
      <c r="CX2316" s="1"/>
      <c r="CY2316" s="1"/>
      <c r="CZ2316" s="1"/>
      <c r="DA2316" s="1"/>
      <c r="DB2316" s="1"/>
      <c r="DC2316" s="1"/>
    </row>
    <row r="2317" spans="1:107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  <c r="BX2317" s="1"/>
      <c r="BY2317" s="1"/>
      <c r="BZ2317" s="1"/>
      <c r="CA2317" s="1"/>
      <c r="CB2317" s="1"/>
      <c r="CC2317" s="1"/>
      <c r="CD2317" s="1"/>
      <c r="CE2317" s="1"/>
      <c r="CF2317" s="1"/>
      <c r="CG2317" s="1"/>
      <c r="CH2317" s="1"/>
      <c r="CI2317" s="1"/>
      <c r="CJ2317" s="1"/>
      <c r="CK2317" s="1"/>
      <c r="CL2317" s="1"/>
      <c r="CM2317" s="1"/>
      <c r="CN2317" s="1"/>
      <c r="CO2317" s="1"/>
      <c r="CP2317" s="1"/>
      <c r="CQ2317" s="1"/>
      <c r="CR2317" s="1"/>
      <c r="CS2317" s="1"/>
      <c r="CT2317" s="1"/>
      <c r="CU2317" s="1"/>
      <c r="CV2317" s="1"/>
      <c r="CW2317" s="1"/>
      <c r="CX2317" s="1"/>
      <c r="CY2317" s="1"/>
      <c r="CZ2317" s="1"/>
      <c r="DA2317" s="1"/>
      <c r="DB2317" s="1"/>
      <c r="DC2317" s="1"/>
    </row>
    <row r="2318" spans="1:107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s="1"/>
      <c r="BO2318" s="1"/>
      <c r="BP2318" s="1"/>
      <c r="BQ2318" s="1"/>
      <c r="BR2318" s="1"/>
      <c r="BS2318" s="1"/>
      <c r="BT2318" s="1"/>
      <c r="BU2318" s="1"/>
      <c r="BV2318" s="1"/>
      <c r="BW2318" s="1"/>
      <c r="BX2318" s="1"/>
      <c r="BY2318" s="1"/>
      <c r="BZ2318" s="1"/>
      <c r="CA2318" s="1"/>
      <c r="CB2318" s="1"/>
      <c r="CC2318" s="1"/>
      <c r="CD2318" s="1"/>
      <c r="CE2318" s="1"/>
      <c r="CF2318" s="1"/>
      <c r="CG2318" s="1"/>
      <c r="CH2318" s="1"/>
      <c r="CI2318" s="1"/>
      <c r="CJ2318" s="1"/>
      <c r="CK2318" s="1"/>
      <c r="CL2318" s="1"/>
      <c r="CM2318" s="1"/>
      <c r="CN2318" s="1"/>
      <c r="CO2318" s="1"/>
      <c r="CP2318" s="1"/>
      <c r="CQ2318" s="1"/>
      <c r="CR2318" s="1"/>
      <c r="CS2318" s="1"/>
      <c r="CT2318" s="1"/>
      <c r="CU2318" s="1"/>
      <c r="CV2318" s="1"/>
      <c r="CW2318" s="1"/>
      <c r="CX2318" s="1"/>
      <c r="CY2318" s="1"/>
      <c r="CZ2318" s="1"/>
      <c r="DA2318" s="1"/>
      <c r="DB2318" s="1"/>
      <c r="DC2318" s="1"/>
    </row>
    <row r="2319" spans="1:107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  <c r="BR2319" s="1"/>
      <c r="BS2319" s="1"/>
      <c r="BT2319" s="1"/>
      <c r="BU2319" s="1"/>
      <c r="BV2319" s="1"/>
      <c r="BW2319" s="1"/>
      <c r="BX2319" s="1"/>
      <c r="BY2319" s="1"/>
      <c r="BZ2319" s="1"/>
      <c r="CA2319" s="1"/>
      <c r="CB2319" s="1"/>
      <c r="CC2319" s="1"/>
      <c r="CD2319" s="1"/>
      <c r="CE2319" s="1"/>
      <c r="CF2319" s="1"/>
      <c r="CG2319" s="1"/>
      <c r="CH2319" s="1"/>
      <c r="CI2319" s="1"/>
      <c r="CJ2319" s="1"/>
      <c r="CK2319" s="1"/>
      <c r="CL2319" s="1"/>
      <c r="CM2319" s="1"/>
      <c r="CN2319" s="1"/>
      <c r="CO2319" s="1"/>
      <c r="CP2319" s="1"/>
      <c r="CQ2319" s="1"/>
      <c r="CR2319" s="1"/>
      <c r="CS2319" s="1"/>
      <c r="CT2319" s="1"/>
      <c r="CU2319" s="1"/>
      <c r="CV2319" s="1"/>
      <c r="CW2319" s="1"/>
      <c r="CX2319" s="1"/>
      <c r="CY2319" s="1"/>
      <c r="CZ2319" s="1"/>
      <c r="DA2319" s="1"/>
      <c r="DB2319" s="1"/>
      <c r="DC2319" s="1"/>
    </row>
    <row r="2320" spans="1:107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  <c r="BM2320" s="1"/>
      <c r="BN2320" s="1"/>
      <c r="BO2320" s="1"/>
      <c r="BP2320" s="1"/>
      <c r="BQ2320" s="1"/>
      <c r="BR2320" s="1"/>
      <c r="BS2320" s="1"/>
      <c r="BT2320" s="1"/>
      <c r="BU2320" s="1"/>
      <c r="BV2320" s="1"/>
      <c r="BW2320" s="1"/>
      <c r="BX2320" s="1"/>
      <c r="BY2320" s="1"/>
      <c r="BZ2320" s="1"/>
      <c r="CA2320" s="1"/>
      <c r="CB2320" s="1"/>
      <c r="CC2320" s="1"/>
      <c r="CD2320" s="1"/>
      <c r="CE2320" s="1"/>
      <c r="CF2320" s="1"/>
      <c r="CG2320" s="1"/>
      <c r="CH2320" s="1"/>
      <c r="CI2320" s="1"/>
      <c r="CJ2320" s="1"/>
      <c r="CK2320" s="1"/>
      <c r="CL2320" s="1"/>
      <c r="CM2320" s="1"/>
      <c r="CN2320" s="1"/>
      <c r="CO2320" s="1"/>
      <c r="CP2320" s="1"/>
      <c r="CQ2320" s="1"/>
      <c r="CR2320" s="1"/>
      <c r="CS2320" s="1"/>
      <c r="CT2320" s="1"/>
      <c r="CU2320" s="1"/>
      <c r="CV2320" s="1"/>
      <c r="CW2320" s="1"/>
      <c r="CX2320" s="1"/>
      <c r="CY2320" s="1"/>
      <c r="CZ2320" s="1"/>
      <c r="DA2320" s="1"/>
      <c r="DB2320" s="1"/>
      <c r="DC2320" s="1"/>
    </row>
    <row r="2321" spans="1:107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  <c r="BR2321" s="1"/>
      <c r="BS2321" s="1"/>
      <c r="BT2321" s="1"/>
      <c r="BU2321" s="1"/>
      <c r="BV2321" s="1"/>
      <c r="BW2321" s="1"/>
      <c r="BX2321" s="1"/>
      <c r="BY2321" s="1"/>
      <c r="BZ2321" s="1"/>
      <c r="CA2321" s="1"/>
      <c r="CB2321" s="1"/>
      <c r="CC2321" s="1"/>
      <c r="CD2321" s="1"/>
      <c r="CE2321" s="1"/>
      <c r="CF2321" s="1"/>
      <c r="CG2321" s="1"/>
      <c r="CH2321" s="1"/>
      <c r="CI2321" s="1"/>
      <c r="CJ2321" s="1"/>
      <c r="CK2321" s="1"/>
      <c r="CL2321" s="1"/>
      <c r="CM2321" s="1"/>
      <c r="CN2321" s="1"/>
      <c r="CO2321" s="1"/>
      <c r="CP2321" s="1"/>
      <c r="CQ2321" s="1"/>
      <c r="CR2321" s="1"/>
      <c r="CS2321" s="1"/>
      <c r="CT2321" s="1"/>
      <c r="CU2321" s="1"/>
      <c r="CV2321" s="1"/>
      <c r="CW2321" s="1"/>
      <c r="CX2321" s="1"/>
      <c r="CY2321" s="1"/>
      <c r="CZ2321" s="1"/>
      <c r="DA2321" s="1"/>
      <c r="DB2321" s="1"/>
      <c r="DC2321" s="1"/>
    </row>
    <row r="2322" spans="1:107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  <c r="BM2322" s="1"/>
      <c r="BN2322" s="1"/>
      <c r="BO2322" s="1"/>
      <c r="BP2322" s="1"/>
      <c r="BQ2322" s="1"/>
      <c r="BR2322" s="1"/>
      <c r="BS2322" s="1"/>
      <c r="BT2322" s="1"/>
      <c r="BU2322" s="1"/>
      <c r="BV2322" s="1"/>
      <c r="BW2322" s="1"/>
      <c r="BX2322" s="1"/>
      <c r="BY2322" s="1"/>
      <c r="BZ2322" s="1"/>
      <c r="CA2322" s="1"/>
      <c r="CB2322" s="1"/>
      <c r="CC2322" s="1"/>
      <c r="CD2322" s="1"/>
      <c r="CE2322" s="1"/>
      <c r="CF2322" s="1"/>
      <c r="CG2322" s="1"/>
      <c r="CH2322" s="1"/>
      <c r="CI2322" s="1"/>
      <c r="CJ2322" s="1"/>
      <c r="CK2322" s="1"/>
      <c r="CL2322" s="1"/>
      <c r="CM2322" s="1"/>
      <c r="CN2322" s="1"/>
      <c r="CO2322" s="1"/>
      <c r="CP2322" s="1"/>
      <c r="CQ2322" s="1"/>
      <c r="CR2322" s="1"/>
      <c r="CS2322" s="1"/>
      <c r="CT2322" s="1"/>
      <c r="CU2322" s="1"/>
      <c r="CV2322" s="1"/>
      <c r="CW2322" s="1"/>
      <c r="CX2322" s="1"/>
      <c r="CY2322" s="1"/>
      <c r="CZ2322" s="1"/>
      <c r="DA2322" s="1"/>
      <c r="DB2322" s="1"/>
      <c r="DC2322" s="1"/>
    </row>
    <row r="2323" spans="1:107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  <c r="BR2323" s="1"/>
      <c r="BS2323" s="1"/>
      <c r="BT2323" s="1"/>
      <c r="BU2323" s="1"/>
      <c r="BV2323" s="1"/>
      <c r="BW2323" s="1"/>
      <c r="BX2323" s="1"/>
      <c r="BY2323" s="1"/>
      <c r="BZ2323" s="1"/>
      <c r="CA2323" s="1"/>
      <c r="CB2323" s="1"/>
      <c r="CC2323" s="1"/>
      <c r="CD2323" s="1"/>
      <c r="CE2323" s="1"/>
      <c r="CF2323" s="1"/>
      <c r="CG2323" s="1"/>
      <c r="CH2323" s="1"/>
      <c r="CI2323" s="1"/>
      <c r="CJ2323" s="1"/>
      <c r="CK2323" s="1"/>
      <c r="CL2323" s="1"/>
      <c r="CM2323" s="1"/>
      <c r="CN2323" s="1"/>
      <c r="CO2323" s="1"/>
      <c r="CP2323" s="1"/>
      <c r="CQ2323" s="1"/>
      <c r="CR2323" s="1"/>
      <c r="CS2323" s="1"/>
      <c r="CT2323" s="1"/>
      <c r="CU2323" s="1"/>
      <c r="CV2323" s="1"/>
      <c r="CW2323" s="1"/>
      <c r="CX2323" s="1"/>
      <c r="CY2323" s="1"/>
      <c r="CZ2323" s="1"/>
      <c r="DA2323" s="1"/>
      <c r="DB2323" s="1"/>
      <c r="DC2323" s="1"/>
    </row>
    <row r="2324" spans="1:107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  <c r="BK2324" s="1"/>
      <c r="BL2324" s="1"/>
      <c r="BM2324" s="1"/>
      <c r="BN2324" s="1"/>
      <c r="BO2324" s="1"/>
      <c r="BP2324" s="1"/>
      <c r="BQ2324" s="1"/>
      <c r="BR2324" s="1"/>
      <c r="BS2324" s="1"/>
      <c r="BT2324" s="1"/>
      <c r="BU2324" s="1"/>
      <c r="BV2324" s="1"/>
      <c r="BW2324" s="1"/>
      <c r="BX2324" s="1"/>
      <c r="BY2324" s="1"/>
      <c r="BZ2324" s="1"/>
      <c r="CA2324" s="1"/>
      <c r="CB2324" s="1"/>
      <c r="CC2324" s="1"/>
      <c r="CD2324" s="1"/>
      <c r="CE2324" s="1"/>
      <c r="CF2324" s="1"/>
      <c r="CG2324" s="1"/>
      <c r="CH2324" s="1"/>
      <c r="CI2324" s="1"/>
      <c r="CJ2324" s="1"/>
      <c r="CK2324" s="1"/>
      <c r="CL2324" s="1"/>
      <c r="CM2324" s="1"/>
      <c r="CN2324" s="1"/>
      <c r="CO2324" s="1"/>
      <c r="CP2324" s="1"/>
      <c r="CQ2324" s="1"/>
      <c r="CR2324" s="1"/>
      <c r="CS2324" s="1"/>
      <c r="CT2324" s="1"/>
      <c r="CU2324" s="1"/>
      <c r="CV2324" s="1"/>
      <c r="CW2324" s="1"/>
      <c r="CX2324" s="1"/>
      <c r="CY2324" s="1"/>
      <c r="CZ2324" s="1"/>
      <c r="DA2324" s="1"/>
      <c r="DB2324" s="1"/>
      <c r="DC2324" s="1"/>
    </row>
    <row r="2325" spans="1:107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  <c r="BM2325" s="1"/>
      <c r="BN2325" s="1"/>
      <c r="BO2325" s="1"/>
      <c r="BP2325" s="1"/>
      <c r="BQ2325" s="1"/>
      <c r="BR2325" s="1"/>
      <c r="BS2325" s="1"/>
      <c r="BT2325" s="1"/>
      <c r="BU2325" s="1"/>
      <c r="BV2325" s="1"/>
      <c r="BW2325" s="1"/>
      <c r="BX2325" s="1"/>
      <c r="BY2325" s="1"/>
      <c r="BZ2325" s="1"/>
      <c r="CA2325" s="1"/>
      <c r="CB2325" s="1"/>
      <c r="CC2325" s="1"/>
      <c r="CD2325" s="1"/>
      <c r="CE2325" s="1"/>
      <c r="CF2325" s="1"/>
      <c r="CG2325" s="1"/>
      <c r="CH2325" s="1"/>
      <c r="CI2325" s="1"/>
      <c r="CJ2325" s="1"/>
      <c r="CK2325" s="1"/>
      <c r="CL2325" s="1"/>
      <c r="CM2325" s="1"/>
      <c r="CN2325" s="1"/>
      <c r="CO2325" s="1"/>
      <c r="CP2325" s="1"/>
      <c r="CQ2325" s="1"/>
      <c r="CR2325" s="1"/>
      <c r="CS2325" s="1"/>
      <c r="CT2325" s="1"/>
      <c r="CU2325" s="1"/>
      <c r="CV2325" s="1"/>
      <c r="CW2325" s="1"/>
      <c r="CX2325" s="1"/>
      <c r="CY2325" s="1"/>
      <c r="CZ2325" s="1"/>
      <c r="DA2325" s="1"/>
      <c r="DB2325" s="1"/>
      <c r="DC2325" s="1"/>
    </row>
    <row r="2326" spans="1:107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  <c r="BJ2326" s="1"/>
      <c r="BK2326" s="1"/>
      <c r="BL2326" s="1"/>
      <c r="BM2326" s="1"/>
      <c r="BN2326" s="1"/>
      <c r="BO2326" s="1"/>
      <c r="BP2326" s="1"/>
      <c r="BQ2326" s="1"/>
      <c r="BR2326" s="1"/>
      <c r="BS2326" s="1"/>
      <c r="BT2326" s="1"/>
      <c r="BU2326" s="1"/>
      <c r="BV2326" s="1"/>
      <c r="BW2326" s="1"/>
      <c r="BX2326" s="1"/>
      <c r="BY2326" s="1"/>
      <c r="BZ2326" s="1"/>
      <c r="CA2326" s="1"/>
      <c r="CB2326" s="1"/>
      <c r="CC2326" s="1"/>
      <c r="CD2326" s="1"/>
      <c r="CE2326" s="1"/>
      <c r="CF2326" s="1"/>
      <c r="CG2326" s="1"/>
      <c r="CH2326" s="1"/>
      <c r="CI2326" s="1"/>
      <c r="CJ2326" s="1"/>
      <c r="CK2326" s="1"/>
      <c r="CL2326" s="1"/>
      <c r="CM2326" s="1"/>
      <c r="CN2326" s="1"/>
      <c r="CO2326" s="1"/>
      <c r="CP2326" s="1"/>
      <c r="CQ2326" s="1"/>
      <c r="CR2326" s="1"/>
      <c r="CS2326" s="1"/>
      <c r="CT2326" s="1"/>
      <c r="CU2326" s="1"/>
      <c r="CV2326" s="1"/>
      <c r="CW2326" s="1"/>
      <c r="CX2326" s="1"/>
      <c r="CY2326" s="1"/>
      <c r="CZ2326" s="1"/>
      <c r="DA2326" s="1"/>
      <c r="DB2326" s="1"/>
      <c r="DC2326" s="1"/>
    </row>
    <row r="2327" spans="1:107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  <c r="BM2327" s="1"/>
      <c r="BN2327" s="1"/>
      <c r="BO2327" s="1"/>
      <c r="BP2327" s="1"/>
      <c r="BQ2327" s="1"/>
      <c r="BR2327" s="1"/>
      <c r="BS2327" s="1"/>
      <c r="BT2327" s="1"/>
      <c r="BU2327" s="1"/>
      <c r="BV2327" s="1"/>
      <c r="BW2327" s="1"/>
      <c r="BX2327" s="1"/>
      <c r="BY2327" s="1"/>
      <c r="BZ2327" s="1"/>
      <c r="CA2327" s="1"/>
      <c r="CB2327" s="1"/>
      <c r="CC2327" s="1"/>
      <c r="CD2327" s="1"/>
      <c r="CE2327" s="1"/>
      <c r="CF2327" s="1"/>
      <c r="CG2327" s="1"/>
      <c r="CH2327" s="1"/>
      <c r="CI2327" s="1"/>
      <c r="CJ2327" s="1"/>
      <c r="CK2327" s="1"/>
      <c r="CL2327" s="1"/>
      <c r="CM2327" s="1"/>
      <c r="CN2327" s="1"/>
      <c r="CO2327" s="1"/>
      <c r="CP2327" s="1"/>
      <c r="CQ2327" s="1"/>
      <c r="CR2327" s="1"/>
      <c r="CS2327" s="1"/>
      <c r="CT2327" s="1"/>
      <c r="CU2327" s="1"/>
      <c r="CV2327" s="1"/>
      <c r="CW2327" s="1"/>
      <c r="CX2327" s="1"/>
      <c r="CY2327" s="1"/>
      <c r="CZ2327" s="1"/>
      <c r="DA2327" s="1"/>
      <c r="DB2327" s="1"/>
      <c r="DC2327" s="1"/>
    </row>
    <row r="2328" spans="1:107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  <c r="BK2328" s="1"/>
      <c r="BL2328" s="1"/>
      <c r="BM2328" s="1"/>
      <c r="BN2328" s="1"/>
      <c r="BO2328" s="1"/>
      <c r="BP2328" s="1"/>
      <c r="BQ2328" s="1"/>
      <c r="BR2328" s="1"/>
      <c r="BS2328" s="1"/>
      <c r="BT2328" s="1"/>
      <c r="BU2328" s="1"/>
      <c r="BV2328" s="1"/>
      <c r="BW2328" s="1"/>
      <c r="BX2328" s="1"/>
      <c r="BY2328" s="1"/>
      <c r="BZ2328" s="1"/>
      <c r="CA2328" s="1"/>
      <c r="CB2328" s="1"/>
      <c r="CC2328" s="1"/>
      <c r="CD2328" s="1"/>
      <c r="CE2328" s="1"/>
      <c r="CF2328" s="1"/>
      <c r="CG2328" s="1"/>
      <c r="CH2328" s="1"/>
      <c r="CI2328" s="1"/>
      <c r="CJ2328" s="1"/>
      <c r="CK2328" s="1"/>
      <c r="CL2328" s="1"/>
      <c r="CM2328" s="1"/>
      <c r="CN2328" s="1"/>
      <c r="CO2328" s="1"/>
      <c r="CP2328" s="1"/>
      <c r="CQ2328" s="1"/>
      <c r="CR2328" s="1"/>
      <c r="CS2328" s="1"/>
      <c r="CT2328" s="1"/>
      <c r="CU2328" s="1"/>
      <c r="CV2328" s="1"/>
      <c r="CW2328" s="1"/>
      <c r="CX2328" s="1"/>
      <c r="CY2328" s="1"/>
      <c r="CZ2328" s="1"/>
      <c r="DA2328" s="1"/>
      <c r="DB2328" s="1"/>
      <c r="DC2328" s="1"/>
    </row>
    <row r="2329" spans="1:107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s="1"/>
      <c r="BO2329" s="1"/>
      <c r="BP2329" s="1"/>
      <c r="BQ2329" s="1"/>
      <c r="BR2329" s="1"/>
      <c r="BS2329" s="1"/>
      <c r="BT2329" s="1"/>
      <c r="BU2329" s="1"/>
      <c r="BV2329" s="1"/>
      <c r="BW2329" s="1"/>
      <c r="BX2329" s="1"/>
      <c r="BY2329" s="1"/>
      <c r="BZ2329" s="1"/>
      <c r="CA2329" s="1"/>
      <c r="CB2329" s="1"/>
      <c r="CC2329" s="1"/>
      <c r="CD2329" s="1"/>
      <c r="CE2329" s="1"/>
      <c r="CF2329" s="1"/>
      <c r="CG2329" s="1"/>
      <c r="CH2329" s="1"/>
      <c r="CI2329" s="1"/>
      <c r="CJ2329" s="1"/>
      <c r="CK2329" s="1"/>
      <c r="CL2329" s="1"/>
      <c r="CM2329" s="1"/>
      <c r="CN2329" s="1"/>
      <c r="CO2329" s="1"/>
      <c r="CP2329" s="1"/>
      <c r="CQ2329" s="1"/>
      <c r="CR2329" s="1"/>
      <c r="CS2329" s="1"/>
      <c r="CT2329" s="1"/>
      <c r="CU2329" s="1"/>
      <c r="CV2329" s="1"/>
      <c r="CW2329" s="1"/>
      <c r="CX2329" s="1"/>
      <c r="CY2329" s="1"/>
      <c r="CZ2329" s="1"/>
      <c r="DA2329" s="1"/>
      <c r="DB2329" s="1"/>
      <c r="DC2329" s="1"/>
    </row>
    <row r="2330" spans="1:107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  <c r="BK2330" s="1"/>
      <c r="BL2330" s="1"/>
      <c r="BM2330" s="1"/>
      <c r="BN2330" s="1"/>
      <c r="BO2330" s="1"/>
      <c r="BP2330" s="1"/>
      <c r="BQ2330" s="1"/>
      <c r="BR2330" s="1"/>
      <c r="BS2330" s="1"/>
      <c r="BT2330" s="1"/>
      <c r="BU2330" s="1"/>
      <c r="BV2330" s="1"/>
      <c r="BW2330" s="1"/>
      <c r="BX2330" s="1"/>
      <c r="BY2330" s="1"/>
      <c r="BZ2330" s="1"/>
      <c r="CA2330" s="1"/>
      <c r="CB2330" s="1"/>
      <c r="CC2330" s="1"/>
      <c r="CD2330" s="1"/>
      <c r="CE2330" s="1"/>
      <c r="CF2330" s="1"/>
      <c r="CG2330" s="1"/>
      <c r="CH2330" s="1"/>
      <c r="CI2330" s="1"/>
      <c r="CJ2330" s="1"/>
      <c r="CK2330" s="1"/>
      <c r="CL2330" s="1"/>
      <c r="CM2330" s="1"/>
      <c r="CN2330" s="1"/>
      <c r="CO2330" s="1"/>
      <c r="CP2330" s="1"/>
      <c r="CQ2330" s="1"/>
      <c r="CR2330" s="1"/>
      <c r="CS2330" s="1"/>
      <c r="CT2330" s="1"/>
      <c r="CU2330" s="1"/>
      <c r="CV2330" s="1"/>
      <c r="CW2330" s="1"/>
      <c r="CX2330" s="1"/>
      <c r="CY2330" s="1"/>
      <c r="CZ2330" s="1"/>
      <c r="DA2330" s="1"/>
      <c r="DB2330" s="1"/>
      <c r="DC2330" s="1"/>
    </row>
    <row r="2331" spans="1:107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  <c r="BR2331" s="1"/>
      <c r="BS2331" s="1"/>
      <c r="BT2331" s="1"/>
      <c r="BU2331" s="1"/>
      <c r="BV2331" s="1"/>
      <c r="BW2331" s="1"/>
      <c r="BX2331" s="1"/>
      <c r="BY2331" s="1"/>
      <c r="BZ2331" s="1"/>
      <c r="CA2331" s="1"/>
      <c r="CB2331" s="1"/>
      <c r="CC2331" s="1"/>
      <c r="CD2331" s="1"/>
      <c r="CE2331" s="1"/>
      <c r="CF2331" s="1"/>
      <c r="CG2331" s="1"/>
      <c r="CH2331" s="1"/>
      <c r="CI2331" s="1"/>
      <c r="CJ2331" s="1"/>
      <c r="CK2331" s="1"/>
      <c r="CL2331" s="1"/>
      <c r="CM2331" s="1"/>
      <c r="CN2331" s="1"/>
      <c r="CO2331" s="1"/>
      <c r="CP2331" s="1"/>
      <c r="CQ2331" s="1"/>
      <c r="CR2331" s="1"/>
      <c r="CS2331" s="1"/>
      <c r="CT2331" s="1"/>
      <c r="CU2331" s="1"/>
      <c r="CV2331" s="1"/>
      <c r="CW2331" s="1"/>
      <c r="CX2331" s="1"/>
      <c r="CY2331" s="1"/>
      <c r="CZ2331" s="1"/>
      <c r="DA2331" s="1"/>
      <c r="DB2331" s="1"/>
      <c r="DC2331" s="1"/>
    </row>
    <row r="2332" spans="1:107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/>
      <c r="BJ2332" s="1"/>
      <c r="BK2332" s="1"/>
      <c r="BL2332" s="1"/>
      <c r="BM2332" s="1"/>
      <c r="BN2332" s="1"/>
      <c r="BO2332" s="1"/>
      <c r="BP2332" s="1"/>
      <c r="BQ2332" s="1"/>
      <c r="BR2332" s="1"/>
      <c r="BS2332" s="1"/>
      <c r="BT2332" s="1"/>
      <c r="BU2332" s="1"/>
      <c r="BV2332" s="1"/>
      <c r="BW2332" s="1"/>
      <c r="BX2332" s="1"/>
      <c r="BY2332" s="1"/>
      <c r="BZ2332" s="1"/>
      <c r="CA2332" s="1"/>
      <c r="CB2332" s="1"/>
      <c r="CC2332" s="1"/>
      <c r="CD2332" s="1"/>
      <c r="CE2332" s="1"/>
      <c r="CF2332" s="1"/>
      <c r="CG2332" s="1"/>
      <c r="CH2332" s="1"/>
      <c r="CI2332" s="1"/>
      <c r="CJ2332" s="1"/>
      <c r="CK2332" s="1"/>
      <c r="CL2332" s="1"/>
      <c r="CM2332" s="1"/>
      <c r="CN2332" s="1"/>
      <c r="CO2332" s="1"/>
      <c r="CP2332" s="1"/>
      <c r="CQ2332" s="1"/>
      <c r="CR2332" s="1"/>
      <c r="CS2332" s="1"/>
      <c r="CT2332" s="1"/>
      <c r="CU2332" s="1"/>
      <c r="CV2332" s="1"/>
      <c r="CW2332" s="1"/>
      <c r="CX2332" s="1"/>
      <c r="CY2332" s="1"/>
      <c r="CZ2332" s="1"/>
      <c r="DA2332" s="1"/>
      <c r="DB2332" s="1"/>
      <c r="DC2332" s="1"/>
    </row>
    <row r="2333" spans="1:107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  <c r="BR2333" s="1"/>
      <c r="BS2333" s="1"/>
      <c r="BT2333" s="1"/>
      <c r="BU2333" s="1"/>
      <c r="BV2333" s="1"/>
      <c r="BW2333" s="1"/>
      <c r="BX2333" s="1"/>
      <c r="BY2333" s="1"/>
      <c r="BZ2333" s="1"/>
      <c r="CA2333" s="1"/>
      <c r="CB2333" s="1"/>
      <c r="CC2333" s="1"/>
      <c r="CD2333" s="1"/>
      <c r="CE2333" s="1"/>
      <c r="CF2333" s="1"/>
      <c r="CG2333" s="1"/>
      <c r="CH2333" s="1"/>
      <c r="CI2333" s="1"/>
      <c r="CJ2333" s="1"/>
      <c r="CK2333" s="1"/>
      <c r="CL2333" s="1"/>
      <c r="CM2333" s="1"/>
      <c r="CN2333" s="1"/>
      <c r="CO2333" s="1"/>
      <c r="CP2333" s="1"/>
      <c r="CQ2333" s="1"/>
      <c r="CR2333" s="1"/>
      <c r="CS2333" s="1"/>
      <c r="CT2333" s="1"/>
      <c r="CU2333" s="1"/>
      <c r="CV2333" s="1"/>
      <c r="CW2333" s="1"/>
      <c r="CX2333" s="1"/>
      <c r="CY2333" s="1"/>
      <c r="CZ2333" s="1"/>
      <c r="DA2333" s="1"/>
      <c r="DB2333" s="1"/>
      <c r="DC2333" s="1"/>
    </row>
    <row r="2334" spans="1:107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  <c r="BK2334" s="1"/>
      <c r="BL2334" s="1"/>
      <c r="BM2334" s="1"/>
      <c r="BN2334" s="1"/>
      <c r="BO2334" s="1"/>
      <c r="BP2334" s="1"/>
      <c r="BQ2334" s="1"/>
      <c r="BR2334" s="1"/>
      <c r="BS2334" s="1"/>
      <c r="BT2334" s="1"/>
      <c r="BU2334" s="1"/>
      <c r="BV2334" s="1"/>
      <c r="BW2334" s="1"/>
      <c r="BX2334" s="1"/>
      <c r="BY2334" s="1"/>
      <c r="BZ2334" s="1"/>
      <c r="CA2334" s="1"/>
      <c r="CB2334" s="1"/>
      <c r="CC2334" s="1"/>
      <c r="CD2334" s="1"/>
      <c r="CE2334" s="1"/>
      <c r="CF2334" s="1"/>
      <c r="CG2334" s="1"/>
      <c r="CH2334" s="1"/>
      <c r="CI2334" s="1"/>
      <c r="CJ2334" s="1"/>
      <c r="CK2334" s="1"/>
      <c r="CL2334" s="1"/>
      <c r="CM2334" s="1"/>
      <c r="CN2334" s="1"/>
      <c r="CO2334" s="1"/>
      <c r="CP2334" s="1"/>
      <c r="CQ2334" s="1"/>
      <c r="CR2334" s="1"/>
      <c r="CS2334" s="1"/>
      <c r="CT2334" s="1"/>
      <c r="CU2334" s="1"/>
      <c r="CV2334" s="1"/>
      <c r="CW2334" s="1"/>
      <c r="CX2334" s="1"/>
      <c r="CY2334" s="1"/>
      <c r="CZ2334" s="1"/>
      <c r="DA2334" s="1"/>
      <c r="DB2334" s="1"/>
      <c r="DC2334" s="1"/>
    </row>
    <row r="2335" spans="1:107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  <c r="BR2335" s="1"/>
      <c r="BS2335" s="1"/>
      <c r="BT2335" s="1"/>
      <c r="BU2335" s="1"/>
      <c r="BV2335" s="1"/>
      <c r="BW2335" s="1"/>
      <c r="BX2335" s="1"/>
      <c r="BY2335" s="1"/>
      <c r="BZ2335" s="1"/>
      <c r="CA2335" s="1"/>
      <c r="CB2335" s="1"/>
      <c r="CC2335" s="1"/>
      <c r="CD2335" s="1"/>
      <c r="CE2335" s="1"/>
      <c r="CF2335" s="1"/>
      <c r="CG2335" s="1"/>
      <c r="CH2335" s="1"/>
      <c r="CI2335" s="1"/>
      <c r="CJ2335" s="1"/>
      <c r="CK2335" s="1"/>
      <c r="CL2335" s="1"/>
      <c r="CM2335" s="1"/>
      <c r="CN2335" s="1"/>
      <c r="CO2335" s="1"/>
      <c r="CP2335" s="1"/>
      <c r="CQ2335" s="1"/>
      <c r="CR2335" s="1"/>
      <c r="CS2335" s="1"/>
      <c r="CT2335" s="1"/>
      <c r="CU2335" s="1"/>
      <c r="CV2335" s="1"/>
      <c r="CW2335" s="1"/>
      <c r="CX2335" s="1"/>
      <c r="CY2335" s="1"/>
      <c r="CZ2335" s="1"/>
      <c r="DA2335" s="1"/>
      <c r="DB2335" s="1"/>
      <c r="DC2335" s="1"/>
    </row>
    <row r="2336" spans="1:107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  <c r="BK2336" s="1"/>
      <c r="BL2336" s="1"/>
      <c r="BM2336" s="1"/>
      <c r="BN2336" s="1"/>
      <c r="BO2336" s="1"/>
      <c r="BP2336" s="1"/>
      <c r="BQ2336" s="1"/>
      <c r="BR2336" s="1"/>
      <c r="BS2336" s="1"/>
      <c r="BT2336" s="1"/>
      <c r="BU2336" s="1"/>
      <c r="BV2336" s="1"/>
      <c r="BW2336" s="1"/>
      <c r="BX2336" s="1"/>
      <c r="BY2336" s="1"/>
      <c r="BZ2336" s="1"/>
      <c r="CA2336" s="1"/>
      <c r="CB2336" s="1"/>
      <c r="CC2336" s="1"/>
      <c r="CD2336" s="1"/>
      <c r="CE2336" s="1"/>
      <c r="CF2336" s="1"/>
      <c r="CG2336" s="1"/>
      <c r="CH2336" s="1"/>
      <c r="CI2336" s="1"/>
      <c r="CJ2336" s="1"/>
      <c r="CK2336" s="1"/>
      <c r="CL2336" s="1"/>
      <c r="CM2336" s="1"/>
      <c r="CN2336" s="1"/>
      <c r="CO2336" s="1"/>
      <c r="CP2336" s="1"/>
      <c r="CQ2336" s="1"/>
      <c r="CR2336" s="1"/>
      <c r="CS2336" s="1"/>
      <c r="CT2336" s="1"/>
      <c r="CU2336" s="1"/>
      <c r="CV2336" s="1"/>
      <c r="CW2336" s="1"/>
      <c r="CX2336" s="1"/>
      <c r="CY2336" s="1"/>
      <c r="CZ2336" s="1"/>
      <c r="DA2336" s="1"/>
      <c r="DB2336" s="1"/>
      <c r="DC2336" s="1"/>
    </row>
    <row r="2337" spans="1:107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  <c r="BX2337" s="1"/>
      <c r="BY2337" s="1"/>
      <c r="BZ2337" s="1"/>
      <c r="CA2337" s="1"/>
      <c r="CB2337" s="1"/>
      <c r="CC2337" s="1"/>
      <c r="CD2337" s="1"/>
      <c r="CE2337" s="1"/>
      <c r="CF2337" s="1"/>
      <c r="CG2337" s="1"/>
      <c r="CH2337" s="1"/>
      <c r="CI2337" s="1"/>
      <c r="CJ2337" s="1"/>
      <c r="CK2337" s="1"/>
      <c r="CL2337" s="1"/>
      <c r="CM2337" s="1"/>
      <c r="CN2337" s="1"/>
      <c r="CO2337" s="1"/>
      <c r="CP2337" s="1"/>
      <c r="CQ2337" s="1"/>
      <c r="CR2337" s="1"/>
      <c r="CS2337" s="1"/>
      <c r="CT2337" s="1"/>
      <c r="CU2337" s="1"/>
      <c r="CV2337" s="1"/>
      <c r="CW2337" s="1"/>
      <c r="CX2337" s="1"/>
      <c r="CY2337" s="1"/>
      <c r="CZ2337" s="1"/>
      <c r="DA2337" s="1"/>
      <c r="DB2337" s="1"/>
      <c r="DC2337" s="1"/>
    </row>
    <row r="2338" spans="1:107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s="1"/>
      <c r="BO2338" s="1"/>
      <c r="BP2338" s="1"/>
      <c r="BQ2338" s="1"/>
      <c r="BR2338" s="1"/>
      <c r="BS2338" s="1"/>
      <c r="BT2338" s="1"/>
      <c r="BU2338" s="1"/>
      <c r="BV2338" s="1"/>
      <c r="BW2338" s="1"/>
      <c r="BX2338" s="1"/>
      <c r="BY2338" s="1"/>
      <c r="BZ2338" s="1"/>
      <c r="CA2338" s="1"/>
      <c r="CB2338" s="1"/>
      <c r="CC2338" s="1"/>
      <c r="CD2338" s="1"/>
      <c r="CE2338" s="1"/>
      <c r="CF2338" s="1"/>
      <c r="CG2338" s="1"/>
      <c r="CH2338" s="1"/>
      <c r="CI2338" s="1"/>
      <c r="CJ2338" s="1"/>
      <c r="CK2338" s="1"/>
      <c r="CL2338" s="1"/>
      <c r="CM2338" s="1"/>
      <c r="CN2338" s="1"/>
      <c r="CO2338" s="1"/>
      <c r="CP2338" s="1"/>
      <c r="CQ2338" s="1"/>
      <c r="CR2338" s="1"/>
      <c r="CS2338" s="1"/>
      <c r="CT2338" s="1"/>
      <c r="CU2338" s="1"/>
      <c r="CV2338" s="1"/>
      <c r="CW2338" s="1"/>
      <c r="CX2338" s="1"/>
      <c r="CY2338" s="1"/>
      <c r="CZ2338" s="1"/>
      <c r="DA2338" s="1"/>
      <c r="DB2338" s="1"/>
      <c r="DC2338" s="1"/>
    </row>
    <row r="2339" spans="1:107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  <c r="BR2339" s="1"/>
      <c r="BS2339" s="1"/>
      <c r="BT2339" s="1"/>
      <c r="BU2339" s="1"/>
      <c r="BV2339" s="1"/>
      <c r="BW2339" s="1"/>
      <c r="BX2339" s="1"/>
      <c r="BY2339" s="1"/>
      <c r="BZ2339" s="1"/>
      <c r="CA2339" s="1"/>
      <c r="CB2339" s="1"/>
      <c r="CC2339" s="1"/>
      <c r="CD2339" s="1"/>
      <c r="CE2339" s="1"/>
      <c r="CF2339" s="1"/>
      <c r="CG2339" s="1"/>
      <c r="CH2339" s="1"/>
      <c r="CI2339" s="1"/>
      <c r="CJ2339" s="1"/>
      <c r="CK2339" s="1"/>
      <c r="CL2339" s="1"/>
      <c r="CM2339" s="1"/>
      <c r="CN2339" s="1"/>
      <c r="CO2339" s="1"/>
      <c r="CP2339" s="1"/>
      <c r="CQ2339" s="1"/>
      <c r="CR2339" s="1"/>
      <c r="CS2339" s="1"/>
      <c r="CT2339" s="1"/>
      <c r="CU2339" s="1"/>
      <c r="CV2339" s="1"/>
      <c r="CW2339" s="1"/>
      <c r="CX2339" s="1"/>
      <c r="CY2339" s="1"/>
      <c r="CZ2339" s="1"/>
      <c r="DA2339" s="1"/>
      <c r="DB2339" s="1"/>
      <c r="DC2339" s="1"/>
    </row>
    <row r="2340" spans="1:107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  <c r="BK2340" s="1"/>
      <c r="BL2340" s="1"/>
      <c r="BM2340" s="1"/>
      <c r="BN2340" s="1"/>
      <c r="BO2340" s="1"/>
      <c r="BP2340" s="1"/>
      <c r="BQ2340" s="1"/>
      <c r="BR2340" s="1"/>
      <c r="BS2340" s="1"/>
      <c r="BT2340" s="1"/>
      <c r="BU2340" s="1"/>
      <c r="BV2340" s="1"/>
      <c r="BW2340" s="1"/>
      <c r="BX2340" s="1"/>
      <c r="BY2340" s="1"/>
      <c r="BZ2340" s="1"/>
      <c r="CA2340" s="1"/>
      <c r="CB2340" s="1"/>
      <c r="CC2340" s="1"/>
      <c r="CD2340" s="1"/>
      <c r="CE2340" s="1"/>
      <c r="CF2340" s="1"/>
      <c r="CG2340" s="1"/>
      <c r="CH2340" s="1"/>
      <c r="CI2340" s="1"/>
      <c r="CJ2340" s="1"/>
      <c r="CK2340" s="1"/>
      <c r="CL2340" s="1"/>
      <c r="CM2340" s="1"/>
      <c r="CN2340" s="1"/>
      <c r="CO2340" s="1"/>
      <c r="CP2340" s="1"/>
      <c r="CQ2340" s="1"/>
      <c r="CR2340" s="1"/>
      <c r="CS2340" s="1"/>
      <c r="CT2340" s="1"/>
      <c r="CU2340" s="1"/>
      <c r="CV2340" s="1"/>
      <c r="CW2340" s="1"/>
      <c r="CX2340" s="1"/>
      <c r="CY2340" s="1"/>
      <c r="CZ2340" s="1"/>
      <c r="DA2340" s="1"/>
      <c r="DB2340" s="1"/>
      <c r="DC2340" s="1"/>
    </row>
    <row r="2341" spans="1:107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/>
      <c r="BR2341" s="1"/>
      <c r="BS2341" s="1"/>
      <c r="BT2341" s="1"/>
      <c r="BU2341" s="1"/>
      <c r="BV2341" s="1"/>
      <c r="BW2341" s="1"/>
      <c r="BX2341" s="1"/>
      <c r="BY2341" s="1"/>
      <c r="BZ2341" s="1"/>
      <c r="CA2341" s="1"/>
      <c r="CB2341" s="1"/>
      <c r="CC2341" s="1"/>
      <c r="CD2341" s="1"/>
      <c r="CE2341" s="1"/>
      <c r="CF2341" s="1"/>
      <c r="CG2341" s="1"/>
      <c r="CH2341" s="1"/>
      <c r="CI2341" s="1"/>
      <c r="CJ2341" s="1"/>
      <c r="CK2341" s="1"/>
      <c r="CL2341" s="1"/>
      <c r="CM2341" s="1"/>
      <c r="CN2341" s="1"/>
      <c r="CO2341" s="1"/>
      <c r="CP2341" s="1"/>
      <c r="CQ2341" s="1"/>
      <c r="CR2341" s="1"/>
      <c r="CS2341" s="1"/>
      <c r="CT2341" s="1"/>
      <c r="CU2341" s="1"/>
      <c r="CV2341" s="1"/>
      <c r="CW2341" s="1"/>
      <c r="CX2341" s="1"/>
      <c r="CY2341" s="1"/>
      <c r="CZ2341" s="1"/>
      <c r="DA2341" s="1"/>
      <c r="DB2341" s="1"/>
      <c r="DC2341" s="1"/>
    </row>
    <row r="2342" spans="1:107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  <c r="BM2342" s="1"/>
      <c r="BN2342" s="1"/>
      <c r="BO2342" s="1"/>
      <c r="BP2342" s="1"/>
      <c r="BQ2342" s="1"/>
      <c r="BR2342" s="1"/>
      <c r="BS2342" s="1"/>
      <c r="BT2342" s="1"/>
      <c r="BU2342" s="1"/>
      <c r="BV2342" s="1"/>
      <c r="BW2342" s="1"/>
      <c r="BX2342" s="1"/>
      <c r="BY2342" s="1"/>
      <c r="BZ2342" s="1"/>
      <c r="CA2342" s="1"/>
      <c r="CB2342" s="1"/>
      <c r="CC2342" s="1"/>
      <c r="CD2342" s="1"/>
      <c r="CE2342" s="1"/>
      <c r="CF2342" s="1"/>
      <c r="CG2342" s="1"/>
      <c r="CH2342" s="1"/>
      <c r="CI2342" s="1"/>
      <c r="CJ2342" s="1"/>
      <c r="CK2342" s="1"/>
      <c r="CL2342" s="1"/>
      <c r="CM2342" s="1"/>
      <c r="CN2342" s="1"/>
      <c r="CO2342" s="1"/>
      <c r="CP2342" s="1"/>
      <c r="CQ2342" s="1"/>
      <c r="CR2342" s="1"/>
      <c r="CS2342" s="1"/>
      <c r="CT2342" s="1"/>
      <c r="CU2342" s="1"/>
      <c r="CV2342" s="1"/>
      <c r="CW2342" s="1"/>
      <c r="CX2342" s="1"/>
      <c r="CY2342" s="1"/>
      <c r="CZ2342" s="1"/>
      <c r="DA2342" s="1"/>
      <c r="DB2342" s="1"/>
      <c r="DC2342" s="1"/>
    </row>
    <row r="2343" spans="1:107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  <c r="BX2343" s="1"/>
      <c r="BY2343" s="1"/>
      <c r="BZ2343" s="1"/>
      <c r="CA2343" s="1"/>
      <c r="CB2343" s="1"/>
      <c r="CC2343" s="1"/>
      <c r="CD2343" s="1"/>
      <c r="CE2343" s="1"/>
      <c r="CF2343" s="1"/>
      <c r="CG2343" s="1"/>
      <c r="CH2343" s="1"/>
      <c r="CI2343" s="1"/>
      <c r="CJ2343" s="1"/>
      <c r="CK2343" s="1"/>
      <c r="CL2343" s="1"/>
      <c r="CM2343" s="1"/>
      <c r="CN2343" s="1"/>
      <c r="CO2343" s="1"/>
      <c r="CP2343" s="1"/>
      <c r="CQ2343" s="1"/>
      <c r="CR2343" s="1"/>
      <c r="CS2343" s="1"/>
      <c r="CT2343" s="1"/>
      <c r="CU2343" s="1"/>
      <c r="CV2343" s="1"/>
      <c r="CW2343" s="1"/>
      <c r="CX2343" s="1"/>
      <c r="CY2343" s="1"/>
      <c r="CZ2343" s="1"/>
      <c r="DA2343" s="1"/>
      <c r="DB2343" s="1"/>
      <c r="DC2343" s="1"/>
    </row>
    <row r="2344" spans="1:107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  <c r="BM2344" s="1"/>
      <c r="BN2344" s="1"/>
      <c r="BO2344" s="1"/>
      <c r="BP2344" s="1"/>
      <c r="BQ2344" s="1"/>
      <c r="BR2344" s="1"/>
      <c r="BS2344" s="1"/>
      <c r="BT2344" s="1"/>
      <c r="BU2344" s="1"/>
      <c r="BV2344" s="1"/>
      <c r="BW2344" s="1"/>
      <c r="BX2344" s="1"/>
      <c r="BY2344" s="1"/>
      <c r="BZ2344" s="1"/>
      <c r="CA2344" s="1"/>
      <c r="CB2344" s="1"/>
      <c r="CC2344" s="1"/>
      <c r="CD2344" s="1"/>
      <c r="CE2344" s="1"/>
      <c r="CF2344" s="1"/>
      <c r="CG2344" s="1"/>
      <c r="CH2344" s="1"/>
      <c r="CI2344" s="1"/>
      <c r="CJ2344" s="1"/>
      <c r="CK2344" s="1"/>
      <c r="CL2344" s="1"/>
      <c r="CM2344" s="1"/>
      <c r="CN2344" s="1"/>
      <c r="CO2344" s="1"/>
      <c r="CP2344" s="1"/>
      <c r="CQ2344" s="1"/>
      <c r="CR2344" s="1"/>
      <c r="CS2344" s="1"/>
      <c r="CT2344" s="1"/>
      <c r="CU2344" s="1"/>
      <c r="CV2344" s="1"/>
      <c r="CW2344" s="1"/>
      <c r="CX2344" s="1"/>
      <c r="CY2344" s="1"/>
      <c r="CZ2344" s="1"/>
      <c r="DA2344" s="1"/>
      <c r="DB2344" s="1"/>
      <c r="DC2344" s="1"/>
    </row>
    <row r="2345" spans="1:107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  <c r="BX2345" s="1"/>
      <c r="BY2345" s="1"/>
      <c r="BZ2345" s="1"/>
      <c r="CA2345" s="1"/>
      <c r="CB2345" s="1"/>
      <c r="CC2345" s="1"/>
      <c r="CD2345" s="1"/>
      <c r="CE2345" s="1"/>
      <c r="CF2345" s="1"/>
      <c r="CG2345" s="1"/>
      <c r="CH2345" s="1"/>
      <c r="CI2345" s="1"/>
      <c r="CJ2345" s="1"/>
      <c r="CK2345" s="1"/>
      <c r="CL2345" s="1"/>
      <c r="CM2345" s="1"/>
      <c r="CN2345" s="1"/>
      <c r="CO2345" s="1"/>
      <c r="CP2345" s="1"/>
      <c r="CQ2345" s="1"/>
      <c r="CR2345" s="1"/>
      <c r="CS2345" s="1"/>
      <c r="CT2345" s="1"/>
      <c r="CU2345" s="1"/>
      <c r="CV2345" s="1"/>
      <c r="CW2345" s="1"/>
      <c r="CX2345" s="1"/>
      <c r="CY2345" s="1"/>
      <c r="CZ2345" s="1"/>
      <c r="DA2345" s="1"/>
      <c r="DB2345" s="1"/>
      <c r="DC2345" s="1"/>
    </row>
    <row r="2346" spans="1:107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  <c r="BK2346" s="1"/>
      <c r="BL2346" s="1"/>
      <c r="BM2346" s="1"/>
      <c r="BN2346" s="1"/>
      <c r="BO2346" s="1"/>
      <c r="BP2346" s="1"/>
      <c r="BQ2346" s="1"/>
      <c r="BR2346" s="1"/>
      <c r="BS2346" s="1"/>
      <c r="BT2346" s="1"/>
      <c r="BU2346" s="1"/>
      <c r="BV2346" s="1"/>
      <c r="BW2346" s="1"/>
      <c r="BX2346" s="1"/>
      <c r="BY2346" s="1"/>
      <c r="BZ2346" s="1"/>
      <c r="CA2346" s="1"/>
      <c r="CB2346" s="1"/>
      <c r="CC2346" s="1"/>
      <c r="CD2346" s="1"/>
      <c r="CE2346" s="1"/>
      <c r="CF2346" s="1"/>
      <c r="CG2346" s="1"/>
      <c r="CH2346" s="1"/>
      <c r="CI2346" s="1"/>
      <c r="CJ2346" s="1"/>
      <c r="CK2346" s="1"/>
      <c r="CL2346" s="1"/>
      <c r="CM2346" s="1"/>
      <c r="CN2346" s="1"/>
      <c r="CO2346" s="1"/>
      <c r="CP2346" s="1"/>
      <c r="CQ2346" s="1"/>
      <c r="CR2346" s="1"/>
      <c r="CS2346" s="1"/>
      <c r="CT2346" s="1"/>
      <c r="CU2346" s="1"/>
      <c r="CV2346" s="1"/>
      <c r="CW2346" s="1"/>
      <c r="CX2346" s="1"/>
      <c r="CY2346" s="1"/>
      <c r="CZ2346" s="1"/>
      <c r="DA2346" s="1"/>
      <c r="DB2346" s="1"/>
      <c r="DC2346" s="1"/>
    </row>
    <row r="2347" spans="1:107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  <c r="BR2347" s="1"/>
      <c r="BS2347" s="1"/>
      <c r="BT2347" s="1"/>
      <c r="BU2347" s="1"/>
      <c r="BV2347" s="1"/>
      <c r="BW2347" s="1"/>
      <c r="BX2347" s="1"/>
      <c r="BY2347" s="1"/>
      <c r="BZ2347" s="1"/>
      <c r="CA2347" s="1"/>
      <c r="CB2347" s="1"/>
      <c r="CC2347" s="1"/>
      <c r="CD2347" s="1"/>
      <c r="CE2347" s="1"/>
      <c r="CF2347" s="1"/>
      <c r="CG2347" s="1"/>
      <c r="CH2347" s="1"/>
      <c r="CI2347" s="1"/>
      <c r="CJ2347" s="1"/>
      <c r="CK2347" s="1"/>
      <c r="CL2347" s="1"/>
      <c r="CM2347" s="1"/>
      <c r="CN2347" s="1"/>
      <c r="CO2347" s="1"/>
      <c r="CP2347" s="1"/>
      <c r="CQ2347" s="1"/>
      <c r="CR2347" s="1"/>
      <c r="CS2347" s="1"/>
      <c r="CT2347" s="1"/>
      <c r="CU2347" s="1"/>
      <c r="CV2347" s="1"/>
      <c r="CW2347" s="1"/>
      <c r="CX2347" s="1"/>
      <c r="CY2347" s="1"/>
      <c r="CZ2347" s="1"/>
      <c r="DA2347" s="1"/>
      <c r="DB2347" s="1"/>
      <c r="DC2347" s="1"/>
    </row>
    <row r="2348" spans="1:107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  <c r="BK2348" s="1"/>
      <c r="BL2348" s="1"/>
      <c r="BM2348" s="1"/>
      <c r="BN2348" s="1"/>
      <c r="BO2348" s="1"/>
      <c r="BP2348" s="1"/>
      <c r="BQ2348" s="1"/>
      <c r="BR2348" s="1"/>
      <c r="BS2348" s="1"/>
      <c r="BT2348" s="1"/>
      <c r="BU2348" s="1"/>
      <c r="BV2348" s="1"/>
      <c r="BW2348" s="1"/>
      <c r="BX2348" s="1"/>
      <c r="BY2348" s="1"/>
      <c r="BZ2348" s="1"/>
      <c r="CA2348" s="1"/>
      <c r="CB2348" s="1"/>
      <c r="CC2348" s="1"/>
      <c r="CD2348" s="1"/>
      <c r="CE2348" s="1"/>
      <c r="CF2348" s="1"/>
      <c r="CG2348" s="1"/>
      <c r="CH2348" s="1"/>
      <c r="CI2348" s="1"/>
      <c r="CJ2348" s="1"/>
      <c r="CK2348" s="1"/>
      <c r="CL2348" s="1"/>
      <c r="CM2348" s="1"/>
      <c r="CN2348" s="1"/>
      <c r="CO2348" s="1"/>
      <c r="CP2348" s="1"/>
      <c r="CQ2348" s="1"/>
      <c r="CR2348" s="1"/>
      <c r="CS2348" s="1"/>
      <c r="CT2348" s="1"/>
      <c r="CU2348" s="1"/>
      <c r="CV2348" s="1"/>
      <c r="CW2348" s="1"/>
      <c r="CX2348" s="1"/>
      <c r="CY2348" s="1"/>
      <c r="CZ2348" s="1"/>
      <c r="DA2348" s="1"/>
      <c r="DB2348" s="1"/>
      <c r="DC2348" s="1"/>
    </row>
    <row r="2349" spans="1:107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  <c r="BX2349" s="1"/>
      <c r="BY2349" s="1"/>
      <c r="BZ2349" s="1"/>
      <c r="CA2349" s="1"/>
      <c r="CB2349" s="1"/>
      <c r="CC2349" s="1"/>
      <c r="CD2349" s="1"/>
      <c r="CE2349" s="1"/>
      <c r="CF2349" s="1"/>
      <c r="CG2349" s="1"/>
      <c r="CH2349" s="1"/>
      <c r="CI2349" s="1"/>
      <c r="CJ2349" s="1"/>
      <c r="CK2349" s="1"/>
      <c r="CL2349" s="1"/>
      <c r="CM2349" s="1"/>
      <c r="CN2349" s="1"/>
      <c r="CO2349" s="1"/>
      <c r="CP2349" s="1"/>
      <c r="CQ2349" s="1"/>
      <c r="CR2349" s="1"/>
      <c r="CS2349" s="1"/>
      <c r="CT2349" s="1"/>
      <c r="CU2349" s="1"/>
      <c r="CV2349" s="1"/>
      <c r="CW2349" s="1"/>
      <c r="CX2349" s="1"/>
      <c r="CY2349" s="1"/>
      <c r="CZ2349" s="1"/>
      <c r="DA2349" s="1"/>
      <c r="DB2349" s="1"/>
      <c r="DC2349" s="1"/>
    </row>
    <row r="2350" spans="1:107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  <c r="BK2350" s="1"/>
      <c r="BL2350" s="1"/>
      <c r="BM2350" s="1"/>
      <c r="BN2350" s="1"/>
      <c r="BO2350" s="1"/>
      <c r="BP2350" s="1"/>
      <c r="BQ2350" s="1"/>
      <c r="BR2350" s="1"/>
      <c r="BS2350" s="1"/>
      <c r="BT2350" s="1"/>
      <c r="BU2350" s="1"/>
      <c r="BV2350" s="1"/>
      <c r="BW2350" s="1"/>
      <c r="BX2350" s="1"/>
      <c r="BY2350" s="1"/>
      <c r="BZ2350" s="1"/>
      <c r="CA2350" s="1"/>
      <c r="CB2350" s="1"/>
      <c r="CC2350" s="1"/>
      <c r="CD2350" s="1"/>
      <c r="CE2350" s="1"/>
      <c r="CF2350" s="1"/>
      <c r="CG2350" s="1"/>
      <c r="CH2350" s="1"/>
      <c r="CI2350" s="1"/>
      <c r="CJ2350" s="1"/>
      <c r="CK2350" s="1"/>
      <c r="CL2350" s="1"/>
      <c r="CM2350" s="1"/>
      <c r="CN2350" s="1"/>
      <c r="CO2350" s="1"/>
      <c r="CP2350" s="1"/>
      <c r="CQ2350" s="1"/>
      <c r="CR2350" s="1"/>
      <c r="CS2350" s="1"/>
      <c r="CT2350" s="1"/>
      <c r="CU2350" s="1"/>
      <c r="CV2350" s="1"/>
      <c r="CW2350" s="1"/>
      <c r="CX2350" s="1"/>
      <c r="CY2350" s="1"/>
      <c r="CZ2350" s="1"/>
      <c r="DA2350" s="1"/>
      <c r="DB2350" s="1"/>
      <c r="DC2350" s="1"/>
    </row>
    <row r="2351" spans="1:107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1"/>
      <c r="BU2351" s="1"/>
      <c r="BV2351" s="1"/>
      <c r="BW2351" s="1"/>
      <c r="BX2351" s="1"/>
      <c r="BY2351" s="1"/>
      <c r="BZ2351" s="1"/>
      <c r="CA2351" s="1"/>
      <c r="CB2351" s="1"/>
      <c r="CC2351" s="1"/>
      <c r="CD2351" s="1"/>
      <c r="CE2351" s="1"/>
      <c r="CF2351" s="1"/>
      <c r="CG2351" s="1"/>
      <c r="CH2351" s="1"/>
      <c r="CI2351" s="1"/>
      <c r="CJ2351" s="1"/>
      <c r="CK2351" s="1"/>
      <c r="CL2351" s="1"/>
      <c r="CM2351" s="1"/>
      <c r="CN2351" s="1"/>
      <c r="CO2351" s="1"/>
      <c r="CP2351" s="1"/>
      <c r="CQ2351" s="1"/>
      <c r="CR2351" s="1"/>
      <c r="CS2351" s="1"/>
      <c r="CT2351" s="1"/>
      <c r="CU2351" s="1"/>
      <c r="CV2351" s="1"/>
      <c r="CW2351" s="1"/>
      <c r="CX2351" s="1"/>
      <c r="CY2351" s="1"/>
      <c r="CZ2351" s="1"/>
      <c r="DA2351" s="1"/>
      <c r="DB2351" s="1"/>
      <c r="DC2351" s="1"/>
    </row>
    <row r="2352" spans="1:107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  <c r="BK2352" s="1"/>
      <c r="BL2352" s="1"/>
      <c r="BM2352" s="1"/>
      <c r="BN2352" s="1"/>
      <c r="BO2352" s="1"/>
      <c r="BP2352" s="1"/>
      <c r="BQ2352" s="1"/>
      <c r="BR2352" s="1"/>
      <c r="BS2352" s="1"/>
      <c r="BT2352" s="1"/>
      <c r="BU2352" s="1"/>
      <c r="BV2352" s="1"/>
      <c r="BW2352" s="1"/>
      <c r="BX2352" s="1"/>
      <c r="BY2352" s="1"/>
      <c r="BZ2352" s="1"/>
      <c r="CA2352" s="1"/>
      <c r="CB2352" s="1"/>
      <c r="CC2352" s="1"/>
      <c r="CD2352" s="1"/>
      <c r="CE2352" s="1"/>
      <c r="CF2352" s="1"/>
      <c r="CG2352" s="1"/>
      <c r="CH2352" s="1"/>
      <c r="CI2352" s="1"/>
      <c r="CJ2352" s="1"/>
      <c r="CK2352" s="1"/>
      <c r="CL2352" s="1"/>
      <c r="CM2352" s="1"/>
      <c r="CN2352" s="1"/>
      <c r="CO2352" s="1"/>
      <c r="CP2352" s="1"/>
      <c r="CQ2352" s="1"/>
      <c r="CR2352" s="1"/>
      <c r="CS2352" s="1"/>
      <c r="CT2352" s="1"/>
      <c r="CU2352" s="1"/>
      <c r="CV2352" s="1"/>
      <c r="CW2352" s="1"/>
      <c r="CX2352" s="1"/>
      <c r="CY2352" s="1"/>
      <c r="CZ2352" s="1"/>
      <c r="DA2352" s="1"/>
      <c r="DB2352" s="1"/>
      <c r="DC2352" s="1"/>
    </row>
    <row r="2353" spans="1:107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  <c r="BR2353" s="1"/>
      <c r="BS2353" s="1"/>
      <c r="BT2353" s="1"/>
      <c r="BU2353" s="1"/>
      <c r="BV2353" s="1"/>
      <c r="BW2353" s="1"/>
      <c r="BX2353" s="1"/>
      <c r="BY2353" s="1"/>
      <c r="BZ2353" s="1"/>
      <c r="CA2353" s="1"/>
      <c r="CB2353" s="1"/>
      <c r="CC2353" s="1"/>
      <c r="CD2353" s="1"/>
      <c r="CE2353" s="1"/>
      <c r="CF2353" s="1"/>
      <c r="CG2353" s="1"/>
      <c r="CH2353" s="1"/>
      <c r="CI2353" s="1"/>
      <c r="CJ2353" s="1"/>
      <c r="CK2353" s="1"/>
      <c r="CL2353" s="1"/>
      <c r="CM2353" s="1"/>
      <c r="CN2353" s="1"/>
      <c r="CO2353" s="1"/>
      <c r="CP2353" s="1"/>
      <c r="CQ2353" s="1"/>
      <c r="CR2353" s="1"/>
      <c r="CS2353" s="1"/>
      <c r="CT2353" s="1"/>
      <c r="CU2353" s="1"/>
      <c r="CV2353" s="1"/>
      <c r="CW2353" s="1"/>
      <c r="CX2353" s="1"/>
      <c r="CY2353" s="1"/>
      <c r="CZ2353" s="1"/>
      <c r="DA2353" s="1"/>
      <c r="DB2353" s="1"/>
      <c r="DC2353" s="1"/>
    </row>
    <row r="2354" spans="1:107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  <c r="BQ2354" s="1"/>
      <c r="BR2354" s="1"/>
      <c r="BS2354" s="1"/>
      <c r="BT2354" s="1"/>
      <c r="BU2354" s="1"/>
      <c r="BV2354" s="1"/>
      <c r="BW2354" s="1"/>
      <c r="BX2354" s="1"/>
      <c r="BY2354" s="1"/>
      <c r="BZ2354" s="1"/>
      <c r="CA2354" s="1"/>
      <c r="CB2354" s="1"/>
      <c r="CC2354" s="1"/>
      <c r="CD2354" s="1"/>
      <c r="CE2354" s="1"/>
      <c r="CF2354" s="1"/>
      <c r="CG2354" s="1"/>
      <c r="CH2354" s="1"/>
      <c r="CI2354" s="1"/>
      <c r="CJ2354" s="1"/>
      <c r="CK2354" s="1"/>
      <c r="CL2354" s="1"/>
      <c r="CM2354" s="1"/>
      <c r="CN2354" s="1"/>
      <c r="CO2354" s="1"/>
      <c r="CP2354" s="1"/>
      <c r="CQ2354" s="1"/>
      <c r="CR2354" s="1"/>
      <c r="CS2354" s="1"/>
      <c r="CT2354" s="1"/>
      <c r="CU2354" s="1"/>
      <c r="CV2354" s="1"/>
      <c r="CW2354" s="1"/>
      <c r="CX2354" s="1"/>
      <c r="CY2354" s="1"/>
      <c r="CZ2354" s="1"/>
      <c r="DA2354" s="1"/>
      <c r="DB2354" s="1"/>
      <c r="DC2354" s="1"/>
    </row>
    <row r="2355" spans="1:107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  <c r="BR2355" s="1"/>
      <c r="BS2355" s="1"/>
      <c r="BT2355" s="1"/>
      <c r="BU2355" s="1"/>
      <c r="BV2355" s="1"/>
      <c r="BW2355" s="1"/>
      <c r="BX2355" s="1"/>
      <c r="BY2355" s="1"/>
      <c r="BZ2355" s="1"/>
      <c r="CA2355" s="1"/>
      <c r="CB2355" s="1"/>
      <c r="CC2355" s="1"/>
      <c r="CD2355" s="1"/>
      <c r="CE2355" s="1"/>
      <c r="CF2355" s="1"/>
      <c r="CG2355" s="1"/>
      <c r="CH2355" s="1"/>
      <c r="CI2355" s="1"/>
      <c r="CJ2355" s="1"/>
      <c r="CK2355" s="1"/>
      <c r="CL2355" s="1"/>
      <c r="CM2355" s="1"/>
      <c r="CN2355" s="1"/>
      <c r="CO2355" s="1"/>
      <c r="CP2355" s="1"/>
      <c r="CQ2355" s="1"/>
      <c r="CR2355" s="1"/>
      <c r="CS2355" s="1"/>
      <c r="CT2355" s="1"/>
      <c r="CU2355" s="1"/>
      <c r="CV2355" s="1"/>
      <c r="CW2355" s="1"/>
      <c r="CX2355" s="1"/>
      <c r="CY2355" s="1"/>
      <c r="CZ2355" s="1"/>
      <c r="DA2355" s="1"/>
      <c r="DB2355" s="1"/>
      <c r="DC2355" s="1"/>
    </row>
    <row r="2356" spans="1:107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  <c r="BK2356" s="1"/>
      <c r="BL2356" s="1"/>
      <c r="BM2356" s="1"/>
      <c r="BN2356" s="1"/>
      <c r="BO2356" s="1"/>
      <c r="BP2356" s="1"/>
      <c r="BQ2356" s="1"/>
      <c r="BR2356" s="1"/>
      <c r="BS2356" s="1"/>
      <c r="BT2356" s="1"/>
      <c r="BU2356" s="1"/>
      <c r="BV2356" s="1"/>
      <c r="BW2356" s="1"/>
      <c r="BX2356" s="1"/>
      <c r="BY2356" s="1"/>
      <c r="BZ2356" s="1"/>
      <c r="CA2356" s="1"/>
      <c r="CB2356" s="1"/>
      <c r="CC2356" s="1"/>
      <c r="CD2356" s="1"/>
      <c r="CE2356" s="1"/>
      <c r="CF2356" s="1"/>
      <c r="CG2356" s="1"/>
      <c r="CH2356" s="1"/>
      <c r="CI2356" s="1"/>
      <c r="CJ2356" s="1"/>
      <c r="CK2356" s="1"/>
      <c r="CL2356" s="1"/>
      <c r="CM2356" s="1"/>
      <c r="CN2356" s="1"/>
      <c r="CO2356" s="1"/>
      <c r="CP2356" s="1"/>
      <c r="CQ2356" s="1"/>
      <c r="CR2356" s="1"/>
      <c r="CS2356" s="1"/>
      <c r="CT2356" s="1"/>
      <c r="CU2356" s="1"/>
      <c r="CV2356" s="1"/>
      <c r="CW2356" s="1"/>
      <c r="CX2356" s="1"/>
      <c r="CY2356" s="1"/>
      <c r="CZ2356" s="1"/>
      <c r="DA2356" s="1"/>
      <c r="DB2356" s="1"/>
      <c r="DC2356" s="1"/>
    </row>
    <row r="2357" spans="1:107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  <c r="BR2357" s="1"/>
      <c r="BS2357" s="1"/>
      <c r="BT2357" s="1"/>
      <c r="BU2357" s="1"/>
      <c r="BV2357" s="1"/>
      <c r="BW2357" s="1"/>
      <c r="BX2357" s="1"/>
      <c r="BY2357" s="1"/>
      <c r="BZ2357" s="1"/>
      <c r="CA2357" s="1"/>
      <c r="CB2357" s="1"/>
      <c r="CC2357" s="1"/>
      <c r="CD2357" s="1"/>
      <c r="CE2357" s="1"/>
      <c r="CF2357" s="1"/>
      <c r="CG2357" s="1"/>
      <c r="CH2357" s="1"/>
      <c r="CI2357" s="1"/>
      <c r="CJ2357" s="1"/>
      <c r="CK2357" s="1"/>
      <c r="CL2357" s="1"/>
      <c r="CM2357" s="1"/>
      <c r="CN2357" s="1"/>
      <c r="CO2357" s="1"/>
      <c r="CP2357" s="1"/>
      <c r="CQ2357" s="1"/>
      <c r="CR2357" s="1"/>
      <c r="CS2357" s="1"/>
      <c r="CT2357" s="1"/>
      <c r="CU2357" s="1"/>
      <c r="CV2357" s="1"/>
      <c r="CW2357" s="1"/>
      <c r="CX2357" s="1"/>
      <c r="CY2357" s="1"/>
      <c r="CZ2357" s="1"/>
      <c r="DA2357" s="1"/>
      <c r="DB2357" s="1"/>
      <c r="DC2357" s="1"/>
    </row>
    <row r="2358" spans="1:107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  <c r="BK2358" s="1"/>
      <c r="BL2358" s="1"/>
      <c r="BM2358" s="1"/>
      <c r="BN2358" s="1"/>
      <c r="BO2358" s="1"/>
      <c r="BP2358" s="1"/>
      <c r="BQ2358" s="1"/>
      <c r="BR2358" s="1"/>
      <c r="BS2358" s="1"/>
      <c r="BT2358" s="1"/>
      <c r="BU2358" s="1"/>
      <c r="BV2358" s="1"/>
      <c r="BW2358" s="1"/>
      <c r="BX2358" s="1"/>
      <c r="BY2358" s="1"/>
      <c r="BZ2358" s="1"/>
      <c r="CA2358" s="1"/>
      <c r="CB2358" s="1"/>
      <c r="CC2358" s="1"/>
      <c r="CD2358" s="1"/>
      <c r="CE2358" s="1"/>
      <c r="CF2358" s="1"/>
      <c r="CG2358" s="1"/>
      <c r="CH2358" s="1"/>
      <c r="CI2358" s="1"/>
      <c r="CJ2358" s="1"/>
      <c r="CK2358" s="1"/>
      <c r="CL2358" s="1"/>
      <c r="CM2358" s="1"/>
      <c r="CN2358" s="1"/>
      <c r="CO2358" s="1"/>
      <c r="CP2358" s="1"/>
      <c r="CQ2358" s="1"/>
      <c r="CR2358" s="1"/>
      <c r="CS2358" s="1"/>
      <c r="CT2358" s="1"/>
      <c r="CU2358" s="1"/>
      <c r="CV2358" s="1"/>
      <c r="CW2358" s="1"/>
      <c r="CX2358" s="1"/>
      <c r="CY2358" s="1"/>
      <c r="CZ2358" s="1"/>
      <c r="DA2358" s="1"/>
      <c r="DB2358" s="1"/>
      <c r="DC2358" s="1"/>
    </row>
    <row r="2359" spans="1:107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  <c r="BR2359" s="1"/>
      <c r="BS2359" s="1"/>
      <c r="BT2359" s="1"/>
      <c r="BU2359" s="1"/>
      <c r="BV2359" s="1"/>
      <c r="BW2359" s="1"/>
      <c r="BX2359" s="1"/>
      <c r="BY2359" s="1"/>
      <c r="BZ2359" s="1"/>
      <c r="CA2359" s="1"/>
      <c r="CB2359" s="1"/>
      <c r="CC2359" s="1"/>
      <c r="CD2359" s="1"/>
      <c r="CE2359" s="1"/>
      <c r="CF2359" s="1"/>
      <c r="CG2359" s="1"/>
      <c r="CH2359" s="1"/>
      <c r="CI2359" s="1"/>
      <c r="CJ2359" s="1"/>
      <c r="CK2359" s="1"/>
      <c r="CL2359" s="1"/>
      <c r="CM2359" s="1"/>
      <c r="CN2359" s="1"/>
      <c r="CO2359" s="1"/>
      <c r="CP2359" s="1"/>
      <c r="CQ2359" s="1"/>
      <c r="CR2359" s="1"/>
      <c r="CS2359" s="1"/>
      <c r="CT2359" s="1"/>
      <c r="CU2359" s="1"/>
      <c r="CV2359" s="1"/>
      <c r="CW2359" s="1"/>
      <c r="CX2359" s="1"/>
      <c r="CY2359" s="1"/>
      <c r="CZ2359" s="1"/>
      <c r="DA2359" s="1"/>
      <c r="DB2359" s="1"/>
      <c r="DC2359" s="1"/>
    </row>
    <row r="2360" spans="1:107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  <c r="BK2360" s="1"/>
      <c r="BL2360" s="1"/>
      <c r="BM2360" s="1"/>
      <c r="BN2360" s="1"/>
      <c r="BO2360" s="1"/>
      <c r="BP2360" s="1"/>
      <c r="BQ2360" s="1"/>
      <c r="BR2360" s="1"/>
      <c r="BS2360" s="1"/>
      <c r="BT2360" s="1"/>
      <c r="BU2360" s="1"/>
      <c r="BV2360" s="1"/>
      <c r="BW2360" s="1"/>
      <c r="BX2360" s="1"/>
      <c r="BY2360" s="1"/>
      <c r="BZ2360" s="1"/>
      <c r="CA2360" s="1"/>
      <c r="CB2360" s="1"/>
      <c r="CC2360" s="1"/>
      <c r="CD2360" s="1"/>
      <c r="CE2360" s="1"/>
      <c r="CF2360" s="1"/>
      <c r="CG2360" s="1"/>
      <c r="CH2360" s="1"/>
      <c r="CI2360" s="1"/>
      <c r="CJ2360" s="1"/>
      <c r="CK2360" s="1"/>
      <c r="CL2360" s="1"/>
      <c r="CM2360" s="1"/>
      <c r="CN2360" s="1"/>
      <c r="CO2360" s="1"/>
      <c r="CP2360" s="1"/>
      <c r="CQ2360" s="1"/>
      <c r="CR2360" s="1"/>
      <c r="CS2360" s="1"/>
      <c r="CT2360" s="1"/>
      <c r="CU2360" s="1"/>
      <c r="CV2360" s="1"/>
      <c r="CW2360" s="1"/>
      <c r="CX2360" s="1"/>
      <c r="CY2360" s="1"/>
      <c r="CZ2360" s="1"/>
      <c r="DA2360" s="1"/>
      <c r="DB2360" s="1"/>
      <c r="DC2360" s="1"/>
    </row>
    <row r="2361" spans="1:107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  <c r="BR2361" s="1"/>
      <c r="BS2361" s="1"/>
      <c r="BT2361" s="1"/>
      <c r="BU2361" s="1"/>
      <c r="BV2361" s="1"/>
      <c r="BW2361" s="1"/>
      <c r="BX2361" s="1"/>
      <c r="BY2361" s="1"/>
      <c r="BZ2361" s="1"/>
      <c r="CA2361" s="1"/>
      <c r="CB2361" s="1"/>
      <c r="CC2361" s="1"/>
      <c r="CD2361" s="1"/>
      <c r="CE2361" s="1"/>
      <c r="CF2361" s="1"/>
      <c r="CG2361" s="1"/>
      <c r="CH2361" s="1"/>
      <c r="CI2361" s="1"/>
      <c r="CJ2361" s="1"/>
      <c r="CK2361" s="1"/>
      <c r="CL2361" s="1"/>
      <c r="CM2361" s="1"/>
      <c r="CN2361" s="1"/>
      <c r="CO2361" s="1"/>
      <c r="CP2361" s="1"/>
      <c r="CQ2361" s="1"/>
      <c r="CR2361" s="1"/>
      <c r="CS2361" s="1"/>
      <c r="CT2361" s="1"/>
      <c r="CU2361" s="1"/>
      <c r="CV2361" s="1"/>
      <c r="CW2361" s="1"/>
      <c r="CX2361" s="1"/>
      <c r="CY2361" s="1"/>
      <c r="CZ2361" s="1"/>
      <c r="DA2361" s="1"/>
      <c r="DB2361" s="1"/>
      <c r="DC2361" s="1"/>
    </row>
    <row r="2362" spans="1:107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  <c r="BM2362" s="1"/>
      <c r="BN2362" s="1"/>
      <c r="BO2362" s="1"/>
      <c r="BP2362" s="1"/>
      <c r="BQ2362" s="1"/>
      <c r="BR2362" s="1"/>
      <c r="BS2362" s="1"/>
      <c r="BT2362" s="1"/>
      <c r="BU2362" s="1"/>
      <c r="BV2362" s="1"/>
      <c r="BW2362" s="1"/>
      <c r="BX2362" s="1"/>
      <c r="BY2362" s="1"/>
      <c r="BZ2362" s="1"/>
      <c r="CA2362" s="1"/>
      <c r="CB2362" s="1"/>
      <c r="CC2362" s="1"/>
      <c r="CD2362" s="1"/>
      <c r="CE2362" s="1"/>
      <c r="CF2362" s="1"/>
      <c r="CG2362" s="1"/>
      <c r="CH2362" s="1"/>
      <c r="CI2362" s="1"/>
      <c r="CJ2362" s="1"/>
      <c r="CK2362" s="1"/>
      <c r="CL2362" s="1"/>
      <c r="CM2362" s="1"/>
      <c r="CN2362" s="1"/>
      <c r="CO2362" s="1"/>
      <c r="CP2362" s="1"/>
      <c r="CQ2362" s="1"/>
      <c r="CR2362" s="1"/>
      <c r="CS2362" s="1"/>
      <c r="CT2362" s="1"/>
      <c r="CU2362" s="1"/>
      <c r="CV2362" s="1"/>
      <c r="CW2362" s="1"/>
      <c r="CX2362" s="1"/>
      <c r="CY2362" s="1"/>
      <c r="CZ2362" s="1"/>
      <c r="DA2362" s="1"/>
      <c r="DB2362" s="1"/>
      <c r="DC2362" s="1"/>
    </row>
    <row r="2363" spans="1:107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  <c r="BX2363" s="1"/>
      <c r="BY2363" s="1"/>
      <c r="BZ2363" s="1"/>
      <c r="CA2363" s="1"/>
      <c r="CB2363" s="1"/>
      <c r="CC2363" s="1"/>
      <c r="CD2363" s="1"/>
      <c r="CE2363" s="1"/>
      <c r="CF2363" s="1"/>
      <c r="CG2363" s="1"/>
      <c r="CH2363" s="1"/>
      <c r="CI2363" s="1"/>
      <c r="CJ2363" s="1"/>
      <c r="CK2363" s="1"/>
      <c r="CL2363" s="1"/>
      <c r="CM2363" s="1"/>
      <c r="CN2363" s="1"/>
      <c r="CO2363" s="1"/>
      <c r="CP2363" s="1"/>
      <c r="CQ2363" s="1"/>
      <c r="CR2363" s="1"/>
      <c r="CS2363" s="1"/>
      <c r="CT2363" s="1"/>
      <c r="CU2363" s="1"/>
      <c r="CV2363" s="1"/>
      <c r="CW2363" s="1"/>
      <c r="CX2363" s="1"/>
      <c r="CY2363" s="1"/>
      <c r="CZ2363" s="1"/>
      <c r="DA2363" s="1"/>
      <c r="DB2363" s="1"/>
      <c r="DC2363" s="1"/>
    </row>
    <row r="2364" spans="1:107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  <c r="BR2364" s="1"/>
      <c r="BS2364" s="1"/>
      <c r="BT2364" s="1"/>
      <c r="BU2364" s="1"/>
      <c r="BV2364" s="1"/>
      <c r="BW2364" s="1"/>
      <c r="BX2364" s="1"/>
      <c r="BY2364" s="1"/>
      <c r="BZ2364" s="1"/>
      <c r="CA2364" s="1"/>
      <c r="CB2364" s="1"/>
      <c r="CC2364" s="1"/>
      <c r="CD2364" s="1"/>
      <c r="CE2364" s="1"/>
      <c r="CF2364" s="1"/>
      <c r="CG2364" s="1"/>
      <c r="CH2364" s="1"/>
      <c r="CI2364" s="1"/>
      <c r="CJ2364" s="1"/>
      <c r="CK2364" s="1"/>
      <c r="CL2364" s="1"/>
      <c r="CM2364" s="1"/>
      <c r="CN2364" s="1"/>
      <c r="CO2364" s="1"/>
      <c r="CP2364" s="1"/>
      <c r="CQ2364" s="1"/>
      <c r="CR2364" s="1"/>
      <c r="CS2364" s="1"/>
      <c r="CT2364" s="1"/>
      <c r="CU2364" s="1"/>
      <c r="CV2364" s="1"/>
      <c r="CW2364" s="1"/>
      <c r="CX2364" s="1"/>
      <c r="CY2364" s="1"/>
      <c r="CZ2364" s="1"/>
      <c r="DA2364" s="1"/>
      <c r="DB2364" s="1"/>
      <c r="DC2364" s="1"/>
    </row>
    <row r="2365" spans="1:107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  <c r="BR2365" s="1"/>
      <c r="BS2365" s="1"/>
      <c r="BT2365" s="1"/>
      <c r="BU2365" s="1"/>
      <c r="BV2365" s="1"/>
      <c r="BW2365" s="1"/>
      <c r="BX2365" s="1"/>
      <c r="BY2365" s="1"/>
      <c r="BZ2365" s="1"/>
      <c r="CA2365" s="1"/>
      <c r="CB2365" s="1"/>
      <c r="CC2365" s="1"/>
      <c r="CD2365" s="1"/>
      <c r="CE2365" s="1"/>
      <c r="CF2365" s="1"/>
      <c r="CG2365" s="1"/>
      <c r="CH2365" s="1"/>
      <c r="CI2365" s="1"/>
      <c r="CJ2365" s="1"/>
      <c r="CK2365" s="1"/>
      <c r="CL2365" s="1"/>
      <c r="CM2365" s="1"/>
      <c r="CN2365" s="1"/>
      <c r="CO2365" s="1"/>
      <c r="CP2365" s="1"/>
      <c r="CQ2365" s="1"/>
      <c r="CR2365" s="1"/>
      <c r="CS2365" s="1"/>
      <c r="CT2365" s="1"/>
      <c r="CU2365" s="1"/>
      <c r="CV2365" s="1"/>
      <c r="CW2365" s="1"/>
      <c r="CX2365" s="1"/>
      <c r="CY2365" s="1"/>
      <c r="CZ2365" s="1"/>
      <c r="DA2365" s="1"/>
      <c r="DB2365" s="1"/>
      <c r="DC2365" s="1"/>
    </row>
    <row r="2366" spans="1:107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  <c r="BS2366" s="1"/>
      <c r="BT2366" s="1"/>
      <c r="BU2366" s="1"/>
      <c r="BV2366" s="1"/>
      <c r="BW2366" s="1"/>
      <c r="BX2366" s="1"/>
      <c r="BY2366" s="1"/>
      <c r="BZ2366" s="1"/>
      <c r="CA2366" s="1"/>
      <c r="CB2366" s="1"/>
      <c r="CC2366" s="1"/>
      <c r="CD2366" s="1"/>
      <c r="CE2366" s="1"/>
      <c r="CF2366" s="1"/>
      <c r="CG2366" s="1"/>
      <c r="CH2366" s="1"/>
      <c r="CI2366" s="1"/>
      <c r="CJ2366" s="1"/>
      <c r="CK2366" s="1"/>
      <c r="CL2366" s="1"/>
      <c r="CM2366" s="1"/>
      <c r="CN2366" s="1"/>
      <c r="CO2366" s="1"/>
      <c r="CP2366" s="1"/>
      <c r="CQ2366" s="1"/>
      <c r="CR2366" s="1"/>
      <c r="CS2366" s="1"/>
      <c r="CT2366" s="1"/>
      <c r="CU2366" s="1"/>
      <c r="CV2366" s="1"/>
      <c r="CW2366" s="1"/>
      <c r="CX2366" s="1"/>
      <c r="CY2366" s="1"/>
      <c r="CZ2366" s="1"/>
      <c r="DA2366" s="1"/>
      <c r="DB2366" s="1"/>
      <c r="DC2366" s="1"/>
    </row>
    <row r="2367" spans="1:107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  <c r="BZ2367" s="1"/>
      <c r="CA2367" s="1"/>
      <c r="CB2367" s="1"/>
      <c r="CC2367" s="1"/>
      <c r="CD2367" s="1"/>
      <c r="CE2367" s="1"/>
      <c r="CF2367" s="1"/>
      <c r="CG2367" s="1"/>
      <c r="CH2367" s="1"/>
      <c r="CI2367" s="1"/>
      <c r="CJ2367" s="1"/>
      <c r="CK2367" s="1"/>
      <c r="CL2367" s="1"/>
      <c r="CM2367" s="1"/>
      <c r="CN2367" s="1"/>
      <c r="CO2367" s="1"/>
      <c r="CP2367" s="1"/>
      <c r="CQ2367" s="1"/>
      <c r="CR2367" s="1"/>
      <c r="CS2367" s="1"/>
      <c r="CT2367" s="1"/>
      <c r="CU2367" s="1"/>
      <c r="CV2367" s="1"/>
      <c r="CW2367" s="1"/>
      <c r="CX2367" s="1"/>
      <c r="CY2367" s="1"/>
      <c r="CZ2367" s="1"/>
      <c r="DA2367" s="1"/>
      <c r="DB2367" s="1"/>
      <c r="DC2367" s="1"/>
    </row>
    <row r="2368" spans="1:107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/>
      <c r="BR2368" s="1"/>
      <c r="BS2368" s="1"/>
      <c r="BT2368" s="1"/>
      <c r="BU2368" s="1"/>
      <c r="BV2368" s="1"/>
      <c r="BW2368" s="1"/>
      <c r="BX2368" s="1"/>
      <c r="BY2368" s="1"/>
      <c r="BZ2368" s="1"/>
      <c r="CA2368" s="1"/>
      <c r="CB2368" s="1"/>
      <c r="CC2368" s="1"/>
      <c r="CD2368" s="1"/>
      <c r="CE2368" s="1"/>
      <c r="CF2368" s="1"/>
      <c r="CG2368" s="1"/>
      <c r="CH2368" s="1"/>
      <c r="CI2368" s="1"/>
      <c r="CJ2368" s="1"/>
      <c r="CK2368" s="1"/>
      <c r="CL2368" s="1"/>
      <c r="CM2368" s="1"/>
      <c r="CN2368" s="1"/>
      <c r="CO2368" s="1"/>
      <c r="CP2368" s="1"/>
      <c r="CQ2368" s="1"/>
      <c r="CR2368" s="1"/>
      <c r="CS2368" s="1"/>
      <c r="CT2368" s="1"/>
      <c r="CU2368" s="1"/>
      <c r="CV2368" s="1"/>
      <c r="CW2368" s="1"/>
      <c r="CX2368" s="1"/>
      <c r="CY2368" s="1"/>
      <c r="CZ2368" s="1"/>
      <c r="DA2368" s="1"/>
      <c r="DB2368" s="1"/>
      <c r="DC2368" s="1"/>
    </row>
    <row r="2369" spans="1:107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  <c r="BR2369" s="1"/>
      <c r="BS2369" s="1"/>
      <c r="BT2369" s="1"/>
      <c r="BU2369" s="1"/>
      <c r="BV2369" s="1"/>
      <c r="BW2369" s="1"/>
      <c r="BX2369" s="1"/>
      <c r="BY2369" s="1"/>
      <c r="BZ2369" s="1"/>
      <c r="CA2369" s="1"/>
      <c r="CB2369" s="1"/>
      <c r="CC2369" s="1"/>
      <c r="CD2369" s="1"/>
      <c r="CE2369" s="1"/>
      <c r="CF2369" s="1"/>
      <c r="CG2369" s="1"/>
      <c r="CH2369" s="1"/>
      <c r="CI2369" s="1"/>
      <c r="CJ2369" s="1"/>
      <c r="CK2369" s="1"/>
      <c r="CL2369" s="1"/>
      <c r="CM2369" s="1"/>
      <c r="CN2369" s="1"/>
      <c r="CO2369" s="1"/>
      <c r="CP2369" s="1"/>
      <c r="CQ2369" s="1"/>
      <c r="CR2369" s="1"/>
      <c r="CS2369" s="1"/>
      <c r="CT2369" s="1"/>
      <c r="CU2369" s="1"/>
      <c r="CV2369" s="1"/>
      <c r="CW2369" s="1"/>
      <c r="CX2369" s="1"/>
      <c r="CY2369" s="1"/>
      <c r="CZ2369" s="1"/>
      <c r="DA2369" s="1"/>
      <c r="DB2369" s="1"/>
      <c r="DC2369" s="1"/>
    </row>
    <row r="2370" spans="1:107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/>
      <c r="BQ2370" s="1"/>
      <c r="BR2370" s="1"/>
      <c r="BS2370" s="1"/>
      <c r="BT2370" s="1"/>
      <c r="BU2370" s="1"/>
      <c r="BV2370" s="1"/>
      <c r="BW2370" s="1"/>
      <c r="BX2370" s="1"/>
      <c r="BY2370" s="1"/>
      <c r="BZ2370" s="1"/>
      <c r="CA2370" s="1"/>
      <c r="CB2370" s="1"/>
      <c r="CC2370" s="1"/>
      <c r="CD2370" s="1"/>
      <c r="CE2370" s="1"/>
      <c r="CF2370" s="1"/>
      <c r="CG2370" s="1"/>
      <c r="CH2370" s="1"/>
      <c r="CI2370" s="1"/>
      <c r="CJ2370" s="1"/>
      <c r="CK2370" s="1"/>
      <c r="CL2370" s="1"/>
      <c r="CM2370" s="1"/>
      <c r="CN2370" s="1"/>
      <c r="CO2370" s="1"/>
      <c r="CP2370" s="1"/>
      <c r="CQ2370" s="1"/>
      <c r="CR2370" s="1"/>
      <c r="CS2370" s="1"/>
      <c r="CT2370" s="1"/>
      <c r="CU2370" s="1"/>
      <c r="CV2370" s="1"/>
      <c r="CW2370" s="1"/>
      <c r="CX2370" s="1"/>
      <c r="CY2370" s="1"/>
      <c r="CZ2370" s="1"/>
      <c r="DA2370" s="1"/>
      <c r="DB2370" s="1"/>
      <c r="DC2370" s="1"/>
    </row>
    <row r="2371" spans="1:107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  <c r="BR2371" s="1"/>
      <c r="BS2371" s="1"/>
      <c r="BT2371" s="1"/>
      <c r="BU2371" s="1"/>
      <c r="BV2371" s="1"/>
      <c r="BW2371" s="1"/>
      <c r="BX2371" s="1"/>
      <c r="BY2371" s="1"/>
      <c r="BZ2371" s="1"/>
      <c r="CA2371" s="1"/>
      <c r="CB2371" s="1"/>
      <c r="CC2371" s="1"/>
      <c r="CD2371" s="1"/>
      <c r="CE2371" s="1"/>
      <c r="CF2371" s="1"/>
      <c r="CG2371" s="1"/>
      <c r="CH2371" s="1"/>
      <c r="CI2371" s="1"/>
      <c r="CJ2371" s="1"/>
      <c r="CK2371" s="1"/>
      <c r="CL2371" s="1"/>
      <c r="CM2371" s="1"/>
      <c r="CN2371" s="1"/>
      <c r="CO2371" s="1"/>
      <c r="CP2371" s="1"/>
      <c r="CQ2371" s="1"/>
      <c r="CR2371" s="1"/>
      <c r="CS2371" s="1"/>
      <c r="CT2371" s="1"/>
      <c r="CU2371" s="1"/>
      <c r="CV2371" s="1"/>
      <c r="CW2371" s="1"/>
      <c r="CX2371" s="1"/>
      <c r="CY2371" s="1"/>
      <c r="CZ2371" s="1"/>
      <c r="DA2371" s="1"/>
      <c r="DB2371" s="1"/>
      <c r="DC2371" s="1"/>
    </row>
    <row r="2372" spans="1:107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/>
      <c r="BQ2372" s="1"/>
      <c r="BR2372" s="1"/>
      <c r="BS2372" s="1"/>
      <c r="BT2372" s="1"/>
      <c r="BU2372" s="1"/>
      <c r="BV2372" s="1"/>
      <c r="BW2372" s="1"/>
      <c r="BX2372" s="1"/>
      <c r="BY2372" s="1"/>
      <c r="BZ2372" s="1"/>
      <c r="CA2372" s="1"/>
      <c r="CB2372" s="1"/>
      <c r="CC2372" s="1"/>
      <c r="CD2372" s="1"/>
      <c r="CE2372" s="1"/>
      <c r="CF2372" s="1"/>
      <c r="CG2372" s="1"/>
      <c r="CH2372" s="1"/>
      <c r="CI2372" s="1"/>
      <c r="CJ2372" s="1"/>
      <c r="CK2372" s="1"/>
      <c r="CL2372" s="1"/>
      <c r="CM2372" s="1"/>
      <c r="CN2372" s="1"/>
      <c r="CO2372" s="1"/>
      <c r="CP2372" s="1"/>
      <c r="CQ2372" s="1"/>
      <c r="CR2372" s="1"/>
      <c r="CS2372" s="1"/>
      <c r="CT2372" s="1"/>
      <c r="CU2372" s="1"/>
      <c r="CV2372" s="1"/>
      <c r="CW2372" s="1"/>
      <c r="CX2372" s="1"/>
      <c r="CY2372" s="1"/>
      <c r="CZ2372" s="1"/>
      <c r="DA2372" s="1"/>
      <c r="DB2372" s="1"/>
      <c r="DC2372" s="1"/>
    </row>
    <row r="2373" spans="1:107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  <c r="BR2373" s="1"/>
      <c r="BS2373" s="1"/>
      <c r="BT2373" s="1"/>
      <c r="BU2373" s="1"/>
      <c r="BV2373" s="1"/>
      <c r="BW2373" s="1"/>
      <c r="BX2373" s="1"/>
      <c r="BY2373" s="1"/>
      <c r="BZ2373" s="1"/>
      <c r="CA2373" s="1"/>
      <c r="CB2373" s="1"/>
      <c r="CC2373" s="1"/>
      <c r="CD2373" s="1"/>
      <c r="CE2373" s="1"/>
      <c r="CF2373" s="1"/>
      <c r="CG2373" s="1"/>
      <c r="CH2373" s="1"/>
      <c r="CI2373" s="1"/>
      <c r="CJ2373" s="1"/>
      <c r="CK2373" s="1"/>
      <c r="CL2373" s="1"/>
      <c r="CM2373" s="1"/>
      <c r="CN2373" s="1"/>
      <c r="CO2373" s="1"/>
      <c r="CP2373" s="1"/>
      <c r="CQ2373" s="1"/>
      <c r="CR2373" s="1"/>
      <c r="CS2373" s="1"/>
      <c r="CT2373" s="1"/>
      <c r="CU2373" s="1"/>
      <c r="CV2373" s="1"/>
      <c r="CW2373" s="1"/>
      <c r="CX2373" s="1"/>
      <c r="CY2373" s="1"/>
      <c r="CZ2373" s="1"/>
      <c r="DA2373" s="1"/>
      <c r="DB2373" s="1"/>
      <c r="DC2373" s="1"/>
    </row>
    <row r="2374" spans="1:107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  <c r="BR2374" s="1"/>
      <c r="BS2374" s="1"/>
      <c r="BT2374" s="1"/>
      <c r="BU2374" s="1"/>
      <c r="BV2374" s="1"/>
      <c r="BW2374" s="1"/>
      <c r="BX2374" s="1"/>
      <c r="BY2374" s="1"/>
      <c r="BZ2374" s="1"/>
      <c r="CA2374" s="1"/>
      <c r="CB2374" s="1"/>
      <c r="CC2374" s="1"/>
      <c r="CD2374" s="1"/>
      <c r="CE2374" s="1"/>
      <c r="CF2374" s="1"/>
      <c r="CG2374" s="1"/>
      <c r="CH2374" s="1"/>
      <c r="CI2374" s="1"/>
      <c r="CJ2374" s="1"/>
      <c r="CK2374" s="1"/>
      <c r="CL2374" s="1"/>
      <c r="CM2374" s="1"/>
      <c r="CN2374" s="1"/>
      <c r="CO2374" s="1"/>
      <c r="CP2374" s="1"/>
      <c r="CQ2374" s="1"/>
      <c r="CR2374" s="1"/>
      <c r="CS2374" s="1"/>
      <c r="CT2374" s="1"/>
      <c r="CU2374" s="1"/>
      <c r="CV2374" s="1"/>
      <c r="CW2374" s="1"/>
      <c r="CX2374" s="1"/>
      <c r="CY2374" s="1"/>
      <c r="CZ2374" s="1"/>
      <c r="DA2374" s="1"/>
      <c r="DB2374" s="1"/>
      <c r="DC2374" s="1"/>
    </row>
    <row r="2375" spans="1:107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  <c r="BR2375" s="1"/>
      <c r="BS2375" s="1"/>
      <c r="BT2375" s="1"/>
      <c r="BU2375" s="1"/>
      <c r="BV2375" s="1"/>
      <c r="BW2375" s="1"/>
      <c r="BX2375" s="1"/>
      <c r="BY2375" s="1"/>
      <c r="BZ2375" s="1"/>
      <c r="CA2375" s="1"/>
      <c r="CB2375" s="1"/>
      <c r="CC2375" s="1"/>
      <c r="CD2375" s="1"/>
      <c r="CE2375" s="1"/>
      <c r="CF2375" s="1"/>
      <c r="CG2375" s="1"/>
      <c r="CH2375" s="1"/>
      <c r="CI2375" s="1"/>
      <c r="CJ2375" s="1"/>
      <c r="CK2375" s="1"/>
      <c r="CL2375" s="1"/>
      <c r="CM2375" s="1"/>
      <c r="CN2375" s="1"/>
      <c r="CO2375" s="1"/>
      <c r="CP2375" s="1"/>
      <c r="CQ2375" s="1"/>
      <c r="CR2375" s="1"/>
      <c r="CS2375" s="1"/>
      <c r="CT2375" s="1"/>
      <c r="CU2375" s="1"/>
      <c r="CV2375" s="1"/>
      <c r="CW2375" s="1"/>
      <c r="CX2375" s="1"/>
      <c r="CY2375" s="1"/>
      <c r="CZ2375" s="1"/>
      <c r="DA2375" s="1"/>
      <c r="DB2375" s="1"/>
      <c r="DC2375" s="1"/>
    </row>
    <row r="2376" spans="1:107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  <c r="BM2376" s="1"/>
      <c r="BN2376" s="1"/>
      <c r="BO2376" s="1"/>
      <c r="BP2376" s="1"/>
      <c r="BQ2376" s="1"/>
      <c r="BR2376" s="1"/>
      <c r="BS2376" s="1"/>
      <c r="BT2376" s="1"/>
      <c r="BU2376" s="1"/>
      <c r="BV2376" s="1"/>
      <c r="BW2376" s="1"/>
      <c r="BX2376" s="1"/>
      <c r="BY2376" s="1"/>
      <c r="BZ2376" s="1"/>
      <c r="CA2376" s="1"/>
      <c r="CB2376" s="1"/>
      <c r="CC2376" s="1"/>
      <c r="CD2376" s="1"/>
      <c r="CE2376" s="1"/>
      <c r="CF2376" s="1"/>
      <c r="CG2376" s="1"/>
      <c r="CH2376" s="1"/>
      <c r="CI2376" s="1"/>
      <c r="CJ2376" s="1"/>
      <c r="CK2376" s="1"/>
      <c r="CL2376" s="1"/>
      <c r="CM2376" s="1"/>
      <c r="CN2376" s="1"/>
      <c r="CO2376" s="1"/>
      <c r="CP2376" s="1"/>
      <c r="CQ2376" s="1"/>
      <c r="CR2376" s="1"/>
      <c r="CS2376" s="1"/>
      <c r="CT2376" s="1"/>
      <c r="CU2376" s="1"/>
      <c r="CV2376" s="1"/>
      <c r="CW2376" s="1"/>
      <c r="CX2376" s="1"/>
      <c r="CY2376" s="1"/>
      <c r="CZ2376" s="1"/>
      <c r="DA2376" s="1"/>
      <c r="DB2376" s="1"/>
      <c r="DC2376" s="1"/>
    </row>
    <row r="2377" spans="1:107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  <c r="BR2377" s="1"/>
      <c r="BS2377" s="1"/>
      <c r="BT2377" s="1"/>
      <c r="BU2377" s="1"/>
      <c r="BV2377" s="1"/>
      <c r="BW2377" s="1"/>
      <c r="BX2377" s="1"/>
      <c r="BY2377" s="1"/>
      <c r="BZ2377" s="1"/>
      <c r="CA2377" s="1"/>
      <c r="CB2377" s="1"/>
      <c r="CC2377" s="1"/>
      <c r="CD2377" s="1"/>
      <c r="CE2377" s="1"/>
      <c r="CF2377" s="1"/>
      <c r="CG2377" s="1"/>
      <c r="CH2377" s="1"/>
      <c r="CI2377" s="1"/>
      <c r="CJ2377" s="1"/>
      <c r="CK2377" s="1"/>
      <c r="CL2377" s="1"/>
      <c r="CM2377" s="1"/>
      <c r="CN2377" s="1"/>
      <c r="CO2377" s="1"/>
      <c r="CP2377" s="1"/>
      <c r="CQ2377" s="1"/>
      <c r="CR2377" s="1"/>
      <c r="CS2377" s="1"/>
      <c r="CT2377" s="1"/>
      <c r="CU2377" s="1"/>
      <c r="CV2377" s="1"/>
      <c r="CW2377" s="1"/>
      <c r="CX2377" s="1"/>
      <c r="CY2377" s="1"/>
      <c r="CZ2377" s="1"/>
      <c r="DA2377" s="1"/>
      <c r="DB2377" s="1"/>
      <c r="DC2377" s="1"/>
    </row>
    <row r="2378" spans="1:107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  <c r="BM2378" s="1"/>
      <c r="BN2378" s="1"/>
      <c r="BO2378" s="1"/>
      <c r="BP2378" s="1"/>
      <c r="BQ2378" s="1"/>
      <c r="BR2378" s="1"/>
      <c r="BS2378" s="1"/>
      <c r="BT2378" s="1"/>
      <c r="BU2378" s="1"/>
      <c r="BV2378" s="1"/>
      <c r="BW2378" s="1"/>
      <c r="BX2378" s="1"/>
      <c r="BY2378" s="1"/>
      <c r="BZ2378" s="1"/>
      <c r="CA2378" s="1"/>
      <c r="CB2378" s="1"/>
      <c r="CC2378" s="1"/>
      <c r="CD2378" s="1"/>
      <c r="CE2378" s="1"/>
      <c r="CF2378" s="1"/>
      <c r="CG2378" s="1"/>
      <c r="CH2378" s="1"/>
      <c r="CI2378" s="1"/>
      <c r="CJ2378" s="1"/>
      <c r="CK2378" s="1"/>
      <c r="CL2378" s="1"/>
      <c r="CM2378" s="1"/>
      <c r="CN2378" s="1"/>
      <c r="CO2378" s="1"/>
      <c r="CP2378" s="1"/>
      <c r="CQ2378" s="1"/>
      <c r="CR2378" s="1"/>
      <c r="CS2378" s="1"/>
      <c r="CT2378" s="1"/>
      <c r="CU2378" s="1"/>
      <c r="CV2378" s="1"/>
      <c r="CW2378" s="1"/>
      <c r="CX2378" s="1"/>
      <c r="CY2378" s="1"/>
      <c r="CZ2378" s="1"/>
      <c r="DA2378" s="1"/>
      <c r="DB2378" s="1"/>
      <c r="DC2378" s="1"/>
    </row>
    <row r="2379" spans="1:107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  <c r="BR2379" s="1"/>
      <c r="BS2379" s="1"/>
      <c r="BT2379" s="1"/>
      <c r="BU2379" s="1"/>
      <c r="BV2379" s="1"/>
      <c r="BW2379" s="1"/>
      <c r="BX2379" s="1"/>
      <c r="BY2379" s="1"/>
      <c r="BZ2379" s="1"/>
      <c r="CA2379" s="1"/>
      <c r="CB2379" s="1"/>
      <c r="CC2379" s="1"/>
      <c r="CD2379" s="1"/>
      <c r="CE2379" s="1"/>
      <c r="CF2379" s="1"/>
      <c r="CG2379" s="1"/>
      <c r="CH2379" s="1"/>
      <c r="CI2379" s="1"/>
      <c r="CJ2379" s="1"/>
      <c r="CK2379" s="1"/>
      <c r="CL2379" s="1"/>
      <c r="CM2379" s="1"/>
      <c r="CN2379" s="1"/>
      <c r="CO2379" s="1"/>
      <c r="CP2379" s="1"/>
      <c r="CQ2379" s="1"/>
      <c r="CR2379" s="1"/>
      <c r="CS2379" s="1"/>
      <c r="CT2379" s="1"/>
      <c r="CU2379" s="1"/>
      <c r="CV2379" s="1"/>
      <c r="CW2379" s="1"/>
      <c r="CX2379" s="1"/>
      <c r="CY2379" s="1"/>
      <c r="CZ2379" s="1"/>
      <c r="DA2379" s="1"/>
      <c r="DB2379" s="1"/>
      <c r="DC2379" s="1"/>
    </row>
    <row r="2380" spans="1:107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  <c r="BM2380" s="1"/>
      <c r="BN2380" s="1"/>
      <c r="BO2380" s="1"/>
      <c r="BP2380" s="1"/>
      <c r="BQ2380" s="1"/>
      <c r="BR2380" s="1"/>
      <c r="BS2380" s="1"/>
      <c r="BT2380" s="1"/>
      <c r="BU2380" s="1"/>
      <c r="BV2380" s="1"/>
      <c r="BW2380" s="1"/>
      <c r="BX2380" s="1"/>
      <c r="BY2380" s="1"/>
      <c r="BZ2380" s="1"/>
      <c r="CA2380" s="1"/>
      <c r="CB2380" s="1"/>
      <c r="CC2380" s="1"/>
      <c r="CD2380" s="1"/>
      <c r="CE2380" s="1"/>
      <c r="CF2380" s="1"/>
      <c r="CG2380" s="1"/>
      <c r="CH2380" s="1"/>
      <c r="CI2380" s="1"/>
      <c r="CJ2380" s="1"/>
      <c r="CK2380" s="1"/>
      <c r="CL2380" s="1"/>
      <c r="CM2380" s="1"/>
      <c r="CN2380" s="1"/>
      <c r="CO2380" s="1"/>
      <c r="CP2380" s="1"/>
      <c r="CQ2380" s="1"/>
      <c r="CR2380" s="1"/>
      <c r="CS2380" s="1"/>
      <c r="CT2380" s="1"/>
      <c r="CU2380" s="1"/>
      <c r="CV2380" s="1"/>
      <c r="CW2380" s="1"/>
      <c r="CX2380" s="1"/>
      <c r="CY2380" s="1"/>
      <c r="CZ2380" s="1"/>
      <c r="DA2380" s="1"/>
      <c r="DB2380" s="1"/>
      <c r="DC2380" s="1"/>
    </row>
    <row r="2381" spans="1:107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  <c r="BR2381" s="1"/>
      <c r="BS2381" s="1"/>
      <c r="BT2381" s="1"/>
      <c r="BU2381" s="1"/>
      <c r="BV2381" s="1"/>
      <c r="BW2381" s="1"/>
      <c r="BX2381" s="1"/>
      <c r="BY2381" s="1"/>
      <c r="BZ2381" s="1"/>
      <c r="CA2381" s="1"/>
      <c r="CB2381" s="1"/>
      <c r="CC2381" s="1"/>
      <c r="CD2381" s="1"/>
      <c r="CE2381" s="1"/>
      <c r="CF2381" s="1"/>
      <c r="CG2381" s="1"/>
      <c r="CH2381" s="1"/>
      <c r="CI2381" s="1"/>
      <c r="CJ2381" s="1"/>
      <c r="CK2381" s="1"/>
      <c r="CL2381" s="1"/>
      <c r="CM2381" s="1"/>
      <c r="CN2381" s="1"/>
      <c r="CO2381" s="1"/>
      <c r="CP2381" s="1"/>
      <c r="CQ2381" s="1"/>
      <c r="CR2381" s="1"/>
      <c r="CS2381" s="1"/>
      <c r="CT2381" s="1"/>
      <c r="CU2381" s="1"/>
      <c r="CV2381" s="1"/>
      <c r="CW2381" s="1"/>
      <c r="CX2381" s="1"/>
      <c r="CY2381" s="1"/>
      <c r="CZ2381" s="1"/>
      <c r="DA2381" s="1"/>
      <c r="DB2381" s="1"/>
      <c r="DC2381" s="1"/>
    </row>
    <row r="2382" spans="1:107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/>
      <c r="BQ2382" s="1"/>
      <c r="BR2382" s="1"/>
      <c r="BS2382" s="1"/>
      <c r="BT2382" s="1"/>
      <c r="BU2382" s="1"/>
      <c r="BV2382" s="1"/>
      <c r="BW2382" s="1"/>
      <c r="BX2382" s="1"/>
      <c r="BY2382" s="1"/>
      <c r="BZ2382" s="1"/>
      <c r="CA2382" s="1"/>
      <c r="CB2382" s="1"/>
      <c r="CC2382" s="1"/>
      <c r="CD2382" s="1"/>
      <c r="CE2382" s="1"/>
      <c r="CF2382" s="1"/>
      <c r="CG2382" s="1"/>
      <c r="CH2382" s="1"/>
      <c r="CI2382" s="1"/>
      <c r="CJ2382" s="1"/>
      <c r="CK2382" s="1"/>
      <c r="CL2382" s="1"/>
      <c r="CM2382" s="1"/>
      <c r="CN2382" s="1"/>
      <c r="CO2382" s="1"/>
      <c r="CP2382" s="1"/>
      <c r="CQ2382" s="1"/>
      <c r="CR2382" s="1"/>
      <c r="CS2382" s="1"/>
      <c r="CT2382" s="1"/>
      <c r="CU2382" s="1"/>
      <c r="CV2382" s="1"/>
      <c r="CW2382" s="1"/>
      <c r="CX2382" s="1"/>
      <c r="CY2382" s="1"/>
      <c r="CZ2382" s="1"/>
      <c r="DA2382" s="1"/>
      <c r="DB2382" s="1"/>
      <c r="DC2382" s="1"/>
    </row>
    <row r="2383" spans="1:107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  <c r="BR2383" s="1"/>
      <c r="BS2383" s="1"/>
      <c r="BT2383" s="1"/>
      <c r="BU2383" s="1"/>
      <c r="BV2383" s="1"/>
      <c r="BW2383" s="1"/>
      <c r="BX2383" s="1"/>
      <c r="BY2383" s="1"/>
      <c r="BZ2383" s="1"/>
      <c r="CA2383" s="1"/>
      <c r="CB2383" s="1"/>
      <c r="CC2383" s="1"/>
      <c r="CD2383" s="1"/>
      <c r="CE2383" s="1"/>
      <c r="CF2383" s="1"/>
      <c r="CG2383" s="1"/>
      <c r="CH2383" s="1"/>
      <c r="CI2383" s="1"/>
      <c r="CJ2383" s="1"/>
      <c r="CK2383" s="1"/>
      <c r="CL2383" s="1"/>
      <c r="CM2383" s="1"/>
      <c r="CN2383" s="1"/>
      <c r="CO2383" s="1"/>
      <c r="CP2383" s="1"/>
      <c r="CQ2383" s="1"/>
      <c r="CR2383" s="1"/>
      <c r="CS2383" s="1"/>
      <c r="CT2383" s="1"/>
      <c r="CU2383" s="1"/>
      <c r="CV2383" s="1"/>
      <c r="CW2383" s="1"/>
      <c r="CX2383" s="1"/>
      <c r="CY2383" s="1"/>
      <c r="CZ2383" s="1"/>
      <c r="DA2383" s="1"/>
      <c r="DB2383" s="1"/>
      <c r="DC2383" s="1"/>
    </row>
    <row r="2384" spans="1:107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/>
      <c r="BQ2384" s="1"/>
      <c r="BR2384" s="1"/>
      <c r="BS2384" s="1"/>
      <c r="BT2384" s="1"/>
      <c r="BU2384" s="1"/>
      <c r="BV2384" s="1"/>
      <c r="BW2384" s="1"/>
      <c r="BX2384" s="1"/>
      <c r="BY2384" s="1"/>
      <c r="BZ2384" s="1"/>
      <c r="CA2384" s="1"/>
      <c r="CB2384" s="1"/>
      <c r="CC2384" s="1"/>
      <c r="CD2384" s="1"/>
      <c r="CE2384" s="1"/>
      <c r="CF2384" s="1"/>
      <c r="CG2384" s="1"/>
      <c r="CH2384" s="1"/>
      <c r="CI2384" s="1"/>
      <c r="CJ2384" s="1"/>
      <c r="CK2384" s="1"/>
      <c r="CL2384" s="1"/>
      <c r="CM2384" s="1"/>
      <c r="CN2384" s="1"/>
      <c r="CO2384" s="1"/>
      <c r="CP2384" s="1"/>
      <c r="CQ2384" s="1"/>
      <c r="CR2384" s="1"/>
      <c r="CS2384" s="1"/>
      <c r="CT2384" s="1"/>
      <c r="CU2384" s="1"/>
      <c r="CV2384" s="1"/>
      <c r="CW2384" s="1"/>
      <c r="CX2384" s="1"/>
      <c r="CY2384" s="1"/>
      <c r="CZ2384" s="1"/>
      <c r="DA2384" s="1"/>
      <c r="DB2384" s="1"/>
      <c r="DC2384" s="1"/>
    </row>
    <row r="2385" spans="1:107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  <c r="BR2385" s="1"/>
      <c r="BS2385" s="1"/>
      <c r="BT2385" s="1"/>
      <c r="BU2385" s="1"/>
      <c r="BV2385" s="1"/>
      <c r="BW2385" s="1"/>
      <c r="BX2385" s="1"/>
      <c r="BY2385" s="1"/>
      <c r="BZ2385" s="1"/>
      <c r="CA2385" s="1"/>
      <c r="CB2385" s="1"/>
      <c r="CC2385" s="1"/>
      <c r="CD2385" s="1"/>
      <c r="CE2385" s="1"/>
      <c r="CF2385" s="1"/>
      <c r="CG2385" s="1"/>
      <c r="CH2385" s="1"/>
      <c r="CI2385" s="1"/>
      <c r="CJ2385" s="1"/>
      <c r="CK2385" s="1"/>
      <c r="CL2385" s="1"/>
      <c r="CM2385" s="1"/>
      <c r="CN2385" s="1"/>
      <c r="CO2385" s="1"/>
      <c r="CP2385" s="1"/>
      <c r="CQ2385" s="1"/>
      <c r="CR2385" s="1"/>
      <c r="CS2385" s="1"/>
      <c r="CT2385" s="1"/>
      <c r="CU2385" s="1"/>
      <c r="CV2385" s="1"/>
      <c r="CW2385" s="1"/>
      <c r="CX2385" s="1"/>
      <c r="CY2385" s="1"/>
      <c r="CZ2385" s="1"/>
      <c r="DA2385" s="1"/>
      <c r="DB2385" s="1"/>
      <c r="DC2385" s="1"/>
    </row>
    <row r="2386" spans="1:107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s="1"/>
      <c r="BO2386" s="1"/>
      <c r="BP2386" s="1"/>
      <c r="BQ2386" s="1"/>
      <c r="BR2386" s="1"/>
      <c r="BS2386" s="1"/>
      <c r="BT2386" s="1"/>
      <c r="BU2386" s="1"/>
      <c r="BV2386" s="1"/>
      <c r="BW2386" s="1"/>
      <c r="BX2386" s="1"/>
      <c r="BY2386" s="1"/>
      <c r="BZ2386" s="1"/>
      <c r="CA2386" s="1"/>
      <c r="CB2386" s="1"/>
      <c r="CC2386" s="1"/>
      <c r="CD2386" s="1"/>
      <c r="CE2386" s="1"/>
      <c r="CF2386" s="1"/>
      <c r="CG2386" s="1"/>
      <c r="CH2386" s="1"/>
      <c r="CI2386" s="1"/>
      <c r="CJ2386" s="1"/>
      <c r="CK2386" s="1"/>
      <c r="CL2386" s="1"/>
      <c r="CM2386" s="1"/>
      <c r="CN2386" s="1"/>
      <c r="CO2386" s="1"/>
      <c r="CP2386" s="1"/>
      <c r="CQ2386" s="1"/>
      <c r="CR2386" s="1"/>
      <c r="CS2386" s="1"/>
      <c r="CT2386" s="1"/>
      <c r="CU2386" s="1"/>
      <c r="CV2386" s="1"/>
      <c r="CW2386" s="1"/>
      <c r="CX2386" s="1"/>
      <c r="CY2386" s="1"/>
      <c r="CZ2386" s="1"/>
      <c r="DA2386" s="1"/>
      <c r="DB2386" s="1"/>
      <c r="DC2386" s="1"/>
    </row>
    <row r="2387" spans="1:107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  <c r="BR2387" s="1"/>
      <c r="BS2387" s="1"/>
      <c r="BT2387" s="1"/>
      <c r="BU2387" s="1"/>
      <c r="BV2387" s="1"/>
      <c r="BW2387" s="1"/>
      <c r="BX2387" s="1"/>
      <c r="BY2387" s="1"/>
      <c r="BZ2387" s="1"/>
      <c r="CA2387" s="1"/>
      <c r="CB2387" s="1"/>
      <c r="CC2387" s="1"/>
      <c r="CD2387" s="1"/>
      <c r="CE2387" s="1"/>
      <c r="CF2387" s="1"/>
      <c r="CG2387" s="1"/>
      <c r="CH2387" s="1"/>
      <c r="CI2387" s="1"/>
      <c r="CJ2387" s="1"/>
      <c r="CK2387" s="1"/>
      <c r="CL2387" s="1"/>
      <c r="CM2387" s="1"/>
      <c r="CN2387" s="1"/>
      <c r="CO2387" s="1"/>
      <c r="CP2387" s="1"/>
      <c r="CQ2387" s="1"/>
      <c r="CR2387" s="1"/>
      <c r="CS2387" s="1"/>
      <c r="CT2387" s="1"/>
      <c r="CU2387" s="1"/>
      <c r="CV2387" s="1"/>
      <c r="CW2387" s="1"/>
      <c r="CX2387" s="1"/>
      <c r="CY2387" s="1"/>
      <c r="CZ2387" s="1"/>
      <c r="DA2387" s="1"/>
      <c r="DB2387" s="1"/>
      <c r="DC2387" s="1"/>
    </row>
    <row r="2388" spans="1:107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/>
      <c r="BQ2388" s="1"/>
      <c r="BR2388" s="1"/>
      <c r="BS2388" s="1"/>
      <c r="BT2388" s="1"/>
      <c r="BU2388" s="1"/>
      <c r="BV2388" s="1"/>
      <c r="BW2388" s="1"/>
      <c r="BX2388" s="1"/>
      <c r="BY2388" s="1"/>
      <c r="BZ2388" s="1"/>
      <c r="CA2388" s="1"/>
      <c r="CB2388" s="1"/>
      <c r="CC2388" s="1"/>
      <c r="CD2388" s="1"/>
      <c r="CE2388" s="1"/>
      <c r="CF2388" s="1"/>
      <c r="CG2388" s="1"/>
      <c r="CH2388" s="1"/>
      <c r="CI2388" s="1"/>
      <c r="CJ2388" s="1"/>
      <c r="CK2388" s="1"/>
      <c r="CL2388" s="1"/>
      <c r="CM2388" s="1"/>
      <c r="CN2388" s="1"/>
      <c r="CO2388" s="1"/>
      <c r="CP2388" s="1"/>
      <c r="CQ2388" s="1"/>
      <c r="CR2388" s="1"/>
      <c r="CS2388" s="1"/>
      <c r="CT2388" s="1"/>
      <c r="CU2388" s="1"/>
      <c r="CV2388" s="1"/>
      <c r="CW2388" s="1"/>
      <c r="CX2388" s="1"/>
      <c r="CY2388" s="1"/>
      <c r="CZ2388" s="1"/>
      <c r="DA2388" s="1"/>
      <c r="DB2388" s="1"/>
      <c r="DC2388" s="1"/>
    </row>
    <row r="2389" spans="1:107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  <c r="BR2389" s="1"/>
      <c r="BS2389" s="1"/>
      <c r="BT2389" s="1"/>
      <c r="BU2389" s="1"/>
      <c r="BV2389" s="1"/>
      <c r="BW2389" s="1"/>
      <c r="BX2389" s="1"/>
      <c r="BY2389" s="1"/>
      <c r="BZ2389" s="1"/>
      <c r="CA2389" s="1"/>
      <c r="CB2389" s="1"/>
      <c r="CC2389" s="1"/>
      <c r="CD2389" s="1"/>
      <c r="CE2389" s="1"/>
      <c r="CF2389" s="1"/>
      <c r="CG2389" s="1"/>
      <c r="CH2389" s="1"/>
      <c r="CI2389" s="1"/>
      <c r="CJ2389" s="1"/>
      <c r="CK2389" s="1"/>
      <c r="CL2389" s="1"/>
      <c r="CM2389" s="1"/>
      <c r="CN2389" s="1"/>
      <c r="CO2389" s="1"/>
      <c r="CP2389" s="1"/>
      <c r="CQ2389" s="1"/>
      <c r="CR2389" s="1"/>
      <c r="CS2389" s="1"/>
      <c r="CT2389" s="1"/>
      <c r="CU2389" s="1"/>
      <c r="CV2389" s="1"/>
      <c r="CW2389" s="1"/>
      <c r="CX2389" s="1"/>
      <c r="CY2389" s="1"/>
      <c r="CZ2389" s="1"/>
      <c r="DA2389" s="1"/>
      <c r="DB2389" s="1"/>
      <c r="DC2389" s="1"/>
    </row>
    <row r="2390" spans="1:107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  <c r="BM2390" s="1"/>
      <c r="BN2390" s="1"/>
      <c r="BO2390" s="1"/>
      <c r="BP2390" s="1"/>
      <c r="BQ2390" s="1"/>
      <c r="BR2390" s="1"/>
      <c r="BS2390" s="1"/>
      <c r="BT2390" s="1"/>
      <c r="BU2390" s="1"/>
      <c r="BV2390" s="1"/>
      <c r="BW2390" s="1"/>
      <c r="BX2390" s="1"/>
      <c r="BY2390" s="1"/>
      <c r="BZ2390" s="1"/>
      <c r="CA2390" s="1"/>
      <c r="CB2390" s="1"/>
      <c r="CC2390" s="1"/>
      <c r="CD2390" s="1"/>
      <c r="CE2390" s="1"/>
      <c r="CF2390" s="1"/>
      <c r="CG2390" s="1"/>
      <c r="CH2390" s="1"/>
      <c r="CI2390" s="1"/>
      <c r="CJ2390" s="1"/>
      <c r="CK2390" s="1"/>
      <c r="CL2390" s="1"/>
      <c r="CM2390" s="1"/>
      <c r="CN2390" s="1"/>
      <c r="CO2390" s="1"/>
      <c r="CP2390" s="1"/>
      <c r="CQ2390" s="1"/>
      <c r="CR2390" s="1"/>
      <c r="CS2390" s="1"/>
      <c r="CT2390" s="1"/>
      <c r="CU2390" s="1"/>
      <c r="CV2390" s="1"/>
      <c r="CW2390" s="1"/>
      <c r="CX2390" s="1"/>
      <c r="CY2390" s="1"/>
      <c r="CZ2390" s="1"/>
      <c r="DA2390" s="1"/>
      <c r="DB2390" s="1"/>
      <c r="DC2390" s="1"/>
    </row>
    <row r="2391" spans="1:107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  <c r="BR2391" s="1"/>
      <c r="BS2391" s="1"/>
      <c r="BT2391" s="1"/>
      <c r="BU2391" s="1"/>
      <c r="BV2391" s="1"/>
      <c r="BW2391" s="1"/>
      <c r="BX2391" s="1"/>
      <c r="BY2391" s="1"/>
      <c r="BZ2391" s="1"/>
      <c r="CA2391" s="1"/>
      <c r="CB2391" s="1"/>
      <c r="CC2391" s="1"/>
      <c r="CD2391" s="1"/>
      <c r="CE2391" s="1"/>
      <c r="CF2391" s="1"/>
      <c r="CG2391" s="1"/>
      <c r="CH2391" s="1"/>
      <c r="CI2391" s="1"/>
      <c r="CJ2391" s="1"/>
      <c r="CK2391" s="1"/>
      <c r="CL2391" s="1"/>
      <c r="CM2391" s="1"/>
      <c r="CN2391" s="1"/>
      <c r="CO2391" s="1"/>
      <c r="CP2391" s="1"/>
      <c r="CQ2391" s="1"/>
      <c r="CR2391" s="1"/>
      <c r="CS2391" s="1"/>
      <c r="CT2391" s="1"/>
      <c r="CU2391" s="1"/>
      <c r="CV2391" s="1"/>
      <c r="CW2391" s="1"/>
      <c r="CX2391" s="1"/>
      <c r="CY2391" s="1"/>
      <c r="CZ2391" s="1"/>
      <c r="DA2391" s="1"/>
      <c r="DB2391" s="1"/>
      <c r="DC2391" s="1"/>
    </row>
    <row r="2392" spans="1:107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  <c r="BM2392" s="1"/>
      <c r="BN2392" s="1"/>
      <c r="BO2392" s="1"/>
      <c r="BP2392" s="1"/>
      <c r="BQ2392" s="1"/>
      <c r="BR2392" s="1"/>
      <c r="BS2392" s="1"/>
      <c r="BT2392" s="1"/>
      <c r="BU2392" s="1"/>
      <c r="BV2392" s="1"/>
      <c r="BW2392" s="1"/>
      <c r="BX2392" s="1"/>
      <c r="BY2392" s="1"/>
      <c r="BZ2392" s="1"/>
      <c r="CA2392" s="1"/>
      <c r="CB2392" s="1"/>
      <c r="CC2392" s="1"/>
      <c r="CD2392" s="1"/>
      <c r="CE2392" s="1"/>
      <c r="CF2392" s="1"/>
      <c r="CG2392" s="1"/>
      <c r="CH2392" s="1"/>
      <c r="CI2392" s="1"/>
      <c r="CJ2392" s="1"/>
      <c r="CK2392" s="1"/>
      <c r="CL2392" s="1"/>
      <c r="CM2392" s="1"/>
      <c r="CN2392" s="1"/>
      <c r="CO2392" s="1"/>
      <c r="CP2392" s="1"/>
      <c r="CQ2392" s="1"/>
      <c r="CR2392" s="1"/>
      <c r="CS2392" s="1"/>
      <c r="CT2392" s="1"/>
      <c r="CU2392" s="1"/>
      <c r="CV2392" s="1"/>
      <c r="CW2392" s="1"/>
      <c r="CX2392" s="1"/>
      <c r="CY2392" s="1"/>
      <c r="CZ2392" s="1"/>
      <c r="DA2392" s="1"/>
      <c r="DB2392" s="1"/>
      <c r="DC2392" s="1"/>
    </row>
    <row r="2393" spans="1:107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  <c r="BR2393" s="1"/>
      <c r="BS2393" s="1"/>
      <c r="BT2393" s="1"/>
      <c r="BU2393" s="1"/>
      <c r="BV2393" s="1"/>
      <c r="BW2393" s="1"/>
      <c r="BX2393" s="1"/>
      <c r="BY2393" s="1"/>
      <c r="BZ2393" s="1"/>
      <c r="CA2393" s="1"/>
      <c r="CB2393" s="1"/>
      <c r="CC2393" s="1"/>
      <c r="CD2393" s="1"/>
      <c r="CE2393" s="1"/>
      <c r="CF2393" s="1"/>
      <c r="CG2393" s="1"/>
      <c r="CH2393" s="1"/>
      <c r="CI2393" s="1"/>
      <c r="CJ2393" s="1"/>
      <c r="CK2393" s="1"/>
      <c r="CL2393" s="1"/>
      <c r="CM2393" s="1"/>
      <c r="CN2393" s="1"/>
      <c r="CO2393" s="1"/>
      <c r="CP2393" s="1"/>
      <c r="CQ2393" s="1"/>
      <c r="CR2393" s="1"/>
      <c r="CS2393" s="1"/>
      <c r="CT2393" s="1"/>
      <c r="CU2393" s="1"/>
      <c r="CV2393" s="1"/>
      <c r="CW2393" s="1"/>
      <c r="CX2393" s="1"/>
      <c r="CY2393" s="1"/>
      <c r="CZ2393" s="1"/>
      <c r="DA2393" s="1"/>
      <c r="DB2393" s="1"/>
      <c r="DC2393" s="1"/>
    </row>
    <row r="2394" spans="1:107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  <c r="BM2394" s="1"/>
      <c r="BN2394" s="1"/>
      <c r="BO2394" s="1"/>
      <c r="BP2394" s="1"/>
      <c r="BQ2394" s="1"/>
      <c r="BR2394" s="1"/>
      <c r="BS2394" s="1"/>
      <c r="BT2394" s="1"/>
      <c r="BU2394" s="1"/>
      <c r="BV2394" s="1"/>
      <c r="BW2394" s="1"/>
      <c r="BX2394" s="1"/>
      <c r="BY2394" s="1"/>
      <c r="BZ2394" s="1"/>
      <c r="CA2394" s="1"/>
      <c r="CB2394" s="1"/>
      <c r="CC2394" s="1"/>
      <c r="CD2394" s="1"/>
      <c r="CE2394" s="1"/>
      <c r="CF2394" s="1"/>
      <c r="CG2394" s="1"/>
      <c r="CH2394" s="1"/>
      <c r="CI2394" s="1"/>
      <c r="CJ2394" s="1"/>
      <c r="CK2394" s="1"/>
      <c r="CL2394" s="1"/>
      <c r="CM2394" s="1"/>
      <c r="CN2394" s="1"/>
      <c r="CO2394" s="1"/>
      <c r="CP2394" s="1"/>
      <c r="CQ2394" s="1"/>
      <c r="CR2394" s="1"/>
      <c r="CS2394" s="1"/>
      <c r="CT2394" s="1"/>
      <c r="CU2394" s="1"/>
      <c r="CV2394" s="1"/>
      <c r="CW2394" s="1"/>
      <c r="CX2394" s="1"/>
      <c r="CY2394" s="1"/>
      <c r="CZ2394" s="1"/>
      <c r="DA2394" s="1"/>
      <c r="DB2394" s="1"/>
      <c r="DC2394" s="1"/>
    </row>
    <row r="2395" spans="1:107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  <c r="BR2395" s="1"/>
      <c r="BS2395" s="1"/>
      <c r="BT2395" s="1"/>
      <c r="BU2395" s="1"/>
      <c r="BV2395" s="1"/>
      <c r="BW2395" s="1"/>
      <c r="BX2395" s="1"/>
      <c r="BY2395" s="1"/>
      <c r="BZ2395" s="1"/>
      <c r="CA2395" s="1"/>
      <c r="CB2395" s="1"/>
      <c r="CC2395" s="1"/>
      <c r="CD2395" s="1"/>
      <c r="CE2395" s="1"/>
      <c r="CF2395" s="1"/>
      <c r="CG2395" s="1"/>
      <c r="CH2395" s="1"/>
      <c r="CI2395" s="1"/>
      <c r="CJ2395" s="1"/>
      <c r="CK2395" s="1"/>
      <c r="CL2395" s="1"/>
      <c r="CM2395" s="1"/>
      <c r="CN2395" s="1"/>
      <c r="CO2395" s="1"/>
      <c r="CP2395" s="1"/>
      <c r="CQ2395" s="1"/>
      <c r="CR2395" s="1"/>
      <c r="CS2395" s="1"/>
      <c r="CT2395" s="1"/>
      <c r="CU2395" s="1"/>
      <c r="CV2395" s="1"/>
      <c r="CW2395" s="1"/>
      <c r="CX2395" s="1"/>
      <c r="CY2395" s="1"/>
      <c r="CZ2395" s="1"/>
      <c r="DA2395" s="1"/>
      <c r="DB2395" s="1"/>
      <c r="DC2395" s="1"/>
    </row>
    <row r="2396" spans="1:107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  <c r="BQ2396" s="1"/>
      <c r="BR2396" s="1"/>
      <c r="BS2396" s="1"/>
      <c r="BT2396" s="1"/>
      <c r="BU2396" s="1"/>
      <c r="BV2396" s="1"/>
      <c r="BW2396" s="1"/>
      <c r="BX2396" s="1"/>
      <c r="BY2396" s="1"/>
      <c r="BZ2396" s="1"/>
      <c r="CA2396" s="1"/>
      <c r="CB2396" s="1"/>
      <c r="CC2396" s="1"/>
      <c r="CD2396" s="1"/>
      <c r="CE2396" s="1"/>
      <c r="CF2396" s="1"/>
      <c r="CG2396" s="1"/>
      <c r="CH2396" s="1"/>
      <c r="CI2396" s="1"/>
      <c r="CJ2396" s="1"/>
      <c r="CK2396" s="1"/>
      <c r="CL2396" s="1"/>
      <c r="CM2396" s="1"/>
      <c r="CN2396" s="1"/>
      <c r="CO2396" s="1"/>
      <c r="CP2396" s="1"/>
      <c r="CQ2396" s="1"/>
      <c r="CR2396" s="1"/>
      <c r="CS2396" s="1"/>
      <c r="CT2396" s="1"/>
      <c r="CU2396" s="1"/>
      <c r="CV2396" s="1"/>
      <c r="CW2396" s="1"/>
      <c r="CX2396" s="1"/>
      <c r="CY2396" s="1"/>
      <c r="CZ2396" s="1"/>
      <c r="DA2396" s="1"/>
      <c r="DB2396" s="1"/>
      <c r="DC2396" s="1"/>
    </row>
    <row r="2397" spans="1:107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  <c r="BM2397" s="1"/>
      <c r="BN2397" s="1"/>
      <c r="BO2397" s="1"/>
      <c r="BP2397" s="1"/>
      <c r="BQ2397" s="1"/>
      <c r="BR2397" s="1"/>
      <c r="BS2397" s="1"/>
      <c r="BT2397" s="1"/>
      <c r="BU2397" s="1"/>
      <c r="BV2397" s="1"/>
      <c r="BW2397" s="1"/>
      <c r="BX2397" s="1"/>
      <c r="BY2397" s="1"/>
      <c r="BZ2397" s="1"/>
      <c r="CA2397" s="1"/>
      <c r="CB2397" s="1"/>
      <c r="CC2397" s="1"/>
      <c r="CD2397" s="1"/>
      <c r="CE2397" s="1"/>
      <c r="CF2397" s="1"/>
      <c r="CG2397" s="1"/>
      <c r="CH2397" s="1"/>
      <c r="CI2397" s="1"/>
      <c r="CJ2397" s="1"/>
      <c r="CK2397" s="1"/>
      <c r="CL2397" s="1"/>
      <c r="CM2397" s="1"/>
      <c r="CN2397" s="1"/>
      <c r="CO2397" s="1"/>
      <c r="CP2397" s="1"/>
      <c r="CQ2397" s="1"/>
      <c r="CR2397" s="1"/>
      <c r="CS2397" s="1"/>
      <c r="CT2397" s="1"/>
      <c r="CU2397" s="1"/>
      <c r="CV2397" s="1"/>
      <c r="CW2397" s="1"/>
      <c r="CX2397" s="1"/>
      <c r="CY2397" s="1"/>
      <c r="CZ2397" s="1"/>
      <c r="DA2397" s="1"/>
      <c r="DB2397" s="1"/>
      <c r="DC2397" s="1"/>
    </row>
    <row r="2398" spans="1:107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  <c r="BM2398" s="1"/>
      <c r="BN2398" s="1"/>
      <c r="BO2398" s="1"/>
      <c r="BP2398" s="1"/>
      <c r="BQ2398" s="1"/>
      <c r="BR2398" s="1"/>
      <c r="BS2398" s="1"/>
      <c r="BT2398" s="1"/>
      <c r="BU2398" s="1"/>
      <c r="BV2398" s="1"/>
      <c r="BW2398" s="1"/>
      <c r="BX2398" s="1"/>
      <c r="BY2398" s="1"/>
      <c r="BZ2398" s="1"/>
      <c r="CA2398" s="1"/>
      <c r="CB2398" s="1"/>
      <c r="CC2398" s="1"/>
      <c r="CD2398" s="1"/>
      <c r="CE2398" s="1"/>
      <c r="CF2398" s="1"/>
      <c r="CG2398" s="1"/>
      <c r="CH2398" s="1"/>
      <c r="CI2398" s="1"/>
      <c r="CJ2398" s="1"/>
      <c r="CK2398" s="1"/>
      <c r="CL2398" s="1"/>
      <c r="CM2398" s="1"/>
      <c r="CN2398" s="1"/>
      <c r="CO2398" s="1"/>
      <c r="CP2398" s="1"/>
      <c r="CQ2398" s="1"/>
      <c r="CR2398" s="1"/>
      <c r="CS2398" s="1"/>
      <c r="CT2398" s="1"/>
      <c r="CU2398" s="1"/>
      <c r="CV2398" s="1"/>
      <c r="CW2398" s="1"/>
      <c r="CX2398" s="1"/>
      <c r="CY2398" s="1"/>
      <c r="CZ2398" s="1"/>
      <c r="DA2398" s="1"/>
      <c r="DB2398" s="1"/>
      <c r="DC2398" s="1"/>
    </row>
    <row r="2399" spans="1:107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  <c r="BR2399" s="1"/>
      <c r="BS2399" s="1"/>
      <c r="BT2399" s="1"/>
      <c r="BU2399" s="1"/>
      <c r="BV2399" s="1"/>
      <c r="BW2399" s="1"/>
      <c r="BX2399" s="1"/>
      <c r="BY2399" s="1"/>
      <c r="BZ2399" s="1"/>
      <c r="CA2399" s="1"/>
      <c r="CB2399" s="1"/>
      <c r="CC2399" s="1"/>
      <c r="CD2399" s="1"/>
      <c r="CE2399" s="1"/>
      <c r="CF2399" s="1"/>
      <c r="CG2399" s="1"/>
      <c r="CH2399" s="1"/>
      <c r="CI2399" s="1"/>
      <c r="CJ2399" s="1"/>
      <c r="CK2399" s="1"/>
      <c r="CL2399" s="1"/>
      <c r="CM2399" s="1"/>
      <c r="CN2399" s="1"/>
      <c r="CO2399" s="1"/>
      <c r="CP2399" s="1"/>
      <c r="CQ2399" s="1"/>
      <c r="CR2399" s="1"/>
      <c r="CS2399" s="1"/>
      <c r="CT2399" s="1"/>
      <c r="CU2399" s="1"/>
      <c r="CV2399" s="1"/>
      <c r="CW2399" s="1"/>
      <c r="CX2399" s="1"/>
      <c r="CY2399" s="1"/>
      <c r="CZ2399" s="1"/>
      <c r="DA2399" s="1"/>
      <c r="DB2399" s="1"/>
      <c r="DC2399" s="1"/>
    </row>
    <row r="2400" spans="1:107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  <c r="BM2400" s="1"/>
      <c r="BN2400" s="1"/>
      <c r="BO2400" s="1"/>
      <c r="BP2400" s="1"/>
      <c r="BQ2400" s="1"/>
      <c r="BR2400" s="1"/>
      <c r="BS2400" s="1"/>
      <c r="BT2400" s="1"/>
      <c r="BU2400" s="1"/>
      <c r="BV2400" s="1"/>
      <c r="BW2400" s="1"/>
      <c r="BX2400" s="1"/>
      <c r="BY2400" s="1"/>
      <c r="BZ2400" s="1"/>
      <c r="CA2400" s="1"/>
      <c r="CB2400" s="1"/>
      <c r="CC2400" s="1"/>
      <c r="CD2400" s="1"/>
      <c r="CE2400" s="1"/>
      <c r="CF2400" s="1"/>
      <c r="CG2400" s="1"/>
      <c r="CH2400" s="1"/>
      <c r="CI2400" s="1"/>
      <c r="CJ2400" s="1"/>
      <c r="CK2400" s="1"/>
      <c r="CL2400" s="1"/>
      <c r="CM2400" s="1"/>
      <c r="CN2400" s="1"/>
      <c r="CO2400" s="1"/>
      <c r="CP2400" s="1"/>
      <c r="CQ2400" s="1"/>
      <c r="CR2400" s="1"/>
      <c r="CS2400" s="1"/>
      <c r="CT2400" s="1"/>
      <c r="CU2400" s="1"/>
      <c r="CV2400" s="1"/>
      <c r="CW2400" s="1"/>
      <c r="CX2400" s="1"/>
      <c r="CY2400" s="1"/>
      <c r="CZ2400" s="1"/>
      <c r="DA2400" s="1"/>
      <c r="DB2400" s="1"/>
      <c r="DC2400" s="1"/>
    </row>
    <row r="2401" spans="1:107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  <c r="BR2401" s="1"/>
      <c r="BS2401" s="1"/>
      <c r="BT2401" s="1"/>
      <c r="BU2401" s="1"/>
      <c r="BV2401" s="1"/>
      <c r="BW2401" s="1"/>
      <c r="BX2401" s="1"/>
      <c r="BY2401" s="1"/>
      <c r="BZ2401" s="1"/>
      <c r="CA2401" s="1"/>
      <c r="CB2401" s="1"/>
      <c r="CC2401" s="1"/>
      <c r="CD2401" s="1"/>
      <c r="CE2401" s="1"/>
      <c r="CF2401" s="1"/>
      <c r="CG2401" s="1"/>
      <c r="CH2401" s="1"/>
      <c r="CI2401" s="1"/>
      <c r="CJ2401" s="1"/>
      <c r="CK2401" s="1"/>
      <c r="CL2401" s="1"/>
      <c r="CM2401" s="1"/>
      <c r="CN2401" s="1"/>
      <c r="CO2401" s="1"/>
      <c r="CP2401" s="1"/>
      <c r="CQ2401" s="1"/>
      <c r="CR2401" s="1"/>
      <c r="CS2401" s="1"/>
      <c r="CT2401" s="1"/>
      <c r="CU2401" s="1"/>
      <c r="CV2401" s="1"/>
      <c r="CW2401" s="1"/>
      <c r="CX2401" s="1"/>
      <c r="CY2401" s="1"/>
      <c r="CZ2401" s="1"/>
      <c r="DA2401" s="1"/>
      <c r="DB2401" s="1"/>
      <c r="DC2401" s="1"/>
    </row>
    <row r="2402" spans="1:107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  <c r="BR2402" s="1"/>
      <c r="BS2402" s="1"/>
      <c r="BT2402" s="1"/>
      <c r="BU2402" s="1"/>
      <c r="BV2402" s="1"/>
      <c r="BW2402" s="1"/>
      <c r="BX2402" s="1"/>
      <c r="BY2402" s="1"/>
      <c r="BZ2402" s="1"/>
      <c r="CA2402" s="1"/>
      <c r="CB2402" s="1"/>
      <c r="CC2402" s="1"/>
      <c r="CD2402" s="1"/>
      <c r="CE2402" s="1"/>
      <c r="CF2402" s="1"/>
      <c r="CG2402" s="1"/>
      <c r="CH2402" s="1"/>
      <c r="CI2402" s="1"/>
      <c r="CJ2402" s="1"/>
      <c r="CK2402" s="1"/>
      <c r="CL2402" s="1"/>
      <c r="CM2402" s="1"/>
      <c r="CN2402" s="1"/>
      <c r="CO2402" s="1"/>
      <c r="CP2402" s="1"/>
      <c r="CQ2402" s="1"/>
      <c r="CR2402" s="1"/>
      <c r="CS2402" s="1"/>
      <c r="CT2402" s="1"/>
      <c r="CU2402" s="1"/>
      <c r="CV2402" s="1"/>
      <c r="CW2402" s="1"/>
      <c r="CX2402" s="1"/>
      <c r="CY2402" s="1"/>
      <c r="CZ2402" s="1"/>
      <c r="DA2402" s="1"/>
      <c r="DB2402" s="1"/>
      <c r="DC2402" s="1"/>
    </row>
    <row r="2403" spans="1:107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  <c r="BM2403" s="1"/>
      <c r="BN2403" s="1"/>
      <c r="BO2403" s="1"/>
      <c r="BP2403" s="1"/>
      <c r="BQ2403" s="1"/>
      <c r="BR2403" s="1"/>
      <c r="BS2403" s="1"/>
      <c r="BT2403" s="1"/>
      <c r="BU2403" s="1"/>
      <c r="BV2403" s="1"/>
      <c r="BW2403" s="1"/>
      <c r="BX2403" s="1"/>
      <c r="BY2403" s="1"/>
      <c r="BZ2403" s="1"/>
      <c r="CA2403" s="1"/>
      <c r="CB2403" s="1"/>
      <c r="CC2403" s="1"/>
      <c r="CD2403" s="1"/>
      <c r="CE2403" s="1"/>
      <c r="CF2403" s="1"/>
      <c r="CG2403" s="1"/>
      <c r="CH2403" s="1"/>
      <c r="CI2403" s="1"/>
      <c r="CJ2403" s="1"/>
      <c r="CK2403" s="1"/>
      <c r="CL2403" s="1"/>
      <c r="CM2403" s="1"/>
      <c r="CN2403" s="1"/>
      <c r="CO2403" s="1"/>
      <c r="CP2403" s="1"/>
      <c r="CQ2403" s="1"/>
      <c r="CR2403" s="1"/>
      <c r="CS2403" s="1"/>
      <c r="CT2403" s="1"/>
      <c r="CU2403" s="1"/>
      <c r="CV2403" s="1"/>
      <c r="CW2403" s="1"/>
      <c r="CX2403" s="1"/>
      <c r="CY2403" s="1"/>
      <c r="CZ2403" s="1"/>
      <c r="DA2403" s="1"/>
      <c r="DB2403" s="1"/>
      <c r="DC2403" s="1"/>
    </row>
    <row r="2404" spans="1:107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  <c r="BM2404" s="1"/>
      <c r="BN2404" s="1"/>
      <c r="BO2404" s="1"/>
      <c r="BP2404" s="1"/>
      <c r="BQ2404" s="1"/>
      <c r="BR2404" s="1"/>
      <c r="BS2404" s="1"/>
      <c r="BT2404" s="1"/>
      <c r="BU2404" s="1"/>
      <c r="BV2404" s="1"/>
      <c r="BW2404" s="1"/>
      <c r="BX2404" s="1"/>
      <c r="BY2404" s="1"/>
      <c r="BZ2404" s="1"/>
      <c r="CA2404" s="1"/>
      <c r="CB2404" s="1"/>
      <c r="CC2404" s="1"/>
      <c r="CD2404" s="1"/>
      <c r="CE2404" s="1"/>
      <c r="CF2404" s="1"/>
      <c r="CG2404" s="1"/>
      <c r="CH2404" s="1"/>
      <c r="CI2404" s="1"/>
      <c r="CJ2404" s="1"/>
      <c r="CK2404" s="1"/>
      <c r="CL2404" s="1"/>
      <c r="CM2404" s="1"/>
      <c r="CN2404" s="1"/>
      <c r="CO2404" s="1"/>
      <c r="CP2404" s="1"/>
      <c r="CQ2404" s="1"/>
      <c r="CR2404" s="1"/>
      <c r="CS2404" s="1"/>
      <c r="CT2404" s="1"/>
      <c r="CU2404" s="1"/>
      <c r="CV2404" s="1"/>
      <c r="CW2404" s="1"/>
      <c r="CX2404" s="1"/>
      <c r="CY2404" s="1"/>
      <c r="CZ2404" s="1"/>
      <c r="DA2404" s="1"/>
      <c r="DB2404" s="1"/>
      <c r="DC2404" s="1"/>
    </row>
    <row r="2405" spans="1:107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  <c r="BR2405" s="1"/>
      <c r="BS2405" s="1"/>
      <c r="BT2405" s="1"/>
      <c r="BU2405" s="1"/>
      <c r="BV2405" s="1"/>
      <c r="BW2405" s="1"/>
      <c r="BX2405" s="1"/>
      <c r="BY2405" s="1"/>
      <c r="BZ2405" s="1"/>
      <c r="CA2405" s="1"/>
      <c r="CB2405" s="1"/>
      <c r="CC2405" s="1"/>
      <c r="CD2405" s="1"/>
      <c r="CE2405" s="1"/>
      <c r="CF2405" s="1"/>
      <c r="CG2405" s="1"/>
      <c r="CH2405" s="1"/>
      <c r="CI2405" s="1"/>
      <c r="CJ2405" s="1"/>
      <c r="CK2405" s="1"/>
      <c r="CL2405" s="1"/>
      <c r="CM2405" s="1"/>
      <c r="CN2405" s="1"/>
      <c r="CO2405" s="1"/>
      <c r="CP2405" s="1"/>
      <c r="CQ2405" s="1"/>
      <c r="CR2405" s="1"/>
      <c r="CS2405" s="1"/>
      <c r="CT2405" s="1"/>
      <c r="CU2405" s="1"/>
      <c r="CV2405" s="1"/>
      <c r="CW2405" s="1"/>
      <c r="CX2405" s="1"/>
      <c r="CY2405" s="1"/>
      <c r="CZ2405" s="1"/>
      <c r="DA2405" s="1"/>
      <c r="DB2405" s="1"/>
      <c r="DC2405" s="1"/>
    </row>
    <row r="2406" spans="1:107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  <c r="BM2406" s="1"/>
      <c r="BN2406" s="1"/>
      <c r="BO2406" s="1"/>
      <c r="BP2406" s="1"/>
      <c r="BQ2406" s="1"/>
      <c r="BR2406" s="1"/>
      <c r="BS2406" s="1"/>
      <c r="BT2406" s="1"/>
      <c r="BU2406" s="1"/>
      <c r="BV2406" s="1"/>
      <c r="BW2406" s="1"/>
      <c r="BX2406" s="1"/>
      <c r="BY2406" s="1"/>
      <c r="BZ2406" s="1"/>
      <c r="CA2406" s="1"/>
      <c r="CB2406" s="1"/>
      <c r="CC2406" s="1"/>
      <c r="CD2406" s="1"/>
      <c r="CE2406" s="1"/>
      <c r="CF2406" s="1"/>
      <c r="CG2406" s="1"/>
      <c r="CH2406" s="1"/>
      <c r="CI2406" s="1"/>
      <c r="CJ2406" s="1"/>
      <c r="CK2406" s="1"/>
      <c r="CL2406" s="1"/>
      <c r="CM2406" s="1"/>
      <c r="CN2406" s="1"/>
      <c r="CO2406" s="1"/>
      <c r="CP2406" s="1"/>
      <c r="CQ2406" s="1"/>
      <c r="CR2406" s="1"/>
      <c r="CS2406" s="1"/>
      <c r="CT2406" s="1"/>
      <c r="CU2406" s="1"/>
      <c r="CV2406" s="1"/>
      <c r="CW2406" s="1"/>
      <c r="CX2406" s="1"/>
      <c r="CY2406" s="1"/>
      <c r="CZ2406" s="1"/>
      <c r="DA2406" s="1"/>
      <c r="DB2406" s="1"/>
      <c r="DC2406" s="1"/>
    </row>
    <row r="2407" spans="1:107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  <c r="BK2407" s="1"/>
      <c r="BL2407" s="1"/>
      <c r="BM2407" s="1"/>
      <c r="BN2407" s="1"/>
      <c r="BO2407" s="1"/>
      <c r="BP2407" s="1"/>
      <c r="BQ2407" s="1"/>
      <c r="BR2407" s="1"/>
      <c r="BS2407" s="1"/>
      <c r="BT2407" s="1"/>
      <c r="BU2407" s="1"/>
      <c r="BV2407" s="1"/>
      <c r="BW2407" s="1"/>
      <c r="BX2407" s="1"/>
      <c r="BY2407" s="1"/>
      <c r="BZ2407" s="1"/>
      <c r="CA2407" s="1"/>
      <c r="CB2407" s="1"/>
      <c r="CC2407" s="1"/>
      <c r="CD2407" s="1"/>
      <c r="CE2407" s="1"/>
      <c r="CF2407" s="1"/>
      <c r="CG2407" s="1"/>
      <c r="CH2407" s="1"/>
      <c r="CI2407" s="1"/>
      <c r="CJ2407" s="1"/>
      <c r="CK2407" s="1"/>
      <c r="CL2407" s="1"/>
      <c r="CM2407" s="1"/>
      <c r="CN2407" s="1"/>
      <c r="CO2407" s="1"/>
      <c r="CP2407" s="1"/>
      <c r="CQ2407" s="1"/>
      <c r="CR2407" s="1"/>
      <c r="CS2407" s="1"/>
      <c r="CT2407" s="1"/>
      <c r="CU2407" s="1"/>
      <c r="CV2407" s="1"/>
      <c r="CW2407" s="1"/>
      <c r="CX2407" s="1"/>
      <c r="CY2407" s="1"/>
      <c r="CZ2407" s="1"/>
      <c r="DA2407" s="1"/>
      <c r="DB2407" s="1"/>
      <c r="DC2407" s="1"/>
    </row>
    <row r="2408" spans="1:107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  <c r="BK2408" s="1"/>
      <c r="BL2408" s="1"/>
      <c r="BM2408" s="1"/>
      <c r="BN2408" s="1"/>
      <c r="BO2408" s="1"/>
      <c r="BP2408" s="1"/>
      <c r="BQ2408" s="1"/>
      <c r="BR2408" s="1"/>
      <c r="BS2408" s="1"/>
      <c r="BT2408" s="1"/>
      <c r="BU2408" s="1"/>
      <c r="BV2408" s="1"/>
      <c r="BW2408" s="1"/>
      <c r="BX2408" s="1"/>
      <c r="BY2408" s="1"/>
      <c r="BZ2408" s="1"/>
      <c r="CA2408" s="1"/>
      <c r="CB2408" s="1"/>
      <c r="CC2408" s="1"/>
      <c r="CD2408" s="1"/>
      <c r="CE2408" s="1"/>
      <c r="CF2408" s="1"/>
      <c r="CG2408" s="1"/>
      <c r="CH2408" s="1"/>
      <c r="CI2408" s="1"/>
      <c r="CJ2408" s="1"/>
      <c r="CK2408" s="1"/>
      <c r="CL2408" s="1"/>
      <c r="CM2408" s="1"/>
      <c r="CN2408" s="1"/>
      <c r="CO2408" s="1"/>
      <c r="CP2408" s="1"/>
      <c r="CQ2408" s="1"/>
      <c r="CR2408" s="1"/>
      <c r="CS2408" s="1"/>
      <c r="CT2408" s="1"/>
      <c r="CU2408" s="1"/>
      <c r="CV2408" s="1"/>
      <c r="CW2408" s="1"/>
      <c r="CX2408" s="1"/>
      <c r="CY2408" s="1"/>
      <c r="CZ2408" s="1"/>
      <c r="DA2408" s="1"/>
      <c r="DB2408" s="1"/>
      <c r="DC2408" s="1"/>
    </row>
    <row r="2409" spans="1:107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/>
      <c r="BQ2409" s="1"/>
      <c r="BR2409" s="1"/>
      <c r="BS2409" s="1"/>
      <c r="BT2409" s="1"/>
      <c r="BU2409" s="1"/>
      <c r="BV2409" s="1"/>
      <c r="BW2409" s="1"/>
      <c r="BX2409" s="1"/>
      <c r="BY2409" s="1"/>
      <c r="BZ2409" s="1"/>
      <c r="CA2409" s="1"/>
      <c r="CB2409" s="1"/>
      <c r="CC2409" s="1"/>
      <c r="CD2409" s="1"/>
      <c r="CE2409" s="1"/>
      <c r="CF2409" s="1"/>
      <c r="CG2409" s="1"/>
      <c r="CH2409" s="1"/>
      <c r="CI2409" s="1"/>
      <c r="CJ2409" s="1"/>
      <c r="CK2409" s="1"/>
      <c r="CL2409" s="1"/>
      <c r="CM2409" s="1"/>
      <c r="CN2409" s="1"/>
      <c r="CO2409" s="1"/>
      <c r="CP2409" s="1"/>
      <c r="CQ2409" s="1"/>
      <c r="CR2409" s="1"/>
      <c r="CS2409" s="1"/>
      <c r="CT2409" s="1"/>
      <c r="CU2409" s="1"/>
      <c r="CV2409" s="1"/>
      <c r="CW2409" s="1"/>
      <c r="CX2409" s="1"/>
      <c r="CY2409" s="1"/>
      <c r="CZ2409" s="1"/>
      <c r="DA2409" s="1"/>
      <c r="DB2409" s="1"/>
      <c r="DC2409" s="1"/>
    </row>
    <row r="2410" spans="1:107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/>
      <c r="BQ2410" s="1"/>
      <c r="BR2410" s="1"/>
      <c r="BS2410" s="1"/>
      <c r="BT2410" s="1"/>
      <c r="BU2410" s="1"/>
      <c r="BV2410" s="1"/>
      <c r="BW2410" s="1"/>
      <c r="BX2410" s="1"/>
      <c r="BY2410" s="1"/>
      <c r="BZ2410" s="1"/>
      <c r="CA2410" s="1"/>
      <c r="CB2410" s="1"/>
      <c r="CC2410" s="1"/>
      <c r="CD2410" s="1"/>
      <c r="CE2410" s="1"/>
      <c r="CF2410" s="1"/>
      <c r="CG2410" s="1"/>
      <c r="CH2410" s="1"/>
      <c r="CI2410" s="1"/>
      <c r="CJ2410" s="1"/>
      <c r="CK2410" s="1"/>
      <c r="CL2410" s="1"/>
      <c r="CM2410" s="1"/>
      <c r="CN2410" s="1"/>
      <c r="CO2410" s="1"/>
      <c r="CP2410" s="1"/>
      <c r="CQ2410" s="1"/>
      <c r="CR2410" s="1"/>
      <c r="CS2410" s="1"/>
      <c r="CT2410" s="1"/>
      <c r="CU2410" s="1"/>
      <c r="CV2410" s="1"/>
      <c r="CW2410" s="1"/>
      <c r="CX2410" s="1"/>
      <c r="CY2410" s="1"/>
      <c r="CZ2410" s="1"/>
      <c r="DA2410" s="1"/>
      <c r="DB2410" s="1"/>
      <c r="DC2410" s="1"/>
    </row>
    <row r="2411" spans="1:107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/>
      <c r="BQ2411" s="1"/>
      <c r="BR2411" s="1"/>
      <c r="BS2411" s="1"/>
      <c r="BT2411" s="1"/>
      <c r="BU2411" s="1"/>
      <c r="BV2411" s="1"/>
      <c r="BW2411" s="1"/>
      <c r="BX2411" s="1"/>
      <c r="BY2411" s="1"/>
      <c r="BZ2411" s="1"/>
      <c r="CA2411" s="1"/>
      <c r="CB2411" s="1"/>
      <c r="CC2411" s="1"/>
      <c r="CD2411" s="1"/>
      <c r="CE2411" s="1"/>
      <c r="CF2411" s="1"/>
      <c r="CG2411" s="1"/>
      <c r="CH2411" s="1"/>
      <c r="CI2411" s="1"/>
      <c r="CJ2411" s="1"/>
      <c r="CK2411" s="1"/>
      <c r="CL2411" s="1"/>
      <c r="CM2411" s="1"/>
      <c r="CN2411" s="1"/>
      <c r="CO2411" s="1"/>
      <c r="CP2411" s="1"/>
      <c r="CQ2411" s="1"/>
      <c r="CR2411" s="1"/>
      <c r="CS2411" s="1"/>
      <c r="CT2411" s="1"/>
      <c r="CU2411" s="1"/>
      <c r="CV2411" s="1"/>
      <c r="CW2411" s="1"/>
      <c r="CX2411" s="1"/>
      <c r="CY2411" s="1"/>
      <c r="CZ2411" s="1"/>
      <c r="DA2411" s="1"/>
      <c r="DB2411" s="1"/>
      <c r="DC2411" s="1"/>
    </row>
    <row r="2412" spans="1:107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  <c r="BJ2412" s="1"/>
      <c r="BK2412" s="1"/>
      <c r="BL2412" s="1"/>
      <c r="BM2412" s="1"/>
      <c r="BN2412" s="1"/>
      <c r="BO2412" s="1"/>
      <c r="BP2412" s="1"/>
      <c r="BQ2412" s="1"/>
      <c r="BR2412" s="1"/>
      <c r="BS2412" s="1"/>
      <c r="BT2412" s="1"/>
      <c r="BU2412" s="1"/>
      <c r="BV2412" s="1"/>
      <c r="BW2412" s="1"/>
      <c r="BX2412" s="1"/>
      <c r="BY2412" s="1"/>
      <c r="BZ2412" s="1"/>
      <c r="CA2412" s="1"/>
      <c r="CB2412" s="1"/>
      <c r="CC2412" s="1"/>
      <c r="CD2412" s="1"/>
      <c r="CE2412" s="1"/>
      <c r="CF2412" s="1"/>
      <c r="CG2412" s="1"/>
      <c r="CH2412" s="1"/>
      <c r="CI2412" s="1"/>
      <c r="CJ2412" s="1"/>
      <c r="CK2412" s="1"/>
      <c r="CL2412" s="1"/>
      <c r="CM2412" s="1"/>
      <c r="CN2412" s="1"/>
      <c r="CO2412" s="1"/>
      <c r="CP2412" s="1"/>
      <c r="CQ2412" s="1"/>
      <c r="CR2412" s="1"/>
      <c r="CS2412" s="1"/>
      <c r="CT2412" s="1"/>
      <c r="CU2412" s="1"/>
      <c r="CV2412" s="1"/>
      <c r="CW2412" s="1"/>
      <c r="CX2412" s="1"/>
      <c r="CY2412" s="1"/>
      <c r="CZ2412" s="1"/>
      <c r="DA2412" s="1"/>
      <c r="DB2412" s="1"/>
      <c r="DC2412" s="1"/>
    </row>
    <row r="2413" spans="1:107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  <c r="BR2413" s="1"/>
      <c r="BS2413" s="1"/>
      <c r="BT2413" s="1"/>
      <c r="BU2413" s="1"/>
      <c r="BV2413" s="1"/>
      <c r="BW2413" s="1"/>
      <c r="BX2413" s="1"/>
      <c r="BY2413" s="1"/>
      <c r="BZ2413" s="1"/>
      <c r="CA2413" s="1"/>
      <c r="CB2413" s="1"/>
      <c r="CC2413" s="1"/>
      <c r="CD2413" s="1"/>
      <c r="CE2413" s="1"/>
      <c r="CF2413" s="1"/>
      <c r="CG2413" s="1"/>
      <c r="CH2413" s="1"/>
      <c r="CI2413" s="1"/>
      <c r="CJ2413" s="1"/>
      <c r="CK2413" s="1"/>
      <c r="CL2413" s="1"/>
      <c r="CM2413" s="1"/>
      <c r="CN2413" s="1"/>
      <c r="CO2413" s="1"/>
      <c r="CP2413" s="1"/>
      <c r="CQ2413" s="1"/>
      <c r="CR2413" s="1"/>
      <c r="CS2413" s="1"/>
      <c r="CT2413" s="1"/>
      <c r="CU2413" s="1"/>
      <c r="CV2413" s="1"/>
      <c r="CW2413" s="1"/>
      <c r="CX2413" s="1"/>
      <c r="CY2413" s="1"/>
      <c r="CZ2413" s="1"/>
      <c r="DA2413" s="1"/>
      <c r="DB2413" s="1"/>
      <c r="DC2413" s="1"/>
    </row>
    <row r="2414" spans="1:107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  <c r="BR2414" s="1"/>
      <c r="BS2414" s="1"/>
      <c r="BT2414" s="1"/>
      <c r="BU2414" s="1"/>
      <c r="BV2414" s="1"/>
      <c r="BW2414" s="1"/>
      <c r="BX2414" s="1"/>
      <c r="BY2414" s="1"/>
      <c r="BZ2414" s="1"/>
      <c r="CA2414" s="1"/>
      <c r="CB2414" s="1"/>
      <c r="CC2414" s="1"/>
      <c r="CD2414" s="1"/>
      <c r="CE2414" s="1"/>
      <c r="CF2414" s="1"/>
      <c r="CG2414" s="1"/>
      <c r="CH2414" s="1"/>
      <c r="CI2414" s="1"/>
      <c r="CJ2414" s="1"/>
      <c r="CK2414" s="1"/>
      <c r="CL2414" s="1"/>
      <c r="CM2414" s="1"/>
      <c r="CN2414" s="1"/>
      <c r="CO2414" s="1"/>
      <c r="CP2414" s="1"/>
      <c r="CQ2414" s="1"/>
      <c r="CR2414" s="1"/>
      <c r="CS2414" s="1"/>
      <c r="CT2414" s="1"/>
      <c r="CU2414" s="1"/>
      <c r="CV2414" s="1"/>
      <c r="CW2414" s="1"/>
      <c r="CX2414" s="1"/>
      <c r="CY2414" s="1"/>
      <c r="CZ2414" s="1"/>
      <c r="DA2414" s="1"/>
      <c r="DB2414" s="1"/>
      <c r="DC2414" s="1"/>
    </row>
    <row r="2415" spans="1:107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  <c r="BR2415" s="1"/>
      <c r="BS2415" s="1"/>
      <c r="BT2415" s="1"/>
      <c r="BU2415" s="1"/>
      <c r="BV2415" s="1"/>
      <c r="BW2415" s="1"/>
      <c r="BX2415" s="1"/>
      <c r="BY2415" s="1"/>
      <c r="BZ2415" s="1"/>
      <c r="CA2415" s="1"/>
      <c r="CB2415" s="1"/>
      <c r="CC2415" s="1"/>
      <c r="CD2415" s="1"/>
      <c r="CE2415" s="1"/>
      <c r="CF2415" s="1"/>
      <c r="CG2415" s="1"/>
      <c r="CH2415" s="1"/>
      <c r="CI2415" s="1"/>
      <c r="CJ2415" s="1"/>
      <c r="CK2415" s="1"/>
      <c r="CL2415" s="1"/>
      <c r="CM2415" s="1"/>
      <c r="CN2415" s="1"/>
      <c r="CO2415" s="1"/>
      <c r="CP2415" s="1"/>
      <c r="CQ2415" s="1"/>
      <c r="CR2415" s="1"/>
      <c r="CS2415" s="1"/>
      <c r="CT2415" s="1"/>
      <c r="CU2415" s="1"/>
      <c r="CV2415" s="1"/>
      <c r="CW2415" s="1"/>
      <c r="CX2415" s="1"/>
      <c r="CY2415" s="1"/>
      <c r="CZ2415" s="1"/>
      <c r="DA2415" s="1"/>
      <c r="DB2415" s="1"/>
      <c r="DC2415" s="1"/>
    </row>
    <row r="2416" spans="1:107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  <c r="BM2416" s="1"/>
      <c r="BN2416" s="1"/>
      <c r="BO2416" s="1"/>
      <c r="BP2416" s="1"/>
      <c r="BQ2416" s="1"/>
      <c r="BR2416" s="1"/>
      <c r="BS2416" s="1"/>
      <c r="BT2416" s="1"/>
      <c r="BU2416" s="1"/>
      <c r="BV2416" s="1"/>
      <c r="BW2416" s="1"/>
      <c r="BX2416" s="1"/>
      <c r="BY2416" s="1"/>
      <c r="BZ2416" s="1"/>
      <c r="CA2416" s="1"/>
      <c r="CB2416" s="1"/>
      <c r="CC2416" s="1"/>
      <c r="CD2416" s="1"/>
      <c r="CE2416" s="1"/>
      <c r="CF2416" s="1"/>
      <c r="CG2416" s="1"/>
      <c r="CH2416" s="1"/>
      <c r="CI2416" s="1"/>
      <c r="CJ2416" s="1"/>
      <c r="CK2416" s="1"/>
      <c r="CL2416" s="1"/>
      <c r="CM2416" s="1"/>
      <c r="CN2416" s="1"/>
      <c r="CO2416" s="1"/>
      <c r="CP2416" s="1"/>
      <c r="CQ2416" s="1"/>
      <c r="CR2416" s="1"/>
      <c r="CS2416" s="1"/>
      <c r="CT2416" s="1"/>
      <c r="CU2416" s="1"/>
      <c r="CV2416" s="1"/>
      <c r="CW2416" s="1"/>
      <c r="CX2416" s="1"/>
      <c r="CY2416" s="1"/>
      <c r="CZ2416" s="1"/>
      <c r="DA2416" s="1"/>
      <c r="DB2416" s="1"/>
      <c r="DC2416" s="1"/>
    </row>
    <row r="2417" spans="1:107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  <c r="BR2417" s="1"/>
      <c r="BS2417" s="1"/>
      <c r="BT2417" s="1"/>
      <c r="BU2417" s="1"/>
      <c r="BV2417" s="1"/>
      <c r="BW2417" s="1"/>
      <c r="BX2417" s="1"/>
      <c r="BY2417" s="1"/>
      <c r="BZ2417" s="1"/>
      <c r="CA2417" s="1"/>
      <c r="CB2417" s="1"/>
      <c r="CC2417" s="1"/>
      <c r="CD2417" s="1"/>
      <c r="CE2417" s="1"/>
      <c r="CF2417" s="1"/>
      <c r="CG2417" s="1"/>
      <c r="CH2417" s="1"/>
      <c r="CI2417" s="1"/>
      <c r="CJ2417" s="1"/>
      <c r="CK2417" s="1"/>
      <c r="CL2417" s="1"/>
      <c r="CM2417" s="1"/>
      <c r="CN2417" s="1"/>
      <c r="CO2417" s="1"/>
      <c r="CP2417" s="1"/>
      <c r="CQ2417" s="1"/>
      <c r="CR2417" s="1"/>
      <c r="CS2417" s="1"/>
      <c r="CT2417" s="1"/>
      <c r="CU2417" s="1"/>
      <c r="CV2417" s="1"/>
      <c r="CW2417" s="1"/>
      <c r="CX2417" s="1"/>
      <c r="CY2417" s="1"/>
      <c r="CZ2417" s="1"/>
      <c r="DA2417" s="1"/>
      <c r="DB2417" s="1"/>
      <c r="DC2417" s="1"/>
    </row>
    <row r="2418" spans="1:107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  <c r="BM2418" s="1"/>
      <c r="BN2418" s="1"/>
      <c r="BO2418" s="1"/>
      <c r="BP2418" s="1"/>
      <c r="BQ2418" s="1"/>
      <c r="BR2418" s="1"/>
      <c r="BS2418" s="1"/>
      <c r="BT2418" s="1"/>
      <c r="BU2418" s="1"/>
      <c r="BV2418" s="1"/>
      <c r="BW2418" s="1"/>
      <c r="BX2418" s="1"/>
      <c r="BY2418" s="1"/>
      <c r="BZ2418" s="1"/>
      <c r="CA2418" s="1"/>
      <c r="CB2418" s="1"/>
      <c r="CC2418" s="1"/>
      <c r="CD2418" s="1"/>
      <c r="CE2418" s="1"/>
      <c r="CF2418" s="1"/>
      <c r="CG2418" s="1"/>
      <c r="CH2418" s="1"/>
      <c r="CI2418" s="1"/>
      <c r="CJ2418" s="1"/>
      <c r="CK2418" s="1"/>
      <c r="CL2418" s="1"/>
      <c r="CM2418" s="1"/>
      <c r="CN2418" s="1"/>
      <c r="CO2418" s="1"/>
      <c r="CP2418" s="1"/>
      <c r="CQ2418" s="1"/>
      <c r="CR2418" s="1"/>
      <c r="CS2418" s="1"/>
      <c r="CT2418" s="1"/>
      <c r="CU2418" s="1"/>
      <c r="CV2418" s="1"/>
      <c r="CW2418" s="1"/>
      <c r="CX2418" s="1"/>
      <c r="CY2418" s="1"/>
      <c r="CZ2418" s="1"/>
      <c r="DA2418" s="1"/>
      <c r="DB2418" s="1"/>
      <c r="DC2418" s="1"/>
    </row>
    <row r="2419" spans="1:107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  <c r="BR2419" s="1"/>
      <c r="BS2419" s="1"/>
      <c r="BT2419" s="1"/>
      <c r="BU2419" s="1"/>
      <c r="BV2419" s="1"/>
      <c r="BW2419" s="1"/>
      <c r="BX2419" s="1"/>
      <c r="BY2419" s="1"/>
      <c r="BZ2419" s="1"/>
      <c r="CA2419" s="1"/>
      <c r="CB2419" s="1"/>
      <c r="CC2419" s="1"/>
      <c r="CD2419" s="1"/>
      <c r="CE2419" s="1"/>
      <c r="CF2419" s="1"/>
      <c r="CG2419" s="1"/>
      <c r="CH2419" s="1"/>
      <c r="CI2419" s="1"/>
      <c r="CJ2419" s="1"/>
      <c r="CK2419" s="1"/>
      <c r="CL2419" s="1"/>
      <c r="CM2419" s="1"/>
      <c r="CN2419" s="1"/>
      <c r="CO2419" s="1"/>
      <c r="CP2419" s="1"/>
      <c r="CQ2419" s="1"/>
      <c r="CR2419" s="1"/>
      <c r="CS2419" s="1"/>
      <c r="CT2419" s="1"/>
      <c r="CU2419" s="1"/>
      <c r="CV2419" s="1"/>
      <c r="CW2419" s="1"/>
      <c r="CX2419" s="1"/>
      <c r="CY2419" s="1"/>
      <c r="CZ2419" s="1"/>
      <c r="DA2419" s="1"/>
      <c r="DB2419" s="1"/>
      <c r="DC2419" s="1"/>
    </row>
    <row r="2420" spans="1:107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  <c r="BM2420" s="1"/>
      <c r="BN2420" s="1"/>
      <c r="BO2420" s="1"/>
      <c r="BP2420" s="1"/>
      <c r="BQ2420" s="1"/>
      <c r="BR2420" s="1"/>
      <c r="BS2420" s="1"/>
      <c r="BT2420" s="1"/>
      <c r="BU2420" s="1"/>
      <c r="BV2420" s="1"/>
      <c r="BW2420" s="1"/>
      <c r="BX2420" s="1"/>
      <c r="BY2420" s="1"/>
      <c r="BZ2420" s="1"/>
      <c r="CA2420" s="1"/>
      <c r="CB2420" s="1"/>
      <c r="CC2420" s="1"/>
      <c r="CD2420" s="1"/>
      <c r="CE2420" s="1"/>
      <c r="CF2420" s="1"/>
      <c r="CG2420" s="1"/>
      <c r="CH2420" s="1"/>
      <c r="CI2420" s="1"/>
      <c r="CJ2420" s="1"/>
      <c r="CK2420" s="1"/>
      <c r="CL2420" s="1"/>
      <c r="CM2420" s="1"/>
      <c r="CN2420" s="1"/>
      <c r="CO2420" s="1"/>
      <c r="CP2420" s="1"/>
      <c r="CQ2420" s="1"/>
      <c r="CR2420" s="1"/>
      <c r="CS2420" s="1"/>
      <c r="CT2420" s="1"/>
      <c r="CU2420" s="1"/>
      <c r="CV2420" s="1"/>
      <c r="CW2420" s="1"/>
      <c r="CX2420" s="1"/>
      <c r="CY2420" s="1"/>
      <c r="CZ2420" s="1"/>
      <c r="DA2420" s="1"/>
      <c r="DB2420" s="1"/>
      <c r="DC2420" s="1"/>
    </row>
    <row r="2421" spans="1:107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/>
      <c r="BQ2421" s="1"/>
      <c r="BR2421" s="1"/>
      <c r="BS2421" s="1"/>
      <c r="BT2421" s="1"/>
      <c r="BU2421" s="1"/>
      <c r="BV2421" s="1"/>
      <c r="BW2421" s="1"/>
      <c r="BX2421" s="1"/>
      <c r="BY2421" s="1"/>
      <c r="BZ2421" s="1"/>
      <c r="CA2421" s="1"/>
      <c r="CB2421" s="1"/>
      <c r="CC2421" s="1"/>
      <c r="CD2421" s="1"/>
      <c r="CE2421" s="1"/>
      <c r="CF2421" s="1"/>
      <c r="CG2421" s="1"/>
      <c r="CH2421" s="1"/>
      <c r="CI2421" s="1"/>
      <c r="CJ2421" s="1"/>
      <c r="CK2421" s="1"/>
      <c r="CL2421" s="1"/>
      <c r="CM2421" s="1"/>
      <c r="CN2421" s="1"/>
      <c r="CO2421" s="1"/>
      <c r="CP2421" s="1"/>
      <c r="CQ2421" s="1"/>
      <c r="CR2421" s="1"/>
      <c r="CS2421" s="1"/>
      <c r="CT2421" s="1"/>
      <c r="CU2421" s="1"/>
      <c r="CV2421" s="1"/>
      <c r="CW2421" s="1"/>
      <c r="CX2421" s="1"/>
      <c r="CY2421" s="1"/>
      <c r="CZ2421" s="1"/>
      <c r="DA2421" s="1"/>
      <c r="DB2421" s="1"/>
      <c r="DC2421" s="1"/>
    </row>
    <row r="2422" spans="1:107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/>
      <c r="BQ2422" s="1"/>
      <c r="BR2422" s="1"/>
      <c r="BS2422" s="1"/>
      <c r="BT2422" s="1"/>
      <c r="BU2422" s="1"/>
      <c r="BV2422" s="1"/>
      <c r="BW2422" s="1"/>
      <c r="BX2422" s="1"/>
      <c r="BY2422" s="1"/>
      <c r="BZ2422" s="1"/>
      <c r="CA2422" s="1"/>
      <c r="CB2422" s="1"/>
      <c r="CC2422" s="1"/>
      <c r="CD2422" s="1"/>
      <c r="CE2422" s="1"/>
      <c r="CF2422" s="1"/>
      <c r="CG2422" s="1"/>
      <c r="CH2422" s="1"/>
      <c r="CI2422" s="1"/>
      <c r="CJ2422" s="1"/>
      <c r="CK2422" s="1"/>
      <c r="CL2422" s="1"/>
      <c r="CM2422" s="1"/>
      <c r="CN2422" s="1"/>
      <c r="CO2422" s="1"/>
      <c r="CP2422" s="1"/>
      <c r="CQ2422" s="1"/>
      <c r="CR2422" s="1"/>
      <c r="CS2422" s="1"/>
      <c r="CT2422" s="1"/>
      <c r="CU2422" s="1"/>
      <c r="CV2422" s="1"/>
      <c r="CW2422" s="1"/>
      <c r="CX2422" s="1"/>
      <c r="CY2422" s="1"/>
      <c r="CZ2422" s="1"/>
      <c r="DA2422" s="1"/>
      <c r="DB2422" s="1"/>
      <c r="DC2422" s="1"/>
    </row>
    <row r="2423" spans="1:107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  <c r="BR2423" s="1"/>
      <c r="BS2423" s="1"/>
      <c r="BT2423" s="1"/>
      <c r="BU2423" s="1"/>
      <c r="BV2423" s="1"/>
      <c r="BW2423" s="1"/>
      <c r="BX2423" s="1"/>
      <c r="BY2423" s="1"/>
      <c r="BZ2423" s="1"/>
      <c r="CA2423" s="1"/>
      <c r="CB2423" s="1"/>
      <c r="CC2423" s="1"/>
      <c r="CD2423" s="1"/>
      <c r="CE2423" s="1"/>
      <c r="CF2423" s="1"/>
      <c r="CG2423" s="1"/>
      <c r="CH2423" s="1"/>
      <c r="CI2423" s="1"/>
      <c r="CJ2423" s="1"/>
      <c r="CK2423" s="1"/>
      <c r="CL2423" s="1"/>
      <c r="CM2423" s="1"/>
      <c r="CN2423" s="1"/>
      <c r="CO2423" s="1"/>
      <c r="CP2423" s="1"/>
      <c r="CQ2423" s="1"/>
      <c r="CR2423" s="1"/>
      <c r="CS2423" s="1"/>
      <c r="CT2423" s="1"/>
      <c r="CU2423" s="1"/>
      <c r="CV2423" s="1"/>
      <c r="CW2423" s="1"/>
      <c r="CX2423" s="1"/>
      <c r="CY2423" s="1"/>
      <c r="CZ2423" s="1"/>
      <c r="DA2423" s="1"/>
      <c r="DB2423" s="1"/>
      <c r="DC2423" s="1"/>
    </row>
    <row r="2424" spans="1:107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  <c r="BM2424" s="1"/>
      <c r="BN2424" s="1"/>
      <c r="BO2424" s="1"/>
      <c r="BP2424" s="1"/>
      <c r="BQ2424" s="1"/>
      <c r="BR2424" s="1"/>
      <c r="BS2424" s="1"/>
      <c r="BT2424" s="1"/>
      <c r="BU2424" s="1"/>
      <c r="BV2424" s="1"/>
      <c r="BW2424" s="1"/>
      <c r="BX2424" s="1"/>
      <c r="BY2424" s="1"/>
      <c r="BZ2424" s="1"/>
      <c r="CA2424" s="1"/>
      <c r="CB2424" s="1"/>
      <c r="CC2424" s="1"/>
      <c r="CD2424" s="1"/>
      <c r="CE2424" s="1"/>
      <c r="CF2424" s="1"/>
      <c r="CG2424" s="1"/>
      <c r="CH2424" s="1"/>
      <c r="CI2424" s="1"/>
      <c r="CJ2424" s="1"/>
      <c r="CK2424" s="1"/>
      <c r="CL2424" s="1"/>
      <c r="CM2424" s="1"/>
      <c r="CN2424" s="1"/>
      <c r="CO2424" s="1"/>
      <c r="CP2424" s="1"/>
      <c r="CQ2424" s="1"/>
      <c r="CR2424" s="1"/>
      <c r="CS2424" s="1"/>
      <c r="CT2424" s="1"/>
      <c r="CU2424" s="1"/>
      <c r="CV2424" s="1"/>
      <c r="CW2424" s="1"/>
      <c r="CX2424" s="1"/>
      <c r="CY2424" s="1"/>
      <c r="CZ2424" s="1"/>
      <c r="DA2424" s="1"/>
      <c r="DB2424" s="1"/>
      <c r="DC2424" s="1"/>
    </row>
    <row r="2425" spans="1:107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  <c r="BR2425" s="1"/>
      <c r="BS2425" s="1"/>
      <c r="BT2425" s="1"/>
      <c r="BU2425" s="1"/>
      <c r="BV2425" s="1"/>
      <c r="BW2425" s="1"/>
      <c r="BX2425" s="1"/>
      <c r="BY2425" s="1"/>
      <c r="BZ2425" s="1"/>
      <c r="CA2425" s="1"/>
      <c r="CB2425" s="1"/>
      <c r="CC2425" s="1"/>
      <c r="CD2425" s="1"/>
      <c r="CE2425" s="1"/>
      <c r="CF2425" s="1"/>
      <c r="CG2425" s="1"/>
      <c r="CH2425" s="1"/>
      <c r="CI2425" s="1"/>
      <c r="CJ2425" s="1"/>
      <c r="CK2425" s="1"/>
      <c r="CL2425" s="1"/>
      <c r="CM2425" s="1"/>
      <c r="CN2425" s="1"/>
      <c r="CO2425" s="1"/>
      <c r="CP2425" s="1"/>
      <c r="CQ2425" s="1"/>
      <c r="CR2425" s="1"/>
      <c r="CS2425" s="1"/>
      <c r="CT2425" s="1"/>
      <c r="CU2425" s="1"/>
      <c r="CV2425" s="1"/>
      <c r="CW2425" s="1"/>
      <c r="CX2425" s="1"/>
      <c r="CY2425" s="1"/>
      <c r="CZ2425" s="1"/>
      <c r="DA2425" s="1"/>
      <c r="DB2425" s="1"/>
      <c r="DC2425" s="1"/>
    </row>
    <row r="2426" spans="1:107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  <c r="BM2426" s="1"/>
      <c r="BN2426" s="1"/>
      <c r="BO2426" s="1"/>
      <c r="BP2426" s="1"/>
      <c r="BQ2426" s="1"/>
      <c r="BR2426" s="1"/>
      <c r="BS2426" s="1"/>
      <c r="BT2426" s="1"/>
      <c r="BU2426" s="1"/>
      <c r="BV2426" s="1"/>
      <c r="BW2426" s="1"/>
      <c r="BX2426" s="1"/>
      <c r="BY2426" s="1"/>
      <c r="BZ2426" s="1"/>
      <c r="CA2426" s="1"/>
      <c r="CB2426" s="1"/>
      <c r="CC2426" s="1"/>
      <c r="CD2426" s="1"/>
      <c r="CE2426" s="1"/>
      <c r="CF2426" s="1"/>
      <c r="CG2426" s="1"/>
      <c r="CH2426" s="1"/>
      <c r="CI2426" s="1"/>
      <c r="CJ2426" s="1"/>
      <c r="CK2426" s="1"/>
      <c r="CL2426" s="1"/>
      <c r="CM2426" s="1"/>
      <c r="CN2426" s="1"/>
      <c r="CO2426" s="1"/>
      <c r="CP2426" s="1"/>
      <c r="CQ2426" s="1"/>
      <c r="CR2426" s="1"/>
      <c r="CS2426" s="1"/>
      <c r="CT2426" s="1"/>
      <c r="CU2426" s="1"/>
      <c r="CV2426" s="1"/>
      <c r="CW2426" s="1"/>
      <c r="CX2426" s="1"/>
      <c r="CY2426" s="1"/>
      <c r="CZ2426" s="1"/>
      <c r="DA2426" s="1"/>
      <c r="DB2426" s="1"/>
      <c r="DC2426" s="1"/>
    </row>
    <row r="2427" spans="1:107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  <c r="BK2427" s="1"/>
      <c r="BL2427" s="1"/>
      <c r="BM2427" s="1"/>
      <c r="BN2427" s="1"/>
      <c r="BO2427" s="1"/>
      <c r="BP2427" s="1"/>
      <c r="BQ2427" s="1"/>
      <c r="BR2427" s="1"/>
      <c r="BS2427" s="1"/>
      <c r="BT2427" s="1"/>
      <c r="BU2427" s="1"/>
      <c r="BV2427" s="1"/>
      <c r="BW2427" s="1"/>
      <c r="BX2427" s="1"/>
      <c r="BY2427" s="1"/>
      <c r="BZ2427" s="1"/>
      <c r="CA2427" s="1"/>
      <c r="CB2427" s="1"/>
      <c r="CC2427" s="1"/>
      <c r="CD2427" s="1"/>
      <c r="CE2427" s="1"/>
      <c r="CF2427" s="1"/>
      <c r="CG2427" s="1"/>
      <c r="CH2427" s="1"/>
      <c r="CI2427" s="1"/>
      <c r="CJ2427" s="1"/>
      <c r="CK2427" s="1"/>
      <c r="CL2427" s="1"/>
      <c r="CM2427" s="1"/>
      <c r="CN2427" s="1"/>
      <c r="CO2427" s="1"/>
      <c r="CP2427" s="1"/>
      <c r="CQ2427" s="1"/>
      <c r="CR2427" s="1"/>
      <c r="CS2427" s="1"/>
      <c r="CT2427" s="1"/>
      <c r="CU2427" s="1"/>
      <c r="CV2427" s="1"/>
      <c r="CW2427" s="1"/>
      <c r="CX2427" s="1"/>
      <c r="CY2427" s="1"/>
      <c r="CZ2427" s="1"/>
      <c r="DA2427" s="1"/>
      <c r="DB2427" s="1"/>
      <c r="DC2427" s="1"/>
    </row>
    <row r="2428" spans="1:107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  <c r="BK2428" s="1"/>
      <c r="BL2428" s="1"/>
      <c r="BM2428" s="1"/>
      <c r="BN2428" s="1"/>
      <c r="BO2428" s="1"/>
      <c r="BP2428" s="1"/>
      <c r="BQ2428" s="1"/>
      <c r="BR2428" s="1"/>
      <c r="BS2428" s="1"/>
      <c r="BT2428" s="1"/>
      <c r="BU2428" s="1"/>
      <c r="BV2428" s="1"/>
      <c r="BW2428" s="1"/>
      <c r="BX2428" s="1"/>
      <c r="BY2428" s="1"/>
      <c r="BZ2428" s="1"/>
      <c r="CA2428" s="1"/>
      <c r="CB2428" s="1"/>
      <c r="CC2428" s="1"/>
      <c r="CD2428" s="1"/>
      <c r="CE2428" s="1"/>
      <c r="CF2428" s="1"/>
      <c r="CG2428" s="1"/>
      <c r="CH2428" s="1"/>
      <c r="CI2428" s="1"/>
      <c r="CJ2428" s="1"/>
      <c r="CK2428" s="1"/>
      <c r="CL2428" s="1"/>
      <c r="CM2428" s="1"/>
      <c r="CN2428" s="1"/>
      <c r="CO2428" s="1"/>
      <c r="CP2428" s="1"/>
      <c r="CQ2428" s="1"/>
      <c r="CR2428" s="1"/>
      <c r="CS2428" s="1"/>
      <c r="CT2428" s="1"/>
      <c r="CU2428" s="1"/>
      <c r="CV2428" s="1"/>
      <c r="CW2428" s="1"/>
      <c r="CX2428" s="1"/>
      <c r="CY2428" s="1"/>
      <c r="CZ2428" s="1"/>
      <c r="DA2428" s="1"/>
      <c r="DB2428" s="1"/>
      <c r="DC2428" s="1"/>
    </row>
    <row r="2429" spans="1:107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  <c r="BM2429" s="1"/>
      <c r="BN2429" s="1"/>
      <c r="BO2429" s="1"/>
      <c r="BP2429" s="1"/>
      <c r="BQ2429" s="1"/>
      <c r="BR2429" s="1"/>
      <c r="BS2429" s="1"/>
      <c r="BT2429" s="1"/>
      <c r="BU2429" s="1"/>
      <c r="BV2429" s="1"/>
      <c r="BW2429" s="1"/>
      <c r="BX2429" s="1"/>
      <c r="BY2429" s="1"/>
      <c r="BZ2429" s="1"/>
      <c r="CA2429" s="1"/>
      <c r="CB2429" s="1"/>
      <c r="CC2429" s="1"/>
      <c r="CD2429" s="1"/>
      <c r="CE2429" s="1"/>
      <c r="CF2429" s="1"/>
      <c r="CG2429" s="1"/>
      <c r="CH2429" s="1"/>
      <c r="CI2429" s="1"/>
      <c r="CJ2429" s="1"/>
      <c r="CK2429" s="1"/>
      <c r="CL2429" s="1"/>
      <c r="CM2429" s="1"/>
      <c r="CN2429" s="1"/>
      <c r="CO2429" s="1"/>
      <c r="CP2429" s="1"/>
      <c r="CQ2429" s="1"/>
      <c r="CR2429" s="1"/>
      <c r="CS2429" s="1"/>
      <c r="CT2429" s="1"/>
      <c r="CU2429" s="1"/>
      <c r="CV2429" s="1"/>
      <c r="CW2429" s="1"/>
      <c r="CX2429" s="1"/>
      <c r="CY2429" s="1"/>
      <c r="CZ2429" s="1"/>
      <c r="DA2429" s="1"/>
      <c r="DB2429" s="1"/>
      <c r="DC2429" s="1"/>
    </row>
    <row r="2430" spans="1:107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  <c r="BK2430" s="1"/>
      <c r="BL2430" s="1"/>
      <c r="BM2430" s="1"/>
      <c r="BN2430" s="1"/>
      <c r="BO2430" s="1"/>
      <c r="BP2430" s="1"/>
      <c r="BQ2430" s="1"/>
      <c r="BR2430" s="1"/>
      <c r="BS2430" s="1"/>
      <c r="BT2430" s="1"/>
      <c r="BU2430" s="1"/>
      <c r="BV2430" s="1"/>
      <c r="BW2430" s="1"/>
      <c r="BX2430" s="1"/>
      <c r="BY2430" s="1"/>
      <c r="BZ2430" s="1"/>
      <c r="CA2430" s="1"/>
      <c r="CB2430" s="1"/>
      <c r="CC2430" s="1"/>
      <c r="CD2430" s="1"/>
      <c r="CE2430" s="1"/>
      <c r="CF2430" s="1"/>
      <c r="CG2430" s="1"/>
      <c r="CH2430" s="1"/>
      <c r="CI2430" s="1"/>
      <c r="CJ2430" s="1"/>
      <c r="CK2430" s="1"/>
      <c r="CL2430" s="1"/>
      <c r="CM2430" s="1"/>
      <c r="CN2430" s="1"/>
      <c r="CO2430" s="1"/>
      <c r="CP2430" s="1"/>
      <c r="CQ2430" s="1"/>
      <c r="CR2430" s="1"/>
      <c r="CS2430" s="1"/>
      <c r="CT2430" s="1"/>
      <c r="CU2430" s="1"/>
      <c r="CV2430" s="1"/>
      <c r="CW2430" s="1"/>
      <c r="CX2430" s="1"/>
      <c r="CY2430" s="1"/>
      <c r="CZ2430" s="1"/>
      <c r="DA2430" s="1"/>
      <c r="DB2430" s="1"/>
      <c r="DC2430" s="1"/>
    </row>
    <row r="2431" spans="1:107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  <c r="BM2431" s="1"/>
      <c r="BN2431" s="1"/>
      <c r="BO2431" s="1"/>
      <c r="BP2431" s="1"/>
      <c r="BQ2431" s="1"/>
      <c r="BR2431" s="1"/>
      <c r="BS2431" s="1"/>
      <c r="BT2431" s="1"/>
      <c r="BU2431" s="1"/>
      <c r="BV2431" s="1"/>
      <c r="BW2431" s="1"/>
      <c r="BX2431" s="1"/>
      <c r="BY2431" s="1"/>
      <c r="BZ2431" s="1"/>
      <c r="CA2431" s="1"/>
      <c r="CB2431" s="1"/>
      <c r="CC2431" s="1"/>
      <c r="CD2431" s="1"/>
      <c r="CE2431" s="1"/>
      <c r="CF2431" s="1"/>
      <c r="CG2431" s="1"/>
      <c r="CH2431" s="1"/>
      <c r="CI2431" s="1"/>
      <c r="CJ2431" s="1"/>
      <c r="CK2431" s="1"/>
      <c r="CL2431" s="1"/>
      <c r="CM2431" s="1"/>
      <c r="CN2431" s="1"/>
      <c r="CO2431" s="1"/>
      <c r="CP2431" s="1"/>
      <c r="CQ2431" s="1"/>
      <c r="CR2431" s="1"/>
      <c r="CS2431" s="1"/>
      <c r="CT2431" s="1"/>
      <c r="CU2431" s="1"/>
      <c r="CV2431" s="1"/>
      <c r="CW2431" s="1"/>
      <c r="CX2431" s="1"/>
      <c r="CY2431" s="1"/>
      <c r="CZ2431" s="1"/>
      <c r="DA2431" s="1"/>
      <c r="DB2431" s="1"/>
      <c r="DC2431" s="1"/>
    </row>
    <row r="2432" spans="1:107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  <c r="BM2432" s="1"/>
      <c r="BN2432" s="1"/>
      <c r="BO2432" s="1"/>
      <c r="BP2432" s="1"/>
      <c r="BQ2432" s="1"/>
      <c r="BR2432" s="1"/>
      <c r="BS2432" s="1"/>
      <c r="BT2432" s="1"/>
      <c r="BU2432" s="1"/>
      <c r="BV2432" s="1"/>
      <c r="BW2432" s="1"/>
      <c r="BX2432" s="1"/>
      <c r="BY2432" s="1"/>
      <c r="BZ2432" s="1"/>
      <c r="CA2432" s="1"/>
      <c r="CB2432" s="1"/>
      <c r="CC2432" s="1"/>
      <c r="CD2432" s="1"/>
      <c r="CE2432" s="1"/>
      <c r="CF2432" s="1"/>
      <c r="CG2432" s="1"/>
      <c r="CH2432" s="1"/>
      <c r="CI2432" s="1"/>
      <c r="CJ2432" s="1"/>
      <c r="CK2432" s="1"/>
      <c r="CL2432" s="1"/>
      <c r="CM2432" s="1"/>
      <c r="CN2432" s="1"/>
      <c r="CO2432" s="1"/>
      <c r="CP2432" s="1"/>
      <c r="CQ2432" s="1"/>
      <c r="CR2432" s="1"/>
      <c r="CS2432" s="1"/>
      <c r="CT2432" s="1"/>
      <c r="CU2432" s="1"/>
      <c r="CV2432" s="1"/>
      <c r="CW2432" s="1"/>
      <c r="CX2432" s="1"/>
      <c r="CY2432" s="1"/>
      <c r="CZ2432" s="1"/>
      <c r="DA2432" s="1"/>
      <c r="DB2432" s="1"/>
      <c r="DC2432" s="1"/>
    </row>
    <row r="2433" spans="1:107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  <c r="BR2433" s="1"/>
      <c r="BS2433" s="1"/>
      <c r="BT2433" s="1"/>
      <c r="BU2433" s="1"/>
      <c r="BV2433" s="1"/>
      <c r="BW2433" s="1"/>
      <c r="BX2433" s="1"/>
      <c r="BY2433" s="1"/>
      <c r="BZ2433" s="1"/>
      <c r="CA2433" s="1"/>
      <c r="CB2433" s="1"/>
      <c r="CC2433" s="1"/>
      <c r="CD2433" s="1"/>
      <c r="CE2433" s="1"/>
      <c r="CF2433" s="1"/>
      <c r="CG2433" s="1"/>
      <c r="CH2433" s="1"/>
      <c r="CI2433" s="1"/>
      <c r="CJ2433" s="1"/>
      <c r="CK2433" s="1"/>
      <c r="CL2433" s="1"/>
      <c r="CM2433" s="1"/>
      <c r="CN2433" s="1"/>
      <c r="CO2433" s="1"/>
      <c r="CP2433" s="1"/>
      <c r="CQ2433" s="1"/>
      <c r="CR2433" s="1"/>
      <c r="CS2433" s="1"/>
      <c r="CT2433" s="1"/>
      <c r="CU2433" s="1"/>
      <c r="CV2433" s="1"/>
      <c r="CW2433" s="1"/>
      <c r="CX2433" s="1"/>
      <c r="CY2433" s="1"/>
      <c r="CZ2433" s="1"/>
      <c r="DA2433" s="1"/>
      <c r="DB2433" s="1"/>
      <c r="DC2433" s="1"/>
    </row>
    <row r="2434" spans="1:107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  <c r="BM2434" s="1"/>
      <c r="BN2434" s="1"/>
      <c r="BO2434" s="1"/>
      <c r="BP2434" s="1"/>
      <c r="BQ2434" s="1"/>
      <c r="BR2434" s="1"/>
      <c r="BS2434" s="1"/>
      <c r="BT2434" s="1"/>
      <c r="BU2434" s="1"/>
      <c r="BV2434" s="1"/>
      <c r="BW2434" s="1"/>
      <c r="BX2434" s="1"/>
      <c r="BY2434" s="1"/>
      <c r="BZ2434" s="1"/>
      <c r="CA2434" s="1"/>
      <c r="CB2434" s="1"/>
      <c r="CC2434" s="1"/>
      <c r="CD2434" s="1"/>
      <c r="CE2434" s="1"/>
      <c r="CF2434" s="1"/>
      <c r="CG2434" s="1"/>
      <c r="CH2434" s="1"/>
      <c r="CI2434" s="1"/>
      <c r="CJ2434" s="1"/>
      <c r="CK2434" s="1"/>
      <c r="CL2434" s="1"/>
      <c r="CM2434" s="1"/>
      <c r="CN2434" s="1"/>
      <c r="CO2434" s="1"/>
      <c r="CP2434" s="1"/>
      <c r="CQ2434" s="1"/>
      <c r="CR2434" s="1"/>
      <c r="CS2434" s="1"/>
      <c r="CT2434" s="1"/>
      <c r="CU2434" s="1"/>
      <c r="CV2434" s="1"/>
      <c r="CW2434" s="1"/>
      <c r="CX2434" s="1"/>
      <c r="CY2434" s="1"/>
      <c r="CZ2434" s="1"/>
      <c r="DA2434" s="1"/>
      <c r="DB2434" s="1"/>
      <c r="DC2434" s="1"/>
    </row>
    <row r="2435" spans="1:107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  <c r="BR2435" s="1"/>
      <c r="BS2435" s="1"/>
      <c r="BT2435" s="1"/>
      <c r="BU2435" s="1"/>
      <c r="BV2435" s="1"/>
      <c r="BW2435" s="1"/>
      <c r="BX2435" s="1"/>
      <c r="BY2435" s="1"/>
      <c r="BZ2435" s="1"/>
      <c r="CA2435" s="1"/>
      <c r="CB2435" s="1"/>
      <c r="CC2435" s="1"/>
      <c r="CD2435" s="1"/>
      <c r="CE2435" s="1"/>
      <c r="CF2435" s="1"/>
      <c r="CG2435" s="1"/>
      <c r="CH2435" s="1"/>
      <c r="CI2435" s="1"/>
      <c r="CJ2435" s="1"/>
      <c r="CK2435" s="1"/>
      <c r="CL2435" s="1"/>
      <c r="CM2435" s="1"/>
      <c r="CN2435" s="1"/>
      <c r="CO2435" s="1"/>
      <c r="CP2435" s="1"/>
      <c r="CQ2435" s="1"/>
      <c r="CR2435" s="1"/>
      <c r="CS2435" s="1"/>
      <c r="CT2435" s="1"/>
      <c r="CU2435" s="1"/>
      <c r="CV2435" s="1"/>
      <c r="CW2435" s="1"/>
      <c r="CX2435" s="1"/>
      <c r="CY2435" s="1"/>
      <c r="CZ2435" s="1"/>
      <c r="DA2435" s="1"/>
      <c r="DB2435" s="1"/>
      <c r="DC2435" s="1"/>
    </row>
    <row r="2436" spans="1:107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/>
      <c r="BQ2436" s="1"/>
      <c r="BR2436" s="1"/>
      <c r="BS2436" s="1"/>
      <c r="BT2436" s="1"/>
      <c r="BU2436" s="1"/>
      <c r="BV2436" s="1"/>
      <c r="BW2436" s="1"/>
      <c r="BX2436" s="1"/>
      <c r="BY2436" s="1"/>
      <c r="BZ2436" s="1"/>
      <c r="CA2436" s="1"/>
      <c r="CB2436" s="1"/>
      <c r="CC2436" s="1"/>
      <c r="CD2436" s="1"/>
      <c r="CE2436" s="1"/>
      <c r="CF2436" s="1"/>
      <c r="CG2436" s="1"/>
      <c r="CH2436" s="1"/>
      <c r="CI2436" s="1"/>
      <c r="CJ2436" s="1"/>
      <c r="CK2436" s="1"/>
      <c r="CL2436" s="1"/>
      <c r="CM2436" s="1"/>
      <c r="CN2436" s="1"/>
      <c r="CO2436" s="1"/>
      <c r="CP2436" s="1"/>
      <c r="CQ2436" s="1"/>
      <c r="CR2436" s="1"/>
      <c r="CS2436" s="1"/>
      <c r="CT2436" s="1"/>
      <c r="CU2436" s="1"/>
      <c r="CV2436" s="1"/>
      <c r="CW2436" s="1"/>
      <c r="CX2436" s="1"/>
      <c r="CY2436" s="1"/>
      <c r="CZ2436" s="1"/>
      <c r="DA2436" s="1"/>
      <c r="DB2436" s="1"/>
      <c r="DC2436" s="1"/>
    </row>
    <row r="2437" spans="1:107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  <c r="BR2437" s="1"/>
      <c r="BS2437" s="1"/>
      <c r="BT2437" s="1"/>
      <c r="BU2437" s="1"/>
      <c r="BV2437" s="1"/>
      <c r="BW2437" s="1"/>
      <c r="BX2437" s="1"/>
      <c r="BY2437" s="1"/>
      <c r="BZ2437" s="1"/>
      <c r="CA2437" s="1"/>
      <c r="CB2437" s="1"/>
      <c r="CC2437" s="1"/>
      <c r="CD2437" s="1"/>
      <c r="CE2437" s="1"/>
      <c r="CF2437" s="1"/>
      <c r="CG2437" s="1"/>
      <c r="CH2437" s="1"/>
      <c r="CI2437" s="1"/>
      <c r="CJ2437" s="1"/>
      <c r="CK2437" s="1"/>
      <c r="CL2437" s="1"/>
      <c r="CM2437" s="1"/>
      <c r="CN2437" s="1"/>
      <c r="CO2437" s="1"/>
      <c r="CP2437" s="1"/>
      <c r="CQ2437" s="1"/>
      <c r="CR2437" s="1"/>
      <c r="CS2437" s="1"/>
      <c r="CT2437" s="1"/>
      <c r="CU2437" s="1"/>
      <c r="CV2437" s="1"/>
      <c r="CW2437" s="1"/>
      <c r="CX2437" s="1"/>
      <c r="CY2437" s="1"/>
      <c r="CZ2437" s="1"/>
      <c r="DA2437" s="1"/>
      <c r="DB2437" s="1"/>
      <c r="DC2437" s="1"/>
    </row>
    <row r="2438" spans="1:107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  <c r="BQ2438" s="1"/>
      <c r="BR2438" s="1"/>
      <c r="BS2438" s="1"/>
      <c r="BT2438" s="1"/>
      <c r="BU2438" s="1"/>
      <c r="BV2438" s="1"/>
      <c r="BW2438" s="1"/>
      <c r="BX2438" s="1"/>
      <c r="BY2438" s="1"/>
      <c r="BZ2438" s="1"/>
      <c r="CA2438" s="1"/>
      <c r="CB2438" s="1"/>
      <c r="CC2438" s="1"/>
      <c r="CD2438" s="1"/>
      <c r="CE2438" s="1"/>
      <c r="CF2438" s="1"/>
      <c r="CG2438" s="1"/>
      <c r="CH2438" s="1"/>
      <c r="CI2438" s="1"/>
      <c r="CJ2438" s="1"/>
      <c r="CK2438" s="1"/>
      <c r="CL2438" s="1"/>
      <c r="CM2438" s="1"/>
      <c r="CN2438" s="1"/>
      <c r="CO2438" s="1"/>
      <c r="CP2438" s="1"/>
      <c r="CQ2438" s="1"/>
      <c r="CR2438" s="1"/>
      <c r="CS2438" s="1"/>
      <c r="CT2438" s="1"/>
      <c r="CU2438" s="1"/>
      <c r="CV2438" s="1"/>
      <c r="CW2438" s="1"/>
      <c r="CX2438" s="1"/>
      <c r="CY2438" s="1"/>
      <c r="CZ2438" s="1"/>
      <c r="DA2438" s="1"/>
      <c r="DB2438" s="1"/>
      <c r="DC2438" s="1"/>
    </row>
    <row r="2439" spans="1:107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  <c r="BR2439" s="1"/>
      <c r="BS2439" s="1"/>
      <c r="BT2439" s="1"/>
      <c r="BU2439" s="1"/>
      <c r="BV2439" s="1"/>
      <c r="BW2439" s="1"/>
      <c r="BX2439" s="1"/>
      <c r="BY2439" s="1"/>
      <c r="BZ2439" s="1"/>
      <c r="CA2439" s="1"/>
      <c r="CB2439" s="1"/>
      <c r="CC2439" s="1"/>
      <c r="CD2439" s="1"/>
      <c r="CE2439" s="1"/>
      <c r="CF2439" s="1"/>
      <c r="CG2439" s="1"/>
      <c r="CH2439" s="1"/>
      <c r="CI2439" s="1"/>
      <c r="CJ2439" s="1"/>
      <c r="CK2439" s="1"/>
      <c r="CL2439" s="1"/>
      <c r="CM2439" s="1"/>
      <c r="CN2439" s="1"/>
      <c r="CO2439" s="1"/>
      <c r="CP2439" s="1"/>
      <c r="CQ2439" s="1"/>
      <c r="CR2439" s="1"/>
      <c r="CS2439" s="1"/>
      <c r="CT2439" s="1"/>
      <c r="CU2439" s="1"/>
      <c r="CV2439" s="1"/>
      <c r="CW2439" s="1"/>
      <c r="CX2439" s="1"/>
      <c r="CY2439" s="1"/>
      <c r="CZ2439" s="1"/>
      <c r="DA2439" s="1"/>
      <c r="DB2439" s="1"/>
      <c r="DC2439" s="1"/>
    </row>
    <row r="2440" spans="1:107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/>
      <c r="BQ2440" s="1"/>
      <c r="BR2440" s="1"/>
      <c r="BS2440" s="1"/>
      <c r="BT2440" s="1"/>
      <c r="BU2440" s="1"/>
      <c r="BV2440" s="1"/>
      <c r="BW2440" s="1"/>
      <c r="BX2440" s="1"/>
      <c r="BY2440" s="1"/>
      <c r="BZ2440" s="1"/>
      <c r="CA2440" s="1"/>
      <c r="CB2440" s="1"/>
      <c r="CC2440" s="1"/>
      <c r="CD2440" s="1"/>
      <c r="CE2440" s="1"/>
      <c r="CF2440" s="1"/>
      <c r="CG2440" s="1"/>
      <c r="CH2440" s="1"/>
      <c r="CI2440" s="1"/>
      <c r="CJ2440" s="1"/>
      <c r="CK2440" s="1"/>
      <c r="CL2440" s="1"/>
      <c r="CM2440" s="1"/>
      <c r="CN2440" s="1"/>
      <c r="CO2440" s="1"/>
      <c r="CP2440" s="1"/>
      <c r="CQ2440" s="1"/>
      <c r="CR2440" s="1"/>
      <c r="CS2440" s="1"/>
      <c r="CT2440" s="1"/>
      <c r="CU2440" s="1"/>
      <c r="CV2440" s="1"/>
      <c r="CW2440" s="1"/>
      <c r="CX2440" s="1"/>
      <c r="CY2440" s="1"/>
      <c r="CZ2440" s="1"/>
      <c r="DA2440" s="1"/>
      <c r="DB2440" s="1"/>
      <c r="DC2440" s="1"/>
    </row>
    <row r="2441" spans="1:107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  <c r="BQ2441" s="1"/>
      <c r="BR2441" s="1"/>
      <c r="BS2441" s="1"/>
      <c r="BT2441" s="1"/>
      <c r="BU2441" s="1"/>
      <c r="BV2441" s="1"/>
      <c r="BW2441" s="1"/>
      <c r="BX2441" s="1"/>
      <c r="BY2441" s="1"/>
      <c r="BZ2441" s="1"/>
      <c r="CA2441" s="1"/>
      <c r="CB2441" s="1"/>
      <c r="CC2441" s="1"/>
      <c r="CD2441" s="1"/>
      <c r="CE2441" s="1"/>
      <c r="CF2441" s="1"/>
      <c r="CG2441" s="1"/>
      <c r="CH2441" s="1"/>
      <c r="CI2441" s="1"/>
      <c r="CJ2441" s="1"/>
      <c r="CK2441" s="1"/>
      <c r="CL2441" s="1"/>
      <c r="CM2441" s="1"/>
      <c r="CN2441" s="1"/>
      <c r="CO2441" s="1"/>
      <c r="CP2441" s="1"/>
      <c r="CQ2441" s="1"/>
      <c r="CR2441" s="1"/>
      <c r="CS2441" s="1"/>
      <c r="CT2441" s="1"/>
      <c r="CU2441" s="1"/>
      <c r="CV2441" s="1"/>
      <c r="CW2441" s="1"/>
      <c r="CX2441" s="1"/>
      <c r="CY2441" s="1"/>
      <c r="CZ2441" s="1"/>
      <c r="DA2441" s="1"/>
      <c r="DB2441" s="1"/>
      <c r="DC2441" s="1"/>
    </row>
    <row r="2442" spans="1:107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  <c r="BK2442" s="1"/>
      <c r="BL2442" s="1"/>
      <c r="BM2442" s="1"/>
      <c r="BN2442" s="1"/>
      <c r="BO2442" s="1"/>
      <c r="BP2442" s="1"/>
      <c r="BQ2442" s="1"/>
      <c r="BR2442" s="1"/>
      <c r="BS2442" s="1"/>
      <c r="BT2442" s="1"/>
      <c r="BU2442" s="1"/>
      <c r="BV2442" s="1"/>
      <c r="BW2442" s="1"/>
      <c r="BX2442" s="1"/>
      <c r="BY2442" s="1"/>
      <c r="BZ2442" s="1"/>
      <c r="CA2442" s="1"/>
      <c r="CB2442" s="1"/>
      <c r="CC2442" s="1"/>
      <c r="CD2442" s="1"/>
      <c r="CE2442" s="1"/>
      <c r="CF2442" s="1"/>
      <c r="CG2442" s="1"/>
      <c r="CH2442" s="1"/>
      <c r="CI2442" s="1"/>
      <c r="CJ2442" s="1"/>
      <c r="CK2442" s="1"/>
      <c r="CL2442" s="1"/>
      <c r="CM2442" s="1"/>
      <c r="CN2442" s="1"/>
      <c r="CO2442" s="1"/>
      <c r="CP2442" s="1"/>
      <c r="CQ2442" s="1"/>
      <c r="CR2442" s="1"/>
      <c r="CS2442" s="1"/>
      <c r="CT2442" s="1"/>
      <c r="CU2442" s="1"/>
      <c r="CV2442" s="1"/>
      <c r="CW2442" s="1"/>
      <c r="CX2442" s="1"/>
      <c r="CY2442" s="1"/>
      <c r="CZ2442" s="1"/>
      <c r="DA2442" s="1"/>
      <c r="DB2442" s="1"/>
      <c r="DC2442" s="1"/>
    </row>
    <row r="2443" spans="1:107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  <c r="BK2443" s="1"/>
      <c r="BL2443" s="1"/>
      <c r="BM2443" s="1"/>
      <c r="BN2443" s="1"/>
      <c r="BO2443" s="1"/>
      <c r="BP2443" s="1"/>
      <c r="BQ2443" s="1"/>
      <c r="BR2443" s="1"/>
      <c r="BS2443" s="1"/>
      <c r="BT2443" s="1"/>
      <c r="BU2443" s="1"/>
      <c r="BV2443" s="1"/>
      <c r="BW2443" s="1"/>
      <c r="BX2443" s="1"/>
      <c r="BY2443" s="1"/>
      <c r="BZ2443" s="1"/>
      <c r="CA2443" s="1"/>
      <c r="CB2443" s="1"/>
      <c r="CC2443" s="1"/>
      <c r="CD2443" s="1"/>
      <c r="CE2443" s="1"/>
      <c r="CF2443" s="1"/>
      <c r="CG2443" s="1"/>
      <c r="CH2443" s="1"/>
      <c r="CI2443" s="1"/>
      <c r="CJ2443" s="1"/>
      <c r="CK2443" s="1"/>
      <c r="CL2443" s="1"/>
      <c r="CM2443" s="1"/>
      <c r="CN2443" s="1"/>
      <c r="CO2443" s="1"/>
      <c r="CP2443" s="1"/>
      <c r="CQ2443" s="1"/>
      <c r="CR2443" s="1"/>
      <c r="CS2443" s="1"/>
      <c r="CT2443" s="1"/>
      <c r="CU2443" s="1"/>
      <c r="CV2443" s="1"/>
      <c r="CW2443" s="1"/>
      <c r="CX2443" s="1"/>
      <c r="CY2443" s="1"/>
      <c r="CZ2443" s="1"/>
      <c r="DA2443" s="1"/>
      <c r="DB2443" s="1"/>
      <c r="DC2443" s="1"/>
    </row>
    <row r="2444" spans="1:107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  <c r="BD2444" s="1"/>
      <c r="BE2444" s="1"/>
      <c r="BF2444" s="1"/>
      <c r="BG2444" s="1"/>
      <c r="BH2444" s="1"/>
      <c r="BI2444" s="1"/>
      <c r="BJ2444" s="1"/>
      <c r="BK2444" s="1"/>
      <c r="BL2444" s="1"/>
      <c r="BM2444" s="1"/>
      <c r="BN2444" s="1"/>
      <c r="BO2444" s="1"/>
      <c r="BP2444" s="1"/>
      <c r="BQ2444" s="1"/>
      <c r="BR2444" s="1"/>
      <c r="BS2444" s="1"/>
      <c r="BT2444" s="1"/>
      <c r="BU2444" s="1"/>
      <c r="BV2444" s="1"/>
      <c r="BW2444" s="1"/>
      <c r="BX2444" s="1"/>
      <c r="BY2444" s="1"/>
      <c r="BZ2444" s="1"/>
      <c r="CA2444" s="1"/>
      <c r="CB2444" s="1"/>
      <c r="CC2444" s="1"/>
      <c r="CD2444" s="1"/>
      <c r="CE2444" s="1"/>
      <c r="CF2444" s="1"/>
      <c r="CG2444" s="1"/>
      <c r="CH2444" s="1"/>
      <c r="CI2444" s="1"/>
      <c r="CJ2444" s="1"/>
      <c r="CK2444" s="1"/>
      <c r="CL2444" s="1"/>
      <c r="CM2444" s="1"/>
      <c r="CN2444" s="1"/>
      <c r="CO2444" s="1"/>
      <c r="CP2444" s="1"/>
      <c r="CQ2444" s="1"/>
      <c r="CR2444" s="1"/>
      <c r="CS2444" s="1"/>
      <c r="CT2444" s="1"/>
      <c r="CU2444" s="1"/>
      <c r="CV2444" s="1"/>
      <c r="CW2444" s="1"/>
      <c r="CX2444" s="1"/>
      <c r="CY2444" s="1"/>
      <c r="CZ2444" s="1"/>
      <c r="DA2444" s="1"/>
      <c r="DB2444" s="1"/>
      <c r="DC2444" s="1"/>
    </row>
    <row r="2445" spans="1:107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  <c r="BD2445" s="1"/>
      <c r="BE2445" s="1"/>
      <c r="BF2445" s="1"/>
      <c r="BG2445" s="1"/>
      <c r="BH2445" s="1"/>
      <c r="BI2445" s="1"/>
      <c r="BJ2445" s="1"/>
      <c r="BK2445" s="1"/>
      <c r="BL2445" s="1"/>
      <c r="BM2445" s="1"/>
      <c r="BN2445" s="1"/>
      <c r="BO2445" s="1"/>
      <c r="BP2445" s="1"/>
      <c r="BQ2445" s="1"/>
      <c r="BR2445" s="1"/>
      <c r="BS2445" s="1"/>
      <c r="BT2445" s="1"/>
      <c r="BU2445" s="1"/>
      <c r="BV2445" s="1"/>
      <c r="BW2445" s="1"/>
      <c r="BX2445" s="1"/>
      <c r="BY2445" s="1"/>
      <c r="BZ2445" s="1"/>
      <c r="CA2445" s="1"/>
      <c r="CB2445" s="1"/>
      <c r="CC2445" s="1"/>
      <c r="CD2445" s="1"/>
      <c r="CE2445" s="1"/>
      <c r="CF2445" s="1"/>
      <c r="CG2445" s="1"/>
      <c r="CH2445" s="1"/>
      <c r="CI2445" s="1"/>
      <c r="CJ2445" s="1"/>
      <c r="CK2445" s="1"/>
      <c r="CL2445" s="1"/>
      <c r="CM2445" s="1"/>
      <c r="CN2445" s="1"/>
      <c r="CO2445" s="1"/>
      <c r="CP2445" s="1"/>
      <c r="CQ2445" s="1"/>
      <c r="CR2445" s="1"/>
      <c r="CS2445" s="1"/>
      <c r="CT2445" s="1"/>
      <c r="CU2445" s="1"/>
      <c r="CV2445" s="1"/>
      <c r="CW2445" s="1"/>
      <c r="CX2445" s="1"/>
      <c r="CY2445" s="1"/>
      <c r="CZ2445" s="1"/>
      <c r="DA2445" s="1"/>
      <c r="DB2445" s="1"/>
      <c r="DC2445" s="1"/>
    </row>
    <row r="2446" spans="1:107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  <c r="BD2446" s="1"/>
      <c r="BE2446" s="1"/>
      <c r="BF2446" s="1"/>
      <c r="BG2446" s="1"/>
      <c r="BH2446" s="1"/>
      <c r="BI2446" s="1"/>
      <c r="BJ2446" s="1"/>
      <c r="BK2446" s="1"/>
      <c r="BL2446" s="1"/>
      <c r="BM2446" s="1"/>
      <c r="BN2446" s="1"/>
      <c r="BO2446" s="1"/>
      <c r="BP2446" s="1"/>
      <c r="BQ2446" s="1"/>
      <c r="BR2446" s="1"/>
      <c r="BS2446" s="1"/>
      <c r="BT2446" s="1"/>
      <c r="BU2446" s="1"/>
      <c r="BV2446" s="1"/>
      <c r="BW2446" s="1"/>
      <c r="BX2446" s="1"/>
      <c r="BY2446" s="1"/>
      <c r="BZ2446" s="1"/>
      <c r="CA2446" s="1"/>
      <c r="CB2446" s="1"/>
      <c r="CC2446" s="1"/>
      <c r="CD2446" s="1"/>
      <c r="CE2446" s="1"/>
      <c r="CF2446" s="1"/>
      <c r="CG2446" s="1"/>
      <c r="CH2446" s="1"/>
      <c r="CI2446" s="1"/>
      <c r="CJ2446" s="1"/>
      <c r="CK2446" s="1"/>
      <c r="CL2446" s="1"/>
      <c r="CM2446" s="1"/>
      <c r="CN2446" s="1"/>
      <c r="CO2446" s="1"/>
      <c r="CP2446" s="1"/>
      <c r="CQ2446" s="1"/>
      <c r="CR2446" s="1"/>
      <c r="CS2446" s="1"/>
      <c r="CT2446" s="1"/>
      <c r="CU2446" s="1"/>
      <c r="CV2446" s="1"/>
      <c r="CW2446" s="1"/>
      <c r="CX2446" s="1"/>
      <c r="CY2446" s="1"/>
      <c r="CZ2446" s="1"/>
      <c r="DA2446" s="1"/>
      <c r="DB2446" s="1"/>
      <c r="DC2446" s="1"/>
    </row>
    <row r="2447" spans="1:107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  <c r="BD2447" s="1"/>
      <c r="BE2447" s="1"/>
      <c r="BF2447" s="1"/>
      <c r="BG2447" s="1"/>
      <c r="BH2447" s="1"/>
      <c r="BI2447" s="1"/>
      <c r="BJ2447" s="1"/>
      <c r="BK2447" s="1"/>
      <c r="BL2447" s="1"/>
      <c r="BM2447" s="1"/>
      <c r="BN2447" s="1"/>
      <c r="BO2447" s="1"/>
      <c r="BP2447" s="1"/>
      <c r="BQ2447" s="1"/>
      <c r="BR2447" s="1"/>
      <c r="BS2447" s="1"/>
      <c r="BT2447" s="1"/>
      <c r="BU2447" s="1"/>
      <c r="BV2447" s="1"/>
      <c r="BW2447" s="1"/>
      <c r="BX2447" s="1"/>
      <c r="BY2447" s="1"/>
      <c r="BZ2447" s="1"/>
      <c r="CA2447" s="1"/>
      <c r="CB2447" s="1"/>
      <c r="CC2447" s="1"/>
      <c r="CD2447" s="1"/>
      <c r="CE2447" s="1"/>
      <c r="CF2447" s="1"/>
      <c r="CG2447" s="1"/>
      <c r="CH2447" s="1"/>
      <c r="CI2447" s="1"/>
      <c r="CJ2447" s="1"/>
      <c r="CK2447" s="1"/>
      <c r="CL2447" s="1"/>
      <c r="CM2447" s="1"/>
      <c r="CN2447" s="1"/>
      <c r="CO2447" s="1"/>
      <c r="CP2447" s="1"/>
      <c r="CQ2447" s="1"/>
      <c r="CR2447" s="1"/>
      <c r="CS2447" s="1"/>
      <c r="CT2447" s="1"/>
      <c r="CU2447" s="1"/>
      <c r="CV2447" s="1"/>
      <c r="CW2447" s="1"/>
      <c r="CX2447" s="1"/>
      <c r="CY2447" s="1"/>
      <c r="CZ2447" s="1"/>
      <c r="DA2447" s="1"/>
      <c r="DB2447" s="1"/>
      <c r="DC2447" s="1"/>
    </row>
    <row r="2448" spans="1:107" ht="15"/>
    <row r="2449" ht="15"/>
    <row r="2450" ht="15"/>
    <row r="2451" ht="15"/>
    <row r="2452" ht="15"/>
    <row r="2453" ht="15"/>
    <row r="2454" ht="15"/>
    <row r="2458" ht="15"/>
    <row r="2459" ht="15"/>
    <row r="2460" ht="15"/>
    <row r="2464" ht="15"/>
  </sheetData>
  <mergeCells count="12">
    <mergeCell ref="A101:M101"/>
    <mergeCell ref="A102:M102"/>
    <mergeCell ref="A52:M52"/>
    <mergeCell ref="A53:M53"/>
    <mergeCell ref="A54:M54"/>
    <mergeCell ref="A55:M55"/>
    <mergeCell ref="A99:M99"/>
    <mergeCell ref="A1:N1"/>
    <mergeCell ref="A2:N2"/>
    <mergeCell ref="A3:N3"/>
    <mergeCell ref="A4:N4"/>
    <mergeCell ref="A100:M100"/>
  </mergeCells>
  <pageMargins left="0.57999999999999996" right="0.5" top="0.37" bottom="0.33" header="0.3" footer="0.3"/>
  <pageSetup scale="78" orientation="landscape" r:id="rId1"/>
  <rowBreaks count="2" manualBreakCount="2">
    <brk id="50" max="16383" man="1"/>
    <brk id="9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81bc5b-f67a-486f-9089-d5de9a01d01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777A6D35106D44AB98F176B8951452" ma:contentTypeVersion="6" ma:contentTypeDescription="Create a new document." ma:contentTypeScope="" ma:versionID="1aa1baf4e5bbd94cc1941707dce568fd">
  <xsd:schema xmlns:xsd="http://www.w3.org/2001/XMLSchema" xmlns:xs="http://www.w3.org/2001/XMLSchema" xmlns:p="http://schemas.microsoft.com/office/2006/metadata/properties" xmlns:ns3="be81bc5b-f67a-486f-9089-d5de9a01d01f" targetNamespace="http://schemas.microsoft.com/office/2006/metadata/properties" ma:root="true" ma:fieldsID="5c16504c5175c129ee9b66249064bb3d" ns3:_="">
    <xsd:import namespace="be81bc5b-f67a-486f-9089-d5de9a01d01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81bc5b-f67a-486f-9089-d5de9a01d01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DE8C79-B1E8-409B-AF16-896EA155F787}"/>
</file>

<file path=customXml/itemProps2.xml><?xml version="1.0" encoding="utf-8"?>
<ds:datastoreItem xmlns:ds="http://schemas.openxmlformats.org/officeDocument/2006/customXml" ds:itemID="{01F8D0FF-3393-40ED-AEB7-53F798225BD0}"/>
</file>

<file path=customXml/itemProps3.xml><?xml version="1.0" encoding="utf-8"?>
<ds:datastoreItem xmlns:ds="http://schemas.openxmlformats.org/officeDocument/2006/customXml" ds:itemID="{827306CD-CDC1-4355-A199-F4BF0E528A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A. Vitek</dc:creator>
  <cp:keywords/>
  <dc:description/>
  <cp:lastModifiedBy/>
  <cp:revision/>
  <dcterms:created xsi:type="dcterms:W3CDTF">2013-08-15T15:13:53Z</dcterms:created>
  <dcterms:modified xsi:type="dcterms:W3CDTF">2025-04-28T02:55:32Z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0x010100DC777A6D35106D44AB98F176B8951452</vt:lpwstr>
  </property>
</Properties>
</file>