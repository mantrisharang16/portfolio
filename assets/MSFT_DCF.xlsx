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/>
  <mc:AlternateContent xmlns:mc="http://schemas.openxmlformats.org/markup-compatibility/2006">
    <mc:Choice Requires="x15">
      <x15ac:absPath xmlns:x15ac="http://schemas.microsoft.com/office/spreadsheetml/2010/11/ac" url="/Users/charlie/Desktop/2025_fall/Real Client Portfolio/tech file/"/>
    </mc:Choice>
  </mc:AlternateContent>
  <xr:revisionPtr revIDLastSave="0" documentId="8_{4916A8A3-32AC-B043-94AC-CF26D0376EEF}" xr6:coauthVersionLast="47" xr6:coauthVersionMax="47" xr10:uidLastSave="{00000000-0000-0000-0000-000000000000}"/>
  <bookViews>
    <workbookView xWindow="0" yWindow="760" windowWidth="29400" windowHeight="17180" activeTab="2" xr2:uid="{00000000-000D-0000-FFFF-FFFF00000000}"/>
  </bookViews>
  <sheets>
    <sheet name="Sheet1" sheetId="1" r:id="rId1"/>
    <sheet name="Sheet2" sheetId="2" r:id="rId2"/>
    <sheet name="Sheet3" sheetId="4" r:id="rId3"/>
    <sheet name="nwc" sheetId="3" r:id="rId4"/>
  </sheets>
  <definedNames>
    <definedName name="g">Sheet2!$B$108</definedName>
    <definedName name="roic">Sheet2!$B$109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9" i="1" l="1" a="1"/>
  <c r="F39" i="1" s="1"/>
  <c r="F38" i="1" s="1" a="1"/>
  <c r="F38" i="1" s="1"/>
  <c r="F37" i="1" s="1" a="1"/>
  <c r="F37" i="1" s="1"/>
  <c r="G39" i="1" a="1"/>
  <c r="G39" i="1" s="1"/>
  <c r="G38" i="1" s="1" a="1"/>
  <c r="G38" i="1" s="1"/>
  <c r="G37" i="1" s="1" a="1"/>
  <c r="G37" i="1" s="1"/>
  <c r="H39" i="1" a="1"/>
  <c r="H39" i="1" s="1"/>
  <c r="H38" i="1" s="1" a="1"/>
  <c r="H38" i="1" s="1"/>
  <c r="H37" i="1" s="1" a="1"/>
  <c r="H37" i="1" s="1"/>
  <c r="I39" i="1" a="1"/>
  <c r="I39" i="1" s="1"/>
  <c r="I38" i="1" s="1" a="1"/>
  <c r="I38" i="1" s="1"/>
  <c r="I37" i="1" s="1" a="1"/>
  <c r="I37" i="1" s="1"/>
  <c r="J39" i="1" a="1"/>
  <c r="J39" i="1" s="1"/>
  <c r="J38" i="1" s="1" a="1"/>
  <c r="J38" i="1" s="1"/>
  <c r="J37" i="1" s="1" a="1"/>
  <c r="J37" i="1" s="1"/>
  <c r="K39" i="1" a="1"/>
  <c r="K39" i="1" s="1"/>
  <c r="K38" i="1" s="1" a="1"/>
  <c r="K38" i="1" s="1"/>
  <c r="K37" i="1" s="1" a="1"/>
  <c r="K37" i="1" s="1"/>
  <c r="L39" i="1" a="1"/>
  <c r="L39" i="1" s="1"/>
  <c r="L38" i="1" s="1" a="1"/>
  <c r="L38" i="1" s="1"/>
  <c r="L37" i="1" s="1" a="1"/>
  <c r="L37" i="1" s="1"/>
  <c r="M39" i="1" a="1"/>
  <c r="M39" i="1" s="1"/>
  <c r="M38" i="1" s="1" a="1"/>
  <c r="M38" i="1" s="1"/>
  <c r="M37" i="1" s="1" a="1"/>
  <c r="M37" i="1" s="1"/>
  <c r="N39" i="1" a="1"/>
  <c r="N39" i="1" s="1"/>
  <c r="N38" i="1" s="1" a="1"/>
  <c r="N38" i="1" s="1"/>
  <c r="N37" i="1" s="1" a="1"/>
  <c r="N37" i="1" s="1"/>
  <c r="E39" i="1" a="1"/>
  <c r="E39" i="1" s="1"/>
  <c r="E38" i="1" s="1" a="1"/>
  <c r="E38" i="1" s="1"/>
  <c r="E37" i="1" s="1" a="1"/>
  <c r="E37" i="1" s="1"/>
  <c r="E105" i="2"/>
  <c r="G105" i="2"/>
  <c r="J5" i="2"/>
  <c r="I90" i="2"/>
  <c r="I103" i="2"/>
  <c r="H103" i="2"/>
  <c r="D50" i="2"/>
  <c r="E50" i="2"/>
  <c r="F50" i="2"/>
  <c r="G50" i="2"/>
  <c r="C50" i="2"/>
  <c r="C55" i="2"/>
  <c r="D55" i="2"/>
  <c r="E55" i="2"/>
  <c r="C56" i="2"/>
  <c r="D56" i="2"/>
  <c r="E56" i="2"/>
  <c r="E17" i="2"/>
  <c r="G26" i="2"/>
  <c r="G24" i="2" s="1"/>
  <c r="N10" i="1"/>
  <c r="M10" i="1"/>
  <c r="H10" i="1"/>
  <c r="I10" i="1"/>
  <c r="J10" i="1"/>
  <c r="E21" i="1" a="1"/>
  <c r="E21" i="1" s="1"/>
  <c r="E31" i="1" l="1" a="1"/>
  <c r="E31" i="1" s="1"/>
  <c r="I84" i="2"/>
  <c r="D70" i="2" l="1"/>
  <c r="E70" i="2"/>
  <c r="C70" i="2"/>
  <c r="H34" i="1"/>
  <c r="I34" i="1"/>
  <c r="J34" i="1"/>
  <c r="L34" i="1"/>
  <c r="M34" i="1"/>
  <c r="N34" i="1"/>
  <c r="E34" i="1"/>
  <c r="F33" i="1"/>
  <c r="E33" i="1"/>
  <c r="I48" i="2"/>
  <c r="D73" i="2"/>
  <c r="E73" i="2"/>
  <c r="C73" i="2"/>
  <c r="D72" i="2"/>
  <c r="E72" i="2"/>
  <c r="C72" i="2"/>
  <c r="D71" i="2"/>
  <c r="E71" i="2"/>
  <c r="C71" i="2"/>
  <c r="F3" i="3"/>
  <c r="G28" i="2"/>
  <c r="C6" i="3"/>
  <c r="C3" i="3"/>
  <c r="D3" i="3"/>
  <c r="E3" i="3"/>
  <c r="D6" i="3"/>
  <c r="E6" i="3"/>
  <c r="B14" i="3"/>
  <c r="F13" i="2"/>
  <c r="F17" i="2" s="1"/>
  <c r="F24" i="2"/>
  <c r="G13" i="2"/>
  <c r="G17" i="2" s="1"/>
  <c r="J84" i="2" l="1"/>
  <c r="K84" i="2" s="1"/>
  <c r="L84" i="2" s="1"/>
  <c r="M84" i="2" s="1"/>
  <c r="N84" i="2" s="1"/>
  <c r="O84" i="2" s="1"/>
  <c r="P84" i="2" s="1"/>
  <c r="Q84" i="2" s="1"/>
  <c r="R84" i="2" s="1"/>
  <c r="S84" i="2" s="1"/>
  <c r="D30" i="2" l="1"/>
  <c r="D32" i="2" s="1"/>
  <c r="E30" i="2"/>
  <c r="E32" i="2" s="1"/>
  <c r="C30" i="2"/>
  <c r="C32" i="2" s="1"/>
  <c r="D79" i="2"/>
  <c r="D83" i="2" s="1"/>
  <c r="D17" i="2" l="1"/>
  <c r="D19" i="2" s="1"/>
  <c r="E19" i="2"/>
  <c r="C17" i="2"/>
  <c r="C19" i="2" s="1"/>
  <c r="E36" i="1" a="1"/>
  <c r="E36" i="1" s="1"/>
  <c r="E26" i="1" a="1"/>
  <c r="E26" i="1" s="1"/>
  <c r="H17" i="1"/>
  <c r="I17" i="1"/>
  <c r="C23" i="2" l="1"/>
  <c r="C24" i="2" s="1"/>
  <c r="C65" i="2" s="1"/>
  <c r="C60" i="2"/>
  <c r="E23" i="2"/>
  <c r="E24" i="2" s="1"/>
  <c r="E65" i="2" s="1"/>
  <c r="E60" i="2"/>
  <c r="D23" i="2"/>
  <c r="D24" i="2" s="1"/>
  <c r="D65" i="2" s="1"/>
  <c r="D60" i="2"/>
  <c r="H71" i="2"/>
  <c r="I62" i="2"/>
  <c r="I56" i="2"/>
  <c r="K5" i="2"/>
  <c r="L5" i="2" s="1"/>
  <c r="M5" i="2" s="1"/>
  <c r="N5" i="2" s="1"/>
  <c r="O5" i="2" s="1"/>
  <c r="P5" i="2" s="1"/>
  <c r="Q5" i="2" s="1"/>
  <c r="R5" i="2" s="1"/>
  <c r="G5" i="1"/>
  <c r="H5" i="1" s="1"/>
  <c r="I5" i="1" s="1"/>
  <c r="J5" i="1" s="1"/>
  <c r="K5" i="1" s="1"/>
  <c r="L5" i="1" s="1"/>
  <c r="M5" i="1" s="1"/>
  <c r="N5" i="1" s="1"/>
  <c r="F36" i="1" a="1"/>
  <c r="F36" i="1" s="1"/>
  <c r="J62" i="2" s="1"/>
  <c r="G36" i="1" a="1"/>
  <c r="G36" i="1" s="1"/>
  <c r="K62" i="2" s="1"/>
  <c r="H36" i="1" a="1"/>
  <c r="H36" i="1" s="1"/>
  <c r="L62" i="2" s="1"/>
  <c r="I36" i="1" a="1"/>
  <c r="I36" i="1" s="1"/>
  <c r="M62" i="2" s="1"/>
  <c r="J36" i="1" a="1"/>
  <c r="J36" i="1" s="1"/>
  <c r="N62" i="2" s="1"/>
  <c r="K36" i="1" a="1"/>
  <c r="K36" i="1" s="1"/>
  <c r="O62" i="2" s="1"/>
  <c r="L36" i="1" a="1"/>
  <c r="L36" i="1" s="1"/>
  <c r="P62" i="2" s="1"/>
  <c r="M36" i="1" a="1"/>
  <c r="M36" i="1" s="1"/>
  <c r="Q62" i="2" s="1"/>
  <c r="N36" i="1" a="1"/>
  <c r="N36" i="1" s="1"/>
  <c r="R62" i="2" s="1"/>
  <c r="F31" i="1" a="1"/>
  <c r="F31" i="1" s="1"/>
  <c r="J71" i="2" s="1"/>
  <c r="G31" i="1" a="1"/>
  <c r="G31" i="1" s="1"/>
  <c r="K71" i="2" s="1"/>
  <c r="H31" i="1" a="1"/>
  <c r="H31" i="1" s="1"/>
  <c r="L71" i="2" s="1"/>
  <c r="I31" i="1" a="1"/>
  <c r="I31" i="1" s="1"/>
  <c r="M71" i="2" s="1"/>
  <c r="J31" i="1" a="1"/>
  <c r="J31" i="1" s="1"/>
  <c r="N71" i="2" s="1"/>
  <c r="K31" i="1" a="1"/>
  <c r="K31" i="1" s="1"/>
  <c r="O71" i="2" s="1"/>
  <c r="L31" i="1" a="1"/>
  <c r="L31" i="1" s="1"/>
  <c r="P71" i="2" s="1"/>
  <c r="M31" i="1" a="1"/>
  <c r="M31" i="1" s="1"/>
  <c r="Q71" i="2" s="1"/>
  <c r="N31" i="1" a="1"/>
  <c r="N31" i="1" s="1"/>
  <c r="R71" i="2" s="1"/>
  <c r="F26" i="1" a="1"/>
  <c r="F26" i="1" s="1"/>
  <c r="J56" i="2" s="1"/>
  <c r="G26" i="1" a="1"/>
  <c r="G26" i="1" s="1"/>
  <c r="K56" i="2" s="1"/>
  <c r="H26" i="1" a="1"/>
  <c r="H26" i="1" s="1"/>
  <c r="L56" i="2" s="1"/>
  <c r="I26" i="1" a="1"/>
  <c r="I26" i="1" s="1"/>
  <c r="M56" i="2" s="1"/>
  <c r="J26" i="1" a="1"/>
  <c r="J26" i="1" s="1"/>
  <c r="N56" i="2" s="1"/>
  <c r="K26" i="1" a="1"/>
  <c r="K26" i="1" s="1"/>
  <c r="O56" i="2" s="1"/>
  <c r="L26" i="1" a="1"/>
  <c r="L26" i="1" s="1"/>
  <c r="P56" i="2" s="1"/>
  <c r="M26" i="1" a="1"/>
  <c r="M26" i="1" s="1"/>
  <c r="Q56" i="2" s="1"/>
  <c r="N26" i="1" a="1"/>
  <c r="N26" i="1" s="1"/>
  <c r="R56" i="2" s="1"/>
  <c r="F21" i="1" a="1"/>
  <c r="F21" i="1" s="1"/>
  <c r="J55" i="2" s="1"/>
  <c r="G21" i="1" a="1"/>
  <c r="G21" i="1" s="1"/>
  <c r="K55" i="2" s="1"/>
  <c r="H21" i="1" a="1"/>
  <c r="H21" i="1" s="1"/>
  <c r="L55" i="2" s="1"/>
  <c r="I21" i="1" a="1"/>
  <c r="I21" i="1" s="1"/>
  <c r="M55" i="2" s="1"/>
  <c r="J21" i="1" a="1"/>
  <c r="J21" i="1" s="1"/>
  <c r="N55" i="2" s="1"/>
  <c r="K21" i="1" a="1"/>
  <c r="K21" i="1" s="1"/>
  <c r="O55" i="2" s="1"/>
  <c r="L21" i="1" a="1"/>
  <c r="L21" i="1" s="1"/>
  <c r="P55" i="2" s="1"/>
  <c r="M21" i="1" a="1"/>
  <c r="M21" i="1" s="1"/>
  <c r="Q55" i="2" s="1"/>
  <c r="N21" i="1" a="1"/>
  <c r="N21" i="1" s="1"/>
  <c r="R55" i="2" s="1"/>
  <c r="I55" i="2"/>
  <c r="F13" i="1"/>
  <c r="J52" i="2" s="1"/>
  <c r="G14" i="1" a="1"/>
  <c r="G14" i="1" s="1"/>
  <c r="K50" i="2" s="1"/>
  <c r="H14" i="1" a="1"/>
  <c r="H14" i="1" s="1"/>
  <c r="I14" i="1" a="1"/>
  <c r="I14" i="1" s="1"/>
  <c r="J14" i="1" a="1"/>
  <c r="J14" i="1" s="1"/>
  <c r="J13" i="1" s="1"/>
  <c r="N52" i="2" s="1"/>
  <c r="K14" i="1" a="1"/>
  <c r="K14" i="1" s="1"/>
  <c r="K13" i="1" s="1"/>
  <c r="O52" i="2" s="1"/>
  <c r="L14" i="1" a="1"/>
  <c r="L14" i="1" s="1"/>
  <c r="L13" i="1" s="1"/>
  <c r="P52" i="2" s="1"/>
  <c r="M14" i="1" a="1"/>
  <c r="M14" i="1" s="1"/>
  <c r="M13" i="1" s="1"/>
  <c r="Q52" i="2" s="1"/>
  <c r="N14" i="1" a="1"/>
  <c r="N14" i="1" s="1"/>
  <c r="N13" i="1" s="1"/>
  <c r="R52" i="2" s="1"/>
  <c r="E14" i="1" a="1"/>
  <c r="E14" i="1" s="1"/>
  <c r="E13" i="1" s="1"/>
  <c r="I52" i="2" s="1"/>
  <c r="F8" i="1"/>
  <c r="J49" i="2" s="1"/>
  <c r="G8" i="1"/>
  <c r="K49" i="2" s="1"/>
  <c r="H8" i="1"/>
  <c r="L49" i="2" s="1"/>
  <c r="I8" i="1"/>
  <c r="M49" i="2" s="1"/>
  <c r="J8" i="1"/>
  <c r="N49" i="2" s="1"/>
  <c r="K8" i="1"/>
  <c r="O49" i="2" s="1"/>
  <c r="L8" i="1"/>
  <c r="P49" i="2" s="1"/>
  <c r="E8" i="1"/>
  <c r="I49" i="2" s="1"/>
  <c r="H7" i="2" s="1"/>
  <c r="H30" i="2" l="1"/>
  <c r="H29" i="2"/>
  <c r="J7" i="2"/>
  <c r="J30" i="2" s="1"/>
  <c r="H21" i="2"/>
  <c r="K33" i="2"/>
  <c r="L33" i="2"/>
  <c r="M33" i="2"/>
  <c r="N33" i="2"/>
  <c r="O33" i="2"/>
  <c r="P33" i="2"/>
  <c r="S33" i="2"/>
  <c r="Q33" i="2"/>
  <c r="R33" i="2"/>
  <c r="J33" i="2"/>
  <c r="R50" i="2"/>
  <c r="Q50" i="2"/>
  <c r="P50" i="2"/>
  <c r="O50" i="2"/>
  <c r="N50" i="2"/>
  <c r="I13" i="1"/>
  <c r="M52" i="2" s="1"/>
  <c r="M50" i="2"/>
  <c r="H13" i="1"/>
  <c r="L52" i="2" s="1"/>
  <c r="L50" i="2"/>
  <c r="G13" i="1"/>
  <c r="K52" i="2" s="1"/>
  <c r="J50" i="2"/>
  <c r="I50" i="2"/>
  <c r="R48" i="2"/>
  <c r="Q48" i="2"/>
  <c r="O48" i="2"/>
  <c r="P48" i="2"/>
  <c r="N48" i="2"/>
  <c r="L48" i="2"/>
  <c r="M48" i="2"/>
  <c r="R88" i="2"/>
  <c r="R90" i="2" s="1"/>
  <c r="Q88" i="2"/>
  <c r="Q90" i="2" s="1"/>
  <c r="K48" i="2"/>
  <c r="P88" i="2"/>
  <c r="P90" i="2" s="1"/>
  <c r="N88" i="2"/>
  <c r="N90" i="2" s="1"/>
  <c r="O88" i="2"/>
  <c r="O90" i="2" s="1"/>
  <c r="M88" i="2"/>
  <c r="M90" i="2" s="1"/>
  <c r="L88" i="2"/>
  <c r="L90" i="2" s="1"/>
  <c r="H13" i="2"/>
  <c r="J48" i="2"/>
  <c r="K88" i="2"/>
  <c r="K90" i="2" s="1"/>
  <c r="J88" i="2"/>
  <c r="J90" i="2" s="1"/>
  <c r="Q91" i="2" l="1"/>
  <c r="R91" i="2"/>
  <c r="I91" i="2"/>
  <c r="L91" i="2"/>
  <c r="J91" i="2"/>
  <c r="K91" i="2"/>
  <c r="M91" i="2"/>
  <c r="N91" i="2"/>
  <c r="O91" i="2"/>
  <c r="P91" i="2"/>
  <c r="H55" i="2"/>
  <c r="H14" i="2"/>
  <c r="H8" i="2"/>
  <c r="H56" i="2" l="1"/>
  <c r="H17" i="2"/>
  <c r="I58" i="2" s="1"/>
  <c r="H50" i="2"/>
  <c r="H10" i="2"/>
  <c r="H19" i="2" l="1"/>
  <c r="I60" i="2" s="1"/>
  <c r="J13" i="2"/>
  <c r="J29" i="2"/>
  <c r="I102" i="2"/>
  <c r="J8" i="2"/>
  <c r="J10" i="2" s="1"/>
  <c r="J14" i="2"/>
  <c r="J21" i="2"/>
  <c r="K7" i="2"/>
  <c r="L7" i="2" s="1"/>
  <c r="H72" i="2" l="1"/>
  <c r="H69" i="2"/>
  <c r="H23" i="2"/>
  <c r="I64" i="2" s="1"/>
  <c r="H60" i="2"/>
  <c r="K92" i="2"/>
  <c r="R92" i="2"/>
  <c r="L92" i="2"/>
  <c r="M92" i="2"/>
  <c r="J92" i="2"/>
  <c r="J102" i="2" s="1"/>
  <c r="J72" i="2" s="1"/>
  <c r="N92" i="2"/>
  <c r="P92" i="2"/>
  <c r="Q92" i="2"/>
  <c r="O92" i="2"/>
  <c r="J17" i="2"/>
  <c r="J58" i="2" s="1"/>
  <c r="I105" i="2"/>
  <c r="K29" i="2"/>
  <c r="L30" i="2"/>
  <c r="K21" i="2"/>
  <c r="K8" i="2"/>
  <c r="K10" i="2" s="1"/>
  <c r="K13" i="2"/>
  <c r="K14" i="2"/>
  <c r="K30" i="2"/>
  <c r="L29" i="2"/>
  <c r="M7" i="2"/>
  <c r="L14" i="2"/>
  <c r="L13" i="2"/>
  <c r="L21" i="2"/>
  <c r="L8" i="2"/>
  <c r="L10" i="2" s="1"/>
  <c r="H24" i="2" l="1"/>
  <c r="H26" i="2" s="1"/>
  <c r="J69" i="2"/>
  <c r="J70" i="2" s="1"/>
  <c r="H70" i="2"/>
  <c r="P94" i="2"/>
  <c r="Q94" i="2"/>
  <c r="R94" i="2"/>
  <c r="L94" i="2"/>
  <c r="M94" i="2"/>
  <c r="O94" i="2"/>
  <c r="N94" i="2"/>
  <c r="Q93" i="2"/>
  <c r="R93" i="2"/>
  <c r="M93" i="2"/>
  <c r="N93" i="2"/>
  <c r="O93" i="2"/>
  <c r="K93" i="2"/>
  <c r="K102" i="2" s="1"/>
  <c r="L93" i="2"/>
  <c r="P93" i="2"/>
  <c r="J19" i="2"/>
  <c r="J23" i="2" s="1"/>
  <c r="J24" i="2" s="1"/>
  <c r="J26" i="2" s="1"/>
  <c r="H28" i="2"/>
  <c r="K17" i="2"/>
  <c r="K58" i="2" s="1"/>
  <c r="J105" i="2"/>
  <c r="J28" i="2" s="1"/>
  <c r="M30" i="2"/>
  <c r="L17" i="2"/>
  <c r="L58" i="2" s="1"/>
  <c r="M29" i="2"/>
  <c r="N7" i="2"/>
  <c r="M8" i="2"/>
  <c r="M10" i="2" s="1"/>
  <c r="M21" i="2"/>
  <c r="M14" i="2"/>
  <c r="M13" i="2"/>
  <c r="H32" i="2" l="1"/>
  <c r="H35" i="2" s="1"/>
  <c r="J64" i="2"/>
  <c r="J60" i="2"/>
  <c r="M95" i="2"/>
  <c r="M102" i="2" s="1"/>
  <c r="N95" i="2"/>
  <c r="P95" i="2"/>
  <c r="Q95" i="2"/>
  <c r="O95" i="2"/>
  <c r="R95" i="2"/>
  <c r="L102" i="2"/>
  <c r="L72" i="2" s="1"/>
  <c r="K19" i="2"/>
  <c r="K23" i="2" s="1"/>
  <c r="K72" i="2"/>
  <c r="K105" i="2"/>
  <c r="K28" i="2" s="1"/>
  <c r="K69" i="2"/>
  <c r="K70" i="2" s="1"/>
  <c r="N30" i="2"/>
  <c r="L19" i="2"/>
  <c r="J67" i="2"/>
  <c r="J32" i="2"/>
  <c r="J35" i="2" s="1"/>
  <c r="N29" i="2"/>
  <c r="I67" i="2"/>
  <c r="O7" i="2"/>
  <c r="N8" i="2"/>
  <c r="N10" i="2" s="1"/>
  <c r="N14" i="2"/>
  <c r="N13" i="2"/>
  <c r="N21" i="2"/>
  <c r="M17" i="2"/>
  <c r="M58" i="2" s="1"/>
  <c r="Q96" i="2" l="1"/>
  <c r="R96" i="2"/>
  <c r="N96" i="2"/>
  <c r="N102" i="2" s="1"/>
  <c r="O96" i="2"/>
  <c r="P96" i="2"/>
  <c r="L105" i="2"/>
  <c r="L28" i="2" s="1"/>
  <c r="K60" i="2"/>
  <c r="L69" i="2"/>
  <c r="L70" i="2" s="1"/>
  <c r="O30" i="2"/>
  <c r="M72" i="2"/>
  <c r="L60" i="2"/>
  <c r="L23" i="2"/>
  <c r="K24" i="2"/>
  <c r="K26" i="2" s="1"/>
  <c r="K64" i="2"/>
  <c r="M105" i="2"/>
  <c r="M28" i="2" s="1"/>
  <c r="O29" i="2"/>
  <c r="N17" i="2"/>
  <c r="N58" i="2" s="1"/>
  <c r="P7" i="2"/>
  <c r="O8" i="2"/>
  <c r="O10" i="2" s="1"/>
  <c r="O14" i="2"/>
  <c r="O13" i="2"/>
  <c r="O21" i="2"/>
  <c r="M19" i="2"/>
  <c r="P97" i="2" l="1"/>
  <c r="Q97" i="2"/>
  <c r="R97" i="2"/>
  <c r="O97" i="2"/>
  <c r="O102" i="2" s="1"/>
  <c r="O72" i="2" s="1"/>
  <c r="M69" i="2"/>
  <c r="M70" i="2" s="1"/>
  <c r="P30" i="2"/>
  <c r="N72" i="2"/>
  <c r="O17" i="2"/>
  <c r="O58" i="2" s="1"/>
  <c r="L64" i="2"/>
  <c r="L24" i="2"/>
  <c r="L26" i="2" s="1"/>
  <c r="N19" i="2"/>
  <c r="N23" i="2" s="1"/>
  <c r="K67" i="2"/>
  <c r="K32" i="2"/>
  <c r="K35" i="2" s="1"/>
  <c r="N105" i="2"/>
  <c r="N28" i="2" s="1"/>
  <c r="P29" i="2"/>
  <c r="M60" i="2"/>
  <c r="M23" i="2"/>
  <c r="P8" i="2"/>
  <c r="P10" i="2" s="1"/>
  <c r="P14" i="2"/>
  <c r="P13" i="2"/>
  <c r="P21" i="2"/>
  <c r="Q98" i="2" l="1"/>
  <c r="R98" i="2"/>
  <c r="P98" i="2"/>
  <c r="P102" i="2" s="1"/>
  <c r="P72" i="2" s="1"/>
  <c r="N69" i="2"/>
  <c r="N70" i="2" s="1"/>
  <c r="N60" i="2"/>
  <c r="O19" i="2"/>
  <c r="O60" i="2" s="1"/>
  <c r="L32" i="2"/>
  <c r="L35" i="2" s="1"/>
  <c r="L67" i="2"/>
  <c r="O105" i="2"/>
  <c r="O28" i="2" s="1"/>
  <c r="P17" i="2"/>
  <c r="P58" i="2" s="1"/>
  <c r="N24" i="2"/>
  <c r="N26" i="2" s="1"/>
  <c r="N64" i="2"/>
  <c r="M24" i="2"/>
  <c r="M26" i="2" s="1"/>
  <c r="M64" i="2"/>
  <c r="O23" i="2" l="1"/>
  <c r="O64" i="2" s="1"/>
  <c r="O69" i="2"/>
  <c r="O70" i="2" s="1"/>
  <c r="P105" i="2"/>
  <c r="P28" i="2" s="1"/>
  <c r="P19" i="2"/>
  <c r="P60" i="2" s="1"/>
  <c r="M67" i="2"/>
  <c r="M32" i="2"/>
  <c r="M35" i="2" s="1"/>
  <c r="N67" i="2"/>
  <c r="N32" i="2"/>
  <c r="N35" i="2" s="1"/>
  <c r="O24" i="2" l="1"/>
  <c r="O26" i="2" s="1"/>
  <c r="O32" i="2" s="1"/>
  <c r="O35" i="2" s="1"/>
  <c r="P69" i="2"/>
  <c r="P70" i="2" s="1"/>
  <c r="P23" i="2"/>
  <c r="P24" i="2" s="1"/>
  <c r="P26" i="2" s="1"/>
  <c r="P32" i="2" s="1"/>
  <c r="P35" i="2" s="1"/>
  <c r="O67" i="2" l="1"/>
  <c r="P64" i="2"/>
  <c r="P67" i="2"/>
  <c r="M8" i="1" l="1"/>
  <c r="Q49" i="2" s="1"/>
  <c r="Q7" i="2" s="1"/>
  <c r="Q29" i="2" l="1"/>
  <c r="Q8" i="2"/>
  <c r="Q10" i="2" s="1"/>
  <c r="Q30" i="2"/>
  <c r="Q21" i="2"/>
  <c r="Q14" i="2"/>
  <c r="Q13" i="2"/>
  <c r="Q17" i="2" l="1"/>
  <c r="Q58" i="2" s="1"/>
  <c r="R99" i="2"/>
  <c r="Q99" i="2"/>
  <c r="Q102" i="2" s="1"/>
  <c r="Q69" i="2" s="1"/>
  <c r="Q19" i="2" l="1"/>
  <c r="Q23" i="2" s="1"/>
  <c r="Q70" i="2"/>
  <c r="Q105" i="2"/>
  <c r="Q28" i="2" s="1"/>
  <c r="Q72" i="2"/>
  <c r="Q60" i="2" l="1"/>
  <c r="Q24" i="2"/>
  <c r="Q26" i="2" s="1"/>
  <c r="Q64" i="2"/>
  <c r="Q32" i="2" l="1"/>
  <c r="Q35" i="2" s="1"/>
  <c r="Q67" i="2"/>
  <c r="N8" i="1"/>
  <c r="R49" i="2" s="1"/>
  <c r="R7" i="2" s="1"/>
  <c r="R8" i="2" l="1"/>
  <c r="R10" i="2" s="1"/>
  <c r="R21" i="2"/>
  <c r="R30" i="2"/>
  <c r="R13" i="2"/>
  <c r="R29" i="2"/>
  <c r="R100" i="2" s="1"/>
  <c r="R14" i="2"/>
  <c r="R17" i="2" l="1"/>
  <c r="R58" i="2" s="1"/>
  <c r="R102" i="2"/>
  <c r="R69" i="2" s="1"/>
  <c r="R70" i="2" s="1"/>
  <c r="R19" i="2" l="1"/>
  <c r="R60" i="2" s="1"/>
  <c r="R72" i="2"/>
  <c r="R105" i="2"/>
  <c r="R28" i="2" s="1"/>
  <c r="R23" i="2" l="1"/>
  <c r="R64" i="2" s="1"/>
  <c r="R24" i="2" l="1"/>
  <c r="R26" i="2" s="1"/>
  <c r="S32" i="2" s="1"/>
  <c r="S35" i="2" s="1"/>
  <c r="R32" i="2" l="1"/>
  <c r="R35" i="2" s="1"/>
  <c r="E37" i="2" s="1"/>
  <c r="E41" i="2" s="1"/>
  <c r="E44" i="2" s="1"/>
  <c r="E47" i="2" s="1"/>
  <c r="R67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<sst xmlns="http://schemas.openxmlformats.org/spreadsheetml/2006/main" count="240" uniqueCount="99">
  <si>
    <t>Operating Scenario</t>
  </si>
  <si>
    <t>Option Selection</t>
  </si>
  <si>
    <t>Projected</t>
  </si>
  <si>
    <t>Total Revenue Growth</t>
  </si>
  <si>
    <t>Base</t>
  </si>
  <si>
    <t>Bull</t>
  </si>
  <si>
    <t>Bear</t>
  </si>
  <si>
    <t>Gross Margin</t>
  </si>
  <si>
    <t>COGS</t>
  </si>
  <si>
    <t>Operating Expense</t>
  </si>
  <si>
    <t>SG&amp;A</t>
  </si>
  <si>
    <t>R&amp;D</t>
  </si>
  <si>
    <t>CapEx</t>
  </si>
  <si>
    <t>Other Income</t>
  </si>
  <si>
    <t>Revenue</t>
  </si>
  <si>
    <t>Cost of Goods Sold</t>
  </si>
  <si>
    <t>Operating Expenses:</t>
  </si>
  <si>
    <t>Total Operating Expenses</t>
  </si>
  <si>
    <t>Operating Income</t>
  </si>
  <si>
    <t>Other Income/(Expense)</t>
  </si>
  <si>
    <t>Pretax Income</t>
  </si>
  <si>
    <t>Income Taxes</t>
  </si>
  <si>
    <t>Net Income</t>
  </si>
  <si>
    <t>+  Depreciation &amp; Amortization</t>
  </si>
  <si>
    <t>-   Capital Expenditures</t>
  </si>
  <si>
    <t>-   Working Capital Additions</t>
  </si>
  <si>
    <t>Free Cash Flow</t>
  </si>
  <si>
    <t>Present Value Factor</t>
  </si>
  <si>
    <t>PV Free Cash Flow</t>
  </si>
  <si>
    <t>Value of Firm</t>
  </si>
  <si>
    <t>Less:  Debt Outstanding</t>
  </si>
  <si>
    <t>Plus:  Cash</t>
  </si>
  <si>
    <t>Equity Value</t>
  </si>
  <si>
    <t>Shares Outstanding</t>
  </si>
  <si>
    <t>Value Per Share</t>
  </si>
  <si>
    <t>Revenue Growth</t>
  </si>
  <si>
    <t>Income Tax Rate</t>
  </si>
  <si>
    <t>Net PP&amp;E</t>
  </si>
  <si>
    <t>Revenue/Net PP&amp;E</t>
  </si>
  <si>
    <t>Capital Expenditure % of Rev</t>
  </si>
  <si>
    <t>Depreciation/Revenue</t>
  </si>
  <si>
    <t>Working Capital/Revenue</t>
  </si>
  <si>
    <t>Discount Rate:</t>
  </si>
  <si>
    <t>Risk-Free Rate</t>
  </si>
  <si>
    <t>Risk Premium</t>
  </si>
  <si>
    <t>Beta</t>
  </si>
  <si>
    <t>K(e)</t>
  </si>
  <si>
    <t>K(d)</t>
  </si>
  <si>
    <t>Tax Rate</t>
  </si>
  <si>
    <t>Debt/Capital</t>
  </si>
  <si>
    <t>WACC</t>
  </si>
  <si>
    <t>2026 Capital Expenditures</t>
  </si>
  <si>
    <t>2027 Capital Expenditures</t>
  </si>
  <si>
    <t>2028 Capital Expenditures</t>
  </si>
  <si>
    <t>2029 Capital Expenditures</t>
  </si>
  <si>
    <t>2030 Capital Expenditures</t>
  </si>
  <si>
    <t>2031 Capital Expenditures</t>
  </si>
  <si>
    <t>2032 Capital Expenditures</t>
  </si>
  <si>
    <t>2033 Capital Expenditures</t>
  </si>
  <si>
    <t>2034 Capital Expenditures</t>
  </si>
  <si>
    <t>2035 Capital Expenditures</t>
  </si>
  <si>
    <t>Total Depreciation Schedule</t>
  </si>
  <si>
    <t>Intangible Amortization</t>
  </si>
  <si>
    <t>Total Depreciation &amp; Amortization</t>
  </si>
  <si>
    <t>2025_Q1</t>
  </si>
  <si>
    <t>2026_Q1</t>
  </si>
  <si>
    <t>Working Capital</t>
  </si>
  <si>
    <t>g</t>
  </si>
  <si>
    <t>roic</t>
  </si>
  <si>
    <t>working capital</t>
  </si>
  <si>
    <t>change in working capital</t>
  </si>
  <si>
    <t>rev</t>
  </si>
  <si>
    <t>working capital/rev</t>
  </si>
  <si>
    <t>11/14 market cap</t>
  </si>
  <si>
    <t>11/14 total debt</t>
  </si>
  <si>
    <t>11/14 debt/capital</t>
  </si>
  <si>
    <t>r&amp;d (% of rev)</t>
  </si>
  <si>
    <t>rev yoy</t>
  </si>
  <si>
    <t>cogs ( % rev)</t>
  </si>
  <si>
    <t>2026q1</t>
  </si>
  <si>
    <t>2025Net PP&amp;E</t>
  </si>
  <si>
    <t>2026_1</t>
  </si>
  <si>
    <t>Market Price</t>
  </si>
  <si>
    <t>% change</t>
  </si>
  <si>
    <t>2026E</t>
  </si>
  <si>
    <t>2027E</t>
  </si>
  <si>
    <t>2028E</t>
  </si>
  <si>
    <t>2029E</t>
  </si>
  <si>
    <t>2030E</t>
  </si>
  <si>
    <t>2031E</t>
  </si>
  <si>
    <t>2032E</t>
  </si>
  <si>
    <t>2033E</t>
  </si>
  <si>
    <t>2034E</t>
  </si>
  <si>
    <t>2035E</t>
  </si>
  <si>
    <t>--------------</t>
  </si>
  <si>
    <t>Discounted Cash Flow Analysis</t>
  </si>
  <si>
    <t>MSFT</t>
  </si>
  <si>
    <t>For the Years Ended June 30</t>
  </si>
  <si>
    <t>Millions of US Dollars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</si>
</sst>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 &quot;¥&quot;* #,##0.00_ ;_ &quot;¥&quot;* \-#,##0.00_ ;_ &quot;¥&quot;* &quot;-&quot;??_ ;_ @_ "/>
    <numFmt numFmtId="165" formatCode="_ * #,##0.00_ ;_ * \-#,##0.00_ ;_ * &quot;-&quot;??_ ;_ @_ "/>
    <numFmt numFmtId="166" formatCode="0.0%"/>
    <numFmt numFmtId="167" formatCode="#,##0.0"/>
    <numFmt numFmtId="168" formatCode="0.000%"/>
    <numFmt numFmtId="169" formatCode="_(* #,##0.0_);_(* \(#,##0.0\);_(* &quot;-&quot;??_);_(@_)"/>
    <numFmt numFmtId="170" formatCode="#,##0.0000"/>
    <numFmt numFmtId="171" formatCode="_-[$$-45C]* #,##0.00_-;\-[$$-45C]* #,##0.00_-;_-[$$-45C]* &quot;-&quot;??_-;_-@_-"/>
  </numFmts>
  <fonts count="8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666666"/>
      <name val="Segoe UI"/>
      <family val="2"/>
    </font>
    <font>
      <sz val="10"/>
      <name val="Helv"/>
      <family val="2"/>
    </font>
    <font>
      <sz val="10"/>
      <color rgb="FF000000"/>
      <name val="Segoe U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5">
    <xf numFmtId="0" fontId="0" fillId="0" borderId="0"/>
    <xf numFmtId="9" fontId="3" fillId="0" borderId="0" applyFont="0" applyFill="0" applyBorder="0" applyAlignment="0" applyProtection="0"/>
    <xf numFmtId="4" fontId="5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</cellStyleXfs>
  <cellXfs count="38">
    <xf numFmtId="0" fontId="0" fillId="0" borderId="0" xfId="0"/>
    <xf numFmtId="0" fontId="1" fillId="2" borderId="0" xfId="0" applyFont="1" applyFill="1"/>
    <xf numFmtId="0" fontId="2" fillId="0" borderId="0" xfId="0" applyFont="1"/>
    <xf numFmtId="0" fontId="2" fillId="0" borderId="0" xfId="0" quotePrefix="1" applyFont="1"/>
    <xf numFmtId="3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4" fontId="0" fillId="0" borderId="0" xfId="0" applyNumberFormat="1"/>
    <xf numFmtId="9" fontId="0" fillId="0" borderId="0" xfId="1" applyFont="1"/>
    <xf numFmtId="168" fontId="0" fillId="0" borderId="0" xfId="0" applyNumberFormat="1"/>
    <xf numFmtId="10" fontId="0" fillId="0" borderId="0" xfId="1" applyNumberFormat="1" applyFont="1"/>
    <xf numFmtId="0" fontId="1" fillId="0" borderId="0" xfId="0" applyFont="1"/>
    <xf numFmtId="0" fontId="0" fillId="2" borderId="0" xfId="0" applyFill="1"/>
    <xf numFmtId="166" fontId="1" fillId="2" borderId="0" xfId="0" applyNumberFormat="1" applyFont="1" applyFill="1"/>
    <xf numFmtId="166" fontId="0" fillId="2" borderId="0" xfId="0" applyNumberFormat="1" applyFill="1"/>
    <xf numFmtId="10" fontId="0" fillId="2" borderId="0" xfId="0" applyNumberFormat="1" applyFill="1"/>
    <xf numFmtId="3" fontId="0" fillId="2" borderId="0" xfId="0" applyNumberFormat="1" applyFill="1"/>
    <xf numFmtId="0" fontId="2" fillId="2" borderId="0" xfId="0" applyFont="1" applyFill="1"/>
    <xf numFmtId="167" fontId="0" fillId="2" borderId="0" xfId="0" applyNumberFormat="1" applyFill="1"/>
    <xf numFmtId="10" fontId="1" fillId="2" borderId="0" xfId="0" applyNumberFormat="1" applyFont="1" applyFill="1"/>
    <xf numFmtId="167" fontId="4" fillId="2" borderId="0" xfId="0" applyNumberFormat="1" applyFont="1" applyFill="1"/>
    <xf numFmtId="10" fontId="0" fillId="2" borderId="0" xfId="1" applyNumberFormat="1" applyFont="1" applyFill="1"/>
    <xf numFmtId="0" fontId="2" fillId="2" borderId="0" xfId="0" quotePrefix="1" applyFont="1" applyFill="1"/>
    <xf numFmtId="167" fontId="6" fillId="2" borderId="0" xfId="0" applyNumberFormat="1" applyFont="1" applyFill="1"/>
    <xf numFmtId="4" fontId="0" fillId="2" borderId="0" xfId="0" applyNumberFormat="1" applyFill="1"/>
    <xf numFmtId="166" fontId="0" fillId="2" borderId="0" xfId="1" applyNumberFormat="1" applyFont="1" applyFill="1"/>
    <xf numFmtId="2" fontId="0" fillId="2" borderId="0" xfId="0" applyNumberFormat="1" applyFill="1"/>
    <xf numFmtId="9" fontId="0" fillId="2" borderId="0" xfId="0" applyNumberFormat="1" applyFill="1"/>
    <xf numFmtId="168" fontId="0" fillId="2" borderId="0" xfId="0" applyNumberFormat="1" applyFill="1"/>
    <xf numFmtId="0" fontId="2" fillId="0" borderId="0" xfId="0" quotePrefix="1" applyFont="1" applyAlignment="1">
      <alignment horizontal="right"/>
    </xf>
    <xf numFmtId="0" fontId="2" fillId="2" borderId="0" xfId="0" quotePrefix="1" applyFont="1" applyFill="1" applyAlignment="1">
      <alignment horizontal="right"/>
    </xf>
    <xf numFmtId="169" fontId="2" fillId="2" borderId="0" xfId="3" applyNumberFormat="1" applyFont="1" applyFill="1"/>
    <xf numFmtId="170" fontId="2" fillId="2" borderId="0" xfId="3" applyNumberFormat="1" applyFont="1" applyFill="1"/>
    <xf numFmtId="171" fontId="2" fillId="2" borderId="0" xfId="4" applyNumberFormat="1" applyFont="1" applyFill="1"/>
    <xf numFmtId="0" fontId="1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</cellXfs>
  <cellStyles count="5">
    <cellStyle name="Comma" xfId="3" builtinId="3"/>
    <cellStyle name="Comma 5 2" xfId="2" xr:uid="{040DD724-7C19-4374-9EF8-0FBBED080F54}"/>
    <cellStyle name="Currency" xfId="4" builtinId="4"/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4"/>
  <sheetViews>
    <sheetView zoomScale="130" zoomScaleNormal="130" workbookViewId="0">
      <selection activeCell="D4" sqref="D4"/>
    </sheetView>
  </sheetViews>
  <sheetFormatPr baseColWidth="10" defaultColWidth="8.83203125" defaultRowHeight="15"/>
  <sheetData>
    <row r="1" spans="1:15">
      <c r="A1" s="13"/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</row>
    <row r="2" spans="1:15">
      <c r="A2" s="13"/>
      <c r="B2" s="35" t="s">
        <v>1</v>
      </c>
      <c r="C2" s="35"/>
      <c r="D2" s="35"/>
      <c r="E2" s="35"/>
      <c r="F2" s="1"/>
      <c r="G2" s="1"/>
      <c r="H2" s="1"/>
      <c r="I2" s="1"/>
      <c r="J2" s="1"/>
      <c r="K2" s="1"/>
      <c r="L2" s="1"/>
      <c r="M2" s="1"/>
      <c r="N2" s="1"/>
      <c r="O2" s="13"/>
    </row>
    <row r="3" spans="1:15">
      <c r="A3" s="13"/>
      <c r="B3" s="35" t="s">
        <v>0</v>
      </c>
      <c r="C3" s="35"/>
      <c r="D3" s="35">
        <v>3</v>
      </c>
      <c r="E3" s="35"/>
      <c r="F3" s="1"/>
      <c r="G3" s="1"/>
      <c r="H3" s="1"/>
      <c r="I3" s="1"/>
      <c r="J3" s="1"/>
      <c r="K3" s="1"/>
      <c r="L3" s="1"/>
      <c r="M3" s="1"/>
      <c r="N3" s="1"/>
      <c r="O3" s="13"/>
    </row>
    <row r="4" spans="1:15">
      <c r="A4" s="13"/>
      <c r="B4" s="1"/>
      <c r="C4" s="1"/>
      <c r="D4" s="1"/>
      <c r="E4" s="1"/>
      <c r="F4" s="1"/>
      <c r="G4" s="1"/>
      <c r="H4" s="1"/>
      <c r="I4" s="35" t="s">
        <v>2</v>
      </c>
      <c r="J4" s="35"/>
      <c r="K4" s="35"/>
      <c r="L4" s="1"/>
      <c r="M4" s="1"/>
      <c r="N4" s="1"/>
      <c r="O4" s="13"/>
    </row>
    <row r="5" spans="1:15">
      <c r="A5" s="13"/>
      <c r="B5" s="1"/>
      <c r="C5" s="1"/>
      <c r="D5" s="1"/>
      <c r="E5" s="1">
        <v>2026</v>
      </c>
      <c r="F5" s="1">
        <v>2027</v>
      </c>
      <c r="G5" s="1">
        <f t="shared" ref="G5:N5" si="0">F5+1</f>
        <v>2028</v>
      </c>
      <c r="H5" s="1">
        <f t="shared" si="0"/>
        <v>2029</v>
      </c>
      <c r="I5" s="1">
        <f t="shared" si="0"/>
        <v>2030</v>
      </c>
      <c r="J5" s="1">
        <f t="shared" si="0"/>
        <v>2031</v>
      </c>
      <c r="K5" s="1">
        <f t="shared" si="0"/>
        <v>2032</v>
      </c>
      <c r="L5" s="1">
        <f t="shared" si="0"/>
        <v>2033</v>
      </c>
      <c r="M5" s="1">
        <f t="shared" si="0"/>
        <v>2034</v>
      </c>
      <c r="N5" s="1">
        <f t="shared" si="0"/>
        <v>2035</v>
      </c>
      <c r="O5" s="13"/>
    </row>
    <row r="6" spans="1:15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</row>
    <row r="7" spans="1:15">
      <c r="A7" s="13"/>
      <c r="B7" s="13"/>
      <c r="C7" s="13"/>
      <c r="D7" s="13"/>
      <c r="E7" s="13"/>
      <c r="F7" s="13"/>
      <c r="G7" s="13"/>
      <c r="H7" s="13"/>
      <c r="I7" s="13"/>
      <c r="J7" s="13"/>
      <c r="K7" s="13"/>
      <c r="L7" s="13"/>
      <c r="M7" s="13"/>
      <c r="N7" s="13"/>
      <c r="O7" s="13"/>
    </row>
    <row r="8" spans="1:15" s="12" customFormat="1">
      <c r="A8" s="1" t="s">
        <v>3</v>
      </c>
      <c r="B8" s="1"/>
      <c r="C8" s="1"/>
      <c r="D8" s="1"/>
      <c r="E8" s="14">
        <f>CHOOSE($D$3,E9,E10,E11)</f>
        <v>0.15</v>
      </c>
      <c r="F8" s="14">
        <f t="shared" ref="F8:N8" si="1">CHOOSE($D$3,F9,F10,F11)</f>
        <v>0.13</v>
      </c>
      <c r="G8" s="14">
        <f t="shared" si="1"/>
        <v>0.12</v>
      </c>
      <c r="H8" s="14">
        <f t="shared" si="1"/>
        <v>0.11</v>
      </c>
      <c r="I8" s="14">
        <f t="shared" si="1"/>
        <v>0.11</v>
      </c>
      <c r="J8" s="14">
        <f t="shared" si="1"/>
        <v>0.11</v>
      </c>
      <c r="K8" s="14">
        <f t="shared" si="1"/>
        <v>0.1</v>
      </c>
      <c r="L8" s="14">
        <f t="shared" si="1"/>
        <v>0.1</v>
      </c>
      <c r="M8" s="14">
        <f t="shared" si="1"/>
        <v>0.09</v>
      </c>
      <c r="N8" s="14">
        <f t="shared" si="1"/>
        <v>0.09</v>
      </c>
      <c r="O8" s="14"/>
    </row>
    <row r="9" spans="1:15">
      <c r="A9" s="13" t="s">
        <v>4</v>
      </c>
      <c r="B9" s="13"/>
      <c r="C9" s="13"/>
      <c r="D9" s="13"/>
      <c r="E9" s="15">
        <v>0.16</v>
      </c>
      <c r="F9" s="15">
        <v>0.16</v>
      </c>
      <c r="G9" s="15">
        <v>0.16</v>
      </c>
      <c r="H9" s="15">
        <v>0.15</v>
      </c>
      <c r="I9" s="15">
        <v>0.14000000000000001</v>
      </c>
      <c r="J9" s="15">
        <v>0.13</v>
      </c>
      <c r="K9" s="15">
        <v>0.12</v>
      </c>
      <c r="L9" s="15">
        <v>0.12</v>
      </c>
      <c r="M9" s="15">
        <v>0.11</v>
      </c>
      <c r="N9" s="15">
        <v>0.11</v>
      </c>
      <c r="O9" s="15"/>
    </row>
    <row r="10" spans="1:15">
      <c r="A10" s="13" t="s">
        <v>5</v>
      </c>
      <c r="B10" s="13"/>
      <c r="C10" s="13"/>
      <c r="D10" s="13"/>
      <c r="E10" s="15">
        <v>0.18</v>
      </c>
      <c r="F10" s="15">
        <v>0.2</v>
      </c>
      <c r="G10" s="15">
        <v>0.18</v>
      </c>
      <c r="H10" s="15">
        <f t="shared" ref="H10:J10" si="2">H9+2%</f>
        <v>0.16999999999999998</v>
      </c>
      <c r="I10" s="15">
        <f t="shared" si="2"/>
        <v>0.16</v>
      </c>
      <c r="J10" s="15">
        <f t="shared" si="2"/>
        <v>0.15</v>
      </c>
      <c r="K10" s="15">
        <v>0.13</v>
      </c>
      <c r="L10" s="15">
        <v>0.12</v>
      </c>
      <c r="M10" s="15">
        <f>M9+1%</f>
        <v>0.12</v>
      </c>
      <c r="N10" s="15">
        <f t="shared" ref="N10" si="3">N9+1%</f>
        <v>0.12</v>
      </c>
      <c r="O10" s="15"/>
    </row>
    <row r="11" spans="1:15">
      <c r="A11" s="13" t="s">
        <v>6</v>
      </c>
      <c r="B11" s="13"/>
      <c r="C11" s="13"/>
      <c r="D11" s="13"/>
      <c r="E11" s="15">
        <v>0.15</v>
      </c>
      <c r="F11" s="15">
        <v>0.13</v>
      </c>
      <c r="G11" s="15">
        <v>0.12</v>
      </c>
      <c r="H11" s="15">
        <v>0.11</v>
      </c>
      <c r="I11" s="15">
        <v>0.11</v>
      </c>
      <c r="J11" s="15">
        <v>0.11</v>
      </c>
      <c r="K11" s="15">
        <v>0.1</v>
      </c>
      <c r="L11" s="15">
        <v>0.1</v>
      </c>
      <c r="M11" s="15">
        <v>0.09</v>
      </c>
      <c r="N11" s="15">
        <v>0.09</v>
      </c>
      <c r="O11" s="15"/>
    </row>
    <row r="12" spans="1:15">
      <c r="A12" s="13"/>
      <c r="B12" s="13"/>
      <c r="C12" s="13"/>
      <c r="D12" s="13"/>
      <c r="E12" s="15"/>
      <c r="F12" s="15"/>
      <c r="G12" s="15"/>
      <c r="H12" s="15"/>
      <c r="I12" s="15"/>
      <c r="J12" s="15"/>
      <c r="K12" s="15"/>
      <c r="L12" s="15"/>
      <c r="M12" s="15"/>
      <c r="N12" s="15"/>
      <c r="O12" s="15"/>
    </row>
    <row r="13" spans="1:15" s="12" customFormat="1">
      <c r="A13" s="1" t="s">
        <v>7</v>
      </c>
      <c r="B13" s="1"/>
      <c r="C13" s="1"/>
      <c r="D13" s="1"/>
      <c r="E13" s="14">
        <f>1-E14</f>
        <v>0.68500000000000005</v>
      </c>
      <c r="F13" s="14">
        <f t="shared" ref="F13:N13" si="4">1-F14</f>
        <v>0.7</v>
      </c>
      <c r="G13" s="14">
        <f t="shared" si="4"/>
        <v>0.69</v>
      </c>
      <c r="H13" s="14">
        <f t="shared" si="4"/>
        <v>0.7</v>
      </c>
      <c r="I13" s="14">
        <f t="shared" si="4"/>
        <v>0.71</v>
      </c>
      <c r="J13" s="14">
        <f t="shared" si="4"/>
        <v>0.72</v>
      </c>
      <c r="K13" s="14">
        <f t="shared" si="4"/>
        <v>0.73</v>
      </c>
      <c r="L13" s="14">
        <f t="shared" si="4"/>
        <v>0.73499999999999999</v>
      </c>
      <c r="M13" s="14">
        <f t="shared" si="4"/>
        <v>0.73499999999999999</v>
      </c>
      <c r="N13" s="14">
        <f t="shared" si="4"/>
        <v>0.73499999999999999</v>
      </c>
      <c r="O13" s="14"/>
    </row>
    <row r="14" spans="1:15">
      <c r="A14" s="13" t="s">
        <v>8</v>
      </c>
      <c r="B14" s="13"/>
      <c r="C14" s="13"/>
      <c r="D14" s="13"/>
      <c r="E14" s="15" cm="1">
        <f t="array" ref="E14">INDEX(E15:E18,$D$3)</f>
        <v>0.315</v>
      </c>
      <c r="F14" s="15">
        <v>0.3</v>
      </c>
      <c r="G14" s="15" cm="1">
        <f t="array" ref="G14">INDEX(G15:G18,$D$3)</f>
        <v>0.31</v>
      </c>
      <c r="H14" s="15" cm="1">
        <f t="array" ref="H14">INDEX(H15:H18,$D$3)</f>
        <v>0.3</v>
      </c>
      <c r="I14" s="15" cm="1">
        <f t="array" ref="I14">INDEX(I15:I18,$D$3)</f>
        <v>0.29000000000000004</v>
      </c>
      <c r="J14" s="15" cm="1">
        <f t="array" ref="J14">INDEX(J15:J18,$D$3)</f>
        <v>0.28000000000000003</v>
      </c>
      <c r="K14" s="15" cm="1">
        <f t="array" ref="K14">INDEX(K15:K18,$D$3)</f>
        <v>0.27</v>
      </c>
      <c r="L14" s="15" cm="1">
        <f t="array" ref="L14">INDEX(L15:L18,$D$3)</f>
        <v>0.26500000000000001</v>
      </c>
      <c r="M14" s="15" cm="1">
        <f t="array" ref="M14">INDEX(M15:M18,$D$3)</f>
        <v>0.26500000000000001</v>
      </c>
      <c r="N14" s="15" cm="1">
        <f t="array" ref="N14">INDEX(N15:N18,$D$3)</f>
        <v>0.26500000000000001</v>
      </c>
      <c r="O14" s="15"/>
    </row>
    <row r="15" spans="1:15">
      <c r="A15" s="13" t="s">
        <v>4</v>
      </c>
      <c r="B15" s="13"/>
      <c r="C15" s="13"/>
      <c r="D15" s="13"/>
      <c r="E15" s="15">
        <v>0.31</v>
      </c>
      <c r="F15" s="15">
        <v>0.30499999999999999</v>
      </c>
      <c r="G15" s="15">
        <v>0.3</v>
      </c>
      <c r="H15" s="15">
        <v>0.28999999999999998</v>
      </c>
      <c r="I15" s="15">
        <v>0.28000000000000003</v>
      </c>
      <c r="J15" s="15">
        <v>0.27</v>
      </c>
      <c r="K15" s="15">
        <v>0.25</v>
      </c>
      <c r="L15" s="15">
        <v>0.25</v>
      </c>
      <c r="M15" s="15">
        <v>0.25</v>
      </c>
      <c r="N15" s="15">
        <v>0.25</v>
      </c>
      <c r="O15" s="15"/>
    </row>
    <row r="16" spans="1:15">
      <c r="A16" s="13" t="s">
        <v>5</v>
      </c>
      <c r="B16" s="13"/>
      <c r="C16" s="13"/>
      <c r="D16" s="13"/>
      <c r="E16" s="15">
        <v>0.30499999999999999</v>
      </c>
      <c r="F16" s="15">
        <v>0.28999999999999998</v>
      </c>
      <c r="G16" s="15">
        <v>0.28000000000000003</v>
      </c>
      <c r="H16" s="15">
        <v>0.27</v>
      </c>
      <c r="I16" s="15">
        <v>0.26</v>
      </c>
      <c r="J16" s="15">
        <v>0.25</v>
      </c>
      <c r="K16" s="15">
        <v>0.245</v>
      </c>
      <c r="L16" s="15">
        <v>0.245</v>
      </c>
      <c r="M16" s="15">
        <v>0.245</v>
      </c>
      <c r="N16" s="15">
        <v>0.245</v>
      </c>
      <c r="O16" s="15"/>
    </row>
    <row r="17" spans="1:15">
      <c r="A17" s="13" t="s">
        <v>6</v>
      </c>
      <c r="B17" s="13"/>
      <c r="C17" s="13"/>
      <c r="D17" s="13"/>
      <c r="E17" s="15">
        <v>0.315</v>
      </c>
      <c r="F17" s="15">
        <v>0.32</v>
      </c>
      <c r="G17" s="15">
        <v>0.31</v>
      </c>
      <c r="H17" s="15">
        <f t="shared" ref="H17:I17" si="5">H15+1%</f>
        <v>0.3</v>
      </c>
      <c r="I17" s="15">
        <f t="shared" si="5"/>
        <v>0.29000000000000004</v>
      </c>
      <c r="J17" s="15">
        <v>0.28000000000000003</v>
      </c>
      <c r="K17" s="15">
        <v>0.27</v>
      </c>
      <c r="L17" s="15">
        <v>0.26500000000000001</v>
      </c>
      <c r="M17" s="15">
        <v>0.26500000000000001</v>
      </c>
      <c r="N17" s="15">
        <v>0.26500000000000001</v>
      </c>
      <c r="O17" s="15"/>
    </row>
    <row r="18" spans="1:15">
      <c r="A18" s="13"/>
      <c r="B18" s="13"/>
      <c r="C18" s="13"/>
      <c r="D18" s="13"/>
      <c r="E18" s="15"/>
      <c r="F18" s="15"/>
      <c r="G18" s="15"/>
      <c r="H18" s="15"/>
      <c r="I18" s="15"/>
      <c r="J18" s="15"/>
      <c r="K18" s="15"/>
      <c r="L18" s="15"/>
      <c r="M18" s="15"/>
      <c r="N18" s="15"/>
      <c r="O18" s="15"/>
    </row>
    <row r="19" spans="1:15">
      <c r="A19" s="1" t="s">
        <v>9</v>
      </c>
      <c r="B19" s="13"/>
      <c r="C19" s="13"/>
      <c r="D19" s="13"/>
      <c r="E19" s="15"/>
      <c r="F19" s="15"/>
      <c r="G19" s="15"/>
      <c r="H19" s="15"/>
      <c r="I19" s="15"/>
      <c r="J19" s="15"/>
      <c r="K19" s="15"/>
      <c r="L19" s="15"/>
      <c r="M19" s="15"/>
      <c r="N19" s="15"/>
      <c r="O19" s="15"/>
    </row>
    <row r="20" spans="1:15">
      <c r="A20" s="13"/>
      <c r="B20" s="13"/>
      <c r="C20" s="13"/>
      <c r="D20" s="13"/>
      <c r="E20" s="15"/>
      <c r="F20" s="15"/>
      <c r="G20" s="15"/>
      <c r="H20" s="15"/>
      <c r="I20" s="15"/>
      <c r="J20" s="15"/>
      <c r="K20" s="15"/>
      <c r="L20" s="15"/>
      <c r="M20" s="15"/>
      <c r="N20" s="15"/>
      <c r="O20" s="15"/>
    </row>
    <row r="21" spans="1:15" s="12" customFormat="1">
      <c r="A21" s="1" t="s">
        <v>10</v>
      </c>
      <c r="B21" s="1"/>
      <c r="C21" s="1"/>
      <c r="D21" s="1"/>
      <c r="E21" s="14" cm="1">
        <f t="array" ref="E21">INDEX(E22:E24,$D$3)</f>
        <v>0.11600000000000001</v>
      </c>
      <c r="F21" s="14" cm="1">
        <f t="array" ref="F21">INDEX(F22:F24,$D$3)</f>
        <v>0.12</v>
      </c>
      <c r="G21" s="14" cm="1">
        <f t="array" ref="G21">INDEX(G22:G24,$D$3)</f>
        <v>0.12</v>
      </c>
      <c r="H21" s="14" cm="1">
        <f t="array" ref="H21">INDEX(H22:H24,$D$3)</f>
        <v>0.11</v>
      </c>
      <c r="I21" s="14" cm="1">
        <f t="array" ref="I21">INDEX(I22:I24,$D$3)</f>
        <v>0.1075</v>
      </c>
      <c r="J21" s="14" cm="1">
        <f t="array" ref="J21">INDEX(J22:J24,$D$3)</f>
        <v>0.105</v>
      </c>
      <c r="K21" s="14" cm="1">
        <f t="array" ref="K21">INDEX(K22:K24,$D$3)</f>
        <v>0.105</v>
      </c>
      <c r="L21" s="14" cm="1">
        <f t="array" ref="L21">INDEX(L22:L24,$D$3)</f>
        <v>0.105</v>
      </c>
      <c r="M21" s="14" cm="1">
        <f t="array" ref="M21">INDEX(M22:M24,$D$3)</f>
        <v>0.105</v>
      </c>
      <c r="N21" s="14" cm="1">
        <f t="array" ref="N21">INDEX(N22:N24,$D$3)</f>
        <v>0.105</v>
      </c>
      <c r="O21" s="14"/>
    </row>
    <row r="22" spans="1:15">
      <c r="A22" s="13" t="s">
        <v>4</v>
      </c>
      <c r="B22" s="13"/>
      <c r="C22" s="13"/>
      <c r="D22" s="13"/>
      <c r="E22" s="16">
        <v>0.11550000000000001</v>
      </c>
      <c r="F22" s="15">
        <v>0.115</v>
      </c>
      <c r="G22" s="15">
        <v>0.11</v>
      </c>
      <c r="H22" s="15">
        <v>0.105</v>
      </c>
      <c r="I22" s="16">
        <v>0.10150000000000001</v>
      </c>
      <c r="J22" s="15">
        <v>0.1</v>
      </c>
      <c r="K22" s="15">
        <v>0.1</v>
      </c>
      <c r="L22" s="15">
        <v>0.1</v>
      </c>
      <c r="M22" s="15">
        <v>0.1</v>
      </c>
      <c r="N22" s="15">
        <v>0.1</v>
      </c>
      <c r="O22" s="15"/>
    </row>
    <row r="23" spans="1:15">
      <c r="A23" s="13" t="s">
        <v>5</v>
      </c>
      <c r="B23" s="13"/>
      <c r="C23" s="13"/>
      <c r="D23" s="13"/>
      <c r="E23" s="15">
        <v>0.11</v>
      </c>
      <c r="F23" s="15">
        <v>0.11</v>
      </c>
      <c r="G23" s="15">
        <v>0.105</v>
      </c>
      <c r="H23" s="15">
        <v>0.1</v>
      </c>
      <c r="I23" s="15">
        <v>0.1</v>
      </c>
      <c r="J23" s="15">
        <v>0.1</v>
      </c>
      <c r="K23" s="15">
        <v>0.1</v>
      </c>
      <c r="L23" s="15">
        <v>0.1</v>
      </c>
      <c r="M23" s="15">
        <v>0.1</v>
      </c>
      <c r="N23" s="15">
        <v>0.1</v>
      </c>
      <c r="O23" s="15"/>
    </row>
    <row r="24" spans="1:15">
      <c r="A24" s="13" t="s">
        <v>6</v>
      </c>
      <c r="B24" s="13"/>
      <c r="C24" s="13"/>
      <c r="D24" s="13"/>
      <c r="E24" s="15">
        <v>0.11600000000000001</v>
      </c>
      <c r="F24" s="15">
        <v>0.12</v>
      </c>
      <c r="G24" s="15">
        <v>0.12</v>
      </c>
      <c r="H24" s="15">
        <v>0.11</v>
      </c>
      <c r="I24" s="16">
        <v>0.1075</v>
      </c>
      <c r="J24" s="15">
        <v>0.105</v>
      </c>
      <c r="K24" s="15">
        <v>0.105</v>
      </c>
      <c r="L24" s="15">
        <v>0.105</v>
      </c>
      <c r="M24" s="15">
        <v>0.105</v>
      </c>
      <c r="N24" s="15">
        <v>0.105</v>
      </c>
      <c r="O24" s="15"/>
    </row>
    <row r="25" spans="1:15">
      <c r="A25" s="13"/>
      <c r="B25" s="13"/>
      <c r="C25" s="13"/>
      <c r="D25" s="13"/>
      <c r="E25" s="15"/>
      <c r="F25" s="15"/>
      <c r="G25" s="15"/>
      <c r="H25" s="15"/>
      <c r="I25" s="15"/>
      <c r="J25" s="15"/>
      <c r="K25" s="15"/>
      <c r="L25" s="15"/>
      <c r="M25" s="15"/>
      <c r="N25" s="15"/>
      <c r="O25" s="15"/>
    </row>
    <row r="26" spans="1:15" s="12" customFormat="1">
      <c r="A26" s="1" t="s">
        <v>11</v>
      </c>
      <c r="B26" s="1"/>
      <c r="C26" s="1"/>
      <c r="D26" s="1"/>
      <c r="E26" s="14" cm="1">
        <f t="array" ref="E26">INDEX(E27:E29,$D$3)</f>
        <v>0.12</v>
      </c>
      <c r="F26" s="14" cm="1">
        <f t="array" ref="F26">INDEX(F27:F29,$D$3)</f>
        <v>0.1275</v>
      </c>
      <c r="G26" s="14" cm="1">
        <f t="array" ref="G26">INDEX(G27:G29,$D$3)</f>
        <v>0.125</v>
      </c>
      <c r="H26" s="14" cm="1">
        <f t="array" ref="H26">INDEX(H27:H29,$D$3)</f>
        <v>0.125</v>
      </c>
      <c r="I26" s="14" cm="1">
        <f t="array" ref="I26">INDEX(I27:I29,$D$3)</f>
        <v>0.125</v>
      </c>
      <c r="J26" s="14" cm="1">
        <f t="array" ref="J26">INDEX(J27:J29,$D$3)</f>
        <v>0.12</v>
      </c>
      <c r="K26" s="14" cm="1">
        <f t="array" ref="K26">INDEX(K27:K29,$D$3)</f>
        <v>0.12</v>
      </c>
      <c r="L26" s="14" cm="1">
        <f t="array" ref="L26">INDEX(L27:L29,$D$3)</f>
        <v>0.12</v>
      </c>
      <c r="M26" s="14" cm="1">
        <f t="array" ref="M26">INDEX(M27:M29,$D$3)</f>
        <v>0.12</v>
      </c>
      <c r="N26" s="14" cm="1">
        <f t="array" ref="N26">INDEX(N27:N29,$D$3)</f>
        <v>0.12</v>
      </c>
      <c r="O26" s="14"/>
    </row>
    <row r="27" spans="1:15">
      <c r="A27" s="13" t="s">
        <v>4</v>
      </c>
      <c r="B27" s="13"/>
      <c r="C27" s="13"/>
      <c r="D27" s="13"/>
      <c r="E27" s="15">
        <v>0.11799999999999999</v>
      </c>
      <c r="F27" s="15">
        <v>0.11700000000000001</v>
      </c>
      <c r="G27" s="15">
        <v>0.115</v>
      </c>
      <c r="H27" s="15">
        <v>0.115</v>
      </c>
      <c r="I27" s="15">
        <v>0.115</v>
      </c>
      <c r="J27" s="15">
        <v>0.11</v>
      </c>
      <c r="K27" s="15">
        <v>0.11</v>
      </c>
      <c r="L27" s="15">
        <v>0.11</v>
      </c>
      <c r="M27" s="15">
        <v>0.11</v>
      </c>
      <c r="N27" s="15">
        <v>0.11</v>
      </c>
      <c r="O27" s="15"/>
    </row>
    <row r="28" spans="1:15">
      <c r="A28" s="13" t="s">
        <v>5</v>
      </c>
      <c r="B28" s="13"/>
      <c r="C28" s="13"/>
      <c r="D28" s="13"/>
      <c r="E28" s="15">
        <v>0.115</v>
      </c>
      <c r="F28" s="15">
        <v>0.115</v>
      </c>
      <c r="G28" s="15">
        <v>0.113</v>
      </c>
      <c r="H28" s="15">
        <v>0.112</v>
      </c>
      <c r="I28" s="15">
        <v>0.11</v>
      </c>
      <c r="J28" s="15">
        <v>0.11</v>
      </c>
      <c r="K28" s="15">
        <v>0.11</v>
      </c>
      <c r="L28" s="15">
        <v>0.11</v>
      </c>
      <c r="M28" s="15">
        <v>0.11</v>
      </c>
      <c r="N28" s="15">
        <v>0.11</v>
      </c>
      <c r="O28" s="15"/>
    </row>
    <row r="29" spans="1:15">
      <c r="A29" s="13" t="s">
        <v>6</v>
      </c>
      <c r="B29" s="13"/>
      <c r="C29" s="13"/>
      <c r="D29" s="13"/>
      <c r="E29" s="15">
        <v>0.12</v>
      </c>
      <c r="F29" s="15">
        <v>0.1275</v>
      </c>
      <c r="G29" s="15">
        <v>0.125</v>
      </c>
      <c r="H29" s="15">
        <v>0.125</v>
      </c>
      <c r="I29" s="15">
        <v>0.125</v>
      </c>
      <c r="J29" s="15">
        <v>0.12</v>
      </c>
      <c r="K29" s="15">
        <v>0.12</v>
      </c>
      <c r="L29" s="15">
        <v>0.12</v>
      </c>
      <c r="M29" s="15">
        <v>0.12</v>
      </c>
      <c r="N29" s="15">
        <v>0.12</v>
      </c>
      <c r="O29" s="15"/>
    </row>
    <row r="30" spans="1:15">
      <c r="A30" s="13"/>
      <c r="B30" s="13"/>
      <c r="C30" s="13"/>
      <c r="D30" s="13"/>
      <c r="E30" s="15"/>
      <c r="F30" s="15"/>
      <c r="G30" s="15"/>
      <c r="H30" s="15"/>
      <c r="I30" s="15"/>
      <c r="J30" s="15"/>
      <c r="K30" s="15"/>
      <c r="L30" s="15"/>
      <c r="M30" s="15"/>
      <c r="N30" s="15"/>
      <c r="O30" s="15"/>
    </row>
    <row r="31" spans="1:15" s="12" customFormat="1">
      <c r="A31" s="1" t="s">
        <v>12</v>
      </c>
      <c r="B31" s="1"/>
      <c r="C31" s="1"/>
      <c r="D31" s="1"/>
      <c r="E31" s="14" cm="1">
        <f t="array" ref="E31">INDEX(E32:E34,$D$3)</f>
        <v>0.30499999999999999</v>
      </c>
      <c r="F31" s="14" cm="1">
        <f t="array" ref="F31">INDEX(F32:F34,$D$3)</f>
        <v>0.28999999999999998</v>
      </c>
      <c r="G31" s="14" cm="1">
        <f t="array" ref="G31">INDEX(G32:G34,$D$3)</f>
        <v>0.25</v>
      </c>
      <c r="H31" s="14" cm="1">
        <f t="array" ref="H31">INDEX(H32:H34,$D$3)</f>
        <v>0.19</v>
      </c>
      <c r="I31" s="14" cm="1">
        <f t="array" ref="I31">INDEX(I32:I34,$D$3)</f>
        <v>0.17500000000000002</v>
      </c>
      <c r="J31" s="14" cm="1">
        <f t="array" ref="J31">INDEX(J32:J34,$D$3)</f>
        <v>0.16</v>
      </c>
      <c r="K31" s="14" cm="1">
        <f t="array" ref="K31">INDEX(K32:K34,$D$3)</f>
        <v>0.15</v>
      </c>
      <c r="L31" s="14" cm="1">
        <f t="array" ref="L31">INDEX(L32:L34,$D$3)</f>
        <v>0.14000000000000001</v>
      </c>
      <c r="M31" s="14" cm="1">
        <f t="array" ref="M31">INDEX(M32:M34,$D$3)</f>
        <v>0.13</v>
      </c>
      <c r="N31" s="14" cm="1">
        <f t="array" ref="N31">INDEX(N32:N34,$D$3)</f>
        <v>0.12000000000000001</v>
      </c>
      <c r="O31" s="14"/>
    </row>
    <row r="32" spans="1:15">
      <c r="A32" s="13" t="s">
        <v>4</v>
      </c>
      <c r="B32" s="13"/>
      <c r="C32" s="13"/>
      <c r="D32" s="13"/>
      <c r="E32" s="15">
        <v>0.3</v>
      </c>
      <c r="F32" s="15">
        <v>0.28999999999999998</v>
      </c>
      <c r="G32" s="15">
        <v>0.25</v>
      </c>
      <c r="H32" s="15">
        <v>0.185</v>
      </c>
      <c r="I32" s="15">
        <v>0.17</v>
      </c>
      <c r="J32" s="15">
        <v>0.155</v>
      </c>
      <c r="K32" s="15">
        <v>0.14000000000000001</v>
      </c>
      <c r="L32" s="15">
        <v>0.13500000000000001</v>
      </c>
      <c r="M32" s="15">
        <v>0.125</v>
      </c>
      <c r="N32" s="15">
        <v>0.115</v>
      </c>
      <c r="O32" s="15"/>
    </row>
    <row r="33" spans="1:15">
      <c r="A33" s="13" t="s">
        <v>5</v>
      </c>
      <c r="B33" s="13"/>
      <c r="C33" s="13"/>
      <c r="D33" s="13"/>
      <c r="E33" s="15">
        <f>E32-0.5%</f>
        <v>0.29499999999999998</v>
      </c>
      <c r="F33" s="15">
        <f t="shared" ref="F33" si="6">F32-0.5%</f>
        <v>0.28499999999999998</v>
      </c>
      <c r="G33" s="15">
        <v>0.24</v>
      </c>
      <c r="H33" s="15">
        <v>0.17499999999999999</v>
      </c>
      <c r="I33" s="15">
        <v>0.155</v>
      </c>
      <c r="J33" s="15">
        <v>0.14499999999999999</v>
      </c>
      <c r="K33" s="15">
        <v>0.14000000000000001</v>
      </c>
      <c r="L33" s="15">
        <v>0.125</v>
      </c>
      <c r="M33" s="15">
        <v>0.115</v>
      </c>
      <c r="N33" s="15">
        <v>0.11</v>
      </c>
      <c r="O33" s="15"/>
    </row>
    <row r="34" spans="1:15">
      <c r="A34" s="13" t="s">
        <v>6</v>
      </c>
      <c r="B34" s="13"/>
      <c r="C34" s="13"/>
      <c r="D34" s="13"/>
      <c r="E34" s="15">
        <f>E32+0.5%</f>
        <v>0.30499999999999999</v>
      </c>
      <c r="F34" s="15">
        <v>0.28999999999999998</v>
      </c>
      <c r="G34" s="15">
        <v>0.25</v>
      </c>
      <c r="H34" s="15">
        <f t="shared" ref="H34:N34" si="7">H32+0.5%</f>
        <v>0.19</v>
      </c>
      <c r="I34" s="15">
        <f t="shared" si="7"/>
        <v>0.17500000000000002</v>
      </c>
      <c r="J34" s="15">
        <f t="shared" si="7"/>
        <v>0.16</v>
      </c>
      <c r="K34" s="15">
        <v>0.15</v>
      </c>
      <c r="L34" s="15">
        <f t="shared" si="7"/>
        <v>0.14000000000000001</v>
      </c>
      <c r="M34" s="15">
        <f t="shared" si="7"/>
        <v>0.13</v>
      </c>
      <c r="N34" s="15">
        <f t="shared" si="7"/>
        <v>0.12000000000000001</v>
      </c>
      <c r="O34" s="15"/>
    </row>
    <row r="35" spans="1:15">
      <c r="A35" s="13"/>
      <c r="B35" s="13"/>
      <c r="C35" s="13"/>
      <c r="D35" s="13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</row>
    <row r="36" spans="1:15" s="12" customFormat="1">
      <c r="A36" s="1" t="s">
        <v>13</v>
      </c>
      <c r="B36" s="1"/>
      <c r="C36" s="1"/>
      <c r="D36" s="1"/>
      <c r="E36" s="14" cm="1">
        <f t="array" ref="E36">INDEX(E37:E39,$D$3)</f>
        <v>0</v>
      </c>
      <c r="F36" s="14" cm="1">
        <f t="array" ref="F36">INDEX(F37:F39,$D$3)</f>
        <v>0</v>
      </c>
      <c r="G36" s="14" cm="1">
        <f t="array" ref="G36">INDEX(G37:G39,$D$3)</f>
        <v>0</v>
      </c>
      <c r="H36" s="14" cm="1">
        <f t="array" ref="H36">INDEX(H37:H39,$D$3)</f>
        <v>0</v>
      </c>
      <c r="I36" s="14" cm="1">
        <f t="array" ref="I36">INDEX(I37:I39,$D$3)</f>
        <v>0</v>
      </c>
      <c r="J36" s="14" cm="1">
        <f t="array" ref="J36">INDEX(J37:J39,$D$3)</f>
        <v>0</v>
      </c>
      <c r="K36" s="14" cm="1">
        <f t="array" ref="K36">INDEX(K37:K39,$D$3)</f>
        <v>0</v>
      </c>
      <c r="L36" s="14" cm="1">
        <f t="array" ref="L36">INDEX(L37:L39,$D$3)</f>
        <v>0</v>
      </c>
      <c r="M36" s="14" cm="1">
        <f t="array" ref="M36">INDEX(M37:M39,$D$3)</f>
        <v>0</v>
      </c>
      <c r="N36" s="14" cm="1">
        <f t="array" ref="N36">INDEX(N37:N39,$D$3)</f>
        <v>0</v>
      </c>
      <c r="O36" s="1"/>
    </row>
    <row r="37" spans="1:15">
      <c r="A37" s="13" t="s">
        <v>4</v>
      </c>
      <c r="B37" s="13"/>
      <c r="C37" s="13"/>
      <c r="D37" s="13"/>
      <c r="E37" s="15" cm="1">
        <f t="array" ref="E37">INDEX(E38:E40,$D$3)</f>
        <v>0</v>
      </c>
      <c r="F37" s="15" cm="1">
        <f t="array" ref="F37">INDEX(F38:F40,$D$3)</f>
        <v>0</v>
      </c>
      <c r="G37" s="15" cm="1">
        <f t="array" ref="G37">INDEX(G38:G40,$D$3)</f>
        <v>0</v>
      </c>
      <c r="H37" s="15" cm="1">
        <f t="array" ref="H37">INDEX(H38:H40,$D$3)</f>
        <v>0</v>
      </c>
      <c r="I37" s="15" cm="1">
        <f t="array" ref="I37">INDEX(I38:I40,$D$3)</f>
        <v>0</v>
      </c>
      <c r="J37" s="15" cm="1">
        <f t="array" ref="J37">INDEX(J38:J40,$D$3)</f>
        <v>0</v>
      </c>
      <c r="K37" s="15" cm="1">
        <f t="array" ref="K37">INDEX(K38:K40,$D$3)</f>
        <v>0</v>
      </c>
      <c r="L37" s="15" cm="1">
        <f t="array" ref="L37">INDEX(L38:L40,$D$3)</f>
        <v>0</v>
      </c>
      <c r="M37" s="15" cm="1">
        <f t="array" ref="M37">INDEX(M38:M40,$D$3)</f>
        <v>0</v>
      </c>
      <c r="N37" s="15" cm="1">
        <f t="array" ref="N37">INDEX(N38:N40,$D$3)</f>
        <v>0</v>
      </c>
      <c r="O37" s="13"/>
    </row>
    <row r="38" spans="1:15">
      <c r="A38" s="13" t="s">
        <v>5</v>
      </c>
      <c r="B38" s="13"/>
      <c r="C38" s="13"/>
      <c r="D38" s="13"/>
      <c r="E38" s="15" cm="1">
        <f t="array" ref="E38">INDEX(E39:E41,$D$3)</f>
        <v>0</v>
      </c>
      <c r="F38" s="15" cm="1">
        <f t="array" ref="F38">INDEX(F39:F41,$D$3)</f>
        <v>0</v>
      </c>
      <c r="G38" s="15" cm="1">
        <f t="array" ref="G38">INDEX(G39:G41,$D$3)</f>
        <v>0</v>
      </c>
      <c r="H38" s="15" cm="1">
        <f t="array" ref="H38">INDEX(H39:H41,$D$3)</f>
        <v>0</v>
      </c>
      <c r="I38" s="15" cm="1">
        <f t="array" ref="I38">INDEX(I39:I41,$D$3)</f>
        <v>0</v>
      </c>
      <c r="J38" s="15" cm="1">
        <f t="array" ref="J38">INDEX(J39:J41,$D$3)</f>
        <v>0</v>
      </c>
      <c r="K38" s="15" cm="1">
        <f t="array" ref="K38">INDEX(K39:K41,$D$3)</f>
        <v>0</v>
      </c>
      <c r="L38" s="15" cm="1">
        <f t="array" ref="L38">INDEX(L39:L41,$D$3)</f>
        <v>0</v>
      </c>
      <c r="M38" s="15" cm="1">
        <f t="array" ref="M38">INDEX(M39:M41,$D$3)</f>
        <v>0</v>
      </c>
      <c r="N38" s="15" cm="1">
        <f t="array" ref="N38">INDEX(N39:N41,$D$3)</f>
        <v>0</v>
      </c>
      <c r="O38" s="13"/>
    </row>
    <row r="39" spans="1:15">
      <c r="A39" s="13" t="s">
        <v>6</v>
      </c>
      <c r="B39" s="13"/>
      <c r="C39" s="13"/>
      <c r="D39" s="13"/>
      <c r="E39" s="15" cm="1">
        <f t="array" ref="E39">INDEX(E40:E42,$D$3)</f>
        <v>0</v>
      </c>
      <c r="F39" s="15" cm="1">
        <f t="array" ref="F39">INDEX(F40:F42,$D$3)</f>
        <v>0</v>
      </c>
      <c r="G39" s="15" cm="1">
        <f t="array" ref="G39">INDEX(G40:G42,$D$3)</f>
        <v>0</v>
      </c>
      <c r="H39" s="15" cm="1">
        <f t="array" ref="H39">INDEX(H40:H42,$D$3)</f>
        <v>0</v>
      </c>
      <c r="I39" s="15" cm="1">
        <f t="array" ref="I39">INDEX(I40:I42,$D$3)</f>
        <v>0</v>
      </c>
      <c r="J39" s="15" cm="1">
        <f t="array" ref="J39">INDEX(J40:J42,$D$3)</f>
        <v>0</v>
      </c>
      <c r="K39" s="15" cm="1">
        <f t="array" ref="K39">INDEX(K40:K42,$D$3)</f>
        <v>0</v>
      </c>
      <c r="L39" s="15" cm="1">
        <f t="array" ref="L39">INDEX(L40:L42,$D$3)</f>
        <v>0</v>
      </c>
      <c r="M39" s="15" cm="1">
        <f t="array" ref="M39">INDEX(M40:M42,$D$3)</f>
        <v>0</v>
      </c>
      <c r="N39" s="15" cm="1">
        <f t="array" ref="N39">INDEX(N40:N42,$D$3)</f>
        <v>0</v>
      </c>
      <c r="O39" s="13"/>
    </row>
    <row r="40" spans="1:15">
      <c r="A40" s="13"/>
      <c r="B40" s="13"/>
      <c r="C40" s="13"/>
      <c r="D40" s="13"/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</row>
    <row r="41" spans="1:15">
      <c r="A41" s="13"/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</row>
    <row r="42" spans="1:15">
      <c r="A42" s="13"/>
      <c r="B42" s="13"/>
      <c r="C42" s="13"/>
      <c r="D42" s="13"/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</row>
    <row r="43" spans="1:15">
      <c r="A43" s="13"/>
      <c r="B43" s="13"/>
      <c r="C43" s="13"/>
      <c r="D43" s="13"/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</row>
    <row r="44" spans="1:15">
      <c r="A44" s="13"/>
      <c r="B44" s="13"/>
      <c r="C44" s="13"/>
      <c r="D44" s="13"/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</row>
  </sheetData>
  <mergeCells count="4">
    <mergeCell ref="B2:E2"/>
    <mergeCell ref="B3:C3"/>
    <mergeCell ref="D3:E3"/>
    <mergeCell ref="I4:K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0AC35F-72B3-494C-A156-2DF3A78AE6DF}">
  <dimension ref="A4:T109"/>
  <sheetViews>
    <sheetView zoomScale="130" zoomScaleNormal="130" workbookViewId="0">
      <pane ySplit="5" topLeftCell="A6" activePane="bottomLeft" state="frozen"/>
      <selection pane="bottomLeft" activeCell="E44" sqref="E44"/>
    </sheetView>
  </sheetViews>
  <sheetFormatPr baseColWidth="10" defaultColWidth="8.83203125" defaultRowHeight="15"/>
  <cols>
    <col min="1" max="1" width="28.6640625" customWidth="1"/>
    <col min="2" max="2" width="0" hidden="1" customWidth="1"/>
    <col min="3" max="3" width="10" customWidth="1"/>
    <col min="4" max="4" width="11.1640625" customWidth="1"/>
    <col min="5" max="5" width="11.83203125" customWidth="1"/>
    <col min="6" max="6" width="8.33203125" hidden="1" customWidth="1"/>
    <col min="7" max="7" width="10.83203125" customWidth="1"/>
    <col min="8" max="8" width="14.33203125" customWidth="1"/>
    <col min="9" max="9" width="9.83203125" hidden="1" customWidth="1"/>
    <col min="10" max="10" width="10" customWidth="1"/>
    <col min="11" max="17" width="9.83203125" customWidth="1"/>
    <col min="18" max="18" width="11.1640625" customWidth="1"/>
    <col min="19" max="19" width="12.1640625" bestFit="1" customWidth="1"/>
    <col min="20" max="20" width="10.5" bestFit="1" customWidth="1"/>
  </cols>
  <sheetData>
    <row r="4" spans="1:19">
      <c r="A4" s="13" t="s">
        <v>66</v>
      </c>
      <c r="B4" s="17">
        <v>31860</v>
      </c>
      <c r="C4" s="17">
        <v>37250</v>
      </c>
      <c r="D4" s="17">
        <v>44010</v>
      </c>
      <c r="E4" s="17">
        <v>43842</v>
      </c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</row>
    <row r="5" spans="1:19">
      <c r="A5" s="13"/>
      <c r="B5" s="13">
        <v>2022</v>
      </c>
      <c r="C5" s="13">
        <v>2023</v>
      </c>
      <c r="D5" s="13">
        <v>2024</v>
      </c>
      <c r="E5" s="13">
        <v>2025</v>
      </c>
      <c r="F5" s="13" t="s">
        <v>64</v>
      </c>
      <c r="G5" s="13" t="s">
        <v>65</v>
      </c>
      <c r="H5" s="13">
        <v>2026</v>
      </c>
      <c r="I5" s="13"/>
      <c r="J5" s="13">
        <f>H5+1</f>
        <v>2027</v>
      </c>
      <c r="K5" s="13">
        <f t="shared" ref="K5:R5" si="0">J5+1</f>
        <v>2028</v>
      </c>
      <c r="L5" s="13">
        <f t="shared" si="0"/>
        <v>2029</v>
      </c>
      <c r="M5" s="13">
        <f t="shared" si="0"/>
        <v>2030</v>
      </c>
      <c r="N5" s="13">
        <f t="shared" si="0"/>
        <v>2031</v>
      </c>
      <c r="O5" s="13">
        <f t="shared" si="0"/>
        <v>2032</v>
      </c>
      <c r="P5" s="13">
        <f t="shared" si="0"/>
        <v>2033</v>
      </c>
      <c r="Q5" s="13">
        <f t="shared" si="0"/>
        <v>2034</v>
      </c>
      <c r="R5" s="13">
        <f t="shared" si="0"/>
        <v>2035</v>
      </c>
      <c r="S5" s="13"/>
    </row>
    <row r="6" spans="1:19">
      <c r="A6" s="13"/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</row>
    <row r="7" spans="1:19">
      <c r="A7" s="18" t="s">
        <v>14</v>
      </c>
      <c r="B7" s="13"/>
      <c r="C7" s="19">
        <v>211915</v>
      </c>
      <c r="D7" s="19">
        <v>245122</v>
      </c>
      <c r="E7" s="19">
        <v>281724</v>
      </c>
      <c r="F7" s="19">
        <v>65585</v>
      </c>
      <c r="G7" s="19">
        <v>77673</v>
      </c>
      <c r="H7" s="19">
        <f>E7*(1+I49)</f>
        <v>323982.59999999998</v>
      </c>
      <c r="I7" s="19"/>
      <c r="J7" s="19">
        <f>H7*(1+J49)</f>
        <v>366100.33799999993</v>
      </c>
      <c r="K7" s="19">
        <f t="shared" ref="K7:R7" si="1">J7*(1+K49)</f>
        <v>410032.37855999998</v>
      </c>
      <c r="L7" s="19">
        <f t="shared" si="1"/>
        <v>455135.94020160002</v>
      </c>
      <c r="M7" s="19">
        <f t="shared" si="1"/>
        <v>505200.89362377609</v>
      </c>
      <c r="N7" s="19">
        <f t="shared" si="1"/>
        <v>560772.99192239146</v>
      </c>
      <c r="O7" s="19">
        <f t="shared" si="1"/>
        <v>616850.29111463064</v>
      </c>
      <c r="P7" s="19">
        <f t="shared" si="1"/>
        <v>678535.32022609375</v>
      </c>
      <c r="Q7" s="19">
        <f t="shared" si="1"/>
        <v>739603.49904644222</v>
      </c>
      <c r="R7" s="19">
        <f t="shared" si="1"/>
        <v>806167.81396062206</v>
      </c>
      <c r="S7" s="19"/>
    </row>
    <row r="8" spans="1:19">
      <c r="A8" s="18" t="s">
        <v>15</v>
      </c>
      <c r="B8" s="13"/>
      <c r="C8" s="19">
        <v>65863</v>
      </c>
      <c r="D8" s="19">
        <v>74114</v>
      </c>
      <c r="E8" s="19">
        <v>87831</v>
      </c>
      <c r="F8" s="19">
        <v>20099</v>
      </c>
      <c r="G8" s="19">
        <v>24043</v>
      </c>
      <c r="H8" s="19">
        <f>H7*I50</f>
        <v>102054.519</v>
      </c>
      <c r="I8" s="19"/>
      <c r="J8" s="19">
        <f t="shared" ref="J8:R8" si="2">J7*J50</f>
        <v>109830.10139999997</v>
      </c>
      <c r="K8" s="19">
        <f t="shared" si="2"/>
        <v>127110.0373536</v>
      </c>
      <c r="L8" s="19">
        <f t="shared" si="2"/>
        <v>136540.78206048001</v>
      </c>
      <c r="M8" s="19">
        <f t="shared" si="2"/>
        <v>146508.25915089509</v>
      </c>
      <c r="N8" s="19">
        <f t="shared" si="2"/>
        <v>157016.43773826963</v>
      </c>
      <c r="O8" s="19">
        <f t="shared" si="2"/>
        <v>166549.57860095028</v>
      </c>
      <c r="P8" s="19">
        <f t="shared" si="2"/>
        <v>179811.85985991487</v>
      </c>
      <c r="Q8" s="19">
        <f t="shared" si="2"/>
        <v>195994.92724730721</v>
      </c>
      <c r="R8" s="19">
        <f t="shared" si="2"/>
        <v>213634.47069956484</v>
      </c>
      <c r="S8" s="19"/>
    </row>
    <row r="9" spans="1:19">
      <c r="A9" s="18"/>
      <c r="B9" s="13"/>
      <c r="C9" s="20"/>
      <c r="D9" s="20"/>
      <c r="E9" s="20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</row>
    <row r="10" spans="1:19">
      <c r="A10" s="18" t="s">
        <v>7</v>
      </c>
      <c r="B10" s="13"/>
      <c r="C10" s="19">
        <v>146052</v>
      </c>
      <c r="D10" s="19">
        <v>171008</v>
      </c>
      <c r="E10" s="19">
        <v>193893</v>
      </c>
      <c r="F10" s="19">
        <v>45486</v>
      </c>
      <c r="G10" s="19">
        <v>53630</v>
      </c>
      <c r="H10" s="19">
        <f>H7-H8</f>
        <v>221928.08099999998</v>
      </c>
      <c r="I10" s="19"/>
      <c r="J10" s="19">
        <f t="shared" ref="J10:R10" si="3">J7-J8</f>
        <v>256270.23659999995</v>
      </c>
      <c r="K10" s="19">
        <f t="shared" si="3"/>
        <v>282922.34120639996</v>
      </c>
      <c r="L10" s="19">
        <f t="shared" si="3"/>
        <v>318595.15814111999</v>
      </c>
      <c r="M10" s="19">
        <f t="shared" si="3"/>
        <v>358692.63447288098</v>
      </c>
      <c r="N10" s="19">
        <f t="shared" si="3"/>
        <v>403756.55418412184</v>
      </c>
      <c r="O10" s="19">
        <f t="shared" si="3"/>
        <v>450300.71251368034</v>
      </c>
      <c r="P10" s="19">
        <f t="shared" si="3"/>
        <v>498723.46036617889</v>
      </c>
      <c r="Q10" s="19">
        <f t="shared" si="3"/>
        <v>543608.57179913507</v>
      </c>
      <c r="R10" s="19">
        <f t="shared" si="3"/>
        <v>592533.34326105728</v>
      </c>
      <c r="S10" s="19"/>
    </row>
    <row r="11" spans="1:19">
      <c r="A11" s="18"/>
      <c r="B11" s="13"/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</row>
    <row r="12" spans="1:19">
      <c r="A12" s="18" t="s">
        <v>16</v>
      </c>
      <c r="B12" s="13"/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</row>
    <row r="13" spans="1:19">
      <c r="A13" s="18" t="s">
        <v>10</v>
      </c>
      <c r="B13" s="13"/>
      <c r="C13" s="19">
        <v>30334</v>
      </c>
      <c r="D13" s="19">
        <v>32065</v>
      </c>
      <c r="E13" s="19">
        <v>32877</v>
      </c>
      <c r="F13" s="19">
        <f>5717+1673</f>
        <v>7390</v>
      </c>
      <c r="G13" s="19">
        <f>5717+1806</f>
        <v>7523</v>
      </c>
      <c r="H13" s="19">
        <f>H7*I55</f>
        <v>37581.981599999999</v>
      </c>
      <c r="I13" s="19"/>
      <c r="J13" s="19">
        <f t="shared" ref="J13:R13" si="4">J7*J55</f>
        <v>43932.040559999987</v>
      </c>
      <c r="K13" s="19">
        <f t="shared" si="4"/>
        <v>49203.885427199995</v>
      </c>
      <c r="L13" s="19">
        <f t="shared" si="4"/>
        <v>50064.953422176004</v>
      </c>
      <c r="M13" s="19">
        <f t="shared" si="4"/>
        <v>54309.096064555932</v>
      </c>
      <c r="N13" s="19">
        <f t="shared" si="4"/>
        <v>58881.164151851102</v>
      </c>
      <c r="O13" s="19">
        <f t="shared" si="4"/>
        <v>64769.280567036214</v>
      </c>
      <c r="P13" s="19">
        <f t="shared" si="4"/>
        <v>71246.208623739847</v>
      </c>
      <c r="Q13" s="19">
        <f t="shared" si="4"/>
        <v>77658.367399876428</v>
      </c>
      <c r="R13" s="19">
        <f t="shared" si="4"/>
        <v>84647.620465865315</v>
      </c>
      <c r="S13" s="19"/>
    </row>
    <row r="14" spans="1:19">
      <c r="A14" s="18" t="s">
        <v>11</v>
      </c>
      <c r="B14" s="13"/>
      <c r="C14" s="21">
        <v>27195</v>
      </c>
      <c r="D14" s="21">
        <v>29510</v>
      </c>
      <c r="E14" s="21">
        <v>32488</v>
      </c>
      <c r="F14" s="19">
        <v>7544</v>
      </c>
      <c r="G14" s="19">
        <v>8146</v>
      </c>
      <c r="H14" s="19">
        <f>H7*I56</f>
        <v>38877.911999999997</v>
      </c>
      <c r="I14" s="19"/>
      <c r="J14" s="19">
        <f t="shared" ref="J14:R14" si="5">J7*J56</f>
        <v>46677.793094999994</v>
      </c>
      <c r="K14" s="19">
        <f t="shared" si="5"/>
        <v>51254.047319999998</v>
      </c>
      <c r="L14" s="19">
        <f t="shared" si="5"/>
        <v>56891.992525200003</v>
      </c>
      <c r="M14" s="19">
        <f t="shared" si="5"/>
        <v>63150.111702972012</v>
      </c>
      <c r="N14" s="19">
        <f t="shared" si="5"/>
        <v>67292.759030686968</v>
      </c>
      <c r="O14" s="19">
        <f t="shared" si="5"/>
        <v>74022.034933755669</v>
      </c>
      <c r="P14" s="19">
        <f t="shared" si="5"/>
        <v>81424.238427131248</v>
      </c>
      <c r="Q14" s="19">
        <f t="shared" si="5"/>
        <v>88752.419885573065</v>
      </c>
      <c r="R14" s="19">
        <f t="shared" si="5"/>
        <v>96740.137675274644</v>
      </c>
      <c r="S14" s="19"/>
    </row>
    <row r="15" spans="1:19">
      <c r="A15" s="18"/>
      <c r="B15" s="13"/>
      <c r="C15" s="22"/>
      <c r="D15" s="22"/>
      <c r="E15" s="22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</row>
    <row r="16" spans="1:19">
      <c r="A16" s="18"/>
      <c r="B16" s="13"/>
      <c r="C16" s="22"/>
      <c r="D16" s="22"/>
      <c r="E16" s="22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</row>
    <row r="17" spans="1:20">
      <c r="A17" s="18" t="s">
        <v>17</v>
      </c>
      <c r="B17" s="13"/>
      <c r="C17" s="19">
        <f>SUM(C13:C15)</f>
        <v>57529</v>
      </c>
      <c r="D17" s="19">
        <f t="shared" ref="D17:G17" si="6">SUM(D13:D15)</f>
        <v>61575</v>
      </c>
      <c r="E17" s="19">
        <f>SUM(E13:E15)</f>
        <v>65365</v>
      </c>
      <c r="F17" s="19">
        <f t="shared" si="6"/>
        <v>14934</v>
      </c>
      <c r="G17" s="19">
        <f t="shared" si="6"/>
        <v>15669</v>
      </c>
      <c r="H17" s="19">
        <f>SUM(H13:H15)</f>
        <v>76459.893599999996</v>
      </c>
      <c r="I17" s="19"/>
      <c r="J17" s="19">
        <f t="shared" ref="J17:R17" si="7">SUM(J13:J15)</f>
        <v>90609.83365499998</v>
      </c>
      <c r="K17" s="19">
        <f t="shared" si="7"/>
        <v>100457.93274719999</v>
      </c>
      <c r="L17" s="19">
        <f t="shared" si="7"/>
        <v>106956.94594737601</v>
      </c>
      <c r="M17" s="19">
        <f t="shared" si="7"/>
        <v>117459.20776752794</v>
      </c>
      <c r="N17" s="19">
        <f t="shared" si="7"/>
        <v>126173.92318253807</v>
      </c>
      <c r="O17" s="19">
        <f t="shared" si="7"/>
        <v>138791.31550079188</v>
      </c>
      <c r="P17" s="19">
        <f t="shared" si="7"/>
        <v>152670.44705087109</v>
      </c>
      <c r="Q17" s="19">
        <f t="shared" si="7"/>
        <v>166410.78728544951</v>
      </c>
      <c r="R17" s="19">
        <f t="shared" si="7"/>
        <v>181387.75814113996</v>
      </c>
      <c r="S17" s="19"/>
    </row>
    <row r="18" spans="1:20">
      <c r="A18" s="18"/>
      <c r="B18" s="13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</row>
    <row r="19" spans="1:20">
      <c r="A19" s="18" t="s">
        <v>18</v>
      </c>
      <c r="B19" s="13"/>
      <c r="C19" s="19">
        <f>C10-C17</f>
        <v>88523</v>
      </c>
      <c r="D19" s="19">
        <f t="shared" ref="D19:E19" si="8">D10-D17</f>
        <v>109433</v>
      </c>
      <c r="E19" s="19">
        <f t="shared" si="8"/>
        <v>128528</v>
      </c>
      <c r="F19" s="19">
        <v>30552</v>
      </c>
      <c r="G19" s="19">
        <v>37961</v>
      </c>
      <c r="H19" s="19">
        <f>H10-H17</f>
        <v>145468.1874</v>
      </c>
      <c r="I19" s="19"/>
      <c r="J19" s="19">
        <f t="shared" ref="J19:Q19" si="9">J10-J17</f>
        <v>165660.40294499998</v>
      </c>
      <c r="K19" s="19">
        <f t="shared" si="9"/>
        <v>182464.40845919997</v>
      </c>
      <c r="L19" s="19">
        <f t="shared" si="9"/>
        <v>211638.21219374397</v>
      </c>
      <c r="M19" s="19">
        <f t="shared" si="9"/>
        <v>241233.42670535302</v>
      </c>
      <c r="N19" s="19">
        <f t="shared" si="9"/>
        <v>277582.63100158377</v>
      </c>
      <c r="O19" s="19">
        <f t="shared" si="9"/>
        <v>311509.39701288845</v>
      </c>
      <c r="P19" s="19">
        <f t="shared" si="9"/>
        <v>346053.01331530779</v>
      </c>
      <c r="Q19" s="19">
        <f t="shared" si="9"/>
        <v>377197.78451368556</v>
      </c>
      <c r="R19" s="19">
        <f>R10-R17</f>
        <v>411145.58511991729</v>
      </c>
      <c r="S19" s="19"/>
    </row>
    <row r="20" spans="1:20">
      <c r="A20" s="18"/>
      <c r="B20" s="13"/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</row>
    <row r="21" spans="1:20">
      <c r="A21" s="18" t="s">
        <v>19</v>
      </c>
      <c r="B21" s="13"/>
      <c r="C21" s="19">
        <v>788</v>
      </c>
      <c r="D21" s="19">
        <v>-1646</v>
      </c>
      <c r="E21" s="19">
        <v>-4901</v>
      </c>
      <c r="F21" s="19">
        <v>-3660</v>
      </c>
      <c r="G21" s="19"/>
      <c r="H21" s="19">
        <f>H7*I62</f>
        <v>0</v>
      </c>
      <c r="I21" s="19"/>
      <c r="J21" s="19">
        <f t="shared" ref="J21:R21" si="10">J7*J62</f>
        <v>0</v>
      </c>
      <c r="K21" s="19">
        <f t="shared" si="10"/>
        <v>0</v>
      </c>
      <c r="L21" s="19">
        <f t="shared" si="10"/>
        <v>0</v>
      </c>
      <c r="M21" s="19">
        <f t="shared" si="10"/>
        <v>0</v>
      </c>
      <c r="N21" s="19">
        <f t="shared" si="10"/>
        <v>0</v>
      </c>
      <c r="O21" s="19">
        <f t="shared" si="10"/>
        <v>0</v>
      </c>
      <c r="P21" s="19">
        <f t="shared" si="10"/>
        <v>0</v>
      </c>
      <c r="Q21" s="19">
        <f t="shared" si="10"/>
        <v>0</v>
      </c>
      <c r="R21" s="19">
        <f t="shared" si="10"/>
        <v>0</v>
      </c>
      <c r="S21" s="19"/>
    </row>
    <row r="22" spans="1:20">
      <c r="A22" s="18"/>
      <c r="B22" s="13"/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19"/>
      <c r="S22" s="19"/>
    </row>
    <row r="23" spans="1:20">
      <c r="A23" s="18" t="s">
        <v>20</v>
      </c>
      <c r="B23" s="13"/>
      <c r="C23" s="19">
        <f>SUM(C19:C21)</f>
        <v>89311</v>
      </c>
      <c r="D23" s="19">
        <f t="shared" ref="D23:E23" si="11">SUM(D19:D21)</f>
        <v>107787</v>
      </c>
      <c r="E23" s="19">
        <f t="shared" si="11"/>
        <v>123627</v>
      </c>
      <c r="F23" s="19">
        <v>30269</v>
      </c>
      <c r="G23" s="19">
        <v>34301</v>
      </c>
      <c r="H23" s="19">
        <f>H19+H21</f>
        <v>145468.1874</v>
      </c>
      <c r="I23" s="19"/>
      <c r="J23" s="19">
        <f t="shared" ref="J23:R23" si="12">J19+J21</f>
        <v>165660.40294499998</v>
      </c>
      <c r="K23" s="19">
        <f t="shared" si="12"/>
        <v>182464.40845919997</v>
      </c>
      <c r="L23" s="19">
        <f t="shared" si="12"/>
        <v>211638.21219374397</v>
      </c>
      <c r="M23" s="19">
        <f t="shared" si="12"/>
        <v>241233.42670535302</v>
      </c>
      <c r="N23" s="19">
        <f t="shared" si="12"/>
        <v>277582.63100158377</v>
      </c>
      <c r="O23" s="19">
        <f t="shared" si="12"/>
        <v>311509.39701288845</v>
      </c>
      <c r="P23" s="19">
        <f t="shared" si="12"/>
        <v>346053.01331530779</v>
      </c>
      <c r="Q23" s="19">
        <f t="shared" si="12"/>
        <v>377197.78451368556</v>
      </c>
      <c r="R23" s="19">
        <f t="shared" si="12"/>
        <v>411145.58511991729</v>
      </c>
      <c r="S23" s="19"/>
    </row>
    <row r="24" spans="1:20">
      <c r="A24" s="18" t="s">
        <v>21</v>
      </c>
      <c r="B24" s="13"/>
      <c r="C24" s="19">
        <f>C23-C26</f>
        <v>16950</v>
      </c>
      <c r="D24" s="19">
        <f t="shared" ref="D24" si="13">D23-D26</f>
        <v>19651</v>
      </c>
      <c r="E24" s="19">
        <f>E23-E26</f>
        <v>21795</v>
      </c>
      <c r="F24" s="19">
        <f>F23-F26</f>
        <v>5602</v>
      </c>
      <c r="G24" s="19">
        <f>G23-G26</f>
        <v>3468</v>
      </c>
      <c r="H24" s="19">
        <f>H23*I65</f>
        <v>27638.955606</v>
      </c>
      <c r="I24" s="19"/>
      <c r="J24" s="19">
        <f t="shared" ref="J24:R24" si="14">J23*J65</f>
        <v>31475.476559549996</v>
      </c>
      <c r="K24" s="19">
        <f t="shared" si="14"/>
        <v>34668.237607247996</v>
      </c>
      <c r="L24" s="19">
        <f t="shared" si="14"/>
        <v>40211.260316811356</v>
      </c>
      <c r="M24" s="19">
        <f t="shared" si="14"/>
        <v>45834.351074017075</v>
      </c>
      <c r="N24" s="19">
        <f t="shared" si="14"/>
        <v>52740.699890300915</v>
      </c>
      <c r="O24" s="19">
        <f t="shared" si="14"/>
        <v>59186.785432448807</v>
      </c>
      <c r="P24" s="19">
        <f t="shared" si="14"/>
        <v>65750.072529908488</v>
      </c>
      <c r="Q24" s="19">
        <f t="shared" si="14"/>
        <v>71667.579057600262</v>
      </c>
      <c r="R24" s="19">
        <f t="shared" si="14"/>
        <v>78117.661172784283</v>
      </c>
      <c r="S24" s="19"/>
    </row>
    <row r="25" spans="1:20">
      <c r="A25" s="18"/>
      <c r="B25" s="13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</row>
    <row r="26" spans="1:20">
      <c r="A26" s="18" t="s">
        <v>22</v>
      </c>
      <c r="B26" s="13"/>
      <c r="C26" s="19">
        <v>72361</v>
      </c>
      <c r="D26" s="19">
        <v>88136</v>
      </c>
      <c r="E26" s="19">
        <v>101832</v>
      </c>
      <c r="F26" s="19">
        <v>24667</v>
      </c>
      <c r="G26" s="19">
        <f>30833</f>
        <v>30833</v>
      </c>
      <c r="H26" s="19">
        <f>H23-H24</f>
        <v>117829.23179399999</v>
      </c>
      <c r="I26" s="19"/>
      <c r="J26" s="19">
        <f>J23-J24</f>
        <v>134184.92638544997</v>
      </c>
      <c r="K26" s="19">
        <f t="shared" ref="K26:R26" si="15">K23-K24</f>
        <v>147796.17085195199</v>
      </c>
      <c r="L26" s="19">
        <f t="shared" si="15"/>
        <v>171426.95187693261</v>
      </c>
      <c r="M26" s="19">
        <f t="shared" si="15"/>
        <v>195399.07563133596</v>
      </c>
      <c r="N26" s="19">
        <f t="shared" si="15"/>
        <v>224841.93111128284</v>
      </c>
      <c r="O26" s="19">
        <f t="shared" si="15"/>
        <v>252322.61158043964</v>
      </c>
      <c r="P26" s="19">
        <f t="shared" si="15"/>
        <v>280302.94078539929</v>
      </c>
      <c r="Q26" s="19">
        <f t="shared" si="15"/>
        <v>305530.20545608527</v>
      </c>
      <c r="R26" s="19">
        <f t="shared" si="15"/>
        <v>333027.92394713301</v>
      </c>
      <c r="S26" s="19"/>
    </row>
    <row r="27" spans="1:20">
      <c r="A27" s="18"/>
      <c r="B27" s="13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</row>
    <row r="28" spans="1:20">
      <c r="A28" s="23" t="s">
        <v>23</v>
      </c>
      <c r="B28" s="13"/>
      <c r="C28" s="24">
        <v>13861</v>
      </c>
      <c r="D28" s="19">
        <v>22287</v>
      </c>
      <c r="E28" s="19">
        <v>34153</v>
      </c>
      <c r="F28" s="19"/>
      <c r="G28" s="19">
        <f>13061</f>
        <v>13061</v>
      </c>
      <c r="H28" s="19">
        <f>I105</f>
        <v>42337.647429545454</v>
      </c>
      <c r="I28" s="19"/>
      <c r="J28" s="19">
        <f t="shared" ref="J28:R28" si="16">J105</f>
        <v>61176.633647454539</v>
      </c>
      <c r="K28" s="19">
        <f t="shared" si="16"/>
        <v>66362.970384181797</v>
      </c>
      <c r="L28" s="19">
        <f t="shared" si="16"/>
        <v>70630.080520739488</v>
      </c>
      <c r="M28" s="19">
        <f t="shared" si="16"/>
        <v>74804.623431882836</v>
      </c>
      <c r="N28" s="19">
        <f t="shared" si="16"/>
        <v>79579.518575368376</v>
      </c>
      <c r="O28" s="19">
        <f t="shared" si="16"/>
        <v>84634.800214815099</v>
      </c>
      <c r="P28" s="19">
        <f t="shared" si="16"/>
        <v>89936.821970707679</v>
      </c>
      <c r="Q28" s="19">
        <f t="shared" si="16"/>
        <v>95354.194731038704</v>
      </c>
      <c r="R28" s="19">
        <f t="shared" si="16"/>
        <v>100830.73577129343</v>
      </c>
      <c r="S28" s="19"/>
    </row>
    <row r="29" spans="1:20">
      <c r="A29" s="23" t="s">
        <v>24</v>
      </c>
      <c r="B29" s="13"/>
      <c r="C29" s="19">
        <v>-28107</v>
      </c>
      <c r="D29" s="19">
        <v>-44477</v>
      </c>
      <c r="E29" s="19">
        <v>-64551</v>
      </c>
      <c r="F29" s="19"/>
      <c r="G29" s="19">
        <v>-19394</v>
      </c>
      <c r="H29" s="19">
        <f>-H7*H71</f>
        <v>-98814.692999999985</v>
      </c>
      <c r="I29" s="19"/>
      <c r="J29" s="19">
        <f t="shared" ref="J29:R29" si="17">-J7*J71</f>
        <v>-106169.09801999998</v>
      </c>
      <c r="K29" s="19">
        <f t="shared" si="17"/>
        <v>-102508.09464</v>
      </c>
      <c r="L29" s="19">
        <f t="shared" si="17"/>
        <v>-86475.82863830401</v>
      </c>
      <c r="M29" s="19">
        <f t="shared" si="17"/>
        <v>-88410.156384160829</v>
      </c>
      <c r="N29" s="19">
        <f t="shared" si="17"/>
        <v>-89723.678707582629</v>
      </c>
      <c r="O29" s="19">
        <f t="shared" si="17"/>
        <v>-92527.543667194594</v>
      </c>
      <c r="P29" s="19">
        <f t="shared" si="17"/>
        <v>-94994.944831653134</v>
      </c>
      <c r="Q29" s="19">
        <f t="shared" si="17"/>
        <v>-96148.454876037489</v>
      </c>
      <c r="R29" s="19">
        <f t="shared" si="17"/>
        <v>-96740.137675274658</v>
      </c>
      <c r="S29" s="19"/>
    </row>
    <row r="30" spans="1:20">
      <c r="A30" s="23" t="s">
        <v>25</v>
      </c>
      <c r="B30" s="13"/>
      <c r="C30" s="19">
        <f>-(C4-B4)</f>
        <v>-5390</v>
      </c>
      <c r="D30" s="19">
        <f t="shared" ref="D30:E30" si="18">-(D4-C4)</f>
        <v>-6760</v>
      </c>
      <c r="E30" s="19">
        <f t="shared" si="18"/>
        <v>168</v>
      </c>
      <c r="F30" s="19"/>
      <c r="G30" s="19">
        <v>-12109</v>
      </c>
      <c r="H30" s="19">
        <f>(E7-H7)*AVERAGE($C$73:$E$73)</f>
        <v>-7197.2265024902881</v>
      </c>
      <c r="I30" s="19"/>
      <c r="J30" s="19">
        <f>(H7-J7)*AVERAGE($C$73:$E$73)</f>
        <v>-7173.2357474819828</v>
      </c>
      <c r="K30" s="19">
        <f t="shared" ref="K30:R30" si="19">(J7-K7)*AVERAGE($C$73:$E$73)</f>
        <v>-7482.236671988916</v>
      </c>
      <c r="L30" s="19">
        <f t="shared" si="19"/>
        <v>-7681.7629832419525</v>
      </c>
      <c r="M30" s="19">
        <f t="shared" si="19"/>
        <v>-8526.7569113985701</v>
      </c>
      <c r="N30" s="19">
        <f t="shared" si="19"/>
        <v>-9464.7001716524028</v>
      </c>
      <c r="O30" s="19">
        <f t="shared" si="19"/>
        <v>-9550.7429004856112</v>
      </c>
      <c r="P30" s="19">
        <f t="shared" si="19"/>
        <v>-10505.817190534175</v>
      </c>
      <c r="Q30" s="19">
        <f t="shared" si="19"/>
        <v>-10400.759018628831</v>
      </c>
      <c r="R30" s="19">
        <f t="shared" si="19"/>
        <v>-11336.82733030543</v>
      </c>
      <c r="S30" s="19"/>
    </row>
    <row r="31" spans="1:20">
      <c r="A31" s="18"/>
      <c r="B31" s="13"/>
      <c r="C31" s="19"/>
      <c r="D31" s="19"/>
      <c r="E31" s="19"/>
      <c r="F31" s="19"/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9"/>
      <c r="R31" s="19"/>
      <c r="S31" s="19"/>
      <c r="T31" s="7"/>
    </row>
    <row r="32" spans="1:20">
      <c r="A32" s="18" t="s">
        <v>26</v>
      </c>
      <c r="B32" s="13"/>
      <c r="C32" s="19">
        <f>C26+SUM(C28:C30)</f>
        <v>52725</v>
      </c>
      <c r="D32" s="19">
        <f t="shared" ref="D32:E32" si="20">D26+SUM(D28:D30)</f>
        <v>59186</v>
      </c>
      <c r="E32" s="19">
        <f t="shared" si="20"/>
        <v>71602</v>
      </c>
      <c r="F32" s="19"/>
      <c r="G32" s="19"/>
      <c r="H32" s="19">
        <f>SUM(H26:H30)*0.75</f>
        <v>40616.219790791365</v>
      </c>
      <c r="I32" s="19"/>
      <c r="J32" s="19">
        <f t="shared" ref="J32:R32" si="21">J26+J28+J29+J30</f>
        <v>82019.226265422534</v>
      </c>
      <c r="K32" s="19">
        <f t="shared" si="21"/>
        <v>104168.80992414488</v>
      </c>
      <c r="L32" s="19">
        <f t="shared" si="21"/>
        <v>147899.44077612614</v>
      </c>
      <c r="M32" s="19">
        <f t="shared" si="21"/>
        <v>173266.78576765937</v>
      </c>
      <c r="N32" s="19">
        <f t="shared" si="21"/>
        <v>205233.0708074162</v>
      </c>
      <c r="O32" s="19">
        <f t="shared" si="21"/>
        <v>234879.12522757452</v>
      </c>
      <c r="P32" s="19">
        <f t="shared" si="21"/>
        <v>264739.00073391962</v>
      </c>
      <c r="Q32" s="19">
        <f t="shared" si="21"/>
        <v>294335.18629245763</v>
      </c>
      <c r="R32" s="19">
        <f t="shared" si="21"/>
        <v>325781.69471284637</v>
      </c>
      <c r="S32" s="19">
        <f>R26*(1-g/roic)/(D83-g)</f>
        <v>4267520.7312488053</v>
      </c>
    </row>
    <row r="33" spans="1:20">
      <c r="A33" s="18" t="s">
        <v>27</v>
      </c>
      <c r="B33" s="13"/>
      <c r="C33" s="19"/>
      <c r="D33" s="19"/>
      <c r="E33" s="19"/>
      <c r="F33" s="19"/>
      <c r="G33" s="19"/>
      <c r="H33" s="25">
        <v>0.9697866845540386</v>
      </c>
      <c r="I33" s="25"/>
      <c r="J33" s="25">
        <f t="shared" ref="J33:S33" si="22">1/(1+$D$83)^(J84/12)</f>
        <v>0.90279135034971913</v>
      </c>
      <c r="K33" s="25">
        <f t="shared" si="22"/>
        <v>0.83187352162047234</v>
      </c>
      <c r="L33" s="25">
        <f t="shared" si="22"/>
        <v>0.76652656863092161</v>
      </c>
      <c r="M33" s="25">
        <f t="shared" si="22"/>
        <v>0.70631287707358981</v>
      </c>
      <c r="N33" s="25">
        <f t="shared" si="22"/>
        <v>0.65082920897446284</v>
      </c>
      <c r="O33" s="25">
        <f t="shared" si="22"/>
        <v>0.5997040022961283</v>
      </c>
      <c r="P33" s="25">
        <f t="shared" si="22"/>
        <v>0.55259488266776047</v>
      </c>
      <c r="Q33" s="25">
        <f t="shared" si="22"/>
        <v>0.50918637057854987</v>
      </c>
      <c r="R33" s="25">
        <f t="shared" si="22"/>
        <v>0.46918776868015089</v>
      </c>
      <c r="S33" s="25">
        <f t="shared" si="22"/>
        <v>0.45038263523367311</v>
      </c>
    </row>
    <row r="34" spans="1:20">
      <c r="A34" s="13"/>
      <c r="B34" s="13"/>
      <c r="C34" s="26"/>
      <c r="D34" s="26"/>
      <c r="E34" s="26"/>
      <c r="F34" s="19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9"/>
      <c r="R34" s="19"/>
      <c r="S34" s="19"/>
    </row>
    <row r="35" spans="1:20">
      <c r="A35" s="18" t="s">
        <v>28</v>
      </c>
      <c r="B35" s="13"/>
      <c r="C35" s="19"/>
      <c r="D35" s="19"/>
      <c r="E35" s="19"/>
      <c r="F35" s="19"/>
      <c r="G35" s="19"/>
      <c r="H35" s="19">
        <f>H32*H33</f>
        <v>39389.069130029682</v>
      </c>
      <c r="I35" s="19"/>
      <c r="J35" s="19">
        <f t="shared" ref="J35:R35" si="23">J32*J33</f>
        <v>74046.248034799966</v>
      </c>
      <c r="K35" s="19">
        <f t="shared" si="23"/>
        <v>86655.274754612008</v>
      </c>
      <c r="L35" s="19">
        <f t="shared" si="23"/>
        <v>113368.85084055617</v>
      </c>
      <c r="M35" s="19">
        <f t="shared" si="23"/>
        <v>122380.56195684882</v>
      </c>
      <c r="N35" s="19">
        <f t="shared" si="23"/>
        <v>133571.67712899062</v>
      </c>
      <c r="O35" s="19">
        <f t="shared" si="23"/>
        <v>140857.95145478996</v>
      </c>
      <c r="P35" s="19">
        <f t="shared" si="23"/>
        <v>146293.41704814046</v>
      </c>
      <c r="Q35" s="19">
        <f t="shared" si="23"/>
        <v>149871.46524181784</v>
      </c>
      <c r="R35" s="19">
        <f t="shared" si="23"/>
        <v>152852.78641915848</v>
      </c>
      <c r="S35" s="19">
        <f>S32*S33</f>
        <v>1922017.2328541686</v>
      </c>
    </row>
    <row r="36" spans="1:20">
      <c r="A36" s="18"/>
      <c r="B36" s="13"/>
      <c r="C36" s="13"/>
      <c r="D36" s="13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  <c r="R36" s="13"/>
      <c r="S36" s="13"/>
    </row>
    <row r="37" spans="1:20">
      <c r="A37" s="18" t="s">
        <v>29</v>
      </c>
      <c r="B37" s="13"/>
      <c r="C37" s="13"/>
      <c r="D37" s="13"/>
      <c r="E37" s="19">
        <f>SUM(J35:S35)+H35</f>
        <v>3081304.5348639125</v>
      </c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  <c r="R37" s="13"/>
      <c r="S37" s="13"/>
    </row>
    <row r="38" spans="1:20">
      <c r="A38" s="18" t="s">
        <v>30</v>
      </c>
      <c r="B38" s="13"/>
      <c r="C38" s="13"/>
      <c r="D38" s="13"/>
      <c r="E38" s="17">
        <v>-43208</v>
      </c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  <c r="R38" s="13"/>
      <c r="S38" s="13"/>
    </row>
    <row r="39" spans="1:20">
      <c r="A39" s="18" t="s">
        <v>31</v>
      </c>
      <c r="B39" s="13"/>
      <c r="C39" s="13"/>
      <c r="D39" s="13"/>
      <c r="E39" s="17">
        <v>102012</v>
      </c>
      <c r="F39" s="13"/>
      <c r="G39" s="13"/>
      <c r="H39" s="13"/>
      <c r="I39" s="27"/>
      <c r="J39" s="28"/>
      <c r="K39" s="29"/>
      <c r="L39" s="29"/>
      <c r="M39" s="29"/>
      <c r="N39" s="29"/>
      <c r="O39" s="29"/>
      <c r="P39" s="29"/>
      <c r="Q39" s="29"/>
      <c r="R39" s="29"/>
      <c r="S39" s="29"/>
      <c r="T39" s="10"/>
    </row>
    <row r="40" spans="1:20">
      <c r="A40" s="18"/>
      <c r="B40" s="13"/>
      <c r="C40" s="13"/>
      <c r="D40" s="13"/>
      <c r="E40" s="13"/>
      <c r="F40" s="13"/>
      <c r="G40" s="13"/>
      <c r="H40" s="13"/>
      <c r="I40" s="28"/>
      <c r="J40" s="13"/>
      <c r="K40" s="13"/>
      <c r="L40" s="13"/>
      <c r="M40" s="13"/>
      <c r="N40" s="13"/>
      <c r="O40" s="13"/>
      <c r="P40" s="13"/>
      <c r="Q40" s="13"/>
      <c r="R40" s="13"/>
      <c r="S40" s="13"/>
    </row>
    <row r="41" spans="1:20">
      <c r="A41" s="18" t="s">
        <v>32</v>
      </c>
      <c r="B41" s="13"/>
      <c r="C41" s="13"/>
      <c r="D41" s="13"/>
      <c r="E41" s="19">
        <f>E37+E38+E39</f>
        <v>3140108.5348639125</v>
      </c>
      <c r="F41" s="13"/>
      <c r="G41" s="13"/>
      <c r="H41" s="13"/>
      <c r="I41" s="16"/>
      <c r="J41" s="13"/>
      <c r="K41" s="13"/>
      <c r="L41" s="13"/>
      <c r="M41" s="13"/>
      <c r="N41" s="13"/>
      <c r="O41" s="13"/>
      <c r="P41" s="13"/>
      <c r="Q41" s="13"/>
      <c r="R41" s="13"/>
      <c r="S41" s="13"/>
    </row>
    <row r="42" spans="1:20">
      <c r="A42" s="18" t="s">
        <v>33</v>
      </c>
      <c r="B42" s="13"/>
      <c r="C42" s="13"/>
      <c r="D42" s="13"/>
      <c r="E42" s="13">
        <v>7466</v>
      </c>
      <c r="F42" s="13"/>
      <c r="G42" s="13"/>
      <c r="H42" s="13"/>
      <c r="I42" s="16"/>
      <c r="J42" s="13"/>
      <c r="K42" s="13"/>
      <c r="L42" s="13"/>
      <c r="M42" s="13"/>
      <c r="N42" s="13"/>
      <c r="O42" s="13"/>
      <c r="P42" s="13"/>
      <c r="Q42" s="13"/>
      <c r="R42" s="13"/>
      <c r="S42" s="13"/>
    </row>
    <row r="43" spans="1:20">
      <c r="A43" s="18"/>
      <c r="B43" s="13"/>
      <c r="C43" s="13"/>
      <c r="D43" s="13"/>
      <c r="E43" s="13"/>
      <c r="F43" s="13"/>
      <c r="G43" s="13"/>
      <c r="H43" s="13"/>
      <c r="I43" s="16"/>
      <c r="J43" s="13"/>
      <c r="K43" s="13"/>
      <c r="L43" s="13"/>
      <c r="M43" s="13"/>
      <c r="N43" s="13"/>
      <c r="O43" s="13"/>
      <c r="P43" s="13"/>
      <c r="Q43" s="13"/>
      <c r="R43" s="13"/>
      <c r="S43" s="13"/>
    </row>
    <row r="44" spans="1:20">
      <c r="A44" s="18" t="s">
        <v>34</v>
      </c>
      <c r="B44" s="13"/>
      <c r="C44" s="13"/>
      <c r="D44" s="13"/>
      <c r="E44" s="27">
        <f>E41/E42</f>
        <v>420.5878026873711</v>
      </c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  <c r="R44" s="13"/>
      <c r="S44" s="13"/>
    </row>
    <row r="46" spans="1:20">
      <c r="A46" s="2" t="s">
        <v>82</v>
      </c>
      <c r="E46">
        <v>476.39</v>
      </c>
    </row>
    <row r="47" spans="1:20">
      <c r="A47" s="2" t="s">
        <v>83</v>
      </c>
      <c r="E47" s="11">
        <f>(E44-E46)/E46</f>
        <v>-0.11713553456753688</v>
      </c>
    </row>
    <row r="48" spans="1:20">
      <c r="I48">
        <f t="shared" ref="I48:R48" si="24">I5</f>
        <v>0</v>
      </c>
      <c r="J48">
        <f t="shared" si="24"/>
        <v>2027</v>
      </c>
      <c r="K48">
        <f t="shared" si="24"/>
        <v>2028</v>
      </c>
      <c r="L48">
        <f t="shared" si="24"/>
        <v>2029</v>
      </c>
      <c r="M48">
        <f t="shared" si="24"/>
        <v>2030</v>
      </c>
      <c r="N48">
        <f t="shared" si="24"/>
        <v>2031</v>
      </c>
      <c r="O48">
        <f t="shared" si="24"/>
        <v>2032</v>
      </c>
      <c r="P48">
        <f t="shared" si="24"/>
        <v>2033</v>
      </c>
      <c r="Q48">
        <f t="shared" si="24"/>
        <v>2034</v>
      </c>
      <c r="R48">
        <f t="shared" si="24"/>
        <v>2035</v>
      </c>
    </row>
    <row r="49" spans="1:18">
      <c r="A49" s="2" t="s">
        <v>35</v>
      </c>
      <c r="I49" s="5">
        <f>Sheet1!E8</f>
        <v>0.15</v>
      </c>
      <c r="J49" s="5">
        <f>Sheet1!F8</f>
        <v>0.13</v>
      </c>
      <c r="K49" s="5">
        <f>Sheet1!G8</f>
        <v>0.12</v>
      </c>
      <c r="L49" s="5">
        <f>Sheet1!H8</f>
        <v>0.11</v>
      </c>
      <c r="M49" s="5">
        <f>Sheet1!I8</f>
        <v>0.11</v>
      </c>
      <c r="N49" s="5">
        <f>Sheet1!J8</f>
        <v>0.11</v>
      </c>
      <c r="O49" s="5">
        <f>Sheet1!K8</f>
        <v>0.1</v>
      </c>
      <c r="P49" s="5">
        <f>Sheet1!L8</f>
        <v>0.1</v>
      </c>
      <c r="Q49" s="5">
        <f>Sheet1!M8</f>
        <v>0.09</v>
      </c>
      <c r="R49" s="5">
        <f>Sheet1!N8</f>
        <v>0.09</v>
      </c>
    </row>
    <row r="50" spans="1:18">
      <c r="A50" s="2" t="s">
        <v>15</v>
      </c>
      <c r="C50" s="6">
        <f>(C8/C7)</f>
        <v>0.31079914116508978</v>
      </c>
      <c r="D50" s="6">
        <f t="shared" ref="D50:H50" si="25">(D8/D7)</f>
        <v>0.30235556172028621</v>
      </c>
      <c r="E50" s="6">
        <f t="shared" si="25"/>
        <v>0.31176257613834818</v>
      </c>
      <c r="F50" s="6">
        <f t="shared" si="25"/>
        <v>0.30645726919265076</v>
      </c>
      <c r="G50" s="6">
        <f t="shared" si="25"/>
        <v>0.3095412820413786</v>
      </c>
      <c r="H50" s="6">
        <f t="shared" si="25"/>
        <v>0.315</v>
      </c>
      <c r="I50" s="5">
        <f>Sheet1!E14</f>
        <v>0.315</v>
      </c>
      <c r="J50" s="5">
        <f>Sheet1!F14</f>
        <v>0.3</v>
      </c>
      <c r="K50" s="5">
        <f>Sheet1!G14</f>
        <v>0.31</v>
      </c>
      <c r="L50" s="5">
        <f>Sheet1!H14</f>
        <v>0.3</v>
      </c>
      <c r="M50" s="5">
        <f>Sheet1!I14</f>
        <v>0.29000000000000004</v>
      </c>
      <c r="N50" s="5">
        <f>Sheet1!J14</f>
        <v>0.28000000000000003</v>
      </c>
      <c r="O50" s="5">
        <f>Sheet1!K14</f>
        <v>0.27</v>
      </c>
      <c r="P50" s="5">
        <f>Sheet1!L14</f>
        <v>0.26500000000000001</v>
      </c>
      <c r="Q50" s="5">
        <f>Sheet1!M14</f>
        <v>0.26500000000000001</v>
      </c>
      <c r="R50" s="5">
        <f>Sheet1!N14</f>
        <v>0.26500000000000001</v>
      </c>
    </row>
    <row r="51" spans="1:18">
      <c r="A51" s="2"/>
      <c r="I51" s="5"/>
      <c r="J51" s="5"/>
      <c r="K51" s="5"/>
      <c r="L51" s="5"/>
      <c r="M51" s="5"/>
      <c r="N51" s="5"/>
      <c r="O51" s="5"/>
      <c r="P51" s="5"/>
      <c r="Q51" s="5"/>
      <c r="R51" s="5"/>
    </row>
    <row r="52" spans="1:18">
      <c r="A52" s="2" t="s">
        <v>7</v>
      </c>
      <c r="I52" s="5">
        <f>Sheet1!E13</f>
        <v>0.68500000000000005</v>
      </c>
      <c r="J52" s="5">
        <f>Sheet1!F13</f>
        <v>0.7</v>
      </c>
      <c r="K52" s="5">
        <f>Sheet1!G13</f>
        <v>0.69</v>
      </c>
      <c r="L52" s="5">
        <f>Sheet1!H13</f>
        <v>0.7</v>
      </c>
      <c r="M52" s="5">
        <f>Sheet1!I13</f>
        <v>0.71</v>
      </c>
      <c r="N52" s="5">
        <f>Sheet1!J13</f>
        <v>0.72</v>
      </c>
      <c r="O52" s="5">
        <f>Sheet1!K13</f>
        <v>0.73</v>
      </c>
      <c r="P52" s="5">
        <f>Sheet1!L13</f>
        <v>0.73499999999999999</v>
      </c>
      <c r="Q52" s="5">
        <f>Sheet1!M13</f>
        <v>0.73499999999999999</v>
      </c>
      <c r="R52" s="5">
        <f>Sheet1!N13</f>
        <v>0.73499999999999999</v>
      </c>
    </row>
    <row r="53" spans="1:18">
      <c r="A53" s="2"/>
      <c r="I53" s="5"/>
      <c r="J53" s="5"/>
      <c r="K53" s="5"/>
      <c r="L53" s="5"/>
      <c r="M53" s="5"/>
      <c r="N53" s="5"/>
      <c r="O53" s="5"/>
      <c r="P53" s="5"/>
      <c r="Q53" s="5"/>
      <c r="R53" s="5"/>
    </row>
    <row r="54" spans="1:18">
      <c r="A54" s="2" t="s">
        <v>16</v>
      </c>
      <c r="I54" s="5"/>
      <c r="J54" s="5"/>
      <c r="K54" s="5"/>
      <c r="L54" s="5"/>
      <c r="M54" s="5"/>
      <c r="N54" s="5"/>
      <c r="O54" s="5"/>
      <c r="P54" s="5"/>
      <c r="Q54" s="5"/>
      <c r="R54" s="5"/>
    </row>
    <row r="55" spans="1:18">
      <c r="A55" s="2" t="s">
        <v>10</v>
      </c>
      <c r="C55" s="6">
        <f t="shared" ref="C55:E55" si="26">(C13/C7)</f>
        <v>0.14314229761932851</v>
      </c>
      <c r="D55" s="6">
        <f t="shared" si="26"/>
        <v>0.13081241177862452</v>
      </c>
      <c r="E55" s="6">
        <f t="shared" si="26"/>
        <v>0.11669932274140649</v>
      </c>
      <c r="F55" s="6"/>
      <c r="G55" s="6"/>
      <c r="H55" s="6">
        <f t="shared" ref="H55" si="27">(H13/H7)</f>
        <v>0.11600000000000001</v>
      </c>
      <c r="I55" s="5">
        <f>Sheet1!E21</f>
        <v>0.11600000000000001</v>
      </c>
      <c r="J55" s="5">
        <f>Sheet1!F21</f>
        <v>0.12</v>
      </c>
      <c r="K55" s="5">
        <f>Sheet1!G21</f>
        <v>0.12</v>
      </c>
      <c r="L55" s="5">
        <f>Sheet1!H21</f>
        <v>0.11</v>
      </c>
      <c r="M55" s="5">
        <f>Sheet1!I21</f>
        <v>0.1075</v>
      </c>
      <c r="N55" s="5">
        <f>Sheet1!J21</f>
        <v>0.105</v>
      </c>
      <c r="O55" s="5">
        <f>Sheet1!K21</f>
        <v>0.105</v>
      </c>
      <c r="P55" s="5">
        <f>Sheet1!L21</f>
        <v>0.105</v>
      </c>
      <c r="Q55" s="5">
        <f>Sheet1!M21</f>
        <v>0.105</v>
      </c>
      <c r="R55" s="5">
        <f>Sheet1!N21</f>
        <v>0.105</v>
      </c>
    </row>
    <row r="56" spans="1:18">
      <c r="A56" s="2" t="s">
        <v>11</v>
      </c>
      <c r="C56" s="6">
        <f t="shared" ref="C56:E56" si="28">(C14/C7)</f>
        <v>0.12832975485454073</v>
      </c>
      <c r="D56" s="6">
        <f t="shared" si="28"/>
        <v>0.12038903076835208</v>
      </c>
      <c r="E56" s="6">
        <f t="shared" si="28"/>
        <v>0.11531853871164686</v>
      </c>
      <c r="F56" s="6"/>
      <c r="G56" s="6"/>
      <c r="H56" s="6">
        <f t="shared" ref="H56" si="29">(H14/H7)</f>
        <v>0.12</v>
      </c>
      <c r="I56" s="5">
        <f>Sheet1!E26</f>
        <v>0.12</v>
      </c>
      <c r="J56" s="5">
        <f>Sheet1!F26</f>
        <v>0.1275</v>
      </c>
      <c r="K56" s="5">
        <f>Sheet1!G26</f>
        <v>0.125</v>
      </c>
      <c r="L56" s="5">
        <f>Sheet1!H26</f>
        <v>0.125</v>
      </c>
      <c r="M56" s="5">
        <f>Sheet1!I26</f>
        <v>0.125</v>
      </c>
      <c r="N56" s="5">
        <f>Sheet1!J26</f>
        <v>0.12</v>
      </c>
      <c r="O56" s="5">
        <f>Sheet1!K26</f>
        <v>0.12</v>
      </c>
      <c r="P56" s="5">
        <f>Sheet1!L26</f>
        <v>0.12</v>
      </c>
      <c r="Q56" s="5">
        <f>Sheet1!M26</f>
        <v>0.12</v>
      </c>
      <c r="R56" s="5">
        <f>Sheet1!N26</f>
        <v>0.12</v>
      </c>
    </row>
    <row r="57" spans="1:18">
      <c r="A57" s="2"/>
      <c r="I57" s="5"/>
      <c r="J57" s="5"/>
      <c r="K57" s="5"/>
      <c r="L57" s="5"/>
      <c r="M57" s="5"/>
      <c r="N57" s="5"/>
      <c r="O57" s="5"/>
      <c r="P57" s="5"/>
      <c r="Q57" s="5"/>
      <c r="R57" s="5"/>
    </row>
    <row r="58" spans="1:18">
      <c r="A58" s="2" t="s">
        <v>17</v>
      </c>
      <c r="I58" s="5">
        <f>H17/H7</f>
        <v>0.23600000000000002</v>
      </c>
      <c r="J58" s="5">
        <f t="shared" ref="J58:R58" si="30">J17/J7</f>
        <v>0.2475</v>
      </c>
      <c r="K58" s="5">
        <f t="shared" si="30"/>
        <v>0.24499999999999997</v>
      </c>
      <c r="L58" s="5">
        <f t="shared" si="30"/>
        <v>0.23500000000000001</v>
      </c>
      <c r="M58" s="5">
        <f t="shared" si="30"/>
        <v>0.23250000000000001</v>
      </c>
      <c r="N58" s="5">
        <f t="shared" si="30"/>
        <v>0.22499999999999998</v>
      </c>
      <c r="O58" s="5">
        <f t="shared" si="30"/>
        <v>0.22499999999999998</v>
      </c>
      <c r="P58" s="5">
        <f t="shared" si="30"/>
        <v>0.22500000000000001</v>
      </c>
      <c r="Q58" s="5">
        <f t="shared" si="30"/>
        <v>0.22500000000000001</v>
      </c>
      <c r="R58" s="5">
        <f t="shared" si="30"/>
        <v>0.22500000000000001</v>
      </c>
    </row>
    <row r="59" spans="1:18">
      <c r="A59" s="2"/>
      <c r="I59" s="5"/>
      <c r="J59" s="5"/>
      <c r="K59" s="5"/>
      <c r="L59" s="5"/>
      <c r="M59" s="5"/>
      <c r="N59" s="5"/>
      <c r="O59" s="5"/>
      <c r="P59" s="5"/>
      <c r="Q59" s="5"/>
      <c r="R59" s="5"/>
    </row>
    <row r="60" spans="1:18">
      <c r="A60" s="2" t="s">
        <v>18</v>
      </c>
      <c r="C60" s="11">
        <f>(C19/C7)</f>
        <v>0.41772880636104098</v>
      </c>
      <c r="D60" s="11">
        <f>(D19/D7)</f>
        <v>0.44644299573273716</v>
      </c>
      <c r="E60" s="11">
        <f>(E19/E7)</f>
        <v>0.45621956240859851</v>
      </c>
      <c r="H60" s="11">
        <f>(H19/H7)</f>
        <v>0.44900000000000001</v>
      </c>
      <c r="I60" s="5">
        <f>H19/H7</f>
        <v>0.44900000000000001</v>
      </c>
      <c r="J60" s="5">
        <f t="shared" ref="J60:R60" si="31">J19/J7</f>
        <v>0.45250000000000001</v>
      </c>
      <c r="K60" s="5">
        <f t="shared" si="31"/>
        <v>0.44499999999999995</v>
      </c>
      <c r="L60" s="5">
        <f t="shared" si="31"/>
        <v>0.46499999999999991</v>
      </c>
      <c r="M60" s="5">
        <f t="shared" si="31"/>
        <v>0.47749999999999987</v>
      </c>
      <c r="N60" s="5">
        <f t="shared" si="31"/>
        <v>0.495</v>
      </c>
      <c r="O60" s="5">
        <f t="shared" si="31"/>
        <v>0.505</v>
      </c>
      <c r="P60" s="5">
        <f t="shared" si="31"/>
        <v>0.51</v>
      </c>
      <c r="Q60" s="5">
        <f t="shared" si="31"/>
        <v>0.51</v>
      </c>
      <c r="R60" s="5">
        <f t="shared" si="31"/>
        <v>0.51</v>
      </c>
    </row>
    <row r="61" spans="1:18">
      <c r="A61" s="2"/>
      <c r="I61" s="5"/>
      <c r="J61" s="5"/>
      <c r="K61" s="5"/>
      <c r="L61" s="5"/>
      <c r="M61" s="5"/>
      <c r="N61" s="5"/>
      <c r="O61" s="5"/>
      <c r="P61" s="5"/>
      <c r="Q61" s="5"/>
      <c r="R61" s="5"/>
    </row>
    <row r="62" spans="1:18">
      <c r="A62" s="2" t="s">
        <v>19</v>
      </c>
      <c r="I62" s="5">
        <f>Sheet1!E36</f>
        <v>0</v>
      </c>
      <c r="J62" s="5">
        <f>Sheet1!F36</f>
        <v>0</v>
      </c>
      <c r="K62" s="5">
        <f>Sheet1!G36</f>
        <v>0</v>
      </c>
      <c r="L62" s="5">
        <f>Sheet1!H36</f>
        <v>0</v>
      </c>
      <c r="M62" s="5">
        <f>Sheet1!I36</f>
        <v>0</v>
      </c>
      <c r="N62" s="5">
        <f>Sheet1!J36</f>
        <v>0</v>
      </c>
      <c r="O62" s="5">
        <f>Sheet1!K36</f>
        <v>0</v>
      </c>
      <c r="P62" s="5">
        <f>Sheet1!L36</f>
        <v>0</v>
      </c>
      <c r="Q62" s="5">
        <f>Sheet1!M36</f>
        <v>0</v>
      </c>
      <c r="R62" s="5">
        <f>Sheet1!N36</f>
        <v>0</v>
      </c>
    </row>
    <row r="63" spans="1:18">
      <c r="A63" s="2"/>
      <c r="I63" s="5"/>
      <c r="J63" s="5"/>
      <c r="K63" s="5"/>
      <c r="L63" s="5"/>
      <c r="M63" s="5"/>
      <c r="N63" s="5"/>
      <c r="O63" s="5"/>
      <c r="P63" s="5"/>
      <c r="Q63" s="5"/>
      <c r="R63" s="5"/>
    </row>
    <row r="64" spans="1:18">
      <c r="A64" s="2" t="s">
        <v>20</v>
      </c>
      <c r="I64" s="5">
        <f>H23/H7</f>
        <v>0.44900000000000001</v>
      </c>
      <c r="J64" s="5">
        <f t="shared" ref="J64:R64" si="32">J23/J7</f>
        <v>0.45250000000000001</v>
      </c>
      <c r="K64" s="5">
        <f t="shared" si="32"/>
        <v>0.44499999999999995</v>
      </c>
      <c r="L64" s="5">
        <f t="shared" si="32"/>
        <v>0.46499999999999991</v>
      </c>
      <c r="M64" s="5">
        <f t="shared" si="32"/>
        <v>0.47749999999999987</v>
      </c>
      <c r="N64" s="5">
        <f t="shared" si="32"/>
        <v>0.495</v>
      </c>
      <c r="O64" s="5">
        <f t="shared" si="32"/>
        <v>0.505</v>
      </c>
      <c r="P64" s="5">
        <f t="shared" si="32"/>
        <v>0.51</v>
      </c>
      <c r="Q64" s="5">
        <f t="shared" si="32"/>
        <v>0.51</v>
      </c>
      <c r="R64" s="5">
        <f t="shared" si="32"/>
        <v>0.51</v>
      </c>
    </row>
    <row r="65" spans="1:18">
      <c r="A65" s="2" t="s">
        <v>36</v>
      </c>
      <c r="C65" s="6">
        <f>C24/C23</f>
        <v>0.18978625253328257</v>
      </c>
      <c r="D65" s="6">
        <f>D24/D23</f>
        <v>0.18231326597827197</v>
      </c>
      <c r="E65" s="6">
        <f>E24/E23</f>
        <v>0.17629644009803683</v>
      </c>
      <c r="I65" s="5">
        <v>0.19</v>
      </c>
      <c r="J65" s="5">
        <v>0.19</v>
      </c>
      <c r="K65" s="5">
        <v>0.19</v>
      </c>
      <c r="L65" s="5">
        <v>0.19</v>
      </c>
      <c r="M65" s="5">
        <v>0.19</v>
      </c>
      <c r="N65" s="5">
        <v>0.19</v>
      </c>
      <c r="O65" s="5">
        <v>0.19</v>
      </c>
      <c r="P65" s="5">
        <v>0.19</v>
      </c>
      <c r="Q65" s="5">
        <v>0.19</v>
      </c>
      <c r="R65" s="5">
        <v>0.19</v>
      </c>
    </row>
    <row r="66" spans="1:18">
      <c r="A66" s="2"/>
      <c r="I66" s="5"/>
      <c r="J66" s="5"/>
      <c r="K66" s="5"/>
      <c r="L66" s="5"/>
      <c r="M66" s="5"/>
      <c r="N66" s="5"/>
      <c r="O66" s="5"/>
      <c r="P66" s="5"/>
      <c r="Q66" s="5"/>
      <c r="R66" s="5"/>
    </row>
    <row r="67" spans="1:18">
      <c r="A67" s="2" t="s">
        <v>22</v>
      </c>
      <c r="I67" s="5">
        <f>H26/H7</f>
        <v>0.36369000000000001</v>
      </c>
      <c r="J67" s="5">
        <f t="shared" ref="J67:R67" si="33">J26/J7</f>
        <v>0.36652499999999999</v>
      </c>
      <c r="K67" s="5">
        <f t="shared" si="33"/>
        <v>0.36044999999999999</v>
      </c>
      <c r="L67" s="5">
        <f t="shared" si="33"/>
        <v>0.37664999999999993</v>
      </c>
      <c r="M67" s="5">
        <f t="shared" si="33"/>
        <v>0.38677499999999992</v>
      </c>
      <c r="N67" s="5">
        <f t="shared" si="33"/>
        <v>0.40094999999999997</v>
      </c>
      <c r="O67" s="5">
        <f t="shared" si="33"/>
        <v>0.40904999999999997</v>
      </c>
      <c r="P67" s="5">
        <f t="shared" si="33"/>
        <v>0.41309999999999997</v>
      </c>
      <c r="Q67" s="5">
        <f t="shared" si="33"/>
        <v>0.41309999999999997</v>
      </c>
      <c r="R67" s="5">
        <f t="shared" si="33"/>
        <v>0.41310000000000002</v>
      </c>
    </row>
    <row r="68" spans="1:18">
      <c r="A68" s="2"/>
    </row>
    <row r="69" spans="1:18">
      <c r="A69" s="2" t="s">
        <v>37</v>
      </c>
      <c r="C69" s="4">
        <v>95641</v>
      </c>
      <c r="D69" s="4">
        <v>135591</v>
      </c>
      <c r="E69" s="4">
        <v>204966</v>
      </c>
      <c r="G69" s="4">
        <v>230861</v>
      </c>
      <c r="H69" s="7">
        <f>E69-I102-H29</f>
        <v>264888.5455704545</v>
      </c>
      <c r="I69" s="7"/>
      <c r="J69" s="7">
        <f>H69-J29-J102</f>
        <v>312782.00994299992</v>
      </c>
      <c r="K69" s="7">
        <f t="shared" ref="K69:R69" si="34">J69-K29-K102</f>
        <v>350961.13419881812</v>
      </c>
      <c r="L69" s="7">
        <f t="shared" si="34"/>
        <v>368657.88231638266</v>
      </c>
      <c r="M69" s="7">
        <f t="shared" si="34"/>
        <v>383645.41526866064</v>
      </c>
      <c r="N69" s="7">
        <f t="shared" si="34"/>
        <v>395171.57540087489</v>
      </c>
      <c r="O69" s="7">
        <f t="shared" si="34"/>
        <v>404446.31885325443</v>
      </c>
      <c r="P69" s="7">
        <f t="shared" si="34"/>
        <v>410886.4417141999</v>
      </c>
      <c r="Q69" s="7">
        <f t="shared" si="34"/>
        <v>413062.70185919869</v>
      </c>
      <c r="R69" s="7">
        <f t="shared" si="34"/>
        <v>410354.10376317997</v>
      </c>
    </row>
    <row r="70" spans="1:18">
      <c r="A70" s="2" t="s">
        <v>38</v>
      </c>
      <c r="C70">
        <f>C7/C69</f>
        <v>2.2157338379983478</v>
      </c>
      <c r="D70">
        <f>D7/D69</f>
        <v>1.807804352796277</v>
      </c>
      <c r="E70">
        <f>E7/E69</f>
        <v>1.37449137905799</v>
      </c>
      <c r="H70">
        <f>H7/H69</f>
        <v>1.2230902597252087</v>
      </c>
      <c r="J70">
        <f t="shared" ref="J70:R70" si="35">J7/J69</f>
        <v>1.1704648169078411</v>
      </c>
      <c r="K70">
        <f t="shared" si="35"/>
        <v>1.1683127805477123</v>
      </c>
      <c r="L70">
        <f t="shared" si="35"/>
        <v>1.2345753665752406</v>
      </c>
      <c r="M70">
        <f t="shared" si="35"/>
        <v>1.3168432972670665</v>
      </c>
      <c r="N70">
        <f t="shared" si="35"/>
        <v>1.4190620652650057</v>
      </c>
      <c r="O70">
        <f t="shared" si="35"/>
        <v>1.5251722227652242</v>
      </c>
      <c r="P70">
        <f t="shared" si="35"/>
        <v>1.651393794828748</v>
      </c>
      <c r="Q70">
        <f t="shared" si="35"/>
        <v>1.7905356637563272</v>
      </c>
      <c r="R70">
        <f t="shared" si="35"/>
        <v>1.9645662284539274</v>
      </c>
    </row>
    <row r="71" spans="1:18">
      <c r="A71" s="2" t="s">
        <v>39</v>
      </c>
      <c r="C71" s="6">
        <f>-C29/C7</f>
        <v>0.13263336715192411</v>
      </c>
      <c r="D71" s="6">
        <f>-D29/D7</f>
        <v>0.18144842160230415</v>
      </c>
      <c r="E71" s="6">
        <f>-E29/E7</f>
        <v>0.22912850875324786</v>
      </c>
      <c r="H71" s="11">
        <f>Sheet1!E31</f>
        <v>0.30499999999999999</v>
      </c>
      <c r="J71" s="11">
        <f>Sheet1!F31</f>
        <v>0.28999999999999998</v>
      </c>
      <c r="K71" s="11">
        <f>Sheet1!G31</f>
        <v>0.25</v>
      </c>
      <c r="L71" s="11">
        <f>Sheet1!H31</f>
        <v>0.19</v>
      </c>
      <c r="M71" s="11">
        <f>Sheet1!I31</f>
        <v>0.17500000000000002</v>
      </c>
      <c r="N71" s="11">
        <f>Sheet1!J31</f>
        <v>0.16</v>
      </c>
      <c r="O71" s="11">
        <f>Sheet1!K31</f>
        <v>0.15</v>
      </c>
      <c r="P71" s="11">
        <f>Sheet1!L31</f>
        <v>0.14000000000000001</v>
      </c>
      <c r="Q71" s="11">
        <f>Sheet1!M31</f>
        <v>0.13</v>
      </c>
      <c r="R71" s="11">
        <f>Sheet1!N31</f>
        <v>0.12000000000000001</v>
      </c>
    </row>
    <row r="72" spans="1:18">
      <c r="A72" s="2" t="s">
        <v>40</v>
      </c>
      <c r="C72" s="6">
        <f>C28/C7</f>
        <v>6.5408300497841118E-2</v>
      </c>
      <c r="D72" s="6">
        <f>D28/D7</f>
        <v>9.0922071458294243E-2</v>
      </c>
      <c r="E72" s="6">
        <f>E28/E7</f>
        <v>0.12122857832488534</v>
      </c>
      <c r="H72" s="11">
        <f>I102/H7</f>
        <v>0.12004393887062285</v>
      </c>
      <c r="I72" s="11"/>
      <c r="J72" s="11">
        <f t="shared" ref="J72:R72" si="36">J102/J7</f>
        <v>0.15917940411039597</v>
      </c>
      <c r="K72" s="11">
        <f t="shared" si="36"/>
        <v>0.15688753802833783</v>
      </c>
      <c r="L72" s="11">
        <f t="shared" si="36"/>
        <v>0.15111766495582432</v>
      </c>
      <c r="M72" s="11">
        <f t="shared" si="36"/>
        <v>0.14533351852413939</v>
      </c>
      <c r="N72" s="11">
        <f t="shared" si="36"/>
        <v>0.13944594283561818</v>
      </c>
      <c r="O72" s="11">
        <f t="shared" si="36"/>
        <v>0.13496435263794671</v>
      </c>
      <c r="P72" s="11">
        <f t="shared" si="36"/>
        <v>0.13050878757674761</v>
      </c>
      <c r="Q72" s="11">
        <f t="shared" si="36"/>
        <v>0.12705753130183323</v>
      </c>
      <c r="R72" s="11">
        <f t="shared" si="36"/>
        <v>0.12335984400408112</v>
      </c>
    </row>
    <row r="73" spans="1:18">
      <c r="A73" s="2" t="s">
        <v>41</v>
      </c>
      <c r="C73" s="5">
        <f>C4/C7</f>
        <v>0.17577802420781918</v>
      </c>
      <c r="D73" s="5">
        <f>D4/D7</f>
        <v>0.17954324785208997</v>
      </c>
      <c r="E73" s="5">
        <f>E4/E7</f>
        <v>0.15562039442858969</v>
      </c>
    </row>
    <row r="74" spans="1:18">
      <c r="A74" s="2"/>
    </row>
    <row r="75" spans="1:18">
      <c r="A75" s="2" t="s">
        <v>42</v>
      </c>
    </row>
    <row r="76" spans="1:18">
      <c r="A76" s="2" t="s">
        <v>43</v>
      </c>
      <c r="D76" s="6">
        <v>4.1500000000000002E-2</v>
      </c>
    </row>
    <row r="77" spans="1:18">
      <c r="A77" s="2" t="s">
        <v>44</v>
      </c>
      <c r="D77" s="6">
        <v>4.4999999999999998E-2</v>
      </c>
    </row>
    <row r="78" spans="1:18">
      <c r="A78" s="2" t="s">
        <v>45</v>
      </c>
      <c r="D78">
        <v>0.998</v>
      </c>
    </row>
    <row r="79" spans="1:18">
      <c r="A79" s="2" t="s">
        <v>46</v>
      </c>
      <c r="D79" s="6">
        <f>D76+D78*D77</f>
        <v>8.6410000000000001E-2</v>
      </c>
    </row>
    <row r="80" spans="1:18">
      <c r="A80" s="2" t="s">
        <v>47</v>
      </c>
      <c r="D80" s="6">
        <v>4.2500000000000003E-2</v>
      </c>
    </row>
    <row r="81" spans="1:19">
      <c r="A81" s="2" t="s">
        <v>48</v>
      </c>
      <c r="D81" s="6">
        <v>0.19</v>
      </c>
    </row>
    <row r="82" spans="1:19">
      <c r="A82" s="2" t="s">
        <v>49</v>
      </c>
      <c r="D82" s="6">
        <v>2.23E-2</v>
      </c>
    </row>
    <row r="83" spans="1:19">
      <c r="A83" s="2" t="s">
        <v>50</v>
      </c>
      <c r="D83" s="6">
        <f>D80*(1-D81)*D82 + D79*(1-D82)</f>
        <v>8.5250734499999994E-2</v>
      </c>
    </row>
    <row r="84" spans="1:19">
      <c r="A84" s="2"/>
      <c r="D84" s="6"/>
      <c r="I84">
        <f>9/2</f>
        <v>4.5</v>
      </c>
      <c r="J84">
        <f>15</f>
        <v>15</v>
      </c>
      <c r="K84">
        <f>J84+12</f>
        <v>27</v>
      </c>
      <c r="L84">
        <f t="shared" ref="L84:R84" si="37">K84+12</f>
        <v>39</v>
      </c>
      <c r="M84">
        <f t="shared" si="37"/>
        <v>51</v>
      </c>
      <c r="N84">
        <f t="shared" si="37"/>
        <v>63</v>
      </c>
      <c r="O84">
        <f t="shared" si="37"/>
        <v>75</v>
      </c>
      <c r="P84">
        <f t="shared" si="37"/>
        <v>87</v>
      </c>
      <c r="Q84">
        <f t="shared" si="37"/>
        <v>99</v>
      </c>
      <c r="R84">
        <f t="shared" si="37"/>
        <v>111</v>
      </c>
      <c r="S84">
        <f>R84+6</f>
        <v>117</v>
      </c>
    </row>
    <row r="88" spans="1:19">
      <c r="D88">
        <v>2023</v>
      </c>
      <c r="E88">
        <v>2024</v>
      </c>
      <c r="F88">
        <v>2024</v>
      </c>
      <c r="G88">
        <v>2025</v>
      </c>
      <c r="H88" t="s">
        <v>81</v>
      </c>
      <c r="I88">
        <v>2026</v>
      </c>
      <c r="J88">
        <f t="shared" ref="J88:R88" si="38">J5</f>
        <v>2027</v>
      </c>
      <c r="K88">
        <f t="shared" si="38"/>
        <v>2028</v>
      </c>
      <c r="L88">
        <f t="shared" si="38"/>
        <v>2029</v>
      </c>
      <c r="M88">
        <f t="shared" si="38"/>
        <v>2030</v>
      </c>
      <c r="N88">
        <f t="shared" si="38"/>
        <v>2031</v>
      </c>
      <c r="O88">
        <f t="shared" si="38"/>
        <v>2032</v>
      </c>
      <c r="P88">
        <f t="shared" si="38"/>
        <v>2033</v>
      </c>
      <c r="Q88">
        <f t="shared" si="38"/>
        <v>2034</v>
      </c>
      <c r="R88">
        <f t="shared" si="38"/>
        <v>2035</v>
      </c>
    </row>
    <row r="90" spans="1:19">
      <c r="A90" s="3" t="s">
        <v>80</v>
      </c>
      <c r="I90" s="4">
        <f>$G$69*(2036-I88)*0.75/55</f>
        <v>31481.045454545456</v>
      </c>
      <c r="J90" s="4">
        <f>$G$69*(2036-J88)/55</f>
        <v>37777.254545454547</v>
      </c>
      <c r="K90" s="4">
        <f t="shared" ref="K90:R90" si="39">$G$69*(2036-K88)/55</f>
        <v>33579.781818181815</v>
      </c>
      <c r="L90" s="4">
        <f t="shared" si="39"/>
        <v>29382.30909090909</v>
      </c>
      <c r="M90" s="4">
        <f t="shared" si="39"/>
        <v>25184.836363636365</v>
      </c>
      <c r="N90" s="4">
        <f t="shared" si="39"/>
        <v>20987.363636363636</v>
      </c>
      <c r="O90" s="4">
        <f t="shared" si="39"/>
        <v>16789.890909090907</v>
      </c>
      <c r="P90" s="4">
        <f t="shared" si="39"/>
        <v>12592.418181818182</v>
      </c>
      <c r="Q90" s="4">
        <f t="shared" si="39"/>
        <v>8394.9454545454537</v>
      </c>
      <c r="R90" s="4">
        <f t="shared" si="39"/>
        <v>4197.4727272727268</v>
      </c>
    </row>
    <row r="91" spans="1:19">
      <c r="A91" s="3" t="s">
        <v>51</v>
      </c>
      <c r="I91" s="4">
        <f>-$H$29*0.75/10</f>
        <v>7411.1019749999996</v>
      </c>
      <c r="J91" s="4">
        <f t="shared" ref="J91:R91" si="40">-$H$29/10</f>
        <v>9881.4692999999988</v>
      </c>
      <c r="K91" s="4">
        <f t="shared" si="40"/>
        <v>9881.4692999999988</v>
      </c>
      <c r="L91" s="4">
        <f t="shared" si="40"/>
        <v>9881.4692999999988</v>
      </c>
      <c r="M91" s="4">
        <f t="shared" si="40"/>
        <v>9881.4692999999988</v>
      </c>
      <c r="N91" s="4">
        <f t="shared" si="40"/>
        <v>9881.4692999999988</v>
      </c>
      <c r="O91" s="4">
        <f t="shared" si="40"/>
        <v>9881.4692999999988</v>
      </c>
      <c r="P91" s="4">
        <f t="shared" si="40"/>
        <v>9881.4692999999988</v>
      </c>
      <c r="Q91" s="4">
        <f t="shared" si="40"/>
        <v>9881.4692999999988</v>
      </c>
      <c r="R91" s="4">
        <f t="shared" si="40"/>
        <v>9881.4692999999988</v>
      </c>
    </row>
    <row r="92" spans="1:19">
      <c r="A92" s="3" t="s">
        <v>52</v>
      </c>
      <c r="I92" s="4"/>
      <c r="J92" s="4">
        <f>-$J$29/10</f>
        <v>10616.909801999998</v>
      </c>
      <c r="K92" s="4">
        <f t="shared" ref="K92:R92" si="41">-$J$29/10</f>
        <v>10616.909801999998</v>
      </c>
      <c r="L92" s="4">
        <f t="shared" si="41"/>
        <v>10616.909801999998</v>
      </c>
      <c r="M92" s="4">
        <f t="shared" si="41"/>
        <v>10616.909801999998</v>
      </c>
      <c r="N92" s="4">
        <f t="shared" si="41"/>
        <v>10616.909801999998</v>
      </c>
      <c r="O92" s="4">
        <f t="shared" si="41"/>
        <v>10616.909801999998</v>
      </c>
      <c r="P92" s="4">
        <f t="shared" si="41"/>
        <v>10616.909801999998</v>
      </c>
      <c r="Q92" s="4">
        <f t="shared" si="41"/>
        <v>10616.909801999998</v>
      </c>
      <c r="R92" s="4">
        <f t="shared" si="41"/>
        <v>10616.909801999998</v>
      </c>
    </row>
    <row r="93" spans="1:19">
      <c r="A93" s="3" t="s">
        <v>53</v>
      </c>
      <c r="I93" s="4"/>
      <c r="J93" s="4"/>
      <c r="K93" s="4">
        <f>-$K$29/10</f>
        <v>10250.809464</v>
      </c>
      <c r="L93" s="4">
        <f t="shared" ref="L93:R93" si="42">-$K$29/10</f>
        <v>10250.809464</v>
      </c>
      <c r="M93" s="4">
        <f t="shared" si="42"/>
        <v>10250.809464</v>
      </c>
      <c r="N93" s="4">
        <f t="shared" si="42"/>
        <v>10250.809464</v>
      </c>
      <c r="O93" s="4">
        <f t="shared" si="42"/>
        <v>10250.809464</v>
      </c>
      <c r="P93" s="4">
        <f t="shared" si="42"/>
        <v>10250.809464</v>
      </c>
      <c r="Q93" s="4">
        <f t="shared" si="42"/>
        <v>10250.809464</v>
      </c>
      <c r="R93" s="4">
        <f t="shared" si="42"/>
        <v>10250.809464</v>
      </c>
    </row>
    <row r="94" spans="1:19">
      <c r="A94" s="3" t="s">
        <v>54</v>
      </c>
      <c r="I94" s="4"/>
      <c r="J94" s="4"/>
      <c r="K94" s="4"/>
      <c r="L94" s="4">
        <f>-$L$29/10</f>
        <v>8647.582863830401</v>
      </c>
      <c r="M94" s="4">
        <f t="shared" ref="M94:R94" si="43">-$L$29/10</f>
        <v>8647.582863830401</v>
      </c>
      <c r="N94" s="4">
        <f t="shared" si="43"/>
        <v>8647.582863830401</v>
      </c>
      <c r="O94" s="4">
        <f t="shared" si="43"/>
        <v>8647.582863830401</v>
      </c>
      <c r="P94" s="4">
        <f t="shared" si="43"/>
        <v>8647.582863830401</v>
      </c>
      <c r="Q94" s="4">
        <f t="shared" si="43"/>
        <v>8647.582863830401</v>
      </c>
      <c r="R94" s="4">
        <f t="shared" si="43"/>
        <v>8647.582863830401</v>
      </c>
    </row>
    <row r="95" spans="1:19">
      <c r="A95" s="3" t="s">
        <v>55</v>
      </c>
      <c r="I95" s="4"/>
      <c r="J95" s="4"/>
      <c r="K95" s="4"/>
      <c r="L95" s="4"/>
      <c r="M95" s="4">
        <f>-$M$29/10</f>
        <v>8841.0156384160837</v>
      </c>
      <c r="N95" s="4">
        <f t="shared" ref="N95:R95" si="44">-$M$29/10</f>
        <v>8841.0156384160837</v>
      </c>
      <c r="O95" s="4">
        <f t="shared" si="44"/>
        <v>8841.0156384160837</v>
      </c>
      <c r="P95" s="4">
        <f t="shared" si="44"/>
        <v>8841.0156384160837</v>
      </c>
      <c r="Q95" s="4">
        <f t="shared" si="44"/>
        <v>8841.0156384160837</v>
      </c>
      <c r="R95" s="4">
        <f t="shared" si="44"/>
        <v>8841.0156384160837</v>
      </c>
    </row>
    <row r="96" spans="1:19">
      <c r="A96" s="3" t="s">
        <v>56</v>
      </c>
      <c r="I96" s="4"/>
      <c r="J96" s="4"/>
      <c r="K96" s="4"/>
      <c r="L96" s="4"/>
      <c r="M96" s="4"/>
      <c r="N96" s="4">
        <f>-$N$29/10</f>
        <v>8972.3678707582621</v>
      </c>
      <c r="O96" s="4">
        <f t="shared" ref="O96:R96" si="45">-$N$29/10</f>
        <v>8972.3678707582621</v>
      </c>
      <c r="P96" s="4">
        <f t="shared" si="45"/>
        <v>8972.3678707582621</v>
      </c>
      <c r="Q96" s="4">
        <f t="shared" si="45"/>
        <v>8972.3678707582621</v>
      </c>
      <c r="R96" s="4">
        <f t="shared" si="45"/>
        <v>8972.3678707582621</v>
      </c>
    </row>
    <row r="97" spans="1:18">
      <c r="A97" s="3" t="s">
        <v>57</v>
      </c>
      <c r="I97" s="4"/>
      <c r="J97" s="4"/>
      <c r="K97" s="4"/>
      <c r="L97" s="4"/>
      <c r="M97" s="4"/>
      <c r="N97" s="4"/>
      <c r="O97" s="4">
        <f>-$O$29/10</f>
        <v>9252.7543667194586</v>
      </c>
      <c r="P97" s="4">
        <f t="shared" ref="P97:R97" si="46">-$O$29/10</f>
        <v>9252.7543667194586</v>
      </c>
      <c r="Q97" s="4">
        <f t="shared" si="46"/>
        <v>9252.7543667194586</v>
      </c>
      <c r="R97" s="4">
        <f t="shared" si="46"/>
        <v>9252.7543667194586</v>
      </c>
    </row>
    <row r="98" spans="1:18">
      <c r="A98" s="3" t="s">
        <v>58</v>
      </c>
      <c r="I98" s="4"/>
      <c r="J98" s="4"/>
      <c r="K98" s="4"/>
      <c r="L98" s="4"/>
      <c r="M98" s="4"/>
      <c r="N98" s="4"/>
      <c r="O98" s="4"/>
      <c r="P98" s="4">
        <f>-$P$29/10</f>
        <v>9499.4944831653138</v>
      </c>
      <c r="Q98" s="4">
        <f t="shared" ref="Q98:R98" si="47">-$P$29/10</f>
        <v>9499.4944831653138</v>
      </c>
      <c r="R98" s="4">
        <f t="shared" si="47"/>
        <v>9499.4944831653138</v>
      </c>
    </row>
    <row r="99" spans="1:18">
      <c r="A99" s="3" t="s">
        <v>59</v>
      </c>
      <c r="I99" s="4"/>
      <c r="J99" s="4"/>
      <c r="K99" s="4"/>
      <c r="L99" s="4"/>
      <c r="M99" s="4"/>
      <c r="N99" s="4"/>
      <c r="O99" s="4"/>
      <c r="P99" s="4"/>
      <c r="Q99" s="4">
        <f>-$Q$29/10</f>
        <v>9614.8454876037486</v>
      </c>
      <c r="R99" s="4">
        <f>-$Q$29/10</f>
        <v>9614.8454876037486</v>
      </c>
    </row>
    <row r="100" spans="1:18">
      <c r="A100" s="3" t="s">
        <v>60</v>
      </c>
      <c r="I100" s="4"/>
      <c r="J100" s="4"/>
      <c r="K100" s="4"/>
      <c r="L100" s="4"/>
      <c r="M100" s="4"/>
      <c r="N100" s="4"/>
      <c r="O100" s="4"/>
      <c r="P100" s="4"/>
      <c r="Q100" s="4"/>
      <c r="R100" s="4">
        <f>-$R$29/10</f>
        <v>9674.0137675274655</v>
      </c>
    </row>
    <row r="102" spans="1:18">
      <c r="A102" t="s">
        <v>61</v>
      </c>
      <c r="E102" s="4">
        <v>15200</v>
      </c>
      <c r="F102" s="4"/>
      <c r="G102" s="4">
        <v>22000</v>
      </c>
      <c r="H102" s="4"/>
      <c r="I102" s="4">
        <f>SUM(I89:I100)</f>
        <v>38892.147429545454</v>
      </c>
      <c r="J102" s="4">
        <f t="shared" ref="J102:R102" si="48">SUM(J89:J100)</f>
        <v>58275.633647454539</v>
      </c>
      <c r="K102" s="4">
        <f t="shared" si="48"/>
        <v>64328.970384181805</v>
      </c>
      <c r="L102" s="4">
        <f t="shared" si="48"/>
        <v>68779.080520739488</v>
      </c>
      <c r="M102" s="4">
        <f t="shared" si="48"/>
        <v>73422.623431882836</v>
      </c>
      <c r="N102" s="4">
        <f t="shared" si="48"/>
        <v>78197.518575368376</v>
      </c>
      <c r="O102" s="4">
        <f t="shared" si="48"/>
        <v>83252.800214815099</v>
      </c>
      <c r="P102" s="4">
        <f t="shared" si="48"/>
        <v>88554.821970707679</v>
      </c>
      <c r="Q102" s="4">
        <f t="shared" si="48"/>
        <v>93972.194731038704</v>
      </c>
      <c r="R102" s="4">
        <f t="shared" si="48"/>
        <v>99448.735771293432</v>
      </c>
    </row>
    <row r="103" spans="1:18">
      <c r="A103" t="s">
        <v>62</v>
      </c>
      <c r="E103" s="4">
        <v>4800</v>
      </c>
      <c r="F103" s="4"/>
      <c r="G103" s="4">
        <v>5892</v>
      </c>
      <c r="H103" s="4">
        <f>4594*0.25</f>
        <v>1148.5</v>
      </c>
      <c r="I103" s="4">
        <f>4594*0.75</f>
        <v>3445.5</v>
      </c>
      <c r="J103" s="4">
        <v>2901</v>
      </c>
      <c r="K103" s="4">
        <v>2034</v>
      </c>
      <c r="L103" s="4">
        <v>1851</v>
      </c>
      <c r="M103" s="4">
        <v>1382</v>
      </c>
      <c r="N103" s="4">
        <v>1382</v>
      </c>
      <c r="O103" s="4">
        <v>1382</v>
      </c>
      <c r="P103" s="4">
        <v>1382</v>
      </c>
      <c r="Q103" s="4">
        <v>1382</v>
      </c>
      <c r="R103" s="4">
        <v>1382</v>
      </c>
    </row>
    <row r="104" spans="1:18"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</row>
    <row r="105" spans="1:18">
      <c r="A105" t="s">
        <v>63</v>
      </c>
      <c r="E105" s="4">
        <f>SUM(E102:E103)</f>
        <v>20000</v>
      </c>
      <c r="F105" s="4"/>
      <c r="G105" s="4">
        <f>SUM(G102:G103)</f>
        <v>27892</v>
      </c>
      <c r="H105" s="4"/>
      <c r="I105" s="4">
        <f t="shared" ref="I105:R105" si="49">SUM(I102:I103)</f>
        <v>42337.647429545454</v>
      </c>
      <c r="J105" s="4">
        <f t="shared" si="49"/>
        <v>61176.633647454539</v>
      </c>
      <c r="K105" s="4">
        <f t="shared" si="49"/>
        <v>66362.970384181797</v>
      </c>
      <c r="L105" s="4">
        <f t="shared" si="49"/>
        <v>70630.080520739488</v>
      </c>
      <c r="M105" s="4">
        <f t="shared" si="49"/>
        <v>74804.623431882836</v>
      </c>
      <c r="N105" s="4">
        <f t="shared" si="49"/>
        <v>79579.518575368376</v>
      </c>
      <c r="O105" s="4">
        <f t="shared" si="49"/>
        <v>84634.800214815099</v>
      </c>
      <c r="P105" s="4">
        <f t="shared" si="49"/>
        <v>89936.821970707679</v>
      </c>
      <c r="Q105" s="4">
        <f t="shared" si="49"/>
        <v>95354.194731038704</v>
      </c>
      <c r="R105" s="4">
        <f t="shared" si="49"/>
        <v>100830.73577129343</v>
      </c>
    </row>
    <row r="108" spans="1:18">
      <c r="A108" t="s">
        <v>67</v>
      </c>
      <c r="B108" s="5">
        <v>0.01</v>
      </c>
    </row>
    <row r="109" spans="1:18">
      <c r="A109" t="s">
        <v>68</v>
      </c>
      <c r="B109" s="6">
        <v>0.28000000000000003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3C450-E45B-4C96-B7EA-66221D05CEA1}">
  <dimension ref="A1:DC44"/>
  <sheetViews>
    <sheetView tabSelected="1" zoomScaleNormal="100" workbookViewId="0">
      <selection activeCell="A2" sqref="A2:P2"/>
    </sheetView>
  </sheetViews>
  <sheetFormatPr baseColWidth="10" defaultColWidth="8.83203125" defaultRowHeight="15"/>
  <cols>
    <col min="1" max="1" width="25.5" bestFit="1" customWidth="1"/>
    <col min="2" max="3" width="10" bestFit="1" customWidth="1"/>
    <col min="4" max="4" width="11.5" bestFit="1" customWidth="1"/>
    <col min="5" max="5" width="9" bestFit="1" customWidth="1"/>
    <col min="6" max="6" width="9.5" bestFit="1" customWidth="1"/>
    <col min="7" max="7" width="10" bestFit="1" customWidth="1"/>
    <col min="8" max="9" width="10.5" bestFit="1" customWidth="1"/>
    <col min="10" max="11" width="10" bestFit="1" customWidth="1"/>
    <col min="12" max="13" width="10.5" bestFit="1" customWidth="1"/>
    <col min="14" max="14" width="10.5" customWidth="1"/>
    <col min="15" max="15" width="10.5" bestFit="1" customWidth="1"/>
    <col min="16" max="17" width="11.5" bestFit="1" customWidth="1"/>
  </cols>
  <sheetData>
    <row r="1" spans="1:107" s="13" customFormat="1" ht="16">
      <c r="A1" s="36" t="s">
        <v>96</v>
      </c>
      <c r="B1" s="36"/>
      <c r="C1" s="36"/>
      <c r="D1" s="36"/>
      <c r="E1" s="36"/>
      <c r="F1" s="36"/>
      <c r="G1" s="36"/>
      <c r="H1" s="36"/>
      <c r="I1" s="36"/>
      <c r="J1" s="36"/>
      <c r="K1" s="36"/>
      <c r="L1" s="36"/>
      <c r="M1" s="36"/>
      <c r="N1" s="36"/>
      <c r="O1" s="36"/>
      <c r="P1" s="36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</row>
    <row r="2" spans="1:107" s="13" customFormat="1">
      <c r="A2" s="37" t="s">
        <v>95</v>
      </c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18"/>
      <c r="AP2" s="18"/>
      <c r="AQ2" s="18"/>
      <c r="AR2" s="18"/>
      <c r="AS2" s="18"/>
      <c r="AT2" s="18"/>
      <c r="AU2" s="18"/>
      <c r="AV2" s="18"/>
      <c r="AW2" s="18"/>
      <c r="AX2" s="18"/>
      <c r="AY2" s="18"/>
      <c r="AZ2" s="18"/>
      <c r="BA2" s="18"/>
      <c r="BB2" s="18"/>
      <c r="BC2" s="18"/>
      <c r="BD2" s="18"/>
      <c r="BE2" s="18"/>
      <c r="BF2" s="18"/>
      <c r="BG2" s="18"/>
      <c r="BH2" s="18"/>
      <c r="BI2" s="18"/>
      <c r="BJ2" s="18"/>
      <c r="BK2" s="18"/>
      <c r="BL2" s="18"/>
      <c r="BM2" s="18"/>
      <c r="BN2" s="18"/>
      <c r="BO2" s="18"/>
      <c r="BP2" s="18"/>
      <c r="BQ2" s="18"/>
      <c r="BR2" s="18"/>
      <c r="BS2" s="18"/>
      <c r="BT2" s="18"/>
      <c r="BU2" s="18"/>
      <c r="BV2" s="18"/>
      <c r="BW2" s="18"/>
      <c r="BX2" s="18"/>
      <c r="BY2" s="18"/>
      <c r="BZ2" s="18"/>
      <c r="CA2" s="18"/>
      <c r="CB2" s="18"/>
      <c r="CC2" s="18"/>
      <c r="CD2" s="18"/>
      <c r="CE2" s="18"/>
      <c r="CF2" s="18"/>
      <c r="CG2" s="18"/>
      <c r="CH2" s="18"/>
      <c r="CI2" s="18"/>
      <c r="CJ2" s="18"/>
      <c r="CK2" s="18"/>
      <c r="CL2" s="18"/>
      <c r="CM2" s="18"/>
      <c r="CN2" s="18"/>
      <c r="CO2" s="18"/>
      <c r="CP2" s="18"/>
      <c r="CQ2" s="18"/>
      <c r="CR2" s="18"/>
      <c r="CS2" s="18"/>
      <c r="CT2" s="18"/>
      <c r="CU2" s="18"/>
      <c r="CV2" s="18"/>
      <c r="CW2" s="18"/>
      <c r="CX2" s="18"/>
      <c r="CY2" s="18"/>
      <c r="CZ2" s="18"/>
      <c r="DA2" s="18"/>
      <c r="DB2" s="18"/>
      <c r="DC2" s="18"/>
    </row>
    <row r="3" spans="1:107" s="13" customFormat="1">
      <c r="A3" s="37" t="s">
        <v>97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  <c r="BE3" s="18"/>
      <c r="BF3" s="18"/>
      <c r="BG3" s="18"/>
      <c r="BH3" s="18"/>
      <c r="BI3" s="18"/>
      <c r="BJ3" s="18"/>
      <c r="BK3" s="18"/>
      <c r="BL3" s="18"/>
      <c r="BM3" s="18"/>
      <c r="BN3" s="18"/>
      <c r="BO3" s="18"/>
      <c r="BP3" s="18"/>
      <c r="BQ3" s="18"/>
      <c r="BR3" s="18"/>
      <c r="BS3" s="18"/>
      <c r="BT3" s="18"/>
      <c r="BU3" s="18"/>
      <c r="BV3" s="18"/>
      <c r="BW3" s="18"/>
      <c r="BX3" s="18"/>
      <c r="BY3" s="18"/>
      <c r="BZ3" s="18"/>
      <c r="CA3" s="18"/>
      <c r="CB3" s="18"/>
      <c r="CC3" s="18"/>
      <c r="CD3" s="18"/>
      <c r="CE3" s="18"/>
      <c r="CF3" s="18"/>
      <c r="CG3" s="18"/>
      <c r="CH3" s="18"/>
      <c r="CI3" s="18"/>
      <c r="CJ3" s="18"/>
      <c r="CK3" s="18"/>
      <c r="CL3" s="18"/>
      <c r="CM3" s="18"/>
      <c r="CN3" s="18"/>
      <c r="CO3" s="18"/>
      <c r="CP3" s="18"/>
      <c r="CQ3" s="18"/>
      <c r="CR3" s="18"/>
      <c r="CS3" s="18"/>
      <c r="CT3" s="18"/>
      <c r="CU3" s="18"/>
      <c r="CV3" s="18"/>
      <c r="CW3" s="18"/>
      <c r="CX3" s="18"/>
      <c r="CY3" s="18"/>
      <c r="CZ3" s="18"/>
      <c r="DA3" s="18"/>
      <c r="DB3" s="18"/>
      <c r="DC3" s="18"/>
    </row>
    <row r="4" spans="1:107" s="13" customFormat="1">
      <c r="A4" s="37" t="s">
        <v>98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18"/>
      <c r="AP4" s="18"/>
      <c r="AQ4" s="18"/>
      <c r="AR4" s="18"/>
      <c r="AS4" s="18"/>
      <c r="AT4" s="18"/>
      <c r="AU4" s="18"/>
      <c r="AV4" s="18"/>
      <c r="AW4" s="18"/>
      <c r="AX4" s="18"/>
      <c r="AY4" s="18"/>
      <c r="AZ4" s="18"/>
      <c r="BA4" s="18"/>
      <c r="BB4" s="18"/>
      <c r="BC4" s="18"/>
      <c r="BD4" s="18"/>
      <c r="BE4" s="18"/>
      <c r="BF4" s="18"/>
      <c r="BG4" s="18"/>
      <c r="BH4" s="18"/>
      <c r="BI4" s="18"/>
      <c r="BJ4" s="18"/>
      <c r="BK4" s="18"/>
      <c r="BL4" s="18"/>
      <c r="BM4" s="18"/>
      <c r="BN4" s="18"/>
      <c r="BO4" s="18"/>
      <c r="BP4" s="18"/>
      <c r="BQ4" s="18"/>
      <c r="BR4" s="18"/>
      <c r="BS4" s="18"/>
      <c r="BT4" s="18"/>
      <c r="BU4" s="18"/>
      <c r="BV4" s="18"/>
      <c r="BW4" s="18"/>
      <c r="BX4" s="18"/>
      <c r="BY4" s="18"/>
      <c r="BZ4" s="18"/>
      <c r="CA4" s="18"/>
      <c r="CB4" s="18"/>
      <c r="CC4" s="18"/>
      <c r="CD4" s="18"/>
      <c r="CE4" s="18"/>
      <c r="CF4" s="18"/>
      <c r="CG4" s="18"/>
      <c r="CH4" s="18"/>
      <c r="CI4" s="18"/>
      <c r="CJ4" s="18"/>
      <c r="CK4" s="18"/>
      <c r="CL4" s="18"/>
      <c r="CM4" s="18"/>
      <c r="CN4" s="18"/>
      <c r="CO4" s="18"/>
      <c r="CP4" s="18"/>
      <c r="CQ4" s="18"/>
      <c r="CR4" s="18"/>
      <c r="CS4" s="18"/>
      <c r="CT4" s="18"/>
      <c r="CU4" s="18"/>
      <c r="CV4" s="18"/>
      <c r="CW4" s="18"/>
      <c r="CX4" s="18"/>
      <c r="CY4" s="18"/>
      <c r="CZ4" s="18"/>
      <c r="DA4" s="18"/>
      <c r="DB4" s="18"/>
      <c r="DC4" s="18"/>
    </row>
    <row r="5" spans="1:107">
      <c r="A5" s="13"/>
      <c r="B5" s="17"/>
      <c r="C5" s="17"/>
      <c r="D5" s="17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3"/>
      <c r="Q5" s="13"/>
    </row>
    <row r="6" spans="1:107">
      <c r="A6" s="13"/>
      <c r="B6" s="18">
        <v>2023</v>
      </c>
      <c r="C6" s="18">
        <v>2024</v>
      </c>
      <c r="D6" s="18">
        <v>2025</v>
      </c>
      <c r="E6" s="18" t="s">
        <v>64</v>
      </c>
      <c r="F6" s="18" t="s">
        <v>65</v>
      </c>
      <c r="G6" s="18" t="s">
        <v>84</v>
      </c>
      <c r="H6" s="18" t="s">
        <v>85</v>
      </c>
      <c r="I6" s="18" t="s">
        <v>86</v>
      </c>
      <c r="J6" s="18" t="s">
        <v>87</v>
      </c>
      <c r="K6" s="18" t="s">
        <v>88</v>
      </c>
      <c r="L6" s="18" t="s">
        <v>89</v>
      </c>
      <c r="M6" s="18" t="s">
        <v>90</v>
      </c>
      <c r="N6" s="18" t="s">
        <v>91</v>
      </c>
      <c r="O6" s="18" t="s">
        <v>92</v>
      </c>
      <c r="P6" s="18" t="s">
        <v>93</v>
      </c>
      <c r="Q6" s="13"/>
    </row>
    <row r="7" spans="1:107">
      <c r="A7" s="13"/>
      <c r="B7" s="31" t="s">
        <v>94</v>
      </c>
      <c r="C7" s="31" t="s">
        <v>94</v>
      </c>
      <c r="D7" s="31" t="s">
        <v>94</v>
      </c>
      <c r="E7" s="31" t="s">
        <v>94</v>
      </c>
      <c r="F7" s="31" t="s">
        <v>94</v>
      </c>
      <c r="G7" s="31" t="s">
        <v>94</v>
      </c>
      <c r="H7" s="31" t="s">
        <v>94</v>
      </c>
      <c r="I7" s="31" t="s">
        <v>94</v>
      </c>
      <c r="J7" s="31" t="s">
        <v>94</v>
      </c>
      <c r="K7" s="31" t="s">
        <v>94</v>
      </c>
      <c r="L7" s="31" t="s">
        <v>94</v>
      </c>
      <c r="M7" s="31" t="s">
        <v>94</v>
      </c>
      <c r="N7" s="31" t="s">
        <v>94</v>
      </c>
      <c r="O7" s="31" t="s">
        <v>94</v>
      </c>
      <c r="P7" s="31" t="s">
        <v>94</v>
      </c>
      <c r="Q7" s="13"/>
    </row>
    <row r="8" spans="1:107">
      <c r="A8" s="18" t="s">
        <v>14</v>
      </c>
      <c r="B8" s="32">
        <v>211915</v>
      </c>
      <c r="C8" s="32">
        <v>245122</v>
      </c>
      <c r="D8" s="32">
        <v>281724</v>
      </c>
      <c r="E8" s="32">
        <v>65585</v>
      </c>
      <c r="F8" s="32">
        <v>77673</v>
      </c>
      <c r="G8" s="32">
        <v>326799.83999999997</v>
      </c>
      <c r="H8" s="32">
        <v>379087.81439999992</v>
      </c>
      <c r="I8" s="32">
        <v>439741.86470399989</v>
      </c>
      <c r="J8" s="32">
        <v>505703.14440959983</v>
      </c>
      <c r="K8" s="32">
        <v>576501.58462694392</v>
      </c>
      <c r="L8" s="32">
        <v>651446.79062844662</v>
      </c>
      <c r="M8" s="32">
        <v>729620.40550386033</v>
      </c>
      <c r="N8" s="32">
        <v>817174.85416432365</v>
      </c>
      <c r="O8" s="32">
        <v>907064.08812239929</v>
      </c>
      <c r="P8" s="32">
        <v>1006841.1378158634</v>
      </c>
      <c r="Q8" s="19"/>
    </row>
    <row r="9" spans="1:107">
      <c r="A9" s="18" t="s">
        <v>15</v>
      </c>
      <c r="B9" s="32">
        <v>65863</v>
      </c>
      <c r="C9" s="32">
        <v>74114</v>
      </c>
      <c r="D9" s="32">
        <v>87831</v>
      </c>
      <c r="E9" s="32">
        <v>20099</v>
      </c>
      <c r="F9" s="32">
        <v>24043</v>
      </c>
      <c r="G9" s="32">
        <v>101307.95039999999</v>
      </c>
      <c r="H9" s="32">
        <v>113726.34431999997</v>
      </c>
      <c r="I9" s="32">
        <v>131922.55941119997</v>
      </c>
      <c r="J9" s="32">
        <v>146653.91187878395</v>
      </c>
      <c r="K9" s="32">
        <v>161420.44369554432</v>
      </c>
      <c r="L9" s="32">
        <v>175890.63346968059</v>
      </c>
      <c r="M9" s="32">
        <v>182405.10137596508</v>
      </c>
      <c r="N9" s="32">
        <v>204293.71354108091</v>
      </c>
      <c r="O9" s="32">
        <v>226766.02203059982</v>
      </c>
      <c r="P9" s="32">
        <v>251710.28445396584</v>
      </c>
      <c r="Q9" s="32"/>
    </row>
    <row r="10" spans="1:107">
      <c r="A10" s="18"/>
      <c r="B10" s="31" t="s">
        <v>94</v>
      </c>
      <c r="C10" s="31" t="s">
        <v>94</v>
      </c>
      <c r="D10" s="31" t="s">
        <v>94</v>
      </c>
      <c r="E10" s="31" t="s">
        <v>94</v>
      </c>
      <c r="F10" s="31" t="s">
        <v>94</v>
      </c>
      <c r="G10" s="31" t="s">
        <v>94</v>
      </c>
      <c r="H10" s="31" t="s">
        <v>94</v>
      </c>
      <c r="I10" s="31" t="s">
        <v>94</v>
      </c>
      <c r="J10" s="31" t="s">
        <v>94</v>
      </c>
      <c r="K10" s="31" t="s">
        <v>94</v>
      </c>
      <c r="L10" s="31" t="s">
        <v>94</v>
      </c>
      <c r="M10" s="31" t="s">
        <v>94</v>
      </c>
      <c r="N10" s="31" t="s">
        <v>94</v>
      </c>
      <c r="O10" s="31" t="s">
        <v>94</v>
      </c>
      <c r="P10" s="31" t="s">
        <v>94</v>
      </c>
      <c r="Q10" s="32"/>
    </row>
    <row r="11" spans="1:107">
      <c r="A11" s="18" t="s">
        <v>7</v>
      </c>
      <c r="B11" s="32">
        <v>146052</v>
      </c>
      <c r="C11" s="32">
        <v>171008</v>
      </c>
      <c r="D11" s="32">
        <v>193893</v>
      </c>
      <c r="E11" s="32">
        <v>45486</v>
      </c>
      <c r="F11" s="32">
        <v>53630</v>
      </c>
      <c r="G11" s="32">
        <v>225491.88959999999</v>
      </c>
      <c r="H11" s="32">
        <v>265361.47007999994</v>
      </c>
      <c r="I11" s="32">
        <v>307819.30529279995</v>
      </c>
      <c r="J11" s="32">
        <v>359049.23253081588</v>
      </c>
      <c r="K11" s="32">
        <v>415081.1409313996</v>
      </c>
      <c r="L11" s="32">
        <v>475556.15715876606</v>
      </c>
      <c r="M11" s="32">
        <v>547215.30412789527</v>
      </c>
      <c r="N11" s="32">
        <v>612881.14062324271</v>
      </c>
      <c r="O11" s="32">
        <v>680298.06609179941</v>
      </c>
      <c r="P11" s="32">
        <v>755130.85336189752</v>
      </c>
      <c r="Q11" s="32"/>
    </row>
    <row r="12" spans="1:107">
      <c r="A12" s="18"/>
      <c r="B12" s="32"/>
      <c r="C12" s="32"/>
      <c r="D12" s="32"/>
      <c r="E12" s="32"/>
      <c r="F12" s="32"/>
      <c r="G12" s="32"/>
      <c r="H12" s="32"/>
      <c r="I12" s="32"/>
      <c r="J12" s="32"/>
      <c r="K12" s="32"/>
      <c r="L12" s="32"/>
      <c r="M12" s="32"/>
      <c r="N12" s="32"/>
      <c r="O12" s="32"/>
      <c r="P12" s="32"/>
      <c r="Q12" s="32"/>
    </row>
    <row r="13" spans="1:107">
      <c r="A13" s="18" t="s">
        <v>16</v>
      </c>
      <c r="B13" s="32"/>
      <c r="C13" s="32"/>
      <c r="D13" s="32"/>
      <c r="E13" s="32"/>
      <c r="F13" s="32"/>
      <c r="G13" s="32"/>
      <c r="H13" s="32"/>
      <c r="I13" s="32"/>
      <c r="J13" s="32"/>
      <c r="K13" s="32"/>
      <c r="L13" s="32"/>
      <c r="M13" s="32"/>
      <c r="N13" s="32"/>
      <c r="O13" s="32"/>
      <c r="P13" s="32"/>
      <c r="Q13" s="32"/>
    </row>
    <row r="14" spans="1:107">
      <c r="A14" s="18" t="s">
        <v>10</v>
      </c>
      <c r="B14" s="32">
        <v>30334</v>
      </c>
      <c r="C14" s="32">
        <v>32065</v>
      </c>
      <c r="D14" s="32">
        <v>32877</v>
      </c>
      <c r="E14" s="32">
        <v>7390</v>
      </c>
      <c r="F14" s="32">
        <v>7523</v>
      </c>
      <c r="G14" s="32">
        <v>37745.381519999995</v>
      </c>
      <c r="H14" s="32">
        <v>43595.098655999995</v>
      </c>
      <c r="I14" s="32">
        <v>48371.605117439991</v>
      </c>
      <c r="J14" s="32">
        <v>53098.83016300798</v>
      </c>
      <c r="K14" s="32">
        <v>58514.910839634809</v>
      </c>
      <c r="L14" s="32">
        <v>65144.679062844662</v>
      </c>
      <c r="M14" s="32">
        <v>72962.040550386038</v>
      </c>
      <c r="N14" s="32">
        <v>81717.485416432377</v>
      </c>
      <c r="O14" s="32">
        <v>90706.408812239941</v>
      </c>
      <c r="P14" s="32">
        <v>100684.11378158635</v>
      </c>
      <c r="Q14" s="32"/>
    </row>
    <row r="15" spans="1:107">
      <c r="A15" s="18" t="s">
        <v>11</v>
      </c>
      <c r="B15" s="32">
        <v>27195</v>
      </c>
      <c r="C15" s="32">
        <v>29510</v>
      </c>
      <c r="D15" s="32">
        <v>32488</v>
      </c>
      <c r="E15" s="32">
        <v>7544</v>
      </c>
      <c r="F15" s="32">
        <v>8146</v>
      </c>
      <c r="G15" s="32">
        <v>38562.381119999991</v>
      </c>
      <c r="H15" s="32">
        <v>44353.274284799991</v>
      </c>
      <c r="I15" s="32">
        <v>50570.314440959992</v>
      </c>
      <c r="J15" s="32">
        <v>58155.86160710398</v>
      </c>
      <c r="K15" s="32">
        <v>66297.682232098552</v>
      </c>
      <c r="L15" s="32">
        <v>71659.146969129128</v>
      </c>
      <c r="M15" s="32">
        <v>80258.244605424639</v>
      </c>
      <c r="N15" s="32">
        <v>89889.233958075609</v>
      </c>
      <c r="O15" s="32">
        <v>99777.049693463923</v>
      </c>
      <c r="P15" s="32">
        <v>110752.52515974497</v>
      </c>
      <c r="Q15" s="32"/>
    </row>
    <row r="16" spans="1:107">
      <c r="A16" s="18"/>
      <c r="B16" s="31" t="s">
        <v>94</v>
      </c>
      <c r="C16" s="31" t="s">
        <v>94</v>
      </c>
      <c r="D16" s="31" t="s">
        <v>94</v>
      </c>
      <c r="E16" s="31" t="s">
        <v>94</v>
      </c>
      <c r="F16" s="31" t="s">
        <v>94</v>
      </c>
      <c r="G16" s="31" t="s">
        <v>94</v>
      </c>
      <c r="H16" s="31" t="s">
        <v>94</v>
      </c>
      <c r="I16" s="31" t="s">
        <v>94</v>
      </c>
      <c r="J16" s="31" t="s">
        <v>94</v>
      </c>
      <c r="K16" s="31" t="s">
        <v>94</v>
      </c>
      <c r="L16" s="31" t="s">
        <v>94</v>
      </c>
      <c r="M16" s="31" t="s">
        <v>94</v>
      </c>
      <c r="N16" s="31" t="s">
        <v>94</v>
      </c>
      <c r="O16" s="31" t="s">
        <v>94</v>
      </c>
      <c r="P16" s="31" t="s">
        <v>94</v>
      </c>
      <c r="Q16" s="32"/>
    </row>
    <row r="17" spans="1:17">
      <c r="A17" s="18" t="s">
        <v>17</v>
      </c>
      <c r="B17" s="32">
        <v>57529</v>
      </c>
      <c r="C17" s="32">
        <v>61575</v>
      </c>
      <c r="D17" s="32">
        <v>65365</v>
      </c>
      <c r="E17" s="32">
        <v>14934</v>
      </c>
      <c r="F17" s="32">
        <v>15669</v>
      </c>
      <c r="G17" s="32">
        <v>76307.762639999986</v>
      </c>
      <c r="H17" s="32">
        <v>87948.372940799978</v>
      </c>
      <c r="I17" s="32">
        <v>98941.919558399983</v>
      </c>
      <c r="J17" s="32">
        <v>111254.69177011197</v>
      </c>
      <c r="K17" s="32">
        <v>124812.59307173337</v>
      </c>
      <c r="L17" s="32">
        <v>136803.82603197379</v>
      </c>
      <c r="M17" s="32">
        <v>153220.28515581068</v>
      </c>
      <c r="N17" s="32">
        <v>171606.71937450799</v>
      </c>
      <c r="O17" s="32">
        <v>190483.45850570386</v>
      </c>
      <c r="P17" s="32">
        <v>211436.6389413313</v>
      </c>
      <c r="Q17" s="32"/>
    </row>
    <row r="18" spans="1:17">
      <c r="A18" s="18"/>
      <c r="B18" s="32"/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  <c r="O18" s="32"/>
      <c r="P18" s="32"/>
      <c r="Q18" s="32"/>
    </row>
    <row r="19" spans="1:17">
      <c r="A19" s="18" t="s">
        <v>18</v>
      </c>
      <c r="B19" s="32">
        <v>88523</v>
      </c>
      <c r="C19" s="32">
        <v>109433</v>
      </c>
      <c r="D19" s="32">
        <v>128528</v>
      </c>
      <c r="E19" s="32">
        <v>30552</v>
      </c>
      <c r="F19" s="32">
        <v>37961</v>
      </c>
      <c r="G19" s="32">
        <v>149184.12696000002</v>
      </c>
      <c r="H19" s="32">
        <v>177413.09713919996</v>
      </c>
      <c r="I19" s="32">
        <v>208877.38573439996</v>
      </c>
      <c r="J19" s="32">
        <v>247794.54076070391</v>
      </c>
      <c r="K19" s="32">
        <v>290268.54785966623</v>
      </c>
      <c r="L19" s="32">
        <v>338752.33112679224</v>
      </c>
      <c r="M19" s="32">
        <v>393995.01897208462</v>
      </c>
      <c r="N19" s="32">
        <v>441274.4212487347</v>
      </c>
      <c r="O19" s="32">
        <v>489814.60758609558</v>
      </c>
      <c r="P19" s="32">
        <v>543694.21442056622</v>
      </c>
      <c r="Q19" s="32"/>
    </row>
    <row r="20" spans="1:17">
      <c r="A20" s="18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</row>
    <row r="21" spans="1:17">
      <c r="A21" s="18" t="s">
        <v>19</v>
      </c>
      <c r="B21" s="32">
        <v>788</v>
      </c>
      <c r="C21" s="32">
        <v>-1646</v>
      </c>
      <c r="D21" s="32">
        <v>-4901</v>
      </c>
      <c r="E21" s="32">
        <v>-3660</v>
      </c>
      <c r="F21" s="32">
        <v>0</v>
      </c>
      <c r="G21" s="32">
        <v>0</v>
      </c>
      <c r="H21" s="32">
        <v>0</v>
      </c>
      <c r="I21" s="32">
        <v>0</v>
      </c>
      <c r="J21" s="32">
        <v>0</v>
      </c>
      <c r="K21" s="32">
        <v>0</v>
      </c>
      <c r="L21" s="32">
        <v>0</v>
      </c>
      <c r="M21" s="32">
        <v>0</v>
      </c>
      <c r="N21" s="32">
        <v>0</v>
      </c>
      <c r="O21" s="32">
        <v>0</v>
      </c>
      <c r="P21" s="32">
        <v>0</v>
      </c>
      <c r="Q21" s="32"/>
    </row>
    <row r="22" spans="1:17">
      <c r="A22" s="18"/>
      <c r="B22" s="31" t="s">
        <v>94</v>
      </c>
      <c r="C22" s="31" t="s">
        <v>94</v>
      </c>
      <c r="D22" s="31" t="s">
        <v>94</v>
      </c>
      <c r="E22" s="31" t="s">
        <v>94</v>
      </c>
      <c r="F22" s="31" t="s">
        <v>94</v>
      </c>
      <c r="G22" s="31" t="s">
        <v>94</v>
      </c>
      <c r="H22" s="31" t="s">
        <v>94</v>
      </c>
      <c r="I22" s="31" t="s">
        <v>94</v>
      </c>
      <c r="J22" s="31" t="s">
        <v>94</v>
      </c>
      <c r="K22" s="31" t="s">
        <v>94</v>
      </c>
      <c r="L22" s="31" t="s">
        <v>94</v>
      </c>
      <c r="M22" s="31" t="s">
        <v>94</v>
      </c>
      <c r="N22" s="31" t="s">
        <v>94</v>
      </c>
      <c r="O22" s="31" t="s">
        <v>94</v>
      </c>
      <c r="P22" s="31" t="s">
        <v>94</v>
      </c>
      <c r="Q22" s="32"/>
    </row>
    <row r="23" spans="1:17">
      <c r="A23" s="18" t="s">
        <v>20</v>
      </c>
      <c r="B23" s="32">
        <v>89311</v>
      </c>
      <c r="C23" s="32">
        <v>107787</v>
      </c>
      <c r="D23" s="32">
        <v>123627</v>
      </c>
      <c r="E23" s="32">
        <v>30269</v>
      </c>
      <c r="F23" s="32">
        <v>34301</v>
      </c>
      <c r="G23" s="32">
        <v>149184.12696000002</v>
      </c>
      <c r="H23" s="32">
        <v>177413.09713919996</v>
      </c>
      <c r="I23" s="32">
        <v>208877.38573439996</v>
      </c>
      <c r="J23" s="32">
        <v>247794.54076070391</v>
      </c>
      <c r="K23" s="32">
        <v>290268.54785966623</v>
      </c>
      <c r="L23" s="32">
        <v>338752.33112679224</v>
      </c>
      <c r="M23" s="32">
        <v>393995.01897208462</v>
      </c>
      <c r="N23" s="32">
        <v>441274.4212487347</v>
      </c>
      <c r="O23" s="32">
        <v>489814.60758609558</v>
      </c>
      <c r="P23" s="32">
        <v>543694.21442056622</v>
      </c>
      <c r="Q23" s="32"/>
    </row>
    <row r="24" spans="1:17">
      <c r="A24" s="18" t="s">
        <v>21</v>
      </c>
      <c r="B24" s="32">
        <v>16950</v>
      </c>
      <c r="C24" s="32">
        <v>19651</v>
      </c>
      <c r="D24" s="32">
        <v>21795</v>
      </c>
      <c r="E24" s="32">
        <v>5602</v>
      </c>
      <c r="F24" s="32">
        <v>3468</v>
      </c>
      <c r="G24" s="32">
        <v>28344.984122400005</v>
      </c>
      <c r="H24" s="32">
        <v>33708.488456447994</v>
      </c>
      <c r="I24" s="32">
        <v>39686.703289535995</v>
      </c>
      <c r="J24" s="32">
        <v>47080.962744533746</v>
      </c>
      <c r="K24" s="32">
        <v>55151.024093336586</v>
      </c>
      <c r="L24" s="32">
        <v>64362.942914090527</v>
      </c>
      <c r="M24" s="32">
        <v>74859.053604696077</v>
      </c>
      <c r="N24" s="32">
        <v>83842.140037259596</v>
      </c>
      <c r="O24" s="32">
        <v>93064.775441358157</v>
      </c>
      <c r="P24" s="32">
        <v>103301.90073990758</v>
      </c>
      <c r="Q24" s="32"/>
    </row>
    <row r="25" spans="1:17">
      <c r="A25" s="18"/>
      <c r="B25" s="32"/>
      <c r="C25" s="32"/>
      <c r="D25" s="32"/>
      <c r="E25" s="32"/>
      <c r="F25" s="32"/>
      <c r="G25" s="32"/>
      <c r="H25" s="32"/>
      <c r="I25" s="32"/>
      <c r="J25" s="32"/>
      <c r="K25" s="32"/>
      <c r="L25" s="32"/>
      <c r="M25" s="32"/>
      <c r="N25" s="32"/>
      <c r="O25" s="32"/>
      <c r="P25" s="32"/>
      <c r="Q25" s="32"/>
    </row>
    <row r="26" spans="1:17">
      <c r="A26" s="18" t="s">
        <v>22</v>
      </c>
      <c r="B26" s="32">
        <v>72361</v>
      </c>
      <c r="C26" s="32">
        <v>88136</v>
      </c>
      <c r="D26" s="32">
        <v>101832</v>
      </c>
      <c r="E26" s="32">
        <v>24667</v>
      </c>
      <c r="F26" s="32">
        <v>30833</v>
      </c>
      <c r="G26" s="32">
        <v>120839.14283760003</v>
      </c>
      <c r="H26" s="32">
        <v>143704.60868275198</v>
      </c>
      <c r="I26" s="32">
        <v>169190.68244486395</v>
      </c>
      <c r="J26" s="32">
        <v>200713.57801617016</v>
      </c>
      <c r="K26" s="32">
        <v>235117.52376632963</v>
      </c>
      <c r="L26" s="32">
        <v>274389.38821270171</v>
      </c>
      <c r="M26" s="32">
        <v>319135.96536738856</v>
      </c>
      <c r="N26" s="32">
        <v>357432.28121147509</v>
      </c>
      <c r="O26" s="32">
        <v>396749.83214473742</v>
      </c>
      <c r="P26" s="32">
        <v>440392.31368065864</v>
      </c>
      <c r="Q26" s="32"/>
    </row>
    <row r="27" spans="1:17">
      <c r="A27" s="18"/>
      <c r="B27" s="32"/>
      <c r="C27" s="32"/>
      <c r="D27" s="32"/>
      <c r="E27" s="32"/>
      <c r="F27" s="32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</row>
    <row r="28" spans="1:17">
      <c r="A28" s="18" t="s">
        <v>23</v>
      </c>
      <c r="B28" s="32">
        <v>13861</v>
      </c>
      <c r="C28" s="32">
        <v>22287</v>
      </c>
      <c r="D28" s="32">
        <v>34153</v>
      </c>
      <c r="E28" s="32"/>
      <c r="F28" s="32">
        <v>13061</v>
      </c>
      <c r="G28" s="32">
        <v>42279.541854545452</v>
      </c>
      <c r="H28" s="32">
        <v>61475.796363054542</v>
      </c>
      <c r="I28" s="32">
        <v>67404.870253381814</v>
      </c>
      <c r="J28" s="32">
        <v>72379.905697686685</v>
      </c>
      <c r="K28" s="32">
        <v>77513.959909072</v>
      </c>
      <c r="L28" s="32">
        <v>83413.912436540209</v>
      </c>
      <c r="M28" s="32">
        <v>89431.12538632151</v>
      </c>
      <c r="N28" s="32">
        <v>96265.513190267156</v>
      </c>
      <c r="O28" s="32">
        <v>103406.34156452441</v>
      </c>
      <c r="P28" s="32">
        <v>110787.5419221341</v>
      </c>
      <c r="Q28" s="32"/>
    </row>
    <row r="29" spans="1:17">
      <c r="A29" s="18" t="s">
        <v>24</v>
      </c>
      <c r="B29" s="32">
        <v>-28107</v>
      </c>
      <c r="C29" s="32">
        <v>-44477</v>
      </c>
      <c r="D29" s="32">
        <v>-64551</v>
      </c>
      <c r="E29" s="32"/>
      <c r="F29" s="32">
        <v>-19394</v>
      </c>
      <c r="G29" s="32">
        <v>-98039.95199999999</v>
      </c>
      <c r="H29" s="32">
        <v>-109935.46617599997</v>
      </c>
      <c r="I29" s="32">
        <v>-109935.46617599997</v>
      </c>
      <c r="J29" s="32">
        <v>-93555.081715775974</v>
      </c>
      <c r="K29" s="32">
        <v>-98005.269386580476</v>
      </c>
      <c r="L29" s="32">
        <v>-100974.25254740923</v>
      </c>
      <c r="M29" s="32">
        <v>-102146.85677054046</v>
      </c>
      <c r="N29" s="32">
        <v>-110318.6053121837</v>
      </c>
      <c r="O29" s="32">
        <v>-113383.01101529991</v>
      </c>
      <c r="P29" s="32">
        <v>-115786.73084882429</v>
      </c>
      <c r="Q29" s="32"/>
    </row>
    <row r="30" spans="1:17">
      <c r="A30" s="18" t="s">
        <v>25</v>
      </c>
      <c r="B30" s="32">
        <v>-5390</v>
      </c>
      <c r="C30" s="32">
        <v>-6760</v>
      </c>
      <c r="D30" s="32">
        <v>168</v>
      </c>
      <c r="E30" s="32"/>
      <c r="F30" s="32">
        <v>-12109</v>
      </c>
      <c r="G30" s="32">
        <v>-7677.0416026563062</v>
      </c>
      <c r="H30" s="32">
        <v>-8905.3682590813132</v>
      </c>
      <c r="I30" s="32">
        <v>-10330.227180534328</v>
      </c>
      <c r="J30" s="32">
        <v>-11234.122058831077</v>
      </c>
      <c r="K30" s="32">
        <v>-12057.957676478714</v>
      </c>
      <c r="L30" s="32">
        <v>-12764.209483243876</v>
      </c>
      <c r="M30" s="32">
        <v>-13314.052353291327</v>
      </c>
      <c r="N30" s="32">
        <v>-14911.738635686283</v>
      </c>
      <c r="O30" s="32">
        <v>-15309.384999304575</v>
      </c>
      <c r="P30" s="32">
        <v>-16993.417349228097</v>
      </c>
      <c r="Q30" s="32"/>
    </row>
    <row r="31" spans="1:17">
      <c r="A31" s="18"/>
      <c r="B31" s="31" t="s">
        <v>94</v>
      </c>
      <c r="C31" s="31" t="s">
        <v>94</v>
      </c>
      <c r="D31" s="31" t="s">
        <v>94</v>
      </c>
      <c r="E31" s="31" t="s">
        <v>94</v>
      </c>
      <c r="F31" s="31" t="s">
        <v>94</v>
      </c>
      <c r="G31" s="31" t="s">
        <v>94</v>
      </c>
      <c r="H31" s="31" t="s">
        <v>94</v>
      </c>
      <c r="I31" s="31" t="s">
        <v>94</v>
      </c>
      <c r="J31" s="31" t="s">
        <v>94</v>
      </c>
      <c r="K31" s="31" t="s">
        <v>94</v>
      </c>
      <c r="L31" s="31" t="s">
        <v>94</v>
      </c>
      <c r="M31" s="31" t="s">
        <v>94</v>
      </c>
      <c r="N31" s="31" t="s">
        <v>94</v>
      </c>
      <c r="O31" s="31" t="s">
        <v>94</v>
      </c>
      <c r="P31" s="31" t="s">
        <v>94</v>
      </c>
      <c r="Q31" s="32"/>
    </row>
    <row r="32" spans="1:17">
      <c r="A32" s="18" t="s">
        <v>26</v>
      </c>
      <c r="B32" s="32">
        <v>52725</v>
      </c>
      <c r="C32" s="32">
        <v>59186</v>
      </c>
      <c r="D32" s="32">
        <v>71602</v>
      </c>
      <c r="E32" s="32"/>
      <c r="F32" s="32"/>
      <c r="G32" s="32">
        <v>43051.268317116883</v>
      </c>
      <c r="H32" s="32">
        <v>86339.570610725234</v>
      </c>
      <c r="I32" s="32">
        <v>116329.85934171146</v>
      </c>
      <c r="J32" s="32">
        <v>168304.2799392498</v>
      </c>
      <c r="K32" s="32">
        <v>202568.25661234246</v>
      </c>
      <c r="L32" s="32">
        <v>244064.83861858881</v>
      </c>
      <c r="M32" s="32">
        <v>293106.18162987829</v>
      </c>
      <c r="N32" s="32">
        <v>328467.45045387227</v>
      </c>
      <c r="O32" s="32">
        <v>371463.77769465727</v>
      </c>
      <c r="P32" s="32">
        <v>418399.70740474033</v>
      </c>
      <c r="Q32" s="32">
        <v>5643320.554744781</v>
      </c>
    </row>
    <row r="33" spans="1:21">
      <c r="A33" s="18" t="s">
        <v>27</v>
      </c>
      <c r="B33" s="32"/>
      <c r="C33" s="32"/>
      <c r="D33" s="32"/>
      <c r="E33" s="32"/>
      <c r="F33" s="32"/>
      <c r="G33" s="33">
        <v>0.9697866845540386</v>
      </c>
      <c r="H33" s="33">
        <v>0.90279135034971913</v>
      </c>
      <c r="I33" s="33">
        <v>0.83187352162047234</v>
      </c>
      <c r="J33" s="33">
        <v>0.76652656863092161</v>
      </c>
      <c r="K33" s="33">
        <v>0.70631287707358981</v>
      </c>
      <c r="L33" s="33">
        <v>0.65082920897446284</v>
      </c>
      <c r="M33" s="33">
        <v>0.5997040022961283</v>
      </c>
      <c r="N33" s="33">
        <v>0.55259488266776047</v>
      </c>
      <c r="O33" s="33">
        <v>0.50918637057854987</v>
      </c>
      <c r="P33" s="33">
        <v>0.46918776868015089</v>
      </c>
      <c r="Q33" s="33">
        <v>0.45038263523367311</v>
      </c>
    </row>
    <row r="34" spans="1:21">
      <c r="A34" s="18"/>
      <c r="B34" s="32"/>
      <c r="C34" s="32"/>
      <c r="D34" s="32"/>
      <c r="E34" s="32"/>
      <c r="F34" s="32"/>
      <c r="G34" s="31" t="s">
        <v>94</v>
      </c>
      <c r="H34" s="31" t="s">
        <v>94</v>
      </c>
      <c r="I34" s="31" t="s">
        <v>94</v>
      </c>
      <c r="J34" s="31" t="s">
        <v>94</v>
      </c>
      <c r="K34" s="31" t="s">
        <v>94</v>
      </c>
      <c r="L34" s="31" t="s">
        <v>94</v>
      </c>
      <c r="M34" s="31" t="s">
        <v>94</v>
      </c>
      <c r="N34" s="31" t="s">
        <v>94</v>
      </c>
      <c r="O34" s="31" t="s">
        <v>94</v>
      </c>
      <c r="P34" s="31" t="s">
        <v>94</v>
      </c>
      <c r="Q34" s="31" t="s">
        <v>94</v>
      </c>
      <c r="R34" s="30"/>
      <c r="S34" s="30"/>
      <c r="T34" s="30"/>
      <c r="U34" s="30"/>
    </row>
    <row r="35" spans="1:21">
      <c r="A35" s="18" t="s">
        <v>28</v>
      </c>
      <c r="B35" s="32"/>
      <c r="C35" s="32"/>
      <c r="D35" s="32"/>
      <c r="E35" s="32"/>
      <c r="F35" s="32"/>
      <c r="G35" s="32">
        <v>41750.546767103107</v>
      </c>
      <c r="H35" s="32">
        <v>77946.61754027156</v>
      </c>
      <c r="I35" s="32">
        <v>96771.729760203714</v>
      </c>
      <c r="J35" s="32">
        <v>129009.70218773121</v>
      </c>
      <c r="K35" s="32">
        <v>143076.56813164483</v>
      </c>
      <c r="L35" s="32">
        <v>158844.52585661609</v>
      </c>
      <c r="M35" s="32">
        <v>175776.95022117393</v>
      </c>
      <c r="N35" s="32">
        <v>181509.43224373597</v>
      </c>
      <c r="O35" s="32">
        <v>189144.29276573984</v>
      </c>
      <c r="P35" s="32">
        <v>196308.02513365811</v>
      </c>
      <c r="Q35" s="32">
        <v>2541653.5829143086</v>
      </c>
    </row>
    <row r="36" spans="1:21">
      <c r="A36" s="18"/>
      <c r="B36" s="13"/>
      <c r="C36" s="13"/>
      <c r="D36" s="31"/>
      <c r="E36" s="13"/>
      <c r="F36" s="13"/>
      <c r="G36" s="13"/>
      <c r="H36" s="13"/>
      <c r="I36" s="13"/>
      <c r="J36" s="13"/>
      <c r="K36" s="13"/>
      <c r="L36" s="13"/>
      <c r="M36" s="13"/>
      <c r="N36" s="13"/>
      <c r="O36" s="13"/>
      <c r="P36" s="13"/>
      <c r="Q36" s="13"/>
    </row>
    <row r="37" spans="1:21">
      <c r="A37" s="18" t="s">
        <v>29</v>
      </c>
      <c r="B37" s="13"/>
      <c r="C37" s="13"/>
      <c r="D37" s="32">
        <v>3931791.9735221872</v>
      </c>
      <c r="E37" s="13"/>
      <c r="F37" s="13"/>
      <c r="G37" s="13"/>
      <c r="H37" s="13"/>
      <c r="I37" s="13"/>
      <c r="J37" s="13"/>
      <c r="K37" s="13"/>
      <c r="L37" s="13"/>
      <c r="M37" s="13"/>
      <c r="N37" s="13"/>
      <c r="O37" s="13"/>
      <c r="P37" s="13"/>
      <c r="Q37" s="13"/>
    </row>
    <row r="38" spans="1:21">
      <c r="A38" s="18" t="s">
        <v>30</v>
      </c>
      <c r="B38" s="13"/>
      <c r="C38" s="13"/>
      <c r="D38" s="32">
        <v>-43208</v>
      </c>
      <c r="E38" s="13"/>
      <c r="F38" s="13"/>
      <c r="G38" s="13"/>
      <c r="H38" s="13"/>
      <c r="I38" s="13"/>
      <c r="J38" s="13"/>
      <c r="K38" s="13"/>
      <c r="L38" s="13"/>
      <c r="M38" s="13"/>
      <c r="N38" s="13"/>
      <c r="O38" s="13"/>
      <c r="P38" s="13"/>
      <c r="Q38" s="13"/>
    </row>
    <row r="39" spans="1:21">
      <c r="A39" s="18" t="s">
        <v>31</v>
      </c>
      <c r="B39" s="13"/>
      <c r="C39" s="13"/>
      <c r="D39" s="32">
        <v>102012</v>
      </c>
      <c r="E39" s="13"/>
      <c r="F39" s="13"/>
      <c r="G39" s="13"/>
      <c r="H39" s="28"/>
      <c r="I39" s="29"/>
      <c r="J39" s="29"/>
      <c r="K39" s="29"/>
      <c r="L39" s="29"/>
      <c r="M39" s="29"/>
      <c r="N39" s="29"/>
      <c r="O39" s="29"/>
      <c r="P39" s="29"/>
      <c r="Q39" s="29"/>
    </row>
    <row r="40" spans="1:21">
      <c r="A40" s="18"/>
      <c r="B40" s="13"/>
      <c r="C40" s="13"/>
      <c r="D40" s="31" t="s">
        <v>94</v>
      </c>
      <c r="E40" s="13"/>
      <c r="F40" s="13"/>
      <c r="G40" s="13"/>
      <c r="H40" s="13"/>
      <c r="I40" s="13"/>
      <c r="J40" s="13"/>
      <c r="K40" s="13"/>
      <c r="L40" s="13"/>
      <c r="M40" s="13"/>
      <c r="N40" s="13"/>
      <c r="O40" s="13"/>
      <c r="P40" s="13"/>
      <c r="Q40" s="13"/>
    </row>
    <row r="41" spans="1:21">
      <c r="A41" s="18" t="s">
        <v>32</v>
      </c>
      <c r="B41" s="13"/>
      <c r="C41" s="13"/>
      <c r="D41" s="32">
        <v>3990595.9735221872</v>
      </c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</row>
    <row r="42" spans="1:21">
      <c r="A42" s="18" t="s">
        <v>33</v>
      </c>
      <c r="B42" s="13"/>
      <c r="C42" s="13"/>
      <c r="D42" s="32">
        <v>7466</v>
      </c>
      <c r="E42" s="13"/>
      <c r="F42" s="13"/>
      <c r="G42" s="13"/>
      <c r="H42" s="13"/>
      <c r="I42" s="13"/>
      <c r="J42" s="13"/>
      <c r="K42" s="13"/>
      <c r="L42" s="13"/>
      <c r="M42" s="13"/>
      <c r="N42" s="13"/>
      <c r="O42" s="13"/>
      <c r="P42" s="13"/>
      <c r="Q42" s="13"/>
    </row>
    <row r="43" spans="1:21">
      <c r="A43" s="18"/>
      <c r="B43" s="13"/>
      <c r="C43" s="13"/>
      <c r="D43" s="31" t="s">
        <v>94</v>
      </c>
      <c r="E43" s="13"/>
      <c r="F43" s="13"/>
      <c r="G43" s="13"/>
      <c r="H43" s="13"/>
      <c r="I43" s="13"/>
      <c r="J43" s="13"/>
      <c r="K43" s="13"/>
      <c r="L43" s="13"/>
      <c r="M43" s="13"/>
      <c r="N43" s="13"/>
      <c r="O43" s="13"/>
      <c r="P43" s="13"/>
      <c r="Q43" s="13"/>
    </row>
    <row r="44" spans="1:21">
      <c r="A44" s="18" t="s">
        <v>34</v>
      </c>
      <c r="B44" s="13"/>
      <c r="C44" s="13"/>
      <c r="D44" s="34">
        <v>534.50254132362545</v>
      </c>
      <c r="E44" s="13"/>
      <c r="F44" s="13"/>
      <c r="G44" s="13"/>
      <c r="H44" s="13"/>
      <c r="I44" s="13"/>
      <c r="J44" s="13"/>
      <c r="K44" s="13"/>
      <c r="L44" s="13"/>
      <c r="M44" s="13"/>
      <c r="N44" s="13"/>
      <c r="O44" s="13"/>
      <c r="P44" s="13"/>
      <c r="Q44" s="13"/>
    </row>
  </sheetData>
  <mergeCells count="4">
    <mergeCell ref="A1:P1"/>
    <mergeCell ref="A2:P2"/>
    <mergeCell ref="A3:P3"/>
    <mergeCell ref="A4:P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AC076F-1B2A-4B2C-A21E-5ADE6261D067}">
  <dimension ref="A1:F25"/>
  <sheetViews>
    <sheetView workbookViewId="0">
      <selection activeCell="F3" sqref="F3"/>
    </sheetView>
  </sheetViews>
  <sheetFormatPr baseColWidth="10" defaultColWidth="8.83203125" defaultRowHeight="15"/>
  <cols>
    <col min="1" max="1" width="20.5" customWidth="1"/>
    <col min="2" max="2" width="21.33203125" customWidth="1"/>
  </cols>
  <sheetData>
    <row r="1" spans="1:6">
      <c r="B1">
        <v>2022</v>
      </c>
      <c r="C1">
        <v>2023</v>
      </c>
      <c r="D1">
        <v>2024</v>
      </c>
      <c r="E1">
        <v>2025</v>
      </c>
      <c r="F1" t="s">
        <v>79</v>
      </c>
    </row>
    <row r="2" spans="1:6">
      <c r="A2" t="s">
        <v>69</v>
      </c>
      <c r="B2" s="4">
        <v>31860</v>
      </c>
      <c r="C2" s="4">
        <v>37250</v>
      </c>
      <c r="D2" s="4">
        <v>44010</v>
      </c>
      <c r="E2" s="4">
        <v>43842</v>
      </c>
      <c r="F2" s="4">
        <v>31733</v>
      </c>
    </row>
    <row r="3" spans="1:6">
      <c r="A3" t="s">
        <v>70</v>
      </c>
      <c r="C3" s="4">
        <f>C2-B2</f>
        <v>5390</v>
      </c>
      <c r="D3">
        <f t="shared" ref="D3:F3" si="0">D2-C2</f>
        <v>6760</v>
      </c>
      <c r="E3">
        <f t="shared" si="0"/>
        <v>-168</v>
      </c>
      <c r="F3">
        <f t="shared" si="0"/>
        <v>-12109</v>
      </c>
    </row>
    <row r="5" spans="1:6">
      <c r="A5" t="s">
        <v>71</v>
      </c>
      <c r="C5" s="7">
        <v>211915</v>
      </c>
      <c r="D5" s="7">
        <v>245122</v>
      </c>
      <c r="E5" s="7">
        <v>281724</v>
      </c>
    </row>
    <row r="6" spans="1:6">
      <c r="A6" t="s">
        <v>72</v>
      </c>
      <c r="B6" s="9"/>
      <c r="C6" s="9">
        <f>C2/C5</f>
        <v>0.17577802420781918</v>
      </c>
      <c r="D6" s="9">
        <f t="shared" ref="D6:E6" si="1">D2/D5</f>
        <v>0.17954324785208997</v>
      </c>
      <c r="E6" s="9">
        <f t="shared" si="1"/>
        <v>0.15562039442858969</v>
      </c>
    </row>
    <row r="11" spans="1:6">
      <c r="A11" t="s">
        <v>73</v>
      </c>
      <c r="B11" s="8">
        <v>3850008.5</v>
      </c>
    </row>
    <row r="12" spans="1:6">
      <c r="A12" t="s">
        <v>74</v>
      </c>
      <c r="B12">
        <v>2318519</v>
      </c>
    </row>
    <row r="14" spans="1:6">
      <c r="A14" t="s">
        <v>75</v>
      </c>
      <c r="B14">
        <f>B12/B11</f>
        <v>0.60221139771509591</v>
      </c>
    </row>
    <row r="19" spans="1:6">
      <c r="A19" t="s">
        <v>76</v>
      </c>
      <c r="B19">
        <v>8.18</v>
      </c>
      <c r="C19">
        <v>7.86</v>
      </c>
      <c r="D19">
        <v>7.21</v>
      </c>
      <c r="E19">
        <v>8.44</v>
      </c>
      <c r="F19">
        <v>7.05</v>
      </c>
    </row>
    <row r="23" spans="1:6">
      <c r="A23" t="s">
        <v>77</v>
      </c>
      <c r="B23">
        <v>25.17</v>
      </c>
      <c r="C23">
        <v>18.53</v>
      </c>
      <c r="D23">
        <v>42.61</v>
      </c>
      <c r="E23">
        <v>-4.51</v>
      </c>
      <c r="F23">
        <v>33.89</v>
      </c>
    </row>
    <row r="25" spans="1:6">
      <c r="A25" t="s">
        <v>78</v>
      </c>
      <c r="B25">
        <v>46.9</v>
      </c>
      <c r="C25">
        <v>48.37</v>
      </c>
      <c r="D25">
        <v>40.44</v>
      </c>
      <c r="E25">
        <v>45.64</v>
      </c>
      <c r="F25">
        <v>43.88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Sheet1</vt:lpstr>
      <vt:lpstr>Sheet2</vt:lpstr>
      <vt:lpstr>Sheet3</vt:lpstr>
      <vt:lpstr>nwc</vt:lpstr>
      <vt:lpstr>g</vt:lpstr>
      <vt:lpstr>roic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Sharang Mantri</dc:creator>
  <cp:lastModifiedBy>Chang, Chia-Ning</cp:lastModifiedBy>
  <dcterms:created xsi:type="dcterms:W3CDTF">2015-06-05T18:17:20Z</dcterms:created>
  <dcterms:modified xsi:type="dcterms:W3CDTF">2025-12-18T02:50:48Z</dcterms:modified>
</cp:coreProperties>
</file>