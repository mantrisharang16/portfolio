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tr\Downloads\UIUC\Sem 2\Fin 513\Project 1\"/>
    </mc:Choice>
  </mc:AlternateContent>
  <xr:revisionPtr revIDLastSave="0" documentId="13_ncr:1_{A6021194-7577-4B7F-94BE-E839F930D3A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" l="1"/>
  <c r="F14" i="1"/>
  <c r="F16" i="1"/>
  <c r="F17" i="1" s="1"/>
  <c r="F15" i="1"/>
  <c r="G25" i="1" a="1"/>
  <c r="G21" i="1" a="1"/>
  <c r="G22" i="1" a="1"/>
  <c r="G24" i="1" a="1"/>
  <c r="G23" i="1" a="1"/>
  <c r="G22" i="1" l="1"/>
  <c r="G24" i="1"/>
  <c r="G23" i="1"/>
  <c r="G25" i="1"/>
  <c r="G21" i="1"/>
  <c r="H21" i="1"/>
  <c r="H25" i="1"/>
  <c r="H24" i="1"/>
  <c r="H23" i="1"/>
  <c r="H22" i="1"/>
  <c r="K8" i="1"/>
  <c r="K9" i="1" s="1"/>
  <c r="K7" i="1"/>
  <c r="C13" i="1" l="1"/>
  <c r="C12" i="1"/>
  <c r="B13" i="1"/>
  <c r="B12" i="1"/>
  <c r="B15" i="1"/>
  <c r="B14" i="1"/>
  <c r="F4" i="1" l="1"/>
  <c r="F3" i="1"/>
  <c r="C5" i="1"/>
  <c r="C4" i="1"/>
  <c r="C3" i="1"/>
  <c r="C2" i="1"/>
  <c r="K5" i="1" l="1"/>
  <c r="I12" i="1"/>
  <c r="K6" i="1"/>
  <c r="L16" i="1"/>
  <c r="I16" i="1"/>
  <c r="I11" i="1"/>
  <c r="I13" i="1" s="1"/>
  <c r="I15" i="1" s="1"/>
  <c r="I17" i="1" s="1"/>
  <c r="L11" i="1"/>
  <c r="L12" i="1"/>
  <c r="L13" i="1" l="1"/>
  <c r="L15" i="1" s="1"/>
  <c r="K2" i="1" s="1"/>
  <c r="F23" i="1" a="1"/>
  <c r="F22" i="1" a="1"/>
  <c r="F24" i="1" a="1"/>
  <c r="F25" i="1" a="1"/>
  <c r="F21" i="1" a="1"/>
  <c r="F21" i="1" l="1"/>
  <c r="F25" i="1"/>
  <c r="I25" i="1" s="1"/>
  <c r="F24" i="1"/>
  <c r="F22" i="1"/>
  <c r="I22" i="1" s="1"/>
  <c r="L21" i="1"/>
  <c r="L25" i="1"/>
  <c r="L24" i="1"/>
  <c r="F23" i="1"/>
  <c r="I23" i="1" s="1"/>
  <c r="L22" i="1"/>
  <c r="L23" i="1"/>
  <c r="I24" i="1"/>
  <c r="I21" i="1"/>
  <c r="M21" i="1" l="1"/>
  <c r="N21" i="1" s="1"/>
  <c r="J21" i="1"/>
  <c r="K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<sst xmlns="http://schemas.openxmlformats.org/spreadsheetml/2006/main" count="55" uniqueCount="55">
  <si>
    <t>T0</t>
  </si>
  <si>
    <t>T1</t>
  </si>
  <si>
    <t>T2</t>
  </si>
  <si>
    <t>T3</t>
  </si>
  <si>
    <t>S0</t>
  </si>
  <si>
    <t>0.9S0</t>
  </si>
  <si>
    <t>1.11667S0</t>
  </si>
  <si>
    <t>Dividend Yield</t>
  </si>
  <si>
    <t>Date</t>
  </si>
  <si>
    <t>Discount</t>
  </si>
  <si>
    <t>r1</t>
  </si>
  <si>
    <t>r2</t>
  </si>
  <si>
    <t>d1</t>
  </si>
  <si>
    <t>d2</t>
  </si>
  <si>
    <t>Weighted Discount (for r1)</t>
  </si>
  <si>
    <t>d3</t>
  </si>
  <si>
    <t>d4</t>
  </si>
  <si>
    <t>Mod (d3-t2)</t>
  </si>
  <si>
    <t>Mod (d4-t2)</t>
  </si>
  <si>
    <t>Weig dis for r(0,t1)</t>
  </si>
  <si>
    <t>Mod (d3-t3)</t>
  </si>
  <si>
    <t>Mod(d4-t3)</t>
  </si>
  <si>
    <t>Weig dis for r(0,t3)</t>
  </si>
  <si>
    <t>T2-T0</t>
  </si>
  <si>
    <t>T1-T0</t>
  </si>
  <si>
    <t>T3-T0</t>
  </si>
  <si>
    <t>r(t0,t1)</t>
  </si>
  <si>
    <t>r(t0,t3)</t>
  </si>
  <si>
    <t>Strategy(R 2 L)</t>
  </si>
  <si>
    <t>2) Short Put at K= 1.11667S0 with slope ( LF * 1000/S0)</t>
  </si>
  <si>
    <t>4) Short on Digital Put at K= 0.9S0 with A = $100</t>
  </si>
  <si>
    <t>3) Long Put at K= So with slope ( 1000/S0 *(1 + LF))</t>
  </si>
  <si>
    <t>5) Short Put at K = 0.9S0 with slope (2 * 1000/S0)</t>
  </si>
  <si>
    <t>1) Zero Coupon Bond with a FV of $1175</t>
  </si>
  <si>
    <t>Leverage Factor (LF)</t>
  </si>
  <si>
    <t>T2-T0 in Years</t>
  </si>
  <si>
    <t>T3-T1 in Years</t>
  </si>
  <si>
    <t>A (Payoff Digital option)</t>
  </si>
  <si>
    <t>( LF * 1000/S0)</t>
  </si>
  <si>
    <t>1000/S0</t>
  </si>
  <si>
    <t>1000/S0 (1+Lf)</t>
  </si>
  <si>
    <t>Quantity</t>
  </si>
  <si>
    <t>Agent Commissions</t>
  </si>
  <si>
    <t>FV Bond</t>
  </si>
  <si>
    <t>IV  Buy</t>
  </si>
  <si>
    <t>IV Sell</t>
  </si>
  <si>
    <t>Price (Buy IV)</t>
  </si>
  <si>
    <t>Price (Buy &amp; Sell IV)</t>
  </si>
  <si>
    <t>Price (Buy IV)*Quantity</t>
  </si>
  <si>
    <t xml:space="preserve">Cost  (Buy IV, ex- Commission) </t>
  </si>
  <si>
    <t xml:space="preserve">Cost  (Buy &amp; Sell IV, ex- Commission) </t>
  </si>
  <si>
    <t>Price (Buy &amp; Sell IV)*Quantity</t>
  </si>
  <si>
    <t>Cost (Buy IV, Inc. Commissions)</t>
  </si>
  <si>
    <t>Cost (Buy &amp; Sell IV, Inc. Commissions)</t>
  </si>
  <si>
    <t>d1-T0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</si>
</sst>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00%"/>
    <numFmt numFmtId="165" formatCode="0.0000%"/>
    <numFmt numFmtId="166" formatCode="0.0000000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1" fillId="0" borderId="0" xfId="0" applyFont="1"/>
    <xf numFmtId="9" fontId="0" fillId="0" borderId="0" xfId="0" applyNumberFormat="1"/>
    <xf numFmtId="164" fontId="0" fillId="0" borderId="0" xfId="1" applyNumberFormat="1" applyFont="1"/>
    <xf numFmtId="44" fontId="0" fillId="0" borderId="0" xfId="2" applyFont="1"/>
    <xf numFmtId="166" fontId="0" fillId="0" borderId="0" xfId="1" applyNumberFormat="1" applyFont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5"/>
  <sheetViews>
    <sheetView tabSelected="1" workbookViewId="0">
      <selection activeCell="E17" sqref="E17"/>
    </sheetView>
  </sheetViews>
  <sheetFormatPr defaultRowHeight="14.4" x14ac:dyDescent="0.3"/>
  <cols>
    <col min="1" max="1" width="10.109375" customWidth="1"/>
    <col min="2" max="2" width="9.77734375" bestFit="1" customWidth="1"/>
    <col min="3" max="3" width="9.5546875" bestFit="1" customWidth="1"/>
    <col min="5" max="5" width="21.21875" customWidth="1"/>
    <col min="6" max="6" width="10.21875" customWidth="1"/>
    <col min="7" max="7" width="17.88671875" customWidth="1"/>
    <col min="8" max="8" width="14.33203125" customWidth="1"/>
    <col min="9" max="9" width="17.109375" customWidth="1"/>
    <col min="10" max="10" width="18.44140625" customWidth="1"/>
    <col min="11" max="11" width="15.6640625" customWidth="1"/>
    <col min="12" max="12" width="18.44140625" customWidth="1"/>
    <col min="13" max="13" width="12.6640625" customWidth="1"/>
  </cols>
  <sheetData>
    <row r="1" spans="1:12" x14ac:dyDescent="0.3">
      <c r="H1" s="4" t="s">
        <v>44</v>
      </c>
      <c r="I1" s="4" t="s">
        <v>45</v>
      </c>
    </row>
    <row r="2" spans="1:12" x14ac:dyDescent="0.3">
      <c r="B2" s="4" t="s">
        <v>0</v>
      </c>
      <c r="C2" s="1">
        <f>DATE(2025,1,17)</f>
        <v>45674</v>
      </c>
      <c r="E2" s="4" t="s">
        <v>4</v>
      </c>
      <c r="F2">
        <v>5996.66</v>
      </c>
      <c r="H2" s="3">
        <v>0.17729</v>
      </c>
      <c r="I2" s="3">
        <v>0.17593</v>
      </c>
      <c r="J2" s="4" t="s">
        <v>10</v>
      </c>
      <c r="K2" s="8">
        <f>-(365/L16)*LN(L15)</f>
        <v>4.0881231481031545E-2</v>
      </c>
    </row>
    <row r="3" spans="1:12" x14ac:dyDescent="0.3">
      <c r="B3" s="4" t="s">
        <v>1</v>
      </c>
      <c r="C3" s="1">
        <f>DATE(2025,1,23)</f>
        <v>45680</v>
      </c>
      <c r="E3" s="4" t="s">
        <v>5</v>
      </c>
      <c r="F3" s="2">
        <f>90%*F2</f>
        <v>5396.9939999999997</v>
      </c>
      <c r="H3" s="3">
        <v>0.20085</v>
      </c>
      <c r="I3" s="3">
        <v>0.19947000000000001</v>
      </c>
      <c r="J3" s="4" t="s">
        <v>11</v>
      </c>
      <c r="K3" s="8">
        <f>(F17*F14+I17*I16)/(I16-F14)</f>
        <v>4.1559833862440269E-2</v>
      </c>
    </row>
    <row r="4" spans="1:12" x14ac:dyDescent="0.3">
      <c r="B4" s="4" t="s">
        <v>2</v>
      </c>
      <c r="C4" s="1">
        <f>DATE(2027,1,29)</f>
        <v>46416</v>
      </c>
      <c r="E4" s="4" t="s">
        <v>6</v>
      </c>
      <c r="F4">
        <f>(1+11.667%)*F2</f>
        <v>6696.2903222000004</v>
      </c>
      <c r="H4" s="3">
        <v>0.15024000000000001</v>
      </c>
      <c r="I4" s="3">
        <v>0.14878</v>
      </c>
      <c r="J4" s="4" t="s">
        <v>34</v>
      </c>
      <c r="K4" s="5">
        <v>1.5</v>
      </c>
    </row>
    <row r="5" spans="1:12" x14ac:dyDescent="0.3">
      <c r="B5" s="4" t="s">
        <v>3</v>
      </c>
      <c r="C5" s="1">
        <f>DATE(2027,2,3)</f>
        <v>46421</v>
      </c>
      <c r="E5" s="4" t="s">
        <v>7</v>
      </c>
      <c r="F5" s="6">
        <v>1.3270000000000001E-2</v>
      </c>
      <c r="J5" s="4" t="s">
        <v>35</v>
      </c>
      <c r="K5">
        <f>(C4-C2)/365</f>
        <v>2.032876712328767</v>
      </c>
    </row>
    <row r="6" spans="1:12" x14ac:dyDescent="0.3">
      <c r="B6" s="4"/>
      <c r="C6" s="1"/>
      <c r="E6" s="4" t="s">
        <v>37</v>
      </c>
      <c r="F6">
        <v>100</v>
      </c>
      <c r="J6" s="4" t="s">
        <v>36</v>
      </c>
      <c r="K6">
        <f>(C5-C3)/365</f>
        <v>2.0301369863013701</v>
      </c>
    </row>
    <row r="7" spans="1:12" x14ac:dyDescent="0.3">
      <c r="E7" s="4" t="s">
        <v>43</v>
      </c>
      <c r="F7">
        <v>1175</v>
      </c>
      <c r="J7" s="4" t="s">
        <v>38</v>
      </c>
      <c r="K7">
        <f>K4*1000/F2</f>
        <v>0.25013924417925981</v>
      </c>
    </row>
    <row r="8" spans="1:12" x14ac:dyDescent="0.3">
      <c r="B8" s="4"/>
      <c r="C8" s="1"/>
      <c r="E8" s="4" t="s">
        <v>42</v>
      </c>
      <c r="F8">
        <v>25</v>
      </c>
      <c r="J8" s="4" t="s">
        <v>39</v>
      </c>
      <c r="K8">
        <f>1000/F2</f>
        <v>0.16675949611950652</v>
      </c>
    </row>
    <row r="9" spans="1:12" x14ac:dyDescent="0.3">
      <c r="J9" s="4" t="s">
        <v>40</v>
      </c>
      <c r="K9">
        <f>K8*(1+K4)</f>
        <v>0.41689874029876628</v>
      </c>
    </row>
    <row r="10" spans="1:12" x14ac:dyDescent="0.3">
      <c r="E10" s="4"/>
    </row>
    <row r="11" spans="1:12" x14ac:dyDescent="0.3">
      <c r="B11" s="4" t="s">
        <v>8</v>
      </c>
      <c r="C11" s="4" t="s">
        <v>9</v>
      </c>
      <c r="H11" t="s">
        <v>20</v>
      </c>
      <c r="I11">
        <f>C5-B14</f>
        <v>15</v>
      </c>
      <c r="K11" t="s">
        <v>17</v>
      </c>
      <c r="L11">
        <f>C4-B14</f>
        <v>10</v>
      </c>
    </row>
    <row r="12" spans="1:12" x14ac:dyDescent="0.3">
      <c r="A12" t="s">
        <v>12</v>
      </c>
      <c r="B12" s="1">
        <f>DATE(2025,1,24)</f>
        <v>45681</v>
      </c>
      <c r="C12">
        <f>0.999159</f>
        <v>0.99915900000000002</v>
      </c>
      <c r="H12" t="s">
        <v>21</v>
      </c>
      <c r="I12">
        <f>B15-C5</f>
        <v>349</v>
      </c>
      <c r="K12" t="s">
        <v>18</v>
      </c>
      <c r="L12">
        <f>B15-C4</f>
        <v>354</v>
      </c>
    </row>
    <row r="13" spans="1:12" x14ac:dyDescent="0.3">
      <c r="A13" t="s">
        <v>13</v>
      </c>
      <c r="B13" s="1">
        <f>DATE(2025,1,31)</f>
        <v>45688</v>
      </c>
      <c r="C13">
        <f>0.998319</f>
        <v>0.99831899999999996</v>
      </c>
      <c r="I13">
        <f>SUM(I12,I11)</f>
        <v>364</v>
      </c>
      <c r="L13">
        <f>SUM(L12,L11)</f>
        <v>364</v>
      </c>
    </row>
    <row r="14" spans="1:12" x14ac:dyDescent="0.3">
      <c r="A14" t="s">
        <v>15</v>
      </c>
      <c r="B14" s="1">
        <f>DATE(2027,1,19)</f>
        <v>46406</v>
      </c>
      <c r="C14">
        <v>0.92125500000000005</v>
      </c>
      <c r="E14" t="s">
        <v>24</v>
      </c>
      <c r="F14">
        <f>C3-C2</f>
        <v>6</v>
      </c>
    </row>
    <row r="15" spans="1:12" x14ac:dyDescent="0.3">
      <c r="A15" t="s">
        <v>16</v>
      </c>
      <c r="B15" s="1">
        <f>DATE(2028,1,18)</f>
        <v>46770</v>
      </c>
      <c r="C15">
        <v>0.88478699999999999</v>
      </c>
      <c r="E15" t="s">
        <v>19</v>
      </c>
      <c r="F15">
        <f>C12</f>
        <v>0.99915900000000002</v>
      </c>
      <c r="H15" t="s">
        <v>22</v>
      </c>
      <c r="I15">
        <f>(C14*(I12/I13) + C15*(I11/I13))</f>
        <v>0.91975219780219786</v>
      </c>
      <c r="K15" t="s">
        <v>14</v>
      </c>
      <c r="L15">
        <f>(C14*(L12/L13) + C15*(L11/L13))</f>
        <v>0.92025313186813196</v>
      </c>
    </row>
    <row r="16" spans="1:12" x14ac:dyDescent="0.3">
      <c r="E16" t="s">
        <v>54</v>
      </c>
      <c r="F16" s="2">
        <f>B12-C2</f>
        <v>7</v>
      </c>
      <c r="H16" t="s">
        <v>25</v>
      </c>
      <c r="I16">
        <f>C5-C2</f>
        <v>747</v>
      </c>
      <c r="K16" t="s">
        <v>23</v>
      </c>
      <c r="L16">
        <f>C4-C2</f>
        <v>742</v>
      </c>
    </row>
    <row r="17" spans="1:14" x14ac:dyDescent="0.3">
      <c r="E17" t="s">
        <v>26</v>
      </c>
      <c r="F17">
        <f>-(365/F16)*LN(F15)</f>
        <v>4.3870593028334556E-2</v>
      </c>
      <c r="H17" t="s">
        <v>27</v>
      </c>
      <c r="I17">
        <f>-(365/I16)*LN(I15)</f>
        <v>4.0873645694642878E-2</v>
      </c>
    </row>
    <row r="20" spans="1:14" x14ac:dyDescent="0.3">
      <c r="F20" s="4" t="s">
        <v>46</v>
      </c>
      <c r="G20" s="4" t="s">
        <v>47</v>
      </c>
      <c r="H20" s="4" t="s">
        <v>41</v>
      </c>
      <c r="I20" s="4" t="s">
        <v>48</v>
      </c>
      <c r="J20" s="4" t="s">
        <v>49</v>
      </c>
      <c r="K20" s="4" t="s">
        <v>52</v>
      </c>
      <c r="L20" s="4" t="s">
        <v>51</v>
      </c>
      <c r="M20" s="4" t="s">
        <v>50</v>
      </c>
      <c r="N20" s="4" t="s">
        <v>53</v>
      </c>
    </row>
    <row r="21" spans="1:14" x14ac:dyDescent="0.3">
      <c r="A21" s="4" t="s">
        <v>28</v>
      </c>
      <c r="B21" t="s">
        <v>33</v>
      </c>
      <c r="F21" s="7" cm="1">
        <f t="array" ref="F21">BondVal(F7,K3,K6)</f>
        <v>1079.9297489235391</v>
      </c>
      <c r="G21" s="7" cm="1">
        <f t="array" ref="G21">BondVal(F7,K3,K6)</f>
        <v>1079.9297489235391</v>
      </c>
      <c r="H21">
        <f>1</f>
        <v>1</v>
      </c>
      <c r="I21" s="7">
        <f>F21*H21</f>
        <v>1079.9297489235391</v>
      </c>
      <c r="J21" s="7">
        <f>I21-I22+I23-I24-I25</f>
        <v>962.34719216668987</v>
      </c>
      <c r="K21" s="7">
        <f>I21-I22+I23-I24-I25+F8</f>
        <v>987.34719216668987</v>
      </c>
      <c r="L21" s="7">
        <f>G21*H21</f>
        <v>1079.9297489235391</v>
      </c>
      <c r="M21" s="7">
        <f>L21-L22+L23-L24-L25</f>
        <v>964.89619829877597</v>
      </c>
      <c r="N21" s="7">
        <f>M21+F8</f>
        <v>989.89619829877597</v>
      </c>
    </row>
    <row r="22" spans="1:14" x14ac:dyDescent="0.3">
      <c r="B22" t="s">
        <v>29</v>
      </c>
      <c r="F22" s="7" cm="1">
        <f t="array" ref="F22">PBSval(F2,F4,K6,K5,F5,H4,K2,K3)</f>
        <v>689.7185378358098</v>
      </c>
      <c r="G22" s="7" cm="1">
        <f t="array" ref="G22">PBSval(F2,F4,K6,K5,F5,I4,K2,K3)</f>
        <v>684.92980531575699</v>
      </c>
      <c r="H22">
        <f>K7</f>
        <v>0.25013924417925981</v>
      </c>
      <c r="I22" s="7">
        <f t="shared" ref="I22:I25" si="0">F22*H22</f>
        <v>172.52567375067366</v>
      </c>
      <c r="L22" s="7">
        <f t="shared" ref="L22:L25" si="1">G22*H22</f>
        <v>171.32782381753103</v>
      </c>
    </row>
    <row r="23" spans="1:14" x14ac:dyDescent="0.3">
      <c r="B23" t="s">
        <v>31</v>
      </c>
      <c r="F23" s="7" cm="1">
        <f t="array" ref="F23">PBSval(F2,F2,K6,K5,F5,H2,K2,K3)</f>
        <v>425.14448930736103</v>
      </c>
      <c r="G23" s="7" cm="1">
        <f t="array" ref="G23">PBSval(F2,F2,K6,K5,F5,H2,K2,K3)</f>
        <v>425.14448930736103</v>
      </c>
      <c r="H23">
        <f>K9</f>
        <v>0.41689874029876628</v>
      </c>
      <c r="I23" s="7">
        <f t="shared" si="0"/>
        <v>177.24220203720111</v>
      </c>
      <c r="L23" s="7">
        <f t="shared" si="1"/>
        <v>177.24220203720111</v>
      </c>
    </row>
    <row r="24" spans="1:14" x14ac:dyDescent="0.3">
      <c r="B24" t="s">
        <v>30</v>
      </c>
      <c r="F24" s="7" cm="1">
        <f t="array" ref="F24">DigPut(F2,F6,F3,K6,K5,F5,H3,K2,K3)</f>
        <v>30.970819110995951</v>
      </c>
      <c r="G24" s="7" cm="1">
        <f t="array" ref="G24">DigPut(F2,F6,F3,K6,K5,F5,I3,K2,K3)</f>
        <v>30.807038289246176</v>
      </c>
      <c r="H24">
        <f>1</f>
        <v>1</v>
      </c>
      <c r="I24" s="7">
        <f t="shared" si="0"/>
        <v>30.970819110995951</v>
      </c>
      <c r="L24" s="7">
        <f t="shared" si="1"/>
        <v>30.807038289246176</v>
      </c>
    </row>
    <row r="25" spans="1:14" x14ac:dyDescent="0.3">
      <c r="B25" t="s">
        <v>32</v>
      </c>
      <c r="F25" s="7" cm="1">
        <f t="array" ref="F25">PBSval(F2,F3,K6,K5,F5,H3,K2,K3)</f>
        <v>273.83227959303537</v>
      </c>
      <c r="G25" s="7" cm="1">
        <f t="array" ref="G25">PBSval(F2,F3,K6,K5,F5,I3,K2,K3)</f>
        <v>270.27213637833455</v>
      </c>
      <c r="H25">
        <f>2*K8</f>
        <v>0.33351899223901305</v>
      </c>
      <c r="I25" s="7">
        <f t="shared" si="0"/>
        <v>91.328265932380816</v>
      </c>
      <c r="L25" s="7">
        <f t="shared" si="1"/>
        <v>90.140890555187241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Sharang Mantri</dc:creator>
  <cp:lastModifiedBy>Sharanh Mantri</cp:lastModifiedBy>
  <dcterms:created xsi:type="dcterms:W3CDTF">2015-06-05T18:17:20Z</dcterms:created>
  <dcterms:modified xsi:type="dcterms:W3CDTF">2025-03-27T04:00:44Z</dcterms:modified>
</cp:coreProperties>
</file>