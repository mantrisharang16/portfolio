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mantri3_illinois_edu/Documents/"/>
    </mc:Choice>
  </mc:AlternateContent>
  <xr:revisionPtr revIDLastSave="0" documentId="8_{1B8ED48C-8B78-4600-A09C-6334DF44336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CF" sheetId="1" r:id="rId1"/>
    <sheet name="Multipl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M109" i="1"/>
  <c r="L109" i="1"/>
  <c r="L108" i="1"/>
  <c r="M108" i="1"/>
  <c r="K108" i="1"/>
  <c r="K107" i="1"/>
  <c r="L107" i="1"/>
  <c r="M107" i="1"/>
  <c r="J107" i="1"/>
  <c r="J106" i="1"/>
  <c r="K106" i="1"/>
  <c r="L106" i="1"/>
  <c r="M106" i="1"/>
  <c r="I106" i="1"/>
  <c r="I105" i="1"/>
  <c r="J105" i="1"/>
  <c r="K105" i="1"/>
  <c r="L105" i="1"/>
  <c r="M105" i="1"/>
  <c r="H105" i="1"/>
  <c r="H104" i="1"/>
  <c r="I104" i="1"/>
  <c r="J104" i="1"/>
  <c r="K104" i="1"/>
  <c r="L104" i="1"/>
  <c r="M104" i="1"/>
  <c r="G104" i="1"/>
  <c r="G103" i="1"/>
  <c r="H103" i="1"/>
  <c r="I103" i="1"/>
  <c r="J103" i="1"/>
  <c r="K103" i="1"/>
  <c r="L103" i="1"/>
  <c r="M103" i="1"/>
  <c r="F103" i="1"/>
  <c r="F102" i="1"/>
  <c r="G102" i="1"/>
  <c r="H102" i="1"/>
  <c r="I102" i="1"/>
  <c r="J102" i="1"/>
  <c r="K102" i="1"/>
  <c r="L102" i="1"/>
  <c r="M102" i="1"/>
  <c r="E102" i="1"/>
  <c r="E101" i="1"/>
  <c r="F101" i="1"/>
  <c r="G101" i="1"/>
  <c r="H101" i="1"/>
  <c r="I101" i="1"/>
  <c r="J101" i="1"/>
  <c r="K101" i="1"/>
  <c r="L101" i="1"/>
  <c r="M101" i="1"/>
  <c r="E100" i="1"/>
  <c r="F100" i="1"/>
  <c r="G100" i="1"/>
  <c r="H100" i="1"/>
  <c r="I100" i="1"/>
  <c r="J100" i="1"/>
  <c r="K100" i="1"/>
  <c r="L100" i="1"/>
  <c r="M100" i="1"/>
  <c r="D100" i="1"/>
  <c r="D101" i="1"/>
  <c r="C12" i="4"/>
  <c r="C4" i="4"/>
  <c r="C2" i="4"/>
  <c r="G2" i="4"/>
  <c r="G4" i="4"/>
  <c r="C72" i="1" l="1"/>
  <c r="B72" i="1"/>
  <c r="C15" i="1"/>
  <c r="C63" i="1" s="1"/>
  <c r="B15" i="1"/>
  <c r="B63" i="1" s="1"/>
  <c r="D8" i="1" l="1"/>
  <c r="D29" i="1" s="1"/>
  <c r="C62" i="1"/>
  <c r="B62" i="1"/>
  <c r="C78" i="1"/>
  <c r="B78" i="1"/>
  <c r="B86" i="1"/>
  <c r="B90" i="1" s="1"/>
  <c r="C28" i="1"/>
  <c r="B28" i="1"/>
  <c r="B54" i="1"/>
  <c r="B6" i="1"/>
  <c r="B98" i="1"/>
  <c r="E8" i="1" l="1"/>
  <c r="F8" i="1" s="1"/>
  <c r="G8" i="1" s="1"/>
  <c r="H8" i="1" s="1"/>
  <c r="I8" i="1" s="1"/>
  <c r="J8" i="1" s="1"/>
  <c r="K8" i="1" s="1"/>
  <c r="L8" i="1" s="1"/>
  <c r="M8" i="1" s="1"/>
  <c r="E33" i="1"/>
  <c r="D33" i="1"/>
  <c r="C56" i="1"/>
  <c r="C112" i="1"/>
  <c r="C57" i="1"/>
  <c r="B112" i="1"/>
  <c r="B57" i="1"/>
  <c r="F91" i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G91" i="1" l="1"/>
  <c r="F33" i="1"/>
  <c r="B21" i="1"/>
  <c r="B11" i="1"/>
  <c r="B59" i="1" s="1"/>
  <c r="H91" i="1" l="1"/>
  <c r="G33" i="1"/>
  <c r="B79" i="1"/>
  <c r="C21" i="1"/>
  <c r="C11" i="1"/>
  <c r="C59" i="1" s="1"/>
  <c r="C98" i="1"/>
  <c r="I91" i="1" l="1"/>
  <c r="H33" i="1"/>
  <c r="C79" i="1"/>
  <c r="C17" i="1"/>
  <c r="C19" i="1" s="1"/>
  <c r="B17" i="1"/>
  <c r="B77" i="1"/>
  <c r="D98" i="1"/>
  <c r="J91" i="1" l="1"/>
  <c r="I33" i="1"/>
  <c r="C65" i="1"/>
  <c r="C77" i="1"/>
  <c r="B19" i="1"/>
  <c r="B65" i="1"/>
  <c r="E98" i="1"/>
  <c r="K91" i="1" l="1"/>
  <c r="J33" i="1"/>
  <c r="B67" i="1"/>
  <c r="C67" i="1"/>
  <c r="F98" i="1"/>
  <c r="L91" i="1" l="1"/>
  <c r="K33" i="1"/>
  <c r="C26" i="1"/>
  <c r="C32" i="1" s="1"/>
  <c r="C71" i="1"/>
  <c r="B71" i="1"/>
  <c r="B26" i="1"/>
  <c r="B32" i="1" s="1"/>
  <c r="G98" i="1"/>
  <c r="M91" i="1" l="1"/>
  <c r="L33" i="1"/>
  <c r="B74" i="1"/>
  <c r="C74" i="1"/>
  <c r="H98" i="1"/>
  <c r="N91" i="1" l="1"/>
  <c r="N33" i="1" s="1"/>
  <c r="M33" i="1"/>
  <c r="I98" i="1"/>
  <c r="J98" i="1" l="1"/>
  <c r="K98" i="1" l="1"/>
  <c r="L98" i="1" l="1"/>
  <c r="M98" i="1" l="1"/>
  <c r="E21" i="1" l="1"/>
  <c r="E9" i="1"/>
  <c r="E11" i="1" s="1"/>
  <c r="E59" i="1" s="1"/>
  <c r="F21" i="1" l="1"/>
  <c r="G30" i="1"/>
  <c r="F9" i="1"/>
  <c r="F11" i="1" s="1"/>
  <c r="F59" i="1" s="1"/>
  <c r="F30" i="1"/>
  <c r="G21" i="1" l="1"/>
  <c r="H30" i="1"/>
  <c r="G9" i="1"/>
  <c r="G11" i="1" s="1"/>
  <c r="G59" i="1" s="1"/>
  <c r="H21" i="1" l="1"/>
  <c r="I30" i="1"/>
  <c r="H9" i="1"/>
  <c r="H11" i="1" s="1"/>
  <c r="H59" i="1" s="1"/>
  <c r="I21" i="1" l="1"/>
  <c r="J30" i="1"/>
  <c r="I9" i="1"/>
  <c r="I11" i="1" s="1"/>
  <c r="I59" i="1" s="1"/>
  <c r="J21" i="1" l="1"/>
  <c r="K30" i="1"/>
  <c r="J9" i="1"/>
  <c r="J11" i="1" s="1"/>
  <c r="J59" i="1" s="1"/>
  <c r="K21" i="1" l="1"/>
  <c r="L30" i="1"/>
  <c r="K9" i="1"/>
  <c r="K11" i="1" s="1"/>
  <c r="K59" i="1" s="1"/>
  <c r="M21" i="1" l="1"/>
  <c r="M9" i="1"/>
  <c r="M11" i="1" s="1"/>
  <c r="M59" i="1" s="1"/>
  <c r="L21" i="1"/>
  <c r="M30" i="1"/>
  <c r="L9" i="1"/>
  <c r="L11" i="1" s="1"/>
  <c r="L59" i="1" s="1"/>
  <c r="E14" i="1"/>
  <c r="F14" i="1"/>
  <c r="G14" i="1"/>
  <c r="H14" i="1"/>
  <c r="I14" i="1"/>
  <c r="J14" i="1"/>
  <c r="K14" i="1"/>
  <c r="L14" i="1"/>
  <c r="M14" i="1"/>
  <c r="E29" i="1" l="1"/>
  <c r="F29" i="1" l="1"/>
  <c r="G29" i="1" l="1"/>
  <c r="H29" i="1" l="1"/>
  <c r="I29" i="1" l="1"/>
  <c r="J29" i="1" l="1"/>
  <c r="K29" i="1" l="1"/>
  <c r="L29" i="1" l="1"/>
  <c r="M29" i="1" l="1"/>
  <c r="D112" i="1"/>
  <c r="D115" i="1" s="1"/>
  <c r="D14" i="1"/>
  <c r="E30" i="1"/>
  <c r="D9" i="1"/>
  <c r="D11" i="1" s="1"/>
  <c r="D59" i="1" s="1"/>
  <c r="D30" i="1"/>
  <c r="D21" i="1"/>
  <c r="D28" i="1" l="1"/>
  <c r="C8" i="4" s="1"/>
  <c r="C9" i="4" s="1"/>
  <c r="G8" i="4" s="1"/>
  <c r="D15" i="1"/>
  <c r="D76" i="1"/>
  <c r="D79" i="1"/>
  <c r="M112" i="1"/>
  <c r="L112" i="1"/>
  <c r="K112" i="1"/>
  <c r="J112" i="1"/>
  <c r="I112" i="1"/>
  <c r="H112" i="1"/>
  <c r="G112" i="1"/>
  <c r="F112" i="1"/>
  <c r="E112" i="1"/>
  <c r="D17" i="1" l="1"/>
  <c r="D65" i="1" s="1"/>
  <c r="D63" i="1"/>
  <c r="D19" i="1"/>
  <c r="D67" i="1" s="1"/>
  <c r="E115" i="1"/>
  <c r="E79" i="1"/>
  <c r="F79" i="1"/>
  <c r="F115" i="1"/>
  <c r="G79" i="1"/>
  <c r="G115" i="1"/>
  <c r="H115" i="1"/>
  <c r="H79" i="1"/>
  <c r="I79" i="1"/>
  <c r="I115" i="1"/>
  <c r="J115" i="1"/>
  <c r="J79" i="1"/>
  <c r="K79" i="1"/>
  <c r="K115" i="1"/>
  <c r="L115" i="1"/>
  <c r="L79" i="1"/>
  <c r="M115" i="1"/>
  <c r="M79" i="1"/>
  <c r="E76" i="1"/>
  <c r="D77" i="1"/>
  <c r="D23" i="1" l="1"/>
  <c r="D71" i="1" s="1"/>
  <c r="G28" i="1"/>
  <c r="G15" i="1"/>
  <c r="G63" i="1" s="1"/>
  <c r="L28" i="1"/>
  <c r="L15" i="1"/>
  <c r="L63" i="1" s="1"/>
  <c r="E28" i="1"/>
  <c r="E15" i="1"/>
  <c r="E63" i="1" s="1"/>
  <c r="M28" i="1"/>
  <c r="M15" i="1"/>
  <c r="M63" i="1" s="1"/>
  <c r="I28" i="1"/>
  <c r="I15" i="1"/>
  <c r="I63" i="1" s="1"/>
  <c r="H28" i="1"/>
  <c r="H15" i="1"/>
  <c r="H63" i="1" s="1"/>
  <c r="F28" i="1"/>
  <c r="F15" i="1"/>
  <c r="F63" i="1" s="1"/>
  <c r="K28" i="1"/>
  <c r="K15" i="1"/>
  <c r="K63" i="1" s="1"/>
  <c r="J28" i="1"/>
  <c r="J15" i="1"/>
  <c r="J63" i="1" s="1"/>
  <c r="F76" i="1"/>
  <c r="E77" i="1"/>
  <c r="D24" i="1" l="1"/>
  <c r="D26" i="1" s="1"/>
  <c r="H17" i="1"/>
  <c r="H65" i="1" s="1"/>
  <c r="K17" i="1"/>
  <c r="K65" i="1" s="1"/>
  <c r="J17" i="1"/>
  <c r="J65" i="1" s="1"/>
  <c r="I17" i="1"/>
  <c r="I65" i="1" s="1"/>
  <c r="M17" i="1"/>
  <c r="M65" i="1" s="1"/>
  <c r="E17" i="1"/>
  <c r="E65" i="1" s="1"/>
  <c r="F17" i="1"/>
  <c r="F65" i="1" s="1"/>
  <c r="G17" i="1"/>
  <c r="G65" i="1" s="1"/>
  <c r="L17" i="1"/>
  <c r="L65" i="1" s="1"/>
  <c r="G76" i="1"/>
  <c r="F77" i="1"/>
  <c r="D74" i="1" l="1"/>
  <c r="C11" i="4"/>
  <c r="G7" i="4" s="1"/>
  <c r="G10" i="4" s="1"/>
  <c r="D32" i="1"/>
  <c r="D35" i="1" s="1"/>
  <c r="E19" i="1"/>
  <c r="E67" i="1" s="1"/>
  <c r="I19" i="1"/>
  <c r="I67" i="1" s="1"/>
  <c r="G19" i="1"/>
  <c r="G67" i="1" s="1"/>
  <c r="J19" i="1"/>
  <c r="J67" i="1" s="1"/>
  <c r="H19" i="1"/>
  <c r="H67" i="1" s="1"/>
  <c r="K19" i="1"/>
  <c r="K67" i="1" s="1"/>
  <c r="M19" i="1"/>
  <c r="M67" i="1" s="1"/>
  <c r="F19" i="1"/>
  <c r="F67" i="1" s="1"/>
  <c r="L19" i="1"/>
  <c r="L67" i="1" s="1"/>
  <c r="H76" i="1"/>
  <c r="G77" i="1"/>
  <c r="J23" i="1" l="1"/>
  <c r="J71" i="1" s="1"/>
  <c r="L23" i="1"/>
  <c r="L71" i="1" s="1"/>
  <c r="K23" i="1"/>
  <c r="K71" i="1" s="1"/>
  <c r="H23" i="1"/>
  <c r="H71" i="1" s="1"/>
  <c r="G23" i="1"/>
  <c r="G71" i="1" s="1"/>
  <c r="F23" i="1"/>
  <c r="F71" i="1" s="1"/>
  <c r="I23" i="1"/>
  <c r="I71" i="1" s="1"/>
  <c r="M23" i="1"/>
  <c r="M71" i="1" s="1"/>
  <c r="E23" i="1"/>
  <c r="E71" i="1" s="1"/>
  <c r="I76" i="1"/>
  <c r="H77" i="1"/>
  <c r="F24" i="1" l="1"/>
  <c r="F26" i="1" s="1"/>
  <c r="F74" i="1" s="1"/>
  <c r="G24" i="1"/>
  <c r="G26" i="1" s="1"/>
  <c r="G74" i="1" s="1"/>
  <c r="H24" i="1"/>
  <c r="H26" i="1" s="1"/>
  <c r="H74" i="1" s="1"/>
  <c r="E24" i="1"/>
  <c r="E26" i="1" s="1"/>
  <c r="E74" i="1" s="1"/>
  <c r="K24" i="1"/>
  <c r="K26" i="1" s="1"/>
  <c r="K74" i="1" s="1"/>
  <c r="M24" i="1"/>
  <c r="M26" i="1" s="1"/>
  <c r="N32" i="1" s="1"/>
  <c r="L24" i="1"/>
  <c r="L26" i="1" s="1"/>
  <c r="L74" i="1" s="1"/>
  <c r="J24" i="1"/>
  <c r="J26" i="1" s="1"/>
  <c r="J74" i="1" s="1"/>
  <c r="I24" i="1"/>
  <c r="I26" i="1" s="1"/>
  <c r="I74" i="1" s="1"/>
  <c r="J76" i="1"/>
  <c r="I77" i="1"/>
  <c r="M74" i="1" l="1"/>
  <c r="K32" i="1"/>
  <c r="K35" i="1" s="1"/>
  <c r="H32" i="1"/>
  <c r="H35" i="1" s="1"/>
  <c r="E32" i="1"/>
  <c r="E35" i="1" s="1"/>
  <c r="G32" i="1"/>
  <c r="G35" i="1" s="1"/>
  <c r="J32" i="1"/>
  <c r="J35" i="1" s="1"/>
  <c r="N35" i="1"/>
  <c r="M32" i="1"/>
  <c r="M35" i="1" s="1"/>
  <c r="I32" i="1"/>
  <c r="I35" i="1" s="1"/>
  <c r="L32" i="1"/>
  <c r="L35" i="1" s="1"/>
  <c r="F32" i="1"/>
  <c r="F35" i="1" s="1"/>
  <c r="K76" i="1"/>
  <c r="J77" i="1"/>
  <c r="D37" i="1" l="1"/>
  <c r="D41" i="1" s="1"/>
  <c r="D44" i="1" s="1"/>
  <c r="L76" i="1"/>
  <c r="K77" i="1"/>
  <c r="M76" i="1" l="1"/>
  <c r="M77" i="1" s="1"/>
  <c r="L77" i="1"/>
</calcChain>
</file>

<file path=xl/sharedStrings.xml><?xml version="1.0" encoding="utf-8"?>
<sst xmlns="http://schemas.openxmlformats.org/spreadsheetml/2006/main" count="323" uniqueCount="89">
  <si>
    <t>Home Depot</t>
  </si>
  <si>
    <t>Discounted Cash Flow Analysis</t>
  </si>
  <si>
    <t xml:space="preserve">For the Years Ended </t>
  </si>
  <si>
    <t>Millions of Dollars</t>
  </si>
  <si>
    <t xml:space="preserve">Name </t>
  </si>
  <si>
    <t>Email</t>
  </si>
  <si>
    <t>Terminal</t>
  </si>
  <si>
    <t>Value</t>
  </si>
  <si>
    <t xml:space="preserve">Sharang Mantri </t>
  </si>
  <si>
    <t xml:space="preserve">smantri3@illinois.edu </t>
  </si>
  <si>
    <t>--------------</t>
  </si>
  <si>
    <t>Revenue</t>
  </si>
  <si>
    <t xml:space="preserve">Mike Feistel </t>
  </si>
  <si>
    <t xml:space="preserve">feistel2@illinois.edu </t>
  </si>
  <si>
    <t>Cost of Goods Sold</t>
  </si>
  <si>
    <t xml:space="preserve">Shreya Ahuja </t>
  </si>
  <si>
    <t xml:space="preserve">shreyaa8@illinois.edu </t>
  </si>
  <si>
    <t>Gross Margin</t>
  </si>
  <si>
    <t xml:space="preserve">Priyanka Chandramohan </t>
  </si>
  <si>
    <t xml:space="preserve">pc45@illinois.edu </t>
  </si>
  <si>
    <t>Operating Expenses:</t>
  </si>
  <si>
    <t>SG&amp;A</t>
  </si>
  <si>
    <t>Depriciation &amp; Amortization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</si>
  <si>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</si>
  <si>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</si>
  <si>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</si>
  <si>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</si>
  <si>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</si>
  <si>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</si>
  <si>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</si>
  <si>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</si>
  <si>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</si>
  <si>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</si>
  <si>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</si>
  <si>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</si>
  <si>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</si>
  <si>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</si>
  <si>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</si>
  <si>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</si>
  <si>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</si>
  <si>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</si>
  <si>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</si>
  <si>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>Share Price (4/25/25)</t>
  </si>
  <si>
    <t>Assumptions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</si>
  <si>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</si>
  <si>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</si>
  <si>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</si>
  <si>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</si>
  <si>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</si>
  <si>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</si>
  <si>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</si>
  <si>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</si>
  <si>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</si>
  <si>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</si>
  <si>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</si>
  <si>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</si>
  <si>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</si>
  <si>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</si>
  <si>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</si>
  <si>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</si>
  <si>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</si>
  <si>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</si>
  <si>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</si>
  <si>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</si>
  <si>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</si>
  <si>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</si>
  <si>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</si>
  <si>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</si>
  <si>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</si>
  <si>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</si>
  <si>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</si>
  <si>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</si>
  <si>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</si>
  <si>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Intangible Amortization</t>
  </si>
  <si>
    <t>Total Depreciation &amp; Amortization</t>
  </si>
  <si>
    <t>=========</t>
  </si>
  <si>
    <t>EV</t>
  </si>
  <si>
    <t>EV/EBITDA</t>
  </si>
  <si>
    <t>EBITDA</t>
  </si>
  <si>
    <t>Price</t>
  </si>
  <si>
    <t>P/E</t>
  </si>
  <si>
    <t>EPS</t>
  </si>
  <si>
    <t>IC 24</t>
  </si>
  <si>
    <t>Profit Margin</t>
  </si>
  <si>
    <t>IC 25 Estimated</t>
  </si>
  <si>
    <t>Turnover</t>
  </si>
  <si>
    <t>Avg IC</t>
  </si>
  <si>
    <t>ROIC Est FY25</t>
  </si>
  <si>
    <t>NI to all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</si>
</sst>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  <numFmt numFmtId="168" formatCode="_(&quot;$&quot;* #,##0.00000_);_(&quot;$&quot;* \(#,##0.000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43" fontId="2" fillId="0" borderId="0" xfId="1" applyFont="1"/>
    <xf numFmtId="164" fontId="2" fillId="0" borderId="0" xfId="1" applyNumberFormat="1" applyFont="1"/>
    <xf numFmtId="165" fontId="2" fillId="0" borderId="0" xfId="3" applyNumberFormat="1" applyFont="1"/>
    <xf numFmtId="164" fontId="2" fillId="0" borderId="0" xfId="1" quotePrefix="1" applyNumberFormat="1" applyFont="1" applyAlignment="1">
      <alignment horizontal="right"/>
    </xf>
    <xf numFmtId="166" fontId="2" fillId="0" borderId="0" xfId="0" applyNumberFormat="1" applyFont="1"/>
    <xf numFmtId="44" fontId="2" fillId="0" borderId="0" xfId="2" applyFont="1"/>
    <xf numFmtId="10" fontId="2" fillId="0" borderId="0" xfId="3" applyNumberFormat="1" applyFont="1"/>
    <xf numFmtId="10" fontId="2" fillId="0" borderId="0" xfId="0" quotePrefix="1" applyNumberFormat="1" applyFont="1" applyAlignment="1">
      <alignment horizontal="right"/>
    </xf>
    <xf numFmtId="0" fontId="2" fillId="0" borderId="0" xfId="3" applyNumberFormat="1" applyFont="1"/>
    <xf numFmtId="10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7" fontId="2" fillId="0" borderId="0" xfId="0" applyNumberFormat="1" applyFont="1"/>
    <xf numFmtId="9" fontId="2" fillId="0" borderId="0" xfId="0" applyNumberFormat="1" applyFont="1"/>
    <xf numFmtId="1" fontId="2" fillId="0" borderId="0" xfId="1" applyNumberFormat="1" applyFont="1"/>
    <xf numFmtId="4" fontId="2" fillId="0" borderId="0" xfId="0" applyNumberFormat="1" applyFont="1"/>
    <xf numFmtId="164" fontId="2" fillId="0" borderId="0" xfId="3" applyNumberFormat="1" applyFont="1"/>
    <xf numFmtId="10" fontId="2" fillId="0" borderId="0" xfId="1" applyNumberFormat="1" applyFont="1"/>
    <xf numFmtId="44" fontId="0" fillId="0" borderId="0" xfId="0" applyNumberFormat="1"/>
    <xf numFmtId="168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41"/>
  <sheetViews>
    <sheetView showGridLines="0" topLeftCell="A39" zoomScale="90" workbookViewId="0">
      <selection activeCell="F40" sqref="F40"/>
    </sheetView>
  </sheetViews>
  <sheetFormatPr defaultRowHeight="14.45"/>
  <cols>
    <col min="1" max="1" width="34.28515625" customWidth="1"/>
    <col min="2" max="2" width="12.7109375" customWidth="1"/>
    <col min="3" max="101" width="10.7109375" customWidth="1"/>
  </cols>
  <sheetData>
    <row r="1" spans="1:107" ht="15.6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15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"/>
      <c r="P4" s="1"/>
      <c r="Q4" t="s">
        <v>4</v>
      </c>
      <c r="R4" t="s">
        <v>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5">
      <c r="A5" s="1"/>
      <c r="B5" s="1"/>
      <c r="N5" s="2" t="s">
        <v>6</v>
      </c>
      <c r="O5" s="1"/>
      <c r="P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ht="15">
      <c r="A6" s="1"/>
      <c r="B6" s="1">
        <f>2023</f>
        <v>2023</v>
      </c>
      <c r="C6" s="1">
        <f t="shared" ref="C6:M6" si="0">+B6+1</f>
        <v>2024</v>
      </c>
      <c r="D6" s="1">
        <f t="shared" si="0"/>
        <v>2025</v>
      </c>
      <c r="E6" s="1">
        <f t="shared" si="0"/>
        <v>2026</v>
      </c>
      <c r="F6" s="1">
        <f t="shared" si="0"/>
        <v>2027</v>
      </c>
      <c r="G6" s="1">
        <f t="shared" si="0"/>
        <v>2028</v>
      </c>
      <c r="H6" s="1">
        <f t="shared" si="0"/>
        <v>2029</v>
      </c>
      <c r="I6" s="1">
        <f t="shared" si="0"/>
        <v>2030</v>
      </c>
      <c r="J6" s="1">
        <f t="shared" si="0"/>
        <v>2031</v>
      </c>
      <c r="K6" s="1">
        <f t="shared" si="0"/>
        <v>2032</v>
      </c>
      <c r="L6" s="1">
        <f t="shared" si="0"/>
        <v>2033</v>
      </c>
      <c r="M6" s="1">
        <f t="shared" si="0"/>
        <v>2034</v>
      </c>
      <c r="N6" s="2" t="s">
        <v>7</v>
      </c>
      <c r="O6" s="1"/>
      <c r="P6" s="1"/>
      <c r="Q6" t="s">
        <v>8</v>
      </c>
      <c r="R6" t="s">
        <v>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ht="15">
      <c r="A7" s="1"/>
      <c r="B7" s="4" t="s">
        <v>10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10</v>
      </c>
      <c r="N7" s="4" t="s">
        <v>10</v>
      </c>
      <c r="O7" s="1"/>
      <c r="P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15">
      <c r="A8" s="1" t="s">
        <v>11</v>
      </c>
      <c r="B8" s="6">
        <v>152669</v>
      </c>
      <c r="C8" s="6">
        <v>159514</v>
      </c>
      <c r="D8" s="19">
        <f t="shared" ref="D8:M8" si="1">C8*(1+D56)</f>
        <v>163980.39199999999</v>
      </c>
      <c r="E8" s="19">
        <f t="shared" si="1"/>
        <v>169719.70571999997</v>
      </c>
      <c r="F8" s="19">
        <f t="shared" si="1"/>
        <v>177357.09247739994</v>
      </c>
      <c r="G8" s="19">
        <f t="shared" si="1"/>
        <v>185338.16163888294</v>
      </c>
      <c r="H8" s="19">
        <f t="shared" si="1"/>
        <v>193678.37891263267</v>
      </c>
      <c r="I8" s="19">
        <f t="shared" si="1"/>
        <v>201425.51406913798</v>
      </c>
      <c r="J8" s="19">
        <f t="shared" si="1"/>
        <v>209482.53463190352</v>
      </c>
      <c r="K8" s="19">
        <f t="shared" si="1"/>
        <v>217861.83601717965</v>
      </c>
      <c r="L8" s="19">
        <f t="shared" si="1"/>
        <v>226576.30945786685</v>
      </c>
      <c r="M8" s="19">
        <f t="shared" si="1"/>
        <v>235639.36183618155</v>
      </c>
      <c r="N8" s="6"/>
      <c r="O8" s="6"/>
      <c r="P8" s="11"/>
      <c r="Q8" t="s">
        <v>12</v>
      </c>
      <c r="R8" t="s">
        <v>13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ht="15">
      <c r="A9" s="1" t="s">
        <v>14</v>
      </c>
      <c r="B9" s="6">
        <v>101135</v>
      </c>
      <c r="C9" s="6">
        <v>105904</v>
      </c>
      <c r="D9" s="6">
        <f t="shared" ref="D9:M9" si="2">D8*D57</f>
        <v>109210.941072</v>
      </c>
      <c r="E9" s="6">
        <f t="shared" si="2"/>
        <v>112863.60430379999</v>
      </c>
      <c r="F9" s="6">
        <f t="shared" si="2"/>
        <v>117499.07376627746</v>
      </c>
      <c r="G9" s="6">
        <f t="shared" si="2"/>
        <v>122323.18668166274</v>
      </c>
      <c r="H9" s="6">
        <f t="shared" si="2"/>
        <v>127827.73008233757</v>
      </c>
      <c r="I9" s="6">
        <f t="shared" si="2"/>
        <v>131933.71171528538</v>
      </c>
      <c r="J9" s="6">
        <f t="shared" si="2"/>
        <v>136163.6475107373</v>
      </c>
      <c r="K9" s="6">
        <f t="shared" si="2"/>
        <v>141065.53882112383</v>
      </c>
      <c r="L9" s="6">
        <f t="shared" si="2"/>
        <v>146708.16037396877</v>
      </c>
      <c r="M9" s="6">
        <f t="shared" si="2"/>
        <v>152576.48678892755</v>
      </c>
      <c r="N9" s="6"/>
      <c r="O9" s="6"/>
      <c r="P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ht="15">
      <c r="A10" s="1"/>
      <c r="B10" s="4" t="s">
        <v>10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6"/>
      <c r="O10" s="6"/>
      <c r="P10" s="6"/>
      <c r="Q10" t="s">
        <v>15</v>
      </c>
      <c r="R10" t="s">
        <v>16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15">
      <c r="A11" s="1" t="s">
        <v>17</v>
      </c>
      <c r="B11" s="6">
        <f>+B8-B9</f>
        <v>51534</v>
      </c>
      <c r="C11" s="6">
        <f>+C8-C9</f>
        <v>53610</v>
      </c>
      <c r="D11" s="6">
        <f t="shared" ref="D11:M11" si="3">D8-D9</f>
        <v>54769.450927999991</v>
      </c>
      <c r="E11" s="6">
        <f t="shared" si="3"/>
        <v>56856.101416199977</v>
      </c>
      <c r="F11" s="6">
        <f t="shared" si="3"/>
        <v>59858.01871112248</v>
      </c>
      <c r="G11" s="6">
        <f t="shared" si="3"/>
        <v>63014.974957220198</v>
      </c>
      <c r="H11" s="6">
        <f t="shared" si="3"/>
        <v>65850.648830295104</v>
      </c>
      <c r="I11" s="6">
        <f t="shared" si="3"/>
        <v>69491.802353852603</v>
      </c>
      <c r="J11" s="6">
        <f t="shared" si="3"/>
        <v>73318.887121166219</v>
      </c>
      <c r="K11" s="6">
        <f t="shared" si="3"/>
        <v>76796.297196055821</v>
      </c>
      <c r="L11" s="6">
        <f t="shared" si="3"/>
        <v>79868.149083898083</v>
      </c>
      <c r="M11" s="6">
        <f t="shared" si="3"/>
        <v>83062.875047253998</v>
      </c>
      <c r="N11" s="6"/>
      <c r="O11" s="6"/>
      <c r="P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15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t="s">
        <v>18</v>
      </c>
      <c r="R12" t="s">
        <v>19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>
      <c r="A13" s="1" t="s">
        <v>20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>
      <c r="A14" s="1" t="s">
        <v>21</v>
      </c>
      <c r="B14" s="1">
        <v>26598</v>
      </c>
      <c r="C14" s="6">
        <v>28748</v>
      </c>
      <c r="D14" s="6">
        <f t="shared" ref="D14:M14" si="4">D8*D62</f>
        <v>29516.470559999998</v>
      </c>
      <c r="E14" s="6">
        <f t="shared" si="4"/>
        <v>30379.827323879992</v>
      </c>
      <c r="F14" s="6">
        <f t="shared" si="4"/>
        <v>31622.769588720406</v>
      </c>
      <c r="G14" s="6">
        <f t="shared" si="4"/>
        <v>32619.516448443395</v>
      </c>
      <c r="H14" s="6">
        <f t="shared" si="4"/>
        <v>33409.520362429132</v>
      </c>
      <c r="I14" s="6">
        <f t="shared" si="4"/>
        <v>34745.901176926302</v>
      </c>
      <c r="J14" s="6">
        <f t="shared" si="4"/>
        <v>36135.737224003351</v>
      </c>
      <c r="K14" s="6">
        <f t="shared" si="4"/>
        <v>37581.166712963488</v>
      </c>
      <c r="L14" s="6">
        <f t="shared" si="4"/>
        <v>38971.125226753094</v>
      </c>
      <c r="M14" s="6">
        <f t="shared" si="4"/>
        <v>40529.970235823224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>
      <c r="A15" s="1" t="s">
        <v>22</v>
      </c>
      <c r="B15" s="16">
        <f>B115</f>
        <v>3247</v>
      </c>
      <c r="C15" s="16">
        <f>C115</f>
        <v>3336</v>
      </c>
      <c r="D15" s="16">
        <f t="shared" ref="C15:M15" si="5">D115</f>
        <v>3301.0231090476191</v>
      </c>
      <c r="E15" s="16">
        <f t="shared" si="5"/>
        <v>3364.8053970302381</v>
      </c>
      <c r="F15" s="16">
        <f t="shared" si="5"/>
        <v>3407.0101085552569</v>
      </c>
      <c r="G15" s="16">
        <f t="shared" si="5"/>
        <v>3448.1958892417588</v>
      </c>
      <c r="H15" s="16">
        <f t="shared" si="5"/>
        <v>3472.7218872020103</v>
      </c>
      <c r="I15" s="16">
        <f t="shared" si="5"/>
        <v>3526.8524689118535</v>
      </c>
      <c r="J15" s="16">
        <f t="shared" si="5"/>
        <v>3588.2343691281862</v>
      </c>
      <c r="K15" s="16">
        <f t="shared" si="5"/>
        <v>3657.157640591267</v>
      </c>
      <c r="L15" s="16">
        <f t="shared" si="5"/>
        <v>3728.2595304145193</v>
      </c>
      <c r="M15" s="16">
        <f t="shared" si="5"/>
        <v>3807.2915910687971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>
      <c r="A16" s="1"/>
      <c r="B16" s="4" t="s">
        <v>10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  <c r="M16" s="4" t="s">
        <v>10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>
      <c r="A17" s="1" t="s">
        <v>23</v>
      </c>
      <c r="B17" s="6">
        <f>SUM(B14:B16)</f>
        <v>29845</v>
      </c>
      <c r="C17" s="6">
        <f>SUM(C14:C16)</f>
        <v>32084</v>
      </c>
      <c r="D17" s="6">
        <f t="shared" ref="D17:M17" si="6">SUM(D14:D15)</f>
        <v>32817.493669047617</v>
      </c>
      <c r="E17" s="6">
        <f t="shared" si="6"/>
        <v>33744.632720910231</v>
      </c>
      <c r="F17" s="6">
        <f t="shared" si="6"/>
        <v>35029.779697275662</v>
      </c>
      <c r="G17" s="6">
        <f t="shared" si="6"/>
        <v>36067.712337685152</v>
      </c>
      <c r="H17" s="6">
        <f t="shared" si="6"/>
        <v>36882.242249631141</v>
      </c>
      <c r="I17" s="6">
        <f t="shared" si="6"/>
        <v>38272.753645838158</v>
      </c>
      <c r="J17" s="6">
        <f t="shared" si="6"/>
        <v>39723.971593131537</v>
      </c>
      <c r="K17" s="6">
        <f t="shared" si="6"/>
        <v>41238.324353554752</v>
      </c>
      <c r="L17" s="6">
        <f t="shared" si="6"/>
        <v>42699.384757167616</v>
      </c>
      <c r="M17" s="6">
        <f t="shared" si="6"/>
        <v>44337.26182689202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>
      <c r="A18" s="1"/>
      <c r="B18" s="4" t="s">
        <v>10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  <c r="M18" s="4" t="s">
        <v>10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>
      <c r="A19" s="1" t="s">
        <v>24</v>
      </c>
      <c r="B19" s="6">
        <f>+B11-B17</f>
        <v>21689</v>
      </c>
      <c r="C19" s="6">
        <f>+C11-C17+425</f>
        <v>21951</v>
      </c>
      <c r="D19" s="6">
        <f t="shared" ref="D19:M19" si="7">D11-D17</f>
        <v>21951.957258952374</v>
      </c>
      <c r="E19" s="6">
        <f t="shared" si="7"/>
        <v>23111.468695289746</v>
      </c>
      <c r="F19" s="6">
        <f t="shared" si="7"/>
        <v>24828.239013846818</v>
      </c>
      <c r="G19" s="6">
        <f t="shared" si="7"/>
        <v>26947.262619535046</v>
      </c>
      <c r="H19" s="6">
        <f t="shared" si="7"/>
        <v>28968.406580663963</v>
      </c>
      <c r="I19" s="6">
        <f t="shared" si="7"/>
        <v>31219.048708014445</v>
      </c>
      <c r="J19" s="6">
        <f t="shared" si="7"/>
        <v>33594.915528034682</v>
      </c>
      <c r="K19" s="6">
        <f t="shared" si="7"/>
        <v>35557.972842501069</v>
      </c>
      <c r="L19" s="6">
        <f t="shared" si="7"/>
        <v>37168.764326730467</v>
      </c>
      <c r="M19" s="6">
        <f t="shared" si="7"/>
        <v>38725.613220361978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>
      <c r="A21" s="1" t="s">
        <v>25</v>
      </c>
      <c r="B21" s="6">
        <f>+B8*B69</f>
        <v>0</v>
      </c>
      <c r="C21" s="6">
        <f>+C8*C69</f>
        <v>0</v>
      </c>
      <c r="D21" s="6">
        <f t="shared" ref="D21:M21" si="8">D69*D8</f>
        <v>0</v>
      </c>
      <c r="E21" s="6">
        <f t="shared" si="8"/>
        <v>0</v>
      </c>
      <c r="F21" s="6">
        <f t="shared" si="8"/>
        <v>0</v>
      </c>
      <c r="G21" s="6">
        <f t="shared" si="8"/>
        <v>0</v>
      </c>
      <c r="H21" s="6">
        <f t="shared" si="8"/>
        <v>0</v>
      </c>
      <c r="I21" s="6">
        <f t="shared" si="8"/>
        <v>0</v>
      </c>
      <c r="J21" s="6">
        <f t="shared" si="8"/>
        <v>0</v>
      </c>
      <c r="K21" s="6">
        <f t="shared" si="8"/>
        <v>0</v>
      </c>
      <c r="L21" s="6">
        <f t="shared" si="8"/>
        <v>0</v>
      </c>
      <c r="M21" s="6">
        <f t="shared" si="8"/>
        <v>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>
      <c r="A22" s="1"/>
      <c r="B22" s="4" t="s">
        <v>10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  <c r="M22" s="4" t="s">
        <v>10</v>
      </c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>
      <c r="A23" s="1" t="s">
        <v>26</v>
      </c>
      <c r="B23" s="6">
        <v>19627</v>
      </c>
      <c r="C23" s="6">
        <v>19831</v>
      </c>
      <c r="D23" s="6">
        <f>SUM(D19:D21)</f>
        <v>21951.957258952374</v>
      </c>
      <c r="E23" s="6">
        <f t="shared" ref="E23:M23" si="9">SUM(E19:E21)</f>
        <v>23111.468695289746</v>
      </c>
      <c r="F23" s="6">
        <f t="shared" si="9"/>
        <v>24828.239013846818</v>
      </c>
      <c r="G23" s="6">
        <f t="shared" si="9"/>
        <v>26947.262619535046</v>
      </c>
      <c r="H23" s="6">
        <f t="shared" si="9"/>
        <v>28968.406580663963</v>
      </c>
      <c r="I23" s="6">
        <f t="shared" si="9"/>
        <v>31219.048708014445</v>
      </c>
      <c r="J23" s="6">
        <f t="shared" si="9"/>
        <v>33594.915528034682</v>
      </c>
      <c r="K23" s="6">
        <f t="shared" si="9"/>
        <v>35557.972842501069</v>
      </c>
      <c r="L23" s="6">
        <f t="shared" si="9"/>
        <v>37168.764326730467</v>
      </c>
      <c r="M23" s="6">
        <f t="shared" si="9"/>
        <v>38725.613220361978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>
      <c r="A24" s="1" t="s">
        <v>27</v>
      </c>
      <c r="B24" s="6">
        <v>4795</v>
      </c>
      <c r="C24" s="6">
        <v>4493</v>
      </c>
      <c r="D24" s="6">
        <f t="shared" ref="D24:M24" si="10">D23*D72</f>
        <v>5378.2295284433312</v>
      </c>
      <c r="E24" s="6">
        <f t="shared" si="10"/>
        <v>5662.3098303459874</v>
      </c>
      <c r="F24" s="6">
        <f t="shared" si="10"/>
        <v>6082.91855839247</v>
      </c>
      <c r="G24" s="6">
        <f t="shared" si="10"/>
        <v>6602.0793417860859</v>
      </c>
      <c r="H24" s="6">
        <f t="shared" si="10"/>
        <v>7097.259612262671</v>
      </c>
      <c r="I24" s="6">
        <f t="shared" si="10"/>
        <v>7648.666933463539</v>
      </c>
      <c r="J24" s="6">
        <f t="shared" si="10"/>
        <v>8230.7543043684964</v>
      </c>
      <c r="K24" s="6">
        <f t="shared" si="10"/>
        <v>8711.7033464127617</v>
      </c>
      <c r="L24" s="6">
        <f t="shared" si="10"/>
        <v>9106.347260048964</v>
      </c>
      <c r="M24" s="6">
        <f t="shared" si="10"/>
        <v>9487.7752389886846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>
      <c r="A25" s="1"/>
      <c r="B25" s="4" t="s">
        <v>10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  <c r="M25" s="4" t="s">
        <v>10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>
      <c r="A26" s="1" t="s">
        <v>28</v>
      </c>
      <c r="B26" s="6">
        <f t="shared" ref="B26:C26" si="11">+B23-B24</f>
        <v>14832</v>
      </c>
      <c r="C26" s="6">
        <f t="shared" si="11"/>
        <v>15338</v>
      </c>
      <c r="D26" s="6">
        <f>D23-D24</f>
        <v>16573.727730509043</v>
      </c>
      <c r="E26" s="6">
        <f t="shared" ref="E26:M26" si="12">E23-E24</f>
        <v>17449.158864943758</v>
      </c>
      <c r="F26" s="6">
        <f t="shared" si="12"/>
        <v>18745.320455454348</v>
      </c>
      <c r="G26" s="6">
        <f t="shared" si="12"/>
        <v>20345.183277748962</v>
      </c>
      <c r="H26" s="6">
        <f t="shared" si="12"/>
        <v>21871.146968401292</v>
      </c>
      <c r="I26" s="6">
        <f t="shared" si="12"/>
        <v>23570.381774550908</v>
      </c>
      <c r="J26" s="6">
        <f t="shared" si="12"/>
        <v>25364.161223666186</v>
      </c>
      <c r="K26" s="6">
        <f t="shared" si="12"/>
        <v>26846.269496088309</v>
      </c>
      <c r="L26" s="6">
        <f t="shared" si="12"/>
        <v>28062.417066681504</v>
      </c>
      <c r="M26" s="6">
        <f t="shared" si="12"/>
        <v>29237.837981373294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>
      <c r="A28" s="3" t="s">
        <v>29</v>
      </c>
      <c r="B28" s="6">
        <f>B115</f>
        <v>3247</v>
      </c>
      <c r="C28" s="6">
        <f t="shared" ref="C28:M28" si="13">C115</f>
        <v>3336</v>
      </c>
      <c r="D28" s="6">
        <f t="shared" si="13"/>
        <v>3301.0231090476191</v>
      </c>
      <c r="E28" s="6">
        <f t="shared" si="13"/>
        <v>3364.8053970302381</v>
      </c>
      <c r="F28" s="6">
        <f t="shared" si="13"/>
        <v>3407.0101085552569</v>
      </c>
      <c r="G28" s="6">
        <f t="shared" si="13"/>
        <v>3448.1958892417588</v>
      </c>
      <c r="H28" s="6">
        <f t="shared" si="13"/>
        <v>3472.7218872020103</v>
      </c>
      <c r="I28" s="6">
        <f t="shared" si="13"/>
        <v>3526.8524689118535</v>
      </c>
      <c r="J28" s="6">
        <f t="shared" si="13"/>
        <v>3588.2343691281862</v>
      </c>
      <c r="K28" s="6">
        <f t="shared" si="13"/>
        <v>3657.157640591267</v>
      </c>
      <c r="L28" s="6">
        <f t="shared" si="13"/>
        <v>3728.2595304145193</v>
      </c>
      <c r="M28" s="6">
        <f t="shared" si="13"/>
        <v>3807.2915910687971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>
      <c r="A29" s="3" t="s">
        <v>30</v>
      </c>
      <c r="B29" s="6">
        <v>-3200</v>
      </c>
      <c r="C29" s="6">
        <v>-3500</v>
      </c>
      <c r="D29" s="6">
        <f t="shared" ref="D29:M29" si="14">-D8*D78</f>
        <v>-4099.5097999999998</v>
      </c>
      <c r="E29" s="6">
        <f t="shared" si="14"/>
        <v>-3818.6933786999994</v>
      </c>
      <c r="F29" s="6">
        <f t="shared" si="14"/>
        <v>-3547.1418495479988</v>
      </c>
      <c r="G29" s="6">
        <f t="shared" si="14"/>
        <v>-3706.7632327776591</v>
      </c>
      <c r="H29" s="6">
        <f t="shared" si="14"/>
        <v>-3873.5675782526537</v>
      </c>
      <c r="I29" s="6">
        <f t="shared" si="14"/>
        <v>-3625.6592532444834</v>
      </c>
      <c r="J29" s="6">
        <f t="shared" si="14"/>
        <v>-3770.6856233742628</v>
      </c>
      <c r="K29" s="6">
        <f t="shared" si="14"/>
        <v>-3921.5130483092335</v>
      </c>
      <c r="L29" s="6">
        <f t="shared" si="14"/>
        <v>-3965.0854155126704</v>
      </c>
      <c r="M29" s="6">
        <f t="shared" si="14"/>
        <v>-4123.6888321331771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>
      <c r="A30" s="3" t="s">
        <v>31</v>
      </c>
      <c r="B30" s="6">
        <v>1464</v>
      </c>
      <c r="C30" s="6">
        <v>1208</v>
      </c>
      <c r="D30" s="6">
        <f t="shared" ref="D30:M30" si="15">(C8-D8)*$B$80</f>
        <v>-200.98763999999966</v>
      </c>
      <c r="E30" s="6">
        <f t="shared" si="15"/>
        <v>-258.26911739999895</v>
      </c>
      <c r="F30" s="6">
        <f t="shared" si="15"/>
        <v>-343.6824040829988</v>
      </c>
      <c r="G30" s="6">
        <f t="shared" si="15"/>
        <v>-359.14811226673498</v>
      </c>
      <c r="H30" s="6">
        <f t="shared" si="15"/>
        <v>-375.30977731873787</v>
      </c>
      <c r="I30" s="6">
        <f t="shared" si="15"/>
        <v>-348.62108204273869</v>
      </c>
      <c r="J30" s="6">
        <f t="shared" si="15"/>
        <v>-362.56592532444921</v>
      </c>
      <c r="K30" s="6">
        <f t="shared" si="15"/>
        <v>-377.0685623374261</v>
      </c>
      <c r="L30" s="6">
        <f t="shared" si="15"/>
        <v>-392.15130483092406</v>
      </c>
      <c r="M30" s="6">
        <f t="shared" si="15"/>
        <v>-407.83735702416118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>
      <c r="A31" s="1"/>
      <c r="B31" s="4" t="s">
        <v>10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  <c r="M31" s="4" t="s">
        <v>10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1" t="s">
        <v>32</v>
      </c>
      <c r="B32" s="6">
        <f>+B26+SUM(B28:B31)</f>
        <v>16343</v>
      </c>
      <c r="C32" s="6">
        <f>+C26+SUM(C28:C31)</f>
        <v>16382</v>
      </c>
      <c r="D32" s="6">
        <f>(D26+SUM(D28:D30))*0.75</f>
        <v>11680.690049667497</v>
      </c>
      <c r="E32" s="6">
        <f t="shared" ref="E32:M32" si="16">E26+SUM(E28:E30)</f>
        <v>16737.001765873996</v>
      </c>
      <c r="F32" s="6">
        <f t="shared" si="16"/>
        <v>18261.506310378609</v>
      </c>
      <c r="G32" s="6">
        <f t="shared" si="16"/>
        <v>19727.467821946328</v>
      </c>
      <c r="H32" s="6">
        <f t="shared" si="16"/>
        <v>21094.991500031909</v>
      </c>
      <c r="I32" s="6">
        <f t="shared" si="16"/>
        <v>23122.953908175539</v>
      </c>
      <c r="J32" s="6">
        <f t="shared" si="16"/>
        <v>24819.144044095661</v>
      </c>
      <c r="K32" s="6">
        <f t="shared" si="16"/>
        <v>26204.845526032917</v>
      </c>
      <c r="L32" s="6">
        <f t="shared" si="16"/>
        <v>27433.439876752429</v>
      </c>
      <c r="M32" s="6">
        <f t="shared" si="16"/>
        <v>28513.603383284753</v>
      </c>
      <c r="N32" s="6">
        <f>M26*(1-0.0075/0.2648)/(B90-0.0075)</f>
        <v>417874.39464170724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1" t="s">
        <v>33</v>
      </c>
      <c r="B33" s="9"/>
      <c r="C33" s="9"/>
      <c r="D33" s="9">
        <f>1/(1+$B$90)^(D91/12)</f>
        <v>0.99094463453612391</v>
      </c>
      <c r="E33" s="9">
        <f t="shared" ref="E33:N33" si="17">1/(1+$B$90)^(E91/12)</f>
        <v>0.94688305163152831</v>
      </c>
      <c r="F33" s="9">
        <f t="shared" si="17"/>
        <v>0.88042317811408799</v>
      </c>
      <c r="G33" s="9">
        <f t="shared" si="17"/>
        <v>0.81862799341998604</v>
      </c>
      <c r="H33" s="9">
        <f t="shared" si="17"/>
        <v>0.76117009214402176</v>
      </c>
      <c r="I33" s="9">
        <f t="shared" si="17"/>
        <v>0.70774504882744149</v>
      </c>
      <c r="J33" s="9">
        <f t="shared" si="17"/>
        <v>0.65806980504034462</v>
      </c>
      <c r="K33" s="9">
        <f t="shared" si="17"/>
        <v>0.61188116967162631</v>
      </c>
      <c r="L33" s="9">
        <f t="shared" si="17"/>
        <v>0.56893442448064324</v>
      </c>
      <c r="M33" s="9">
        <f t="shared" si="17"/>
        <v>0.52900202752248626</v>
      </c>
      <c r="N33" s="9">
        <f t="shared" si="17"/>
        <v>0.51009950097089884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>
      <c r="A34" s="1"/>
      <c r="B34" s="4"/>
      <c r="C34" s="4"/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>
      <c r="A35" s="1" t="s">
        <v>34</v>
      </c>
      <c r="B35" s="6"/>
      <c r="C35" s="6"/>
      <c r="D35" s="6">
        <f>D32*D33</f>
        <v>11574.917132397497</v>
      </c>
      <c r="E35" s="6">
        <f>E32*E33</f>
        <v>15847.983307233048</v>
      </c>
      <c r="F35" s="6">
        <f t="shared" ref="F35:J35" si="18">+F32*F33</f>
        <v>16077.853422934008</v>
      </c>
      <c r="G35" s="6">
        <f t="shared" si="18"/>
        <v>16149.457398337265</v>
      </c>
      <c r="H35" s="6">
        <f t="shared" si="18"/>
        <v>16056.876623856644</v>
      </c>
      <c r="I35" s="6">
        <f t="shared" si="18"/>
        <v>16365.156142776375</v>
      </c>
      <c r="J35" s="6">
        <f t="shared" si="18"/>
        <v>16332.729282366263</v>
      </c>
      <c r="K35" s="6">
        <f t="shared" ref="K35:L35" si="19">+K32*K33</f>
        <v>16034.251531533306</v>
      </c>
      <c r="L35" s="6">
        <f t="shared" si="19"/>
        <v>15607.828327804471</v>
      </c>
      <c r="M35" s="6">
        <f t="shared" ref="M35" si="20">+M32*M33</f>
        <v>15083.754001729658</v>
      </c>
      <c r="N35" s="6">
        <f>+N32*N33</f>
        <v>213157.52017525132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>
      <c r="A36" s="1"/>
      <c r="B36" s="1"/>
      <c r="C36" s="1"/>
      <c r="D36" s="4" t="s">
        <v>10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 t="s">
        <v>35</v>
      </c>
      <c r="B37" s="1"/>
      <c r="C37" s="1"/>
      <c r="D37" s="6">
        <f>SUM(D35:N35)</f>
        <v>368288.32734621986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>
      <c r="A38" s="1" t="s">
        <v>36</v>
      </c>
      <c r="B38" s="1"/>
      <c r="C38" s="1"/>
      <c r="D38" s="6">
        <v>-53383</v>
      </c>
      <c r="E38" s="6"/>
      <c r="F38" s="6"/>
      <c r="G38" s="21"/>
      <c r="H38" s="22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>
      <c r="A39" s="1" t="s">
        <v>37</v>
      </c>
      <c r="B39" s="1"/>
      <c r="C39" s="1"/>
      <c r="D39" s="6">
        <v>1659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>
      <c r="A40" s="1"/>
      <c r="B40" s="1"/>
      <c r="C40" s="1"/>
      <c r="D40" s="4" t="s">
        <v>10</v>
      </c>
      <c r="E40" s="6"/>
      <c r="F40" s="22"/>
      <c r="G40" s="2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>
      <c r="A41" s="1" t="s">
        <v>38</v>
      </c>
      <c r="B41" s="1"/>
      <c r="C41" s="1"/>
      <c r="D41" s="6">
        <f>SUM(D37:D39)</f>
        <v>316564.32734621986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>
      <c r="A42" s="1" t="s">
        <v>39</v>
      </c>
      <c r="B42" s="1"/>
      <c r="C42" s="1"/>
      <c r="D42" s="6">
        <v>993</v>
      </c>
      <c r="E42" s="6"/>
      <c r="F42" s="2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>
      <c r="A43" s="1"/>
      <c r="B43" s="1"/>
      <c r="C43" s="1"/>
      <c r="D43" s="4" t="s">
        <v>10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>
      <c r="A44" s="1" t="s">
        <v>40</v>
      </c>
      <c r="B44" s="1"/>
      <c r="C44" s="1"/>
      <c r="D44" s="10">
        <f>D41/D42</f>
        <v>318.79589863667661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>
      <c r="A45" s="1"/>
      <c r="B45" s="1"/>
      <c r="C45" s="1"/>
      <c r="D45" s="8" t="s">
        <v>41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>
      <c r="A46" s="1"/>
      <c r="B46" s="1"/>
      <c r="C46" s="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>
      <c r="A47" s="1" t="s">
        <v>42</v>
      </c>
      <c r="B47" s="1"/>
      <c r="C47" s="1"/>
      <c r="D47" s="10">
        <v>357.58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15.6">
      <c r="A49" s="28" t="s">
        <v>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>
      <c r="A50" s="27" t="s">
        <v>1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>
      <c r="A51" s="27" t="s">
        <v>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>
      <c r="A52" s="27" t="s">
        <v>43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>
      <c r="A54" s="1"/>
      <c r="B54" s="1">
        <f>2023</f>
        <v>2023</v>
      </c>
      <c r="C54" s="1">
        <f t="shared" ref="C54:M54" si="21">+B54+1</f>
        <v>2024</v>
      </c>
      <c r="D54" s="1">
        <f t="shared" si="21"/>
        <v>2025</v>
      </c>
      <c r="E54" s="1">
        <f t="shared" si="21"/>
        <v>2026</v>
      </c>
      <c r="F54" s="1">
        <f t="shared" si="21"/>
        <v>2027</v>
      </c>
      <c r="G54" s="1">
        <f t="shared" si="21"/>
        <v>2028</v>
      </c>
      <c r="H54" s="1">
        <f t="shared" si="21"/>
        <v>2029</v>
      </c>
      <c r="I54" s="1">
        <f t="shared" si="21"/>
        <v>2030</v>
      </c>
      <c r="J54" s="1">
        <f t="shared" si="21"/>
        <v>2031</v>
      </c>
      <c r="K54" s="1">
        <f t="shared" si="21"/>
        <v>2032</v>
      </c>
      <c r="L54" s="1">
        <f t="shared" si="21"/>
        <v>2033</v>
      </c>
      <c r="M54" s="1">
        <f t="shared" si="21"/>
        <v>2034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>
      <c r="A55" s="1"/>
      <c r="B55" s="4" t="s">
        <v>10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  <c r="M55" s="4" t="s">
        <v>10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>
      <c r="A56" s="1" t="s">
        <v>44</v>
      </c>
      <c r="B56" s="11">
        <v>-3.0099999999999998E-2</v>
      </c>
      <c r="C56" s="11">
        <f>+C8/B8-1</f>
        <v>4.4835559281845017E-2</v>
      </c>
      <c r="D56" s="11">
        <v>2.8000000000000001E-2</v>
      </c>
      <c r="E56" s="11">
        <v>3.5000000000000003E-2</v>
      </c>
      <c r="F56" s="11">
        <v>4.4999999999999998E-2</v>
      </c>
      <c r="G56" s="11">
        <v>4.4999999999999998E-2</v>
      </c>
      <c r="H56" s="11">
        <v>4.4999999999999998E-2</v>
      </c>
      <c r="I56" s="11">
        <v>0.04</v>
      </c>
      <c r="J56" s="11">
        <v>0.04</v>
      </c>
      <c r="K56" s="11">
        <v>0.04</v>
      </c>
      <c r="L56" s="11">
        <v>0.04</v>
      </c>
      <c r="M56" s="11">
        <v>0.04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>
      <c r="A57" s="1" t="s">
        <v>14</v>
      </c>
      <c r="B57" s="11">
        <f>+B9/B8</f>
        <v>0.66244620715403912</v>
      </c>
      <c r="C57" s="11">
        <f>+C9/C8</f>
        <v>0.66391664681469964</v>
      </c>
      <c r="D57" s="11">
        <v>0.66600000000000004</v>
      </c>
      <c r="E57" s="11">
        <v>0.66500000000000004</v>
      </c>
      <c r="F57" s="11">
        <v>0.66249999999999998</v>
      </c>
      <c r="G57" s="11">
        <v>0.66</v>
      </c>
      <c r="H57" s="11">
        <v>0.66</v>
      </c>
      <c r="I57" s="11">
        <v>0.65500000000000003</v>
      </c>
      <c r="J57" s="11">
        <v>0.65</v>
      </c>
      <c r="K57" s="11">
        <v>0.64749999999999996</v>
      </c>
      <c r="L57" s="11">
        <v>0.64749999999999996</v>
      </c>
      <c r="M57" s="11">
        <v>0.64749999999999996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>
      <c r="A58" s="1"/>
      <c r="B58" s="12" t="s">
        <v>10</v>
      </c>
      <c r="C58" s="12" t="s">
        <v>10</v>
      </c>
      <c r="D58" s="12" t="s">
        <v>10</v>
      </c>
      <c r="E58" s="12" t="s">
        <v>10</v>
      </c>
      <c r="F58" s="12" t="s">
        <v>10</v>
      </c>
      <c r="G58" s="12" t="s">
        <v>10</v>
      </c>
      <c r="H58" s="12" t="s">
        <v>10</v>
      </c>
      <c r="I58" s="12" t="s">
        <v>10</v>
      </c>
      <c r="J58" s="12" t="s">
        <v>10</v>
      </c>
      <c r="K58" s="12" t="s">
        <v>10</v>
      </c>
      <c r="L58" s="12" t="s">
        <v>10</v>
      </c>
      <c r="M58" s="12" t="s">
        <v>10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>
      <c r="A59" s="1" t="s">
        <v>17</v>
      </c>
      <c r="B59" s="11">
        <f>+B11/B8</f>
        <v>0.33755379284596088</v>
      </c>
      <c r="C59" s="11">
        <f>+C11/C8</f>
        <v>0.33608335318530036</v>
      </c>
      <c r="D59" s="11">
        <f t="shared" ref="D59:M59" si="22">+D11/D8</f>
        <v>0.33399999999999996</v>
      </c>
      <c r="E59" s="11">
        <f t="shared" si="22"/>
        <v>0.33499999999999991</v>
      </c>
      <c r="F59" s="11">
        <f t="shared" si="22"/>
        <v>0.33750000000000002</v>
      </c>
      <c r="G59" s="11">
        <f t="shared" si="22"/>
        <v>0.33999999999999997</v>
      </c>
      <c r="H59" s="11">
        <f t="shared" si="22"/>
        <v>0.33999999999999997</v>
      </c>
      <c r="I59" s="11">
        <f t="shared" si="22"/>
        <v>0.34500000000000003</v>
      </c>
      <c r="J59" s="11">
        <f t="shared" si="22"/>
        <v>0.34999999999999992</v>
      </c>
      <c r="K59" s="11">
        <f t="shared" si="22"/>
        <v>0.35249999999999998</v>
      </c>
      <c r="L59" s="11">
        <f t="shared" si="22"/>
        <v>0.35250000000000009</v>
      </c>
      <c r="M59" s="11">
        <f t="shared" si="22"/>
        <v>0.35250000000000004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>
      <c r="A60" s="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>
      <c r="A61" s="1" t="s">
        <v>20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>
      <c r="A62" s="1" t="s">
        <v>21</v>
      </c>
      <c r="B62" s="11">
        <f>B14/B8</f>
        <v>0.17422004467180632</v>
      </c>
      <c r="C62" s="11">
        <f>C14/C8</f>
        <v>0.1802224256178141</v>
      </c>
      <c r="D62" s="11">
        <v>0.18</v>
      </c>
      <c r="E62" s="11">
        <v>0.17899999999999999</v>
      </c>
      <c r="F62" s="11">
        <v>0.17829999999999999</v>
      </c>
      <c r="G62" s="11">
        <v>0.17599999999999999</v>
      </c>
      <c r="H62" s="11">
        <v>0.17249999999999999</v>
      </c>
      <c r="I62" s="11">
        <v>0.17249999999999999</v>
      </c>
      <c r="J62" s="11">
        <v>0.17249999999999999</v>
      </c>
      <c r="K62" s="11">
        <v>0.17249999999999999</v>
      </c>
      <c r="L62" s="11">
        <v>0.17199999999999999</v>
      </c>
      <c r="M62" s="11">
        <v>0.17199999999999999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>
      <c r="A63" s="1" t="s">
        <v>22</v>
      </c>
      <c r="B63" s="11">
        <f>B15/B8</f>
        <v>2.1268233891621743E-2</v>
      </c>
      <c r="C63" s="11">
        <f t="shared" ref="C63:M63" si="23">C15/C8</f>
        <v>2.0913524831676217E-2</v>
      </c>
      <c r="D63" s="11">
        <f t="shared" si="23"/>
        <v>2.0130596523074657E-2</v>
      </c>
      <c r="E63" s="11">
        <f t="shared" si="23"/>
        <v>1.9825661273425867E-2</v>
      </c>
      <c r="F63" s="11">
        <f t="shared" si="23"/>
        <v>1.9209889274596683E-2</v>
      </c>
      <c r="G63" s="11">
        <f t="shared" si="23"/>
        <v>1.8604888808384221E-2</v>
      </c>
      <c r="H63" s="11">
        <f t="shared" si="23"/>
        <v>1.7930353954317933E-2</v>
      </c>
      <c r="I63" s="11">
        <f t="shared" si="23"/>
        <v>1.750946241944943E-2</v>
      </c>
      <c r="J63" s="11">
        <f t="shared" si="23"/>
        <v>1.7129038348869155E-2</v>
      </c>
      <c r="K63" s="11">
        <f t="shared" si="23"/>
        <v>1.6786591481322499E-2</v>
      </c>
      <c r="L63" s="11">
        <f t="shared" si="23"/>
        <v>1.6454763251000034E-2</v>
      </c>
      <c r="M63" s="11">
        <f t="shared" si="23"/>
        <v>1.6157281879398647E-2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>
      <c r="A64" s="1"/>
      <c r="B64" s="12" t="s">
        <v>10</v>
      </c>
      <c r="C64" s="12" t="s">
        <v>10</v>
      </c>
      <c r="D64" s="12" t="s">
        <v>10</v>
      </c>
      <c r="E64" s="12" t="s">
        <v>10</v>
      </c>
      <c r="F64" s="12" t="s">
        <v>10</v>
      </c>
      <c r="G64" s="12" t="s">
        <v>10</v>
      </c>
      <c r="H64" s="12" t="s">
        <v>10</v>
      </c>
      <c r="I64" s="12" t="s">
        <v>10</v>
      </c>
      <c r="J64" s="12" t="s">
        <v>10</v>
      </c>
      <c r="K64" s="12" t="s">
        <v>10</v>
      </c>
      <c r="L64" s="12" t="s">
        <v>10</v>
      </c>
      <c r="M64" s="12" t="s">
        <v>10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>
      <c r="A65" s="1" t="s">
        <v>23</v>
      </c>
      <c r="B65" s="11">
        <f>+B17/B8</f>
        <v>0.19548827856342807</v>
      </c>
      <c r="C65" s="11">
        <f>+C17/C8</f>
        <v>0.20113595044949031</v>
      </c>
      <c r="D65" s="11">
        <f t="shared" ref="D65:M65" si="24">+D17/D8</f>
        <v>0.20013059652307466</v>
      </c>
      <c r="E65" s="11">
        <f t="shared" si="24"/>
        <v>0.19882566127342585</v>
      </c>
      <c r="F65" s="11">
        <f t="shared" si="24"/>
        <v>0.19750988927459665</v>
      </c>
      <c r="G65" s="11">
        <f t="shared" si="24"/>
        <v>0.1946048888083842</v>
      </c>
      <c r="H65" s="11">
        <f t="shared" si="24"/>
        <v>0.1904303539543179</v>
      </c>
      <c r="I65" s="11">
        <f t="shared" si="24"/>
        <v>0.19000946241944944</v>
      </c>
      <c r="J65" s="11">
        <f t="shared" si="24"/>
        <v>0.18962903834886913</v>
      </c>
      <c r="K65" s="11">
        <f t="shared" si="24"/>
        <v>0.18928659148132249</v>
      </c>
      <c r="L65" s="11">
        <f t="shared" si="24"/>
        <v>0.18845476325100002</v>
      </c>
      <c r="M65" s="11">
        <f t="shared" si="24"/>
        <v>0.18815728187939862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>
      <c r="A66" s="1"/>
      <c r="B66" s="12" t="s">
        <v>10</v>
      </c>
      <c r="C66" s="12" t="s">
        <v>10</v>
      </c>
      <c r="D66" s="12" t="s">
        <v>10</v>
      </c>
      <c r="E66" s="12" t="s">
        <v>10</v>
      </c>
      <c r="F66" s="12" t="s">
        <v>10</v>
      </c>
      <c r="G66" s="12" t="s">
        <v>10</v>
      </c>
      <c r="H66" s="12" t="s">
        <v>10</v>
      </c>
      <c r="I66" s="12" t="s">
        <v>10</v>
      </c>
      <c r="J66" s="12" t="s">
        <v>10</v>
      </c>
      <c r="K66" s="12" t="s">
        <v>10</v>
      </c>
      <c r="L66" s="12" t="s">
        <v>10</v>
      </c>
      <c r="M66" s="12" t="s">
        <v>10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>
      <c r="A67" s="1" t="s">
        <v>24</v>
      </c>
      <c r="B67" s="11">
        <f>+B19/B8</f>
        <v>0.14206551428253281</v>
      </c>
      <c r="C67" s="11">
        <f>+C19/C8</f>
        <v>0.1376117456774954</v>
      </c>
      <c r="D67" s="11">
        <f t="shared" ref="D67:M67" si="25">+D19/D8</f>
        <v>0.1338694034769253</v>
      </c>
      <c r="E67" s="11">
        <f t="shared" si="25"/>
        <v>0.13617433872657406</v>
      </c>
      <c r="F67" s="11">
        <f t="shared" si="25"/>
        <v>0.13999011072540335</v>
      </c>
      <c r="G67" s="11">
        <f t="shared" si="25"/>
        <v>0.1453951111916158</v>
      </c>
      <c r="H67" s="11">
        <f t="shared" si="25"/>
        <v>0.14956964604568207</v>
      </c>
      <c r="I67" s="11">
        <f t="shared" si="25"/>
        <v>0.15499053758055056</v>
      </c>
      <c r="J67" s="11">
        <f t="shared" si="25"/>
        <v>0.16037096165113082</v>
      </c>
      <c r="K67" s="11">
        <f t="shared" si="25"/>
        <v>0.16321340851867749</v>
      </c>
      <c r="L67" s="11">
        <f t="shared" si="25"/>
        <v>0.16404523674900004</v>
      </c>
      <c r="M67" s="11">
        <f t="shared" si="25"/>
        <v>0.16434271812060139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>
      <c r="A69" s="1" t="s">
        <v>25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>
      <c r="A70" s="1"/>
      <c r="B70" s="12" t="s">
        <v>10</v>
      </c>
      <c r="C70" s="12" t="s">
        <v>10</v>
      </c>
      <c r="D70" s="12" t="s">
        <v>10</v>
      </c>
      <c r="E70" s="12" t="s">
        <v>10</v>
      </c>
      <c r="F70" s="12" t="s">
        <v>10</v>
      </c>
      <c r="G70" s="12" t="s">
        <v>10</v>
      </c>
      <c r="H70" s="12" t="s">
        <v>10</v>
      </c>
      <c r="I70" s="12" t="s">
        <v>10</v>
      </c>
      <c r="J70" s="12" t="s">
        <v>10</v>
      </c>
      <c r="K70" s="12" t="s">
        <v>10</v>
      </c>
      <c r="L70" s="12" t="s">
        <v>10</v>
      </c>
      <c r="M70" s="12" t="s">
        <v>10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>
      <c r="A71" s="1" t="s">
        <v>26</v>
      </c>
      <c r="B71" s="11">
        <f>+B23/B8</f>
        <v>0.1285591704930274</v>
      </c>
      <c r="C71" s="11">
        <f>+C23/C8</f>
        <v>0.1243213761801472</v>
      </c>
      <c r="D71" s="11">
        <f t="shared" ref="D71:M71" si="26">+D23/D8</f>
        <v>0.1338694034769253</v>
      </c>
      <c r="E71" s="11">
        <f t="shared" si="26"/>
        <v>0.13617433872657406</v>
      </c>
      <c r="F71" s="11">
        <f t="shared" si="26"/>
        <v>0.13999011072540335</v>
      </c>
      <c r="G71" s="11">
        <f t="shared" si="26"/>
        <v>0.1453951111916158</v>
      </c>
      <c r="H71" s="11">
        <f t="shared" si="26"/>
        <v>0.14956964604568207</v>
      </c>
      <c r="I71" s="11">
        <f t="shared" si="26"/>
        <v>0.15499053758055056</v>
      </c>
      <c r="J71" s="11">
        <f t="shared" si="26"/>
        <v>0.16037096165113082</v>
      </c>
      <c r="K71" s="11">
        <f t="shared" si="26"/>
        <v>0.16321340851867749</v>
      </c>
      <c r="L71" s="11">
        <f t="shared" si="26"/>
        <v>0.16404523674900004</v>
      </c>
      <c r="M71" s="11">
        <f t="shared" si="26"/>
        <v>0.16434271812060139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>
      <c r="A72" s="1" t="s">
        <v>45</v>
      </c>
      <c r="B72" s="11">
        <f>B24/B23</f>
        <v>0.2443063127324604</v>
      </c>
      <c r="C72" s="11">
        <f>C24/C23</f>
        <v>0.22656446976955272</v>
      </c>
      <c r="D72" s="11">
        <v>0.245</v>
      </c>
      <c r="E72" s="11">
        <v>0.245</v>
      </c>
      <c r="F72" s="11">
        <v>0.245</v>
      </c>
      <c r="G72" s="11">
        <v>0.245</v>
      </c>
      <c r="H72" s="11">
        <v>0.245</v>
      </c>
      <c r="I72" s="11">
        <v>0.245</v>
      </c>
      <c r="J72" s="11">
        <v>0.245</v>
      </c>
      <c r="K72" s="11">
        <v>0.245</v>
      </c>
      <c r="L72" s="11">
        <v>0.245</v>
      </c>
      <c r="M72" s="11">
        <v>0.245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>
      <c r="A73" s="1"/>
      <c r="B73" s="12" t="s">
        <v>10</v>
      </c>
      <c r="C73" s="12" t="s">
        <v>10</v>
      </c>
      <c r="D73" s="12" t="s">
        <v>10</v>
      </c>
      <c r="E73" s="12" t="s">
        <v>10</v>
      </c>
      <c r="F73" s="12" t="s">
        <v>10</v>
      </c>
      <c r="G73" s="12" t="s">
        <v>10</v>
      </c>
      <c r="H73" s="12" t="s">
        <v>10</v>
      </c>
      <c r="I73" s="12" t="s">
        <v>10</v>
      </c>
      <c r="J73" s="12" t="s">
        <v>10</v>
      </c>
      <c r="K73" s="12" t="s">
        <v>10</v>
      </c>
      <c r="L73" s="12" t="s">
        <v>10</v>
      </c>
      <c r="M73" s="12" t="s">
        <v>10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>
      <c r="A74" s="1" t="s">
        <v>28</v>
      </c>
      <c r="B74" s="11">
        <f>+B26/B8</f>
        <v>9.7151353581932151E-2</v>
      </c>
      <c r="C74" s="11">
        <f>+C26/C8</f>
        <v>9.6154569504871043E-2</v>
      </c>
      <c r="D74" s="11">
        <f t="shared" ref="D74:M74" si="27">+D26/D8</f>
        <v>0.10107139962507861</v>
      </c>
      <c r="E74" s="11">
        <f t="shared" si="27"/>
        <v>0.10281162573856342</v>
      </c>
      <c r="F74" s="11">
        <f t="shared" si="27"/>
        <v>0.10569253359767952</v>
      </c>
      <c r="G74" s="11">
        <f t="shared" si="27"/>
        <v>0.10977330894966994</v>
      </c>
      <c r="H74" s="11">
        <f t="shared" si="27"/>
        <v>0.11292508276448997</v>
      </c>
      <c r="I74" s="11">
        <f t="shared" si="27"/>
        <v>0.11701785587331567</v>
      </c>
      <c r="J74" s="11">
        <f t="shared" si="27"/>
        <v>0.12108007604660377</v>
      </c>
      <c r="K74" s="11">
        <f t="shared" si="27"/>
        <v>0.12322612343160151</v>
      </c>
      <c r="L74" s="11">
        <f t="shared" si="27"/>
        <v>0.12385415374549505</v>
      </c>
      <c r="M74" s="11">
        <f t="shared" si="27"/>
        <v>0.12407875218105405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>
      <c r="A76" s="1" t="s">
        <v>46</v>
      </c>
      <c r="B76" s="6">
        <v>26154</v>
      </c>
      <c r="C76" s="6">
        <v>26702</v>
      </c>
      <c r="D76" s="6">
        <f t="shared" ref="D76:M76" si="28">C76-D112-D29</f>
        <v>28053.486690952381</v>
      </c>
      <c r="E76" s="6">
        <f t="shared" si="28"/>
        <v>29060.37467262214</v>
      </c>
      <c r="F76" s="6">
        <f t="shared" si="28"/>
        <v>29745.506413614883</v>
      </c>
      <c r="G76" s="6">
        <f t="shared" si="28"/>
        <v>30532.073757150785</v>
      </c>
      <c r="H76" s="6">
        <f t="shared" si="28"/>
        <v>31418.919448201428</v>
      </c>
      <c r="I76" s="6">
        <f t="shared" si="28"/>
        <v>32003.72623253406</v>
      </c>
      <c r="J76" s="6">
        <f t="shared" si="28"/>
        <v>32672.177486780136</v>
      </c>
      <c r="K76" s="6">
        <f t="shared" si="28"/>
        <v>33422.532894498101</v>
      </c>
      <c r="L76" s="6">
        <f t="shared" si="28"/>
        <v>34145.358779596252</v>
      </c>
      <c r="M76" s="6">
        <f t="shared" si="28"/>
        <v>34947.756020660636</v>
      </c>
      <c r="N76" s="6"/>
      <c r="O76" s="6"/>
      <c r="P76" s="6"/>
      <c r="Q76" s="6"/>
      <c r="R76" s="6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>
      <c r="A77" s="1" t="s">
        <v>47</v>
      </c>
      <c r="B77" s="5">
        <f>+B8/B76</f>
        <v>5.8373097805307026</v>
      </c>
      <c r="C77" s="5">
        <f>+C8/C76</f>
        <v>5.9738596359823237</v>
      </c>
      <c r="D77" s="5">
        <f t="shared" ref="D77:M77" si="29">D8/D76</f>
        <v>5.845276696136521</v>
      </c>
      <c r="E77" s="5">
        <f t="shared" si="29"/>
        <v>5.8402449256751456</v>
      </c>
      <c r="F77" s="5">
        <f t="shared" si="29"/>
        <v>5.962483543269629</v>
      </c>
      <c r="G77" s="5">
        <f t="shared" si="29"/>
        <v>6.0702775420053374</v>
      </c>
      <c r="H77" s="5">
        <f t="shared" si="29"/>
        <v>6.1643870099332698</v>
      </c>
      <c r="I77" s="5">
        <f t="shared" si="29"/>
        <v>6.293814432907336</v>
      </c>
      <c r="J77" s="5">
        <f t="shared" si="29"/>
        <v>6.4116490159452839</v>
      </c>
      <c r="K77" s="5">
        <f t="shared" si="29"/>
        <v>6.5184118960966986</v>
      </c>
      <c r="L77" s="5">
        <f t="shared" si="29"/>
        <v>6.6356400271084217</v>
      </c>
      <c r="M77" s="5">
        <f t="shared" si="29"/>
        <v>6.7426178006071344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>
      <c r="A78" s="1" t="s">
        <v>48</v>
      </c>
      <c r="B78" s="11">
        <f>-B29/B8</f>
        <v>2.0960378334828944E-2</v>
      </c>
      <c r="C78" s="11">
        <f>-C29/C8</f>
        <v>2.1941647755055981E-2</v>
      </c>
      <c r="D78" s="11">
        <v>2.5000000000000001E-2</v>
      </c>
      <c r="E78" s="11">
        <v>2.2499999999999999E-2</v>
      </c>
      <c r="F78" s="11">
        <v>0.02</v>
      </c>
      <c r="G78" s="11">
        <v>0.02</v>
      </c>
      <c r="H78" s="11">
        <v>0.02</v>
      </c>
      <c r="I78" s="11">
        <v>1.7999999999999999E-2</v>
      </c>
      <c r="J78" s="11">
        <v>1.7999999999999999E-2</v>
      </c>
      <c r="K78" s="11">
        <v>1.7999999999999999E-2</v>
      </c>
      <c r="L78" s="11">
        <v>1.7500000000000002E-2</v>
      </c>
      <c r="M78" s="11">
        <v>1.7500000000000002E-2</v>
      </c>
      <c r="N78" s="7"/>
      <c r="O78" s="7"/>
      <c r="P78" s="13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>
      <c r="A79" s="1" t="s">
        <v>49</v>
      </c>
      <c r="B79" s="7">
        <f>+B112/B8</f>
        <v>2.0049911900909812E-2</v>
      </c>
      <c r="C79" s="7">
        <f>+C112/C8</f>
        <v>1.8249181889990848E-2</v>
      </c>
      <c r="D79" s="7">
        <f t="shared" ref="D79:M79" si="30">D112/D8</f>
        <v>1.6758242101577725E-2</v>
      </c>
      <c r="E79" s="7">
        <f t="shared" si="30"/>
        <v>1.6567347822704193E-2</v>
      </c>
      <c r="F79" s="7">
        <f t="shared" si="30"/>
        <v>1.6136992711018611E-2</v>
      </c>
      <c r="G79" s="7">
        <f t="shared" si="30"/>
        <v>1.5756042163251487E-2</v>
      </c>
      <c r="H79" s="7">
        <f t="shared" si="30"/>
        <v>1.5421039271241036E-2</v>
      </c>
      <c r="I79" s="7">
        <f t="shared" si="30"/>
        <v>1.5096659839567797E-2</v>
      </c>
      <c r="J79" s="7">
        <f t="shared" si="30"/>
        <v>1.480903586821374E-2</v>
      </c>
      <c r="K79" s="7">
        <f t="shared" si="30"/>
        <v>1.4555819865307676E-2</v>
      </c>
      <c r="L79" s="7">
        <f t="shared" si="30"/>
        <v>1.4309790543293475E-2</v>
      </c>
      <c r="M79" s="7">
        <f t="shared" si="30"/>
        <v>1.4094808121988493E-2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>
      <c r="A80" s="1" t="s">
        <v>50</v>
      </c>
      <c r="B80" s="14">
        <v>4.4999999999999998E-2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>
      <c r="A82" s="1" t="s">
        <v>51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>
      <c r="A83" s="1" t="s">
        <v>52</v>
      </c>
      <c r="B83" s="14">
        <v>4.2299999999999997E-2</v>
      </c>
      <c r="C83" s="7"/>
      <c r="D83" s="1"/>
      <c r="E83" s="2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>
      <c r="A84" s="1" t="s">
        <v>53</v>
      </c>
      <c r="B84" s="14">
        <v>4.5319999999999999E-2</v>
      </c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>
      <c r="A85" s="1" t="s">
        <v>54</v>
      </c>
      <c r="B85" s="1">
        <v>0.88</v>
      </c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>
      <c r="A86" s="1" t="s">
        <v>55</v>
      </c>
      <c r="B86" s="17">
        <f>B83+B85*B84</f>
        <v>8.2181599999999994E-2</v>
      </c>
      <c r="C86" s="7"/>
      <c r="D86" s="1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>
      <c r="A87" s="1" t="s">
        <v>56</v>
      </c>
      <c r="B87" s="14">
        <v>4.1000000000000002E-2</v>
      </c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>
      <c r="A88" s="1" t="s">
        <v>57</v>
      </c>
      <c r="B88" s="14">
        <v>0.245</v>
      </c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>
      <c r="A89" s="1" t="s">
        <v>58</v>
      </c>
      <c r="B89" s="18">
        <v>0.13070000000000001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>
      <c r="A90" s="1" t="s">
        <v>59</v>
      </c>
      <c r="B90" s="14">
        <f>(B87*(1-B88)*B89+B86*(1-B89))</f>
        <v>7.5486283379999991E-2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>
      <c r="A91" s="1"/>
      <c r="B91" s="1">
        <v>0</v>
      </c>
      <c r="C91" s="1">
        <v>0</v>
      </c>
      <c r="D91" s="1">
        <v>1.5</v>
      </c>
      <c r="E91" s="1">
        <v>9</v>
      </c>
      <c r="F91" s="1">
        <f t="shared" ref="F91:M91" si="31">+E91+12</f>
        <v>21</v>
      </c>
      <c r="G91" s="1">
        <f t="shared" si="31"/>
        <v>33</v>
      </c>
      <c r="H91" s="1">
        <f t="shared" si="31"/>
        <v>45</v>
      </c>
      <c r="I91" s="1">
        <f t="shared" si="31"/>
        <v>57</v>
      </c>
      <c r="J91" s="1">
        <f t="shared" si="31"/>
        <v>69</v>
      </c>
      <c r="K91" s="1">
        <f t="shared" si="31"/>
        <v>81</v>
      </c>
      <c r="L91" s="1">
        <f t="shared" si="31"/>
        <v>93</v>
      </c>
      <c r="M91" s="1">
        <f t="shared" si="31"/>
        <v>105</v>
      </c>
      <c r="N91" s="1">
        <f>+M91+6</f>
        <v>111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15.6">
      <c r="A93" s="28" t="s">
        <v>0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>
      <c r="A94" s="27" t="s">
        <v>1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>
      <c r="A95" s="27" t="s">
        <v>2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>
      <c r="A96" s="27" t="s">
        <v>60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>
      <c r="A98" s="1"/>
      <c r="B98" s="1">
        <f>2023</f>
        <v>2023</v>
      </c>
      <c r="C98" s="1">
        <f t="shared" ref="C98:M98" si="32">+B98+1</f>
        <v>2024</v>
      </c>
      <c r="D98" s="1">
        <f t="shared" si="32"/>
        <v>2025</v>
      </c>
      <c r="E98" s="1">
        <f t="shared" si="32"/>
        <v>2026</v>
      </c>
      <c r="F98" s="1">
        <f t="shared" si="32"/>
        <v>2027</v>
      </c>
      <c r="G98" s="1">
        <f t="shared" si="32"/>
        <v>2028</v>
      </c>
      <c r="H98" s="1">
        <f t="shared" si="32"/>
        <v>2029</v>
      </c>
      <c r="I98" s="1">
        <f t="shared" si="32"/>
        <v>2030</v>
      </c>
      <c r="J98" s="1">
        <f t="shared" si="32"/>
        <v>2031</v>
      </c>
      <c r="K98" s="1">
        <f t="shared" si="32"/>
        <v>2032</v>
      </c>
      <c r="L98" s="1">
        <f t="shared" si="32"/>
        <v>2033</v>
      </c>
      <c r="M98" s="1">
        <f t="shared" si="32"/>
        <v>2034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>
      <c r="A99" s="1"/>
      <c r="B99" s="4" t="s">
        <v>10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  <c r="L99" s="4" t="s">
        <v>10</v>
      </c>
      <c r="M99" s="4" t="s">
        <v>10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>
      <c r="A100" s="3" t="s">
        <v>61</v>
      </c>
      <c r="B100" s="6"/>
      <c r="C100" s="6"/>
      <c r="D100" s="6">
        <f>$C$76*(2045-D98)/210</f>
        <v>2543.0476190476193</v>
      </c>
      <c r="E100" s="6">
        <f t="shared" ref="E100:M100" si="33">$C$76*(2045-E98)/210</f>
        <v>2415.8952380952383</v>
      </c>
      <c r="F100" s="6">
        <f t="shared" si="33"/>
        <v>2288.7428571428572</v>
      </c>
      <c r="G100" s="6">
        <f t="shared" si="33"/>
        <v>2161.5904761904762</v>
      </c>
      <c r="H100" s="6">
        <f t="shared" si="33"/>
        <v>2034.4380952380952</v>
      </c>
      <c r="I100" s="6">
        <f t="shared" si="33"/>
        <v>1907.2857142857142</v>
      </c>
      <c r="J100" s="6">
        <f t="shared" si="33"/>
        <v>1780.1333333333334</v>
      </c>
      <c r="K100" s="6">
        <f t="shared" si="33"/>
        <v>1652.9809523809524</v>
      </c>
      <c r="L100" s="6">
        <f t="shared" si="33"/>
        <v>1525.8285714285714</v>
      </c>
      <c r="M100" s="6">
        <f t="shared" si="33"/>
        <v>1398.6761904761904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>
      <c r="A101" s="3" t="s">
        <v>62</v>
      </c>
      <c r="B101" s="6"/>
      <c r="C101" s="6"/>
      <c r="D101" s="6">
        <f>-$D$29/20</f>
        <v>204.97548999999998</v>
      </c>
      <c r="E101" s="6">
        <f t="shared" ref="E101:M101" si="34">-$D$29/20</f>
        <v>204.97548999999998</v>
      </c>
      <c r="F101" s="6">
        <f t="shared" si="34"/>
        <v>204.97548999999998</v>
      </c>
      <c r="G101" s="6">
        <f t="shared" si="34"/>
        <v>204.97548999999998</v>
      </c>
      <c r="H101" s="6">
        <f t="shared" si="34"/>
        <v>204.97548999999998</v>
      </c>
      <c r="I101" s="6">
        <f t="shared" si="34"/>
        <v>204.97548999999998</v>
      </c>
      <c r="J101" s="6">
        <f t="shared" si="34"/>
        <v>204.97548999999998</v>
      </c>
      <c r="K101" s="6">
        <f t="shared" si="34"/>
        <v>204.97548999999998</v>
      </c>
      <c r="L101" s="6">
        <f t="shared" si="34"/>
        <v>204.97548999999998</v>
      </c>
      <c r="M101" s="6">
        <f t="shared" si="34"/>
        <v>204.97548999999998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>
      <c r="A102" s="3" t="s">
        <v>63</v>
      </c>
      <c r="B102" s="6"/>
      <c r="C102" s="6"/>
      <c r="D102" s="6"/>
      <c r="E102" s="6">
        <f>-$E$29/20</f>
        <v>190.93466893499996</v>
      </c>
      <c r="F102" s="6">
        <f t="shared" ref="F102:M102" si="35">-$E$29/20</f>
        <v>190.93466893499996</v>
      </c>
      <c r="G102" s="6">
        <f t="shared" si="35"/>
        <v>190.93466893499996</v>
      </c>
      <c r="H102" s="6">
        <f t="shared" si="35"/>
        <v>190.93466893499996</v>
      </c>
      <c r="I102" s="6">
        <f t="shared" si="35"/>
        <v>190.93466893499996</v>
      </c>
      <c r="J102" s="6">
        <f t="shared" si="35"/>
        <v>190.93466893499996</v>
      </c>
      <c r="K102" s="6">
        <f t="shared" si="35"/>
        <v>190.93466893499996</v>
      </c>
      <c r="L102" s="6">
        <f t="shared" si="35"/>
        <v>190.93466893499996</v>
      </c>
      <c r="M102" s="6">
        <f t="shared" si="35"/>
        <v>190.93466893499996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>
      <c r="A103" s="3" t="s">
        <v>64</v>
      </c>
      <c r="B103" s="6"/>
      <c r="C103" s="6"/>
      <c r="D103" s="6"/>
      <c r="E103" s="6"/>
      <c r="F103" s="6">
        <f>-$F$29/20</f>
        <v>177.35709247739993</v>
      </c>
      <c r="G103" s="6">
        <f t="shared" ref="G103:M103" si="36">-$F$29/20</f>
        <v>177.35709247739993</v>
      </c>
      <c r="H103" s="6">
        <f t="shared" si="36"/>
        <v>177.35709247739993</v>
      </c>
      <c r="I103" s="6">
        <f t="shared" si="36"/>
        <v>177.35709247739993</v>
      </c>
      <c r="J103" s="6">
        <f t="shared" si="36"/>
        <v>177.35709247739993</v>
      </c>
      <c r="K103" s="6">
        <f t="shared" si="36"/>
        <v>177.35709247739993</v>
      </c>
      <c r="L103" s="6">
        <f t="shared" si="36"/>
        <v>177.35709247739993</v>
      </c>
      <c r="M103" s="6">
        <f t="shared" si="36"/>
        <v>177.35709247739993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>
      <c r="A104" s="3" t="s">
        <v>65</v>
      </c>
      <c r="B104" s="6"/>
      <c r="C104" s="6"/>
      <c r="D104" s="6"/>
      <c r="E104" s="6"/>
      <c r="F104" s="6"/>
      <c r="G104" s="6">
        <f>-$G$29/20</f>
        <v>185.33816163888295</v>
      </c>
      <c r="H104" s="6">
        <f t="shared" ref="H104:M104" si="37">-$G$29/20</f>
        <v>185.33816163888295</v>
      </c>
      <c r="I104" s="6">
        <f t="shared" si="37"/>
        <v>185.33816163888295</v>
      </c>
      <c r="J104" s="6">
        <f t="shared" si="37"/>
        <v>185.33816163888295</v>
      </c>
      <c r="K104" s="6">
        <f t="shared" si="37"/>
        <v>185.33816163888295</v>
      </c>
      <c r="L104" s="6">
        <f t="shared" si="37"/>
        <v>185.33816163888295</v>
      </c>
      <c r="M104" s="6">
        <f t="shared" si="37"/>
        <v>185.33816163888295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>
      <c r="A105" s="3" t="s">
        <v>66</v>
      </c>
      <c r="B105" s="6"/>
      <c r="C105" s="6"/>
      <c r="D105" s="6"/>
      <c r="E105" s="6"/>
      <c r="F105" s="6"/>
      <c r="G105" s="6"/>
      <c r="H105" s="6">
        <f>-$H$29/20</f>
        <v>193.6783789126327</v>
      </c>
      <c r="I105" s="6">
        <f t="shared" ref="I105:M105" si="38">-$H$29/20</f>
        <v>193.6783789126327</v>
      </c>
      <c r="J105" s="6">
        <f t="shared" si="38"/>
        <v>193.6783789126327</v>
      </c>
      <c r="K105" s="6">
        <f t="shared" si="38"/>
        <v>193.6783789126327</v>
      </c>
      <c r="L105" s="6">
        <f t="shared" si="38"/>
        <v>193.6783789126327</v>
      </c>
      <c r="M105" s="6">
        <f t="shared" si="38"/>
        <v>193.6783789126327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>
      <c r="A106" s="3" t="s">
        <v>67</v>
      </c>
      <c r="B106" s="6"/>
      <c r="C106" s="6"/>
      <c r="D106" s="6"/>
      <c r="E106" s="6"/>
      <c r="F106" s="6"/>
      <c r="G106" s="6"/>
      <c r="H106" s="6"/>
      <c r="I106" s="6">
        <f>-$I$29/20</f>
        <v>181.28296266222418</v>
      </c>
      <c r="J106" s="6">
        <f t="shared" ref="J106:M106" si="39">-$I$29/20</f>
        <v>181.28296266222418</v>
      </c>
      <c r="K106" s="6">
        <f t="shared" si="39"/>
        <v>181.28296266222418</v>
      </c>
      <c r="L106" s="6">
        <f t="shared" si="39"/>
        <v>181.28296266222418</v>
      </c>
      <c r="M106" s="6">
        <f t="shared" si="39"/>
        <v>181.28296266222418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>
      <c r="A107" s="3" t="s">
        <v>68</v>
      </c>
      <c r="B107" s="6"/>
      <c r="C107" s="6"/>
      <c r="D107" s="6"/>
      <c r="E107" s="6"/>
      <c r="F107" s="6"/>
      <c r="G107" s="6"/>
      <c r="H107" s="6"/>
      <c r="I107" s="6"/>
      <c r="J107" s="6">
        <f>-$J$29/20</f>
        <v>188.53428116871314</v>
      </c>
      <c r="K107" s="6">
        <f t="shared" ref="K107:M107" si="40">-$J$29/20</f>
        <v>188.53428116871314</v>
      </c>
      <c r="L107" s="6">
        <f t="shared" si="40"/>
        <v>188.53428116871314</v>
      </c>
      <c r="M107" s="6">
        <f t="shared" si="40"/>
        <v>188.53428116871314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>
      <c r="A108" s="3" t="s">
        <v>69</v>
      </c>
      <c r="B108" s="6"/>
      <c r="C108" s="6"/>
      <c r="D108" s="6"/>
      <c r="E108" s="6"/>
      <c r="F108" s="6"/>
      <c r="G108" s="6"/>
      <c r="H108" s="6"/>
      <c r="I108" s="6"/>
      <c r="J108" s="6"/>
      <c r="K108" s="6">
        <f>-$K$29/20</f>
        <v>196.07565241546166</v>
      </c>
      <c r="L108" s="6">
        <f t="shared" ref="L108:M108" si="41">-$K$29/20</f>
        <v>196.07565241546166</v>
      </c>
      <c r="M108" s="6">
        <f t="shared" si="41"/>
        <v>196.07565241546166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>
      <c r="A109" s="3" t="s">
        <v>70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>
        <f>-$L$29/20</f>
        <v>198.25427077563353</v>
      </c>
      <c r="M109" s="6">
        <f>-$L$29/20</f>
        <v>198.25427077563353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>
      <c r="A110" s="3" t="s">
        <v>71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>
        <f>-$M$29/20</f>
        <v>206.18444160665885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>
      <c r="A111" s="1"/>
      <c r="B111" s="4" t="s">
        <v>10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  <c r="L111" s="4" t="s">
        <v>10</v>
      </c>
      <c r="M111" s="4" t="s">
        <v>10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>
      <c r="A112" s="1" t="s">
        <v>72</v>
      </c>
      <c r="B112" s="6">
        <f>+B115-B113</f>
        <v>3061</v>
      </c>
      <c r="C112" s="6">
        <f>+C115-C113</f>
        <v>2911</v>
      </c>
      <c r="D112" s="6">
        <f>SUM(D100:D110)</f>
        <v>2748.0231090476191</v>
      </c>
      <c r="E112" s="6">
        <f t="shared" ref="E112:M112" si="42">SUM(E100:E110)</f>
        <v>2811.8053970302381</v>
      </c>
      <c r="F112" s="6">
        <f t="shared" si="42"/>
        <v>2862.0101085552569</v>
      </c>
      <c r="G112" s="6">
        <f t="shared" si="42"/>
        <v>2920.1958892417588</v>
      </c>
      <c r="H112" s="6">
        <f t="shared" si="42"/>
        <v>2986.7218872020103</v>
      </c>
      <c r="I112" s="6">
        <f t="shared" si="42"/>
        <v>3040.8524689118535</v>
      </c>
      <c r="J112" s="6">
        <f t="shared" si="42"/>
        <v>3102.2343691281862</v>
      </c>
      <c r="K112" s="6">
        <f t="shared" si="42"/>
        <v>3171.157640591267</v>
      </c>
      <c r="L112" s="6">
        <f t="shared" si="42"/>
        <v>3242.2595304145193</v>
      </c>
      <c r="M112" s="6">
        <f t="shared" si="42"/>
        <v>3321.2915910687971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>
      <c r="A113" s="1" t="s">
        <v>73</v>
      </c>
      <c r="B113" s="6">
        <v>186</v>
      </c>
      <c r="C113" s="6">
        <v>425</v>
      </c>
      <c r="D113" s="6">
        <v>553</v>
      </c>
      <c r="E113" s="6">
        <v>553</v>
      </c>
      <c r="F113" s="6">
        <v>545</v>
      </c>
      <c r="G113" s="6">
        <v>528</v>
      </c>
      <c r="H113" s="6">
        <v>486</v>
      </c>
      <c r="I113" s="6">
        <v>486</v>
      </c>
      <c r="J113" s="6">
        <v>486</v>
      </c>
      <c r="K113" s="6">
        <v>486</v>
      </c>
      <c r="L113" s="6">
        <v>486</v>
      </c>
      <c r="M113" s="6">
        <v>486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>
      <c r="A114" s="1"/>
      <c r="B114" s="4" t="s">
        <v>10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  <c r="L114" s="4" t="s">
        <v>10</v>
      </c>
      <c r="M114" s="4" t="s">
        <v>10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>
      <c r="A115" s="1" t="s">
        <v>74</v>
      </c>
      <c r="B115" s="6">
        <v>3247</v>
      </c>
      <c r="C115" s="6">
        <v>3336</v>
      </c>
      <c r="D115" s="6">
        <f>SUM(D112:D113)</f>
        <v>3301.0231090476191</v>
      </c>
      <c r="E115" s="6">
        <f t="shared" ref="E115:M115" si="43">SUM(E112:E113)</f>
        <v>3364.8053970302381</v>
      </c>
      <c r="F115" s="6">
        <f t="shared" si="43"/>
        <v>3407.0101085552569</v>
      </c>
      <c r="G115" s="6">
        <f t="shared" si="43"/>
        <v>3448.1958892417588</v>
      </c>
      <c r="H115" s="6">
        <f t="shared" si="43"/>
        <v>3472.7218872020103</v>
      </c>
      <c r="I115" s="6">
        <f t="shared" si="43"/>
        <v>3526.8524689118535</v>
      </c>
      <c r="J115" s="6">
        <f t="shared" si="43"/>
        <v>3588.2343691281862</v>
      </c>
      <c r="K115" s="6">
        <f t="shared" si="43"/>
        <v>3657.157640591267</v>
      </c>
      <c r="L115" s="6">
        <f t="shared" si="43"/>
        <v>3728.2595304145193</v>
      </c>
      <c r="M115" s="6">
        <f t="shared" si="43"/>
        <v>3807.2915910687971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>
      <c r="A116" s="1"/>
      <c r="B116" s="8" t="s">
        <v>75</v>
      </c>
      <c r="C116" s="8" t="s">
        <v>75</v>
      </c>
      <c r="D116" s="8" t="s">
        <v>75</v>
      </c>
      <c r="E116" s="8" t="s">
        <v>75</v>
      </c>
      <c r="F116" s="8" t="s">
        <v>75</v>
      </c>
      <c r="G116" s="8" t="s">
        <v>75</v>
      </c>
      <c r="H116" s="8" t="s">
        <v>75</v>
      </c>
      <c r="I116" s="8" t="s">
        <v>75</v>
      </c>
      <c r="J116" s="8" t="s">
        <v>75</v>
      </c>
      <c r="K116" s="8" t="s">
        <v>75</v>
      </c>
      <c r="L116" s="8" t="s">
        <v>75</v>
      </c>
      <c r="M116" s="8" t="s">
        <v>75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</row>
  </sheetData>
  <mergeCells count="12">
    <mergeCell ref="A1:N1"/>
    <mergeCell ref="A2:N2"/>
    <mergeCell ref="A3:N3"/>
    <mergeCell ref="A4:N4"/>
    <mergeCell ref="A94:M94"/>
    <mergeCell ref="A95:M95"/>
    <mergeCell ref="A96:M96"/>
    <mergeCell ref="A49:M49"/>
    <mergeCell ref="A50:M50"/>
    <mergeCell ref="A51:M51"/>
    <mergeCell ref="A52:M52"/>
    <mergeCell ref="A93:M93"/>
  </mergeCells>
  <pageMargins left="0.57999999999999996" right="0.5" top="0.37" bottom="0.33" header="0.3" footer="0.3"/>
  <pageSetup scale="78" orientation="landscape" r:id="rId1"/>
  <rowBreaks count="2" manualBreakCount="2">
    <brk id="47" max="16383" man="1"/>
    <brk id="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565F-257D-460F-8AD6-0CA5CA223D3A}">
  <dimension ref="B2:J12"/>
  <sheetViews>
    <sheetView tabSelected="1" workbookViewId="0">
      <selection activeCell="J4" sqref="J4"/>
    </sheetView>
  </sheetViews>
  <sheetFormatPr defaultRowHeight="14.45"/>
  <cols>
    <col min="2" max="2" width="18.7109375" customWidth="1"/>
    <col min="3" max="3" width="28.140625" customWidth="1"/>
    <col min="6" max="6" width="15.5703125" customWidth="1"/>
    <col min="7" max="7" width="18.42578125" customWidth="1"/>
  </cols>
  <sheetData>
    <row r="2" spans="2:10">
      <c r="B2" t="s">
        <v>76</v>
      </c>
      <c r="C2" s="23">
        <f>DCF!D47*DCF!D42-DCF!D38-DCF!D39</f>
        <v>406800.94</v>
      </c>
      <c r="F2" t="s">
        <v>77</v>
      </c>
      <c r="G2">
        <f>C2/C3</f>
        <v>15.92524936972487</v>
      </c>
    </row>
    <row r="3" spans="2:10">
      <c r="B3" t="s">
        <v>78</v>
      </c>
      <c r="C3" s="23">
        <v>25544.400000000001</v>
      </c>
    </row>
    <row r="4" spans="2:10">
      <c r="B4" t="s">
        <v>79</v>
      </c>
      <c r="C4" s="23">
        <f>DCF!D47</f>
        <v>357.58</v>
      </c>
      <c r="F4" t="s">
        <v>80</v>
      </c>
      <c r="G4">
        <f>C4/C5</f>
        <v>23.743691899070384</v>
      </c>
      <c r="J4" s="25"/>
    </row>
    <row r="5" spans="2:10">
      <c r="B5" t="s">
        <v>81</v>
      </c>
      <c r="C5" s="23">
        <v>15.06</v>
      </c>
    </row>
    <row r="7" spans="2:10">
      <c r="B7" t="s">
        <v>82</v>
      </c>
      <c r="C7" s="24">
        <v>72356</v>
      </c>
      <c r="F7" t="s">
        <v>83</v>
      </c>
      <c r="G7" s="26">
        <f>C11/C12</f>
        <v>0.10107139962507861</v>
      </c>
    </row>
    <row r="8" spans="2:10">
      <c r="B8" t="s">
        <v>84</v>
      </c>
      <c r="C8" s="24">
        <f>C7-DCF!D30-DCF!D29-DCF!D28</f>
        <v>73355.474330952391</v>
      </c>
      <c r="F8" t="s">
        <v>85</v>
      </c>
      <c r="G8" s="26">
        <f>C12/C9</f>
        <v>2.2507546883720861</v>
      </c>
    </row>
    <row r="9" spans="2:10">
      <c r="B9" t="s">
        <v>86</v>
      </c>
      <c r="C9" s="24">
        <f>AVERAGE(C7:C8)</f>
        <v>72855.737165476196</v>
      </c>
    </row>
    <row r="10" spans="2:10">
      <c r="C10" s="24"/>
      <c r="F10" t="s">
        <v>87</v>
      </c>
      <c r="G10" s="25">
        <f>G8*G7</f>
        <v>0.22748692656647437</v>
      </c>
    </row>
    <row r="11" spans="2:10">
      <c r="B11" t="s">
        <v>88</v>
      </c>
      <c r="C11" s="24">
        <f>DCF!D26</f>
        <v>16573.727730509043</v>
      </c>
    </row>
    <row r="12" spans="2:10">
      <c r="B12" t="s">
        <v>11</v>
      </c>
      <c r="C12" s="23">
        <f>DCF!D8</f>
        <v>163980.39199999999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7306CD-CDC1-4355-A199-F4BF0E528A05}"/>
</file>

<file path=customXml/itemProps2.xml><?xml version="1.0" encoding="utf-8"?>
<ds:datastoreItem xmlns:ds="http://schemas.openxmlformats.org/officeDocument/2006/customXml" ds:itemID="{01F8D0FF-3393-40ED-AEB7-53F798225BD0}"/>
</file>

<file path=customXml/itemProps3.xml><?xml version="1.0" encoding="utf-8"?>
<ds:datastoreItem xmlns:ds="http://schemas.openxmlformats.org/officeDocument/2006/customXml" ds:itemID="{67DE8C79-B1E8-409B-AF16-896EA155F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/>
  <cp:revision/>
  <dcterms:created xsi:type="dcterms:W3CDTF">2013-08-15T15:13:53Z</dcterms:created>
  <dcterms:modified xsi:type="dcterms:W3CDTF">2025-05-07T00:01:21Z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